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ccounting\OSHPD\OSHPD Chargemaster submission\2024\"/>
    </mc:Choice>
  </mc:AlternateContent>
  <bookViews>
    <workbookView xWindow="120" yWindow="15" windowWidth="12120" windowHeight="9120" tabRatio="778"/>
  </bookViews>
  <sheets>
    <sheet name="Charges for Common OP Proc" sheetId="1" r:id="rId1"/>
    <sheet name="Chargemaster" sheetId="2" r:id="rId2"/>
    <sheet name="Change in Gross Revenue" sheetId="4" r:id="rId3"/>
  </sheets>
  <calcPr calcId="162913"/>
</workbook>
</file>

<file path=xl/calcChain.xml><?xml version="1.0" encoding="utf-8"?>
<calcChain xmlns="http://schemas.openxmlformats.org/spreadsheetml/2006/main">
  <c r="A11" i="1" l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</calcChain>
</file>

<file path=xl/sharedStrings.xml><?xml version="1.0" encoding="utf-8"?>
<sst xmlns="http://schemas.openxmlformats.org/spreadsheetml/2006/main" count="99" uniqueCount="75">
  <si>
    <t>Service Code</t>
  </si>
  <si>
    <t>Description</t>
  </si>
  <si>
    <t>#</t>
  </si>
  <si>
    <t>BHC Alhambra Hospital</t>
  </si>
  <si>
    <t>List of Charges for 25 Common Outpatient procedures</t>
  </si>
  <si>
    <t>OSHPD Facility No:</t>
  </si>
  <si>
    <t xml:space="preserve">AB1627/AB1045 Reporting Requirements </t>
  </si>
  <si>
    <t>NOTE: Effective 4/1/11 all hospital services are inclusive for all ancillary services.</t>
  </si>
  <si>
    <t>The charges above are the only outpatient procedures provided.</t>
  </si>
  <si>
    <t>2011 HCPCS/CPT Code</t>
  </si>
  <si>
    <t>Average Charge</t>
  </si>
  <si>
    <t>CDIOP</t>
  </si>
  <si>
    <t>MHPHP Activity Therapy</t>
  </si>
  <si>
    <t>MHPHP Group Psychotherapy</t>
  </si>
  <si>
    <t>MHPHP Patient Education</t>
  </si>
  <si>
    <t>MHPHP Process Group</t>
  </si>
  <si>
    <t>MHIOP Activity Therapy</t>
  </si>
  <si>
    <t>MHIOP Group Psychotherapy</t>
  </si>
  <si>
    <t>MHIOP Patient Education</t>
  </si>
  <si>
    <t>MHIOP Process Group</t>
  </si>
  <si>
    <t>MHPHP Youth Activity Therapy</t>
  </si>
  <si>
    <t>MHPHP Youth Education</t>
  </si>
  <si>
    <t>MHPHP Youth Group Psychotherapy</t>
  </si>
  <si>
    <t>MHPHP Youth Process Group</t>
  </si>
  <si>
    <t>G0176</t>
  </si>
  <si>
    <t>G0177</t>
  </si>
  <si>
    <t>GO176</t>
  </si>
  <si>
    <t>GO411</t>
  </si>
  <si>
    <t>EDPHP Adult</t>
  </si>
  <si>
    <t>EDPHP Youth</t>
  </si>
  <si>
    <t>EDIOP Adult</t>
  </si>
  <si>
    <t>EDIOP Youth</t>
  </si>
  <si>
    <t>MHIOP Youth Activity Therapy</t>
  </si>
  <si>
    <t>MHIOP Youth Group Psychotherapy</t>
  </si>
  <si>
    <t>MHIOP Youth Patient Education</t>
  </si>
  <si>
    <t>MHIOP Youth Process Group</t>
  </si>
  <si>
    <t>OSHPD Facility Number</t>
  </si>
  <si>
    <t>Chargemaster</t>
  </si>
  <si>
    <t>Charge</t>
  </si>
  <si>
    <t>Revenue</t>
  </si>
  <si>
    <t>SERVICE DESCRIPTION</t>
  </si>
  <si>
    <t>PRICE</t>
  </si>
  <si>
    <t>Number</t>
  </si>
  <si>
    <t>Center</t>
  </si>
  <si>
    <t>Adult 1 R&amp;B</t>
  </si>
  <si>
    <t>Adult 2 R&amp;B</t>
  </si>
  <si>
    <t>CD Adult 1 R&amp;B</t>
  </si>
  <si>
    <t>CD Adult 2 R&amp;B</t>
  </si>
  <si>
    <t>EDO Adult 1 R&amp;B</t>
  </si>
  <si>
    <t>EDO Adult 2 R&amp;B</t>
  </si>
  <si>
    <t>EDO Youth R&amp;B</t>
  </si>
  <si>
    <t>R&amp;B Adult 1</t>
  </si>
  <si>
    <t>R&amp;B Adult 2</t>
  </si>
  <si>
    <t>RTC EDO R&amp;B</t>
  </si>
  <si>
    <t>Youth R&amp;B</t>
  </si>
  <si>
    <t>Day of Discharge</t>
  </si>
  <si>
    <t>Nursing One to One</t>
  </si>
  <si>
    <t>NOTE: EFFECTIVE 4/1/11 ALL HOSPITAL SERVICES ARE INCLUSIVE FOR ALL ANCILLARY SERVICES.</t>
  </si>
  <si>
    <t>Inpatient</t>
  </si>
  <si>
    <t>Residential</t>
  </si>
  <si>
    <t>Partial Hospitalization</t>
  </si>
  <si>
    <t>Intensive Outpatient</t>
  </si>
  <si>
    <t>EDPHP Adult (Tele)</t>
  </si>
  <si>
    <t>EDPHP Youth (Tele)</t>
  </si>
  <si>
    <t>MHPHP Group Psychotherapy (Tele)</t>
  </si>
  <si>
    <t>MHPHP Process Group (Tele)</t>
  </si>
  <si>
    <t>EDIOP Adult (Tele)</t>
  </si>
  <si>
    <t>EDIOP Youth (Tele)</t>
  </si>
  <si>
    <t>MHIOP Group Psychotherapy (Tele)</t>
  </si>
  <si>
    <t>MHIOP Process Group (Tele)</t>
  </si>
  <si>
    <t>MHIOP Youth Group Psychotherapy (Tele)</t>
  </si>
  <si>
    <t>MHIOP Youth Patient Education (Tele)</t>
  </si>
  <si>
    <t>MHIOP Youth Process Group (Tele)</t>
  </si>
  <si>
    <t>Calculation of Percentage Change in Gross Revenue (vs. prior year)</t>
  </si>
  <si>
    <t>Effective Date of Charges: June 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</si>
</sst>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44" fontId="0" fillId="0" borderId="1" xfId="1" applyFont="1" applyBorder="1"/>
    <xf numFmtId="44" fontId="0" fillId="0" borderId="1" xfId="1" applyFont="1" applyFill="1" applyBorder="1"/>
    <xf numFmtId="0" fontId="0" fillId="0" borderId="0" xfId="0" applyFill="1" applyBorder="1" applyAlignment="1">
      <alignment horizontal="center"/>
    </xf>
    <xf numFmtId="44" fontId="0" fillId="0" borderId="0" xfId="1" applyFont="1" applyFill="1" applyBorder="1"/>
    <xf numFmtId="0" fontId="0" fillId="0" borderId="3" xfId="0" applyFill="1" applyBorder="1" applyAlignment="1">
      <alignment horizontal="center"/>
    </xf>
    <xf numFmtId="0" fontId="0" fillId="0" borderId="3" xfId="0" applyFill="1" applyBorder="1"/>
    <xf numFmtId="44" fontId="0" fillId="0" borderId="3" xfId="1" applyFont="1" applyFill="1" applyBorder="1"/>
    <xf numFmtId="0" fontId="0" fillId="0" borderId="4" xfId="0" applyFill="1" applyBorder="1" applyAlignment="1">
      <alignment horizontal="center"/>
    </xf>
    <xf numFmtId="0" fontId="0" fillId="0" borderId="0" xfId="0" applyFill="1" applyBorder="1"/>
    <xf numFmtId="0" fontId="0" fillId="0" borderId="4" xfId="0" applyBorder="1"/>
    <xf numFmtId="16" fontId="0" fillId="0" borderId="0" xfId="0" applyNumberFormat="1"/>
    <xf numFmtId="0" fontId="4" fillId="0" borderId="0" xfId="0" applyFont="1"/>
    <xf numFmtId="0" fontId="6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44" fontId="0" fillId="0" borderId="1" xfId="0" applyNumberFormat="1" applyBorder="1"/>
    <xf numFmtId="0" fontId="5" fillId="0" borderId="2" xfId="0" applyFon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/>
    <xf numFmtId="164" fontId="0" fillId="0" borderId="0" xfId="2" applyNumberFormat="1" applyFont="1"/>
    <xf numFmtId="164" fontId="0" fillId="0" borderId="0" xfId="2" applyNumberFormat="1" applyFont="1" applyAlignment="1">
      <alignment horizontal="center"/>
    </xf>
    <xf numFmtId="164" fontId="0" fillId="0" borderId="0" xfId="0" applyNumberFormat="1"/>
    <xf numFmtId="14" fontId="5" fillId="0" borderId="0" xfId="0" applyNumberFormat="1" applyFont="1"/>
    <xf numFmtId="21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7" fillId="0" borderId="0" xfId="2" applyNumberFormat="1" applyFont="1"/>
    <xf numFmtId="43" fontId="7" fillId="0" borderId="0" xfId="2" applyFont="1"/>
    <xf numFmtId="43" fontId="7" fillId="0" borderId="0" xfId="2" applyFont="1" applyAlignment="1">
      <alignment horizontal="center"/>
    </xf>
    <xf numFmtId="43" fontId="7" fillId="0" borderId="0" xfId="2" applyFont="1" applyAlignment="1">
      <alignment horizontal="left"/>
    </xf>
    <xf numFmtId="43" fontId="7" fillId="0" borderId="0" xfId="2" applyFont="1" applyBorder="1" applyAlignment="1">
      <alignment horizontal="left"/>
    </xf>
    <xf numFmtId="10" fontId="0" fillId="0" borderId="0" xfId="3" applyNumberFormat="1" applyFont="1"/>
    <xf numFmtId="43" fontId="5" fillId="0" borderId="0" xfId="0" applyNumberFormat="1" applyFont="1"/>
    <xf numFmtId="44" fontId="0" fillId="0" borderId="2" xfId="0" applyNumberFormat="1" applyBorder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9"/>
  <sheetViews>
    <sheetView tabSelected="1" workbookViewId="0"/>
  </sheetViews>
  <sheetFormatPr defaultRowHeight="12.75" x14ac:dyDescent="0.2"/>
  <cols>
    <col min="2" max="2" width="14.140625" customWidth="1"/>
    <col min="3" max="3" width="34.28515625" customWidth="1"/>
    <col min="4" max="4" width="23" customWidth="1"/>
    <col min="5" max="5" width="14.85546875" customWidth="1"/>
  </cols>
  <sheetData>
    <row r="1" spans="1:5" ht="15.75" x14ac:dyDescent="0.25">
      <c r="A1" s="2" t="s">
        <v>3</v>
      </c>
    </row>
    <row r="2" spans="1:5" ht="15.75" x14ac:dyDescent="0.25">
      <c r="A2" s="2" t="s">
        <v>5</v>
      </c>
      <c r="C2" s="2">
        <v>106190020</v>
      </c>
    </row>
    <row r="3" spans="1:5" ht="15.75" x14ac:dyDescent="0.25">
      <c r="A3" s="2" t="s">
        <v>4</v>
      </c>
    </row>
    <row r="4" spans="1:5" ht="15" x14ac:dyDescent="0.2">
      <c r="A4" s="1" t="s">
        <v>74</v>
      </c>
      <c r="B4" s="19"/>
    </row>
    <row r="5" spans="1:5" ht="15" x14ac:dyDescent="0.2">
      <c r="A5" s="1"/>
    </row>
    <row r="6" spans="1:5" ht="15" x14ac:dyDescent="0.2">
      <c r="B6" s="1" t="s">
        <v>6</v>
      </c>
    </row>
    <row r="9" spans="1:5" ht="16.5" customHeight="1" x14ac:dyDescent="0.2">
      <c r="A9" s="3" t="s">
        <v>2</v>
      </c>
      <c r="B9" s="3" t="s">
        <v>0</v>
      </c>
      <c r="C9" s="3" t="s">
        <v>1</v>
      </c>
      <c r="D9" s="3" t="s">
        <v>9</v>
      </c>
      <c r="E9" s="3" t="s">
        <v>10</v>
      </c>
    </row>
    <row r="10" spans="1:5" ht="15.75" customHeight="1" x14ac:dyDescent="0.2">
      <c r="A10" s="4">
        <v>1</v>
      </c>
      <c r="B10" s="4">
        <v>9100306</v>
      </c>
      <c r="C10" s="23" t="s">
        <v>28</v>
      </c>
      <c r="D10" s="4">
        <v>90853</v>
      </c>
      <c r="E10" s="24">
        <v>1146</v>
      </c>
    </row>
    <row r="11" spans="1:5" ht="15.75" customHeight="1" x14ac:dyDescent="0.2">
      <c r="A11" s="4">
        <f t="shared" ref="A11:A30" si="0">+A10+1</f>
        <v>2</v>
      </c>
      <c r="B11" s="4">
        <v>9100207</v>
      </c>
      <c r="C11" s="23" t="s">
        <v>29</v>
      </c>
      <c r="D11" s="4">
        <v>90853</v>
      </c>
      <c r="E11" s="24">
        <v>1146</v>
      </c>
    </row>
    <row r="12" spans="1:5" ht="15.75" customHeight="1" x14ac:dyDescent="0.2">
      <c r="A12" s="4">
        <f t="shared" si="0"/>
        <v>3</v>
      </c>
      <c r="B12" s="4">
        <v>9400011</v>
      </c>
      <c r="C12" s="23" t="s">
        <v>30</v>
      </c>
      <c r="D12" s="4">
        <v>90853</v>
      </c>
      <c r="E12" s="9">
        <v>851</v>
      </c>
    </row>
    <row r="13" spans="1:5" ht="15.75" customHeight="1" x14ac:dyDescent="0.2">
      <c r="A13" s="4">
        <f t="shared" si="0"/>
        <v>4</v>
      </c>
      <c r="B13" s="4">
        <v>9400128</v>
      </c>
      <c r="C13" s="23" t="s">
        <v>31</v>
      </c>
      <c r="D13" s="4">
        <v>90853</v>
      </c>
      <c r="E13" s="9">
        <v>851</v>
      </c>
    </row>
    <row r="14" spans="1:5" ht="15.75" customHeight="1" x14ac:dyDescent="0.2">
      <c r="A14" s="4">
        <f t="shared" si="0"/>
        <v>5</v>
      </c>
      <c r="B14" s="4">
        <v>9400029</v>
      </c>
      <c r="C14" s="4" t="s">
        <v>11</v>
      </c>
      <c r="D14" s="4">
        <v>90853</v>
      </c>
      <c r="E14" s="9">
        <v>375</v>
      </c>
    </row>
    <row r="15" spans="1:5" ht="15.75" customHeight="1" x14ac:dyDescent="0.2">
      <c r="A15" s="4">
        <f t="shared" si="0"/>
        <v>6</v>
      </c>
      <c r="B15" s="4">
        <v>9100538</v>
      </c>
      <c r="C15" s="4" t="s">
        <v>13</v>
      </c>
      <c r="D15" s="4">
        <v>90853</v>
      </c>
      <c r="E15" s="9">
        <v>210</v>
      </c>
    </row>
    <row r="16" spans="1:5" ht="15.75" customHeight="1" x14ac:dyDescent="0.2">
      <c r="A16" s="4">
        <f t="shared" si="0"/>
        <v>7</v>
      </c>
      <c r="B16" s="4">
        <v>9102203</v>
      </c>
      <c r="C16" s="4" t="s">
        <v>15</v>
      </c>
      <c r="D16" s="21">
        <v>90853</v>
      </c>
      <c r="E16" s="9">
        <v>210</v>
      </c>
    </row>
    <row r="17" spans="1:5" ht="15.75" customHeight="1" x14ac:dyDescent="0.2">
      <c r="A17" s="4">
        <f t="shared" si="0"/>
        <v>8</v>
      </c>
      <c r="B17" s="7">
        <v>9400110</v>
      </c>
      <c r="C17" s="4" t="s">
        <v>17</v>
      </c>
      <c r="D17" s="4">
        <v>90853</v>
      </c>
      <c r="E17" s="10">
        <v>210</v>
      </c>
    </row>
    <row r="18" spans="1:5" ht="15.75" customHeight="1" x14ac:dyDescent="0.2">
      <c r="A18" s="4">
        <f t="shared" si="0"/>
        <v>9</v>
      </c>
      <c r="B18" s="4">
        <v>9401001</v>
      </c>
      <c r="C18" s="4" t="s">
        <v>19</v>
      </c>
      <c r="D18" s="4">
        <v>90853</v>
      </c>
      <c r="E18" s="9">
        <v>210</v>
      </c>
    </row>
    <row r="19" spans="1:5" ht="15.75" customHeight="1" x14ac:dyDescent="0.2">
      <c r="A19" s="4">
        <f t="shared" si="0"/>
        <v>10</v>
      </c>
      <c r="B19" s="7">
        <v>9102229</v>
      </c>
      <c r="C19" s="22" t="s">
        <v>22</v>
      </c>
      <c r="D19" s="23" t="s">
        <v>26</v>
      </c>
      <c r="E19" s="10">
        <v>182</v>
      </c>
    </row>
    <row r="20" spans="1:5" ht="15.75" customHeight="1" x14ac:dyDescent="0.2">
      <c r="A20" s="4">
        <f t="shared" si="0"/>
        <v>11</v>
      </c>
      <c r="B20" s="7">
        <v>9102344</v>
      </c>
      <c r="C20" s="22" t="s">
        <v>23</v>
      </c>
      <c r="D20" s="22" t="s">
        <v>27</v>
      </c>
      <c r="E20" s="10">
        <v>182</v>
      </c>
    </row>
    <row r="21" spans="1:5" ht="15.75" customHeight="1" x14ac:dyDescent="0.2">
      <c r="A21" s="4">
        <f t="shared" si="0"/>
        <v>12</v>
      </c>
      <c r="B21" s="6">
        <v>9402009</v>
      </c>
      <c r="C21" s="25" t="s">
        <v>33</v>
      </c>
      <c r="D21" s="6">
        <v>90853</v>
      </c>
      <c r="E21" s="45">
        <v>182</v>
      </c>
    </row>
    <row r="22" spans="1:5" ht="15.75" customHeight="1" x14ac:dyDescent="0.2">
      <c r="A22" s="4">
        <f t="shared" si="0"/>
        <v>13</v>
      </c>
      <c r="B22" s="4">
        <v>9402017</v>
      </c>
      <c r="C22" s="23" t="s">
        <v>35</v>
      </c>
      <c r="D22" s="4">
        <v>90853</v>
      </c>
      <c r="E22" s="9">
        <v>182</v>
      </c>
    </row>
    <row r="23" spans="1:5" ht="15.75" customHeight="1" x14ac:dyDescent="0.2">
      <c r="A23" s="4">
        <f t="shared" si="0"/>
        <v>14</v>
      </c>
      <c r="B23" s="4">
        <v>9102211</v>
      </c>
      <c r="C23" s="4" t="s">
        <v>12</v>
      </c>
      <c r="D23" s="21">
        <v>90853</v>
      </c>
      <c r="E23" s="9">
        <v>125</v>
      </c>
    </row>
    <row r="24" spans="1:5" ht="15.75" customHeight="1" x14ac:dyDescent="0.2">
      <c r="A24" s="4">
        <f t="shared" si="0"/>
        <v>15</v>
      </c>
      <c r="B24" s="4">
        <v>9101007</v>
      </c>
      <c r="C24" s="4" t="s">
        <v>14</v>
      </c>
      <c r="D24" s="21">
        <v>90853</v>
      </c>
      <c r="E24" s="9">
        <v>125</v>
      </c>
    </row>
    <row r="25" spans="1:5" ht="15.75" customHeight="1" x14ac:dyDescent="0.2">
      <c r="A25" s="4">
        <f t="shared" si="0"/>
        <v>16</v>
      </c>
      <c r="B25" s="7">
        <v>9102351</v>
      </c>
      <c r="C25" s="22" t="s">
        <v>20</v>
      </c>
      <c r="D25" s="22" t="s">
        <v>24</v>
      </c>
      <c r="E25" s="10">
        <v>125</v>
      </c>
    </row>
    <row r="26" spans="1:5" ht="15.75" customHeight="1" x14ac:dyDescent="0.2">
      <c r="A26" s="4">
        <f t="shared" si="0"/>
        <v>17</v>
      </c>
      <c r="B26" s="7">
        <v>9102237</v>
      </c>
      <c r="C26" s="22" t="s">
        <v>21</v>
      </c>
      <c r="D26" s="23" t="s">
        <v>25</v>
      </c>
      <c r="E26" s="10">
        <v>125</v>
      </c>
    </row>
    <row r="27" spans="1:5" ht="15.75" customHeight="1" x14ac:dyDescent="0.2">
      <c r="A27" s="4">
        <f t="shared" si="0"/>
        <v>18</v>
      </c>
      <c r="B27" s="7">
        <v>9401142</v>
      </c>
      <c r="C27" s="4" t="s">
        <v>16</v>
      </c>
      <c r="D27" s="4">
        <v>90853</v>
      </c>
      <c r="E27" s="10">
        <v>125</v>
      </c>
    </row>
    <row r="28" spans="1:5" ht="15.75" customHeight="1" x14ac:dyDescent="0.2">
      <c r="A28" s="4">
        <f t="shared" si="0"/>
        <v>19</v>
      </c>
      <c r="B28" s="7">
        <v>9401050</v>
      </c>
      <c r="C28" s="7" t="s">
        <v>18</v>
      </c>
      <c r="D28" s="7">
        <v>90853</v>
      </c>
      <c r="E28" s="9">
        <v>125</v>
      </c>
    </row>
    <row r="29" spans="1:5" ht="15.75" customHeight="1" x14ac:dyDescent="0.2">
      <c r="A29" s="4">
        <f t="shared" si="0"/>
        <v>20</v>
      </c>
      <c r="B29" s="4">
        <v>9402066</v>
      </c>
      <c r="C29" s="23" t="s">
        <v>32</v>
      </c>
      <c r="D29" s="4">
        <v>90853</v>
      </c>
      <c r="E29" s="24">
        <v>125</v>
      </c>
    </row>
    <row r="30" spans="1:5" ht="15.75" customHeight="1" x14ac:dyDescent="0.2">
      <c r="A30" s="4">
        <f t="shared" si="0"/>
        <v>21</v>
      </c>
      <c r="B30" s="4">
        <v>9402058</v>
      </c>
      <c r="C30" s="23" t="s">
        <v>34</v>
      </c>
      <c r="D30" s="4">
        <v>90853</v>
      </c>
      <c r="E30" s="9">
        <v>125</v>
      </c>
    </row>
    <row r="31" spans="1:5" ht="15.75" customHeight="1" x14ac:dyDescent="0.2">
      <c r="A31" s="4">
        <f t="shared" ref="A31:A34" si="1">+A30+1</f>
        <v>22</v>
      </c>
      <c r="B31" s="4"/>
      <c r="C31" s="5"/>
      <c r="D31" s="5"/>
      <c r="E31" s="9"/>
    </row>
    <row r="32" spans="1:5" ht="15.75" customHeight="1" x14ac:dyDescent="0.2">
      <c r="A32" s="4">
        <f t="shared" si="1"/>
        <v>23</v>
      </c>
      <c r="B32" s="4"/>
      <c r="C32" s="5"/>
      <c r="D32" s="5"/>
      <c r="E32" s="9"/>
    </row>
    <row r="33" spans="1:5" ht="15.75" customHeight="1" x14ac:dyDescent="0.2">
      <c r="A33" s="4">
        <f t="shared" si="1"/>
        <v>24</v>
      </c>
      <c r="B33" s="7"/>
      <c r="C33" s="8"/>
      <c r="D33" s="8"/>
      <c r="E33" s="10"/>
    </row>
    <row r="34" spans="1:5" ht="15.75" customHeight="1" x14ac:dyDescent="0.2">
      <c r="A34" s="4">
        <f t="shared" si="1"/>
        <v>25</v>
      </c>
      <c r="B34" s="13"/>
      <c r="C34" s="14"/>
      <c r="D34" s="14"/>
      <c r="E34" s="15"/>
    </row>
    <row r="35" spans="1:5" x14ac:dyDescent="0.2">
      <c r="B35" s="16"/>
      <c r="C35" s="17"/>
      <c r="D35" s="17"/>
      <c r="E35" s="18"/>
    </row>
    <row r="36" spans="1:5" x14ac:dyDescent="0.2">
      <c r="B36" s="11"/>
      <c r="C36" s="17"/>
      <c r="D36" s="17"/>
      <c r="E36" s="12"/>
    </row>
    <row r="37" spans="1:5" x14ac:dyDescent="0.2">
      <c r="A37" s="20" t="s">
        <v>7</v>
      </c>
      <c r="B37" s="11"/>
      <c r="C37" s="17"/>
      <c r="D37" s="17"/>
      <c r="E37" s="12"/>
    </row>
    <row r="38" spans="1:5" x14ac:dyDescent="0.2">
      <c r="A38" s="20" t="s">
        <v>8</v>
      </c>
      <c r="B38" s="11"/>
      <c r="C38" s="17"/>
      <c r="D38" s="17"/>
      <c r="E38" s="12"/>
    </row>
    <row r="39" spans="1:5" x14ac:dyDescent="0.2">
      <c r="B39" s="11"/>
      <c r="C39" s="17"/>
      <c r="D39" s="17"/>
      <c r="E39" s="12"/>
    </row>
  </sheetData>
  <sortState ref="A10:G30">
    <sortCondition descending="1" ref="E10:E30"/>
  </sortState>
  <phoneticPr fontId="0" type="noConversion"/>
  <printOptions horizontalCentered="1"/>
  <pageMargins left="0.75" right="0.75" top="1" bottom="1" header="0.5" footer="0.5"/>
  <pageSetup scale="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2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2.75" x14ac:dyDescent="0.2"/>
  <cols>
    <col min="1" max="1" width="9.140625" style="30"/>
    <col min="2" max="2" width="12.7109375" style="30" customWidth="1"/>
    <col min="3" max="3" width="37" style="30" bestFit="1" customWidth="1"/>
    <col min="4" max="4" width="12.42578125" style="39" customWidth="1"/>
    <col min="5" max="16384" width="9.140625" style="30"/>
  </cols>
  <sheetData>
    <row r="1" spans="1:4" x14ac:dyDescent="0.2">
      <c r="A1" s="30" t="s">
        <v>3</v>
      </c>
      <c r="C1" s="30" t="s">
        <v>36</v>
      </c>
      <c r="D1" s="38">
        <v>106190020</v>
      </c>
    </row>
    <row r="2" spans="1:4" x14ac:dyDescent="0.2">
      <c r="A2" s="30" t="s">
        <v>37</v>
      </c>
    </row>
    <row r="3" spans="1:4" x14ac:dyDescent="0.2">
      <c r="A3" s="34">
        <v>45444</v>
      </c>
      <c r="B3" s="35"/>
    </row>
    <row r="4" spans="1:4" x14ac:dyDescent="0.2">
      <c r="A4" s="36" t="s">
        <v>38</v>
      </c>
      <c r="B4" s="36" t="s">
        <v>39</v>
      </c>
      <c r="C4" s="36" t="s">
        <v>40</v>
      </c>
      <c r="D4" s="40" t="s">
        <v>41</v>
      </c>
    </row>
    <row r="5" spans="1:4" x14ac:dyDescent="0.2">
      <c r="A5" s="36" t="s">
        <v>42</v>
      </c>
      <c r="B5" s="36" t="s">
        <v>43</v>
      </c>
      <c r="C5" s="36"/>
      <c r="D5" s="40"/>
    </row>
    <row r="6" spans="1:4" x14ac:dyDescent="0.2">
      <c r="A6" s="36"/>
      <c r="B6" s="36"/>
      <c r="C6" s="36"/>
      <c r="D6" s="40"/>
    </row>
    <row r="7" spans="1:4" x14ac:dyDescent="0.2">
      <c r="A7" s="37">
        <v>11007</v>
      </c>
      <c r="B7" s="37">
        <v>124</v>
      </c>
      <c r="C7" s="37" t="s">
        <v>44</v>
      </c>
      <c r="D7" s="41">
        <v>1928</v>
      </c>
    </row>
    <row r="8" spans="1:4" x14ac:dyDescent="0.2">
      <c r="A8" s="37">
        <v>12005</v>
      </c>
      <c r="B8" s="37">
        <v>124</v>
      </c>
      <c r="C8" s="37" t="s">
        <v>45</v>
      </c>
      <c r="D8" s="41">
        <v>1928</v>
      </c>
    </row>
    <row r="9" spans="1:4" x14ac:dyDescent="0.2">
      <c r="A9" s="37">
        <v>61002</v>
      </c>
      <c r="B9" s="37">
        <v>124</v>
      </c>
      <c r="C9" s="37" t="s">
        <v>46</v>
      </c>
      <c r="D9" s="41">
        <v>1928</v>
      </c>
    </row>
    <row r="10" spans="1:4" x14ac:dyDescent="0.2">
      <c r="A10" s="37">
        <v>62000</v>
      </c>
      <c r="B10" s="37">
        <v>124</v>
      </c>
      <c r="C10" s="37" t="s">
        <v>47</v>
      </c>
      <c r="D10" s="41">
        <v>1928</v>
      </c>
    </row>
    <row r="11" spans="1:4" x14ac:dyDescent="0.2">
      <c r="A11" s="37">
        <v>51003</v>
      </c>
      <c r="B11" s="37">
        <v>124</v>
      </c>
      <c r="C11" s="37" t="s">
        <v>48</v>
      </c>
      <c r="D11" s="41">
        <v>1928</v>
      </c>
    </row>
    <row r="12" spans="1:4" x14ac:dyDescent="0.2">
      <c r="A12" s="37">
        <v>52001</v>
      </c>
      <c r="B12" s="37">
        <v>124</v>
      </c>
      <c r="C12" s="37" t="s">
        <v>49</v>
      </c>
      <c r="D12" s="41">
        <v>1928</v>
      </c>
    </row>
    <row r="13" spans="1:4" x14ac:dyDescent="0.2">
      <c r="A13" s="37">
        <v>53009</v>
      </c>
      <c r="B13" s="37">
        <v>124</v>
      </c>
      <c r="C13" s="37" t="s">
        <v>50</v>
      </c>
      <c r="D13" s="41">
        <v>1928</v>
      </c>
    </row>
    <row r="14" spans="1:4" x14ac:dyDescent="0.2">
      <c r="A14" s="37">
        <v>33001</v>
      </c>
      <c r="B14" s="37">
        <v>124</v>
      </c>
      <c r="C14" s="37" t="s">
        <v>51</v>
      </c>
      <c r="D14" s="41">
        <v>1928</v>
      </c>
    </row>
    <row r="15" spans="1:4" x14ac:dyDescent="0.2">
      <c r="A15" s="37">
        <v>43000</v>
      </c>
      <c r="B15" s="37">
        <v>124</v>
      </c>
      <c r="C15" s="37" t="s">
        <v>52</v>
      </c>
      <c r="D15" s="41">
        <v>1928</v>
      </c>
    </row>
    <row r="16" spans="1:4" x14ac:dyDescent="0.2">
      <c r="A16" s="37">
        <v>14001</v>
      </c>
      <c r="B16" s="37">
        <v>124</v>
      </c>
      <c r="C16" s="37" t="s">
        <v>53</v>
      </c>
      <c r="D16" s="41">
        <v>1701</v>
      </c>
    </row>
    <row r="17" spans="1:4" x14ac:dyDescent="0.2">
      <c r="A17" s="37">
        <v>13003</v>
      </c>
      <c r="B17" s="37">
        <v>124</v>
      </c>
      <c r="C17" s="37" t="s">
        <v>54</v>
      </c>
      <c r="D17" s="41">
        <v>1928</v>
      </c>
    </row>
    <row r="18" spans="1:4" x14ac:dyDescent="0.2">
      <c r="A18" s="37">
        <v>5900014</v>
      </c>
      <c r="B18" s="37">
        <v>513</v>
      </c>
      <c r="C18" s="37" t="s">
        <v>55</v>
      </c>
      <c r="D18" s="41">
        <v>125</v>
      </c>
    </row>
    <row r="19" spans="1:4" x14ac:dyDescent="0.2">
      <c r="A19" s="37">
        <v>5900006</v>
      </c>
      <c r="B19" s="37">
        <v>239</v>
      </c>
      <c r="C19" s="37" t="s">
        <v>56</v>
      </c>
      <c r="D19" s="41">
        <v>30</v>
      </c>
    </row>
    <row r="20" spans="1:4" x14ac:dyDescent="0.2">
      <c r="A20" s="37">
        <v>9100306</v>
      </c>
      <c r="B20" s="37">
        <v>919</v>
      </c>
      <c r="C20" s="37" t="s">
        <v>28</v>
      </c>
      <c r="D20" s="41">
        <v>1146</v>
      </c>
    </row>
    <row r="21" spans="1:4" x14ac:dyDescent="0.2">
      <c r="A21" s="37">
        <v>9100207</v>
      </c>
      <c r="B21" s="37">
        <v>919</v>
      </c>
      <c r="C21" s="37" t="s">
        <v>29</v>
      </c>
      <c r="D21" s="41">
        <v>1146</v>
      </c>
    </row>
    <row r="22" spans="1:4" x14ac:dyDescent="0.2">
      <c r="A22" s="29">
        <v>9102211</v>
      </c>
      <c r="B22" s="29">
        <v>912</v>
      </c>
      <c r="C22" s="29" t="s">
        <v>12</v>
      </c>
      <c r="D22" s="42">
        <v>125</v>
      </c>
    </row>
    <row r="23" spans="1:4" x14ac:dyDescent="0.2">
      <c r="A23" s="29">
        <v>9100538</v>
      </c>
      <c r="B23" s="28">
        <v>912</v>
      </c>
      <c r="C23" s="29" t="s">
        <v>13</v>
      </c>
      <c r="D23" s="42">
        <v>210</v>
      </c>
    </row>
    <row r="24" spans="1:4" x14ac:dyDescent="0.2">
      <c r="A24" s="29">
        <v>9101007</v>
      </c>
      <c r="B24" s="28">
        <v>919</v>
      </c>
      <c r="C24" s="29" t="s">
        <v>14</v>
      </c>
      <c r="D24" s="42">
        <v>125</v>
      </c>
    </row>
    <row r="25" spans="1:4" x14ac:dyDescent="0.2">
      <c r="A25" s="29">
        <v>9102203</v>
      </c>
      <c r="B25" s="28">
        <v>919</v>
      </c>
      <c r="C25" s="29" t="s">
        <v>15</v>
      </c>
      <c r="D25" s="42">
        <v>210</v>
      </c>
    </row>
    <row r="26" spans="1:4" x14ac:dyDescent="0.2">
      <c r="A26" s="28">
        <v>9102351</v>
      </c>
      <c r="B26" s="28">
        <v>919</v>
      </c>
      <c r="C26" s="28" t="s">
        <v>20</v>
      </c>
      <c r="D26" s="42">
        <v>125</v>
      </c>
    </row>
    <row r="27" spans="1:4" x14ac:dyDescent="0.2">
      <c r="A27" s="28">
        <v>9102237</v>
      </c>
      <c r="B27" s="28">
        <v>919</v>
      </c>
      <c r="C27" s="28" t="s">
        <v>21</v>
      </c>
      <c r="D27" s="42">
        <v>182</v>
      </c>
    </row>
    <row r="28" spans="1:4" x14ac:dyDescent="0.2">
      <c r="A28" s="28">
        <v>9102229</v>
      </c>
      <c r="B28" s="28">
        <v>919</v>
      </c>
      <c r="C28" s="28" t="s">
        <v>22</v>
      </c>
      <c r="D28" s="42">
        <v>125</v>
      </c>
    </row>
    <row r="29" spans="1:4" x14ac:dyDescent="0.2">
      <c r="A29" s="28">
        <v>9102344</v>
      </c>
      <c r="B29" s="28">
        <v>919</v>
      </c>
      <c r="C29" s="28" t="s">
        <v>23</v>
      </c>
      <c r="D29" s="42">
        <v>182</v>
      </c>
    </row>
    <row r="30" spans="1:4" x14ac:dyDescent="0.2">
      <c r="A30" s="37">
        <v>9400029</v>
      </c>
      <c r="B30" s="37">
        <v>944</v>
      </c>
      <c r="C30" s="37" t="s">
        <v>11</v>
      </c>
      <c r="D30" s="41">
        <v>375</v>
      </c>
    </row>
    <row r="31" spans="1:4" x14ac:dyDescent="0.2">
      <c r="A31" s="37">
        <v>9400011</v>
      </c>
      <c r="B31" s="37">
        <v>949</v>
      </c>
      <c r="C31" s="37" t="s">
        <v>30</v>
      </c>
      <c r="D31" s="41">
        <v>851</v>
      </c>
    </row>
    <row r="32" spans="1:4" x14ac:dyDescent="0.2">
      <c r="A32" s="37">
        <v>9400128</v>
      </c>
      <c r="B32" s="37">
        <v>949</v>
      </c>
      <c r="C32" s="37" t="s">
        <v>31</v>
      </c>
      <c r="D32" s="41">
        <v>851</v>
      </c>
    </row>
    <row r="33" spans="1:4" x14ac:dyDescent="0.2">
      <c r="A33" s="28">
        <v>9401142</v>
      </c>
      <c r="B33" s="37">
        <v>904</v>
      </c>
      <c r="C33" s="29" t="s">
        <v>16</v>
      </c>
      <c r="D33" s="42">
        <v>125</v>
      </c>
    </row>
    <row r="34" spans="1:4" x14ac:dyDescent="0.2">
      <c r="A34" s="28">
        <v>9400110</v>
      </c>
      <c r="B34" s="28">
        <v>915</v>
      </c>
      <c r="C34" s="29" t="s">
        <v>17</v>
      </c>
      <c r="D34" s="41">
        <v>210</v>
      </c>
    </row>
    <row r="35" spans="1:4" x14ac:dyDescent="0.2">
      <c r="A35" s="28">
        <v>9401050</v>
      </c>
      <c r="B35" s="28">
        <v>949</v>
      </c>
      <c r="C35" s="28" t="s">
        <v>18</v>
      </c>
      <c r="D35" s="42">
        <v>125</v>
      </c>
    </row>
    <row r="36" spans="1:4" x14ac:dyDescent="0.2">
      <c r="A36" s="29">
        <v>9401001</v>
      </c>
      <c r="B36" s="28">
        <v>915</v>
      </c>
      <c r="C36" s="29" t="s">
        <v>19</v>
      </c>
      <c r="D36" s="41">
        <v>210</v>
      </c>
    </row>
    <row r="37" spans="1:4" x14ac:dyDescent="0.2">
      <c r="A37" s="29">
        <v>9402066</v>
      </c>
      <c r="B37" s="28">
        <v>949</v>
      </c>
      <c r="C37" s="29" t="s">
        <v>32</v>
      </c>
      <c r="D37" s="42">
        <v>125</v>
      </c>
    </row>
    <row r="38" spans="1:4" x14ac:dyDescent="0.2">
      <c r="A38" s="29">
        <v>9402009</v>
      </c>
      <c r="B38" s="28">
        <v>949</v>
      </c>
      <c r="C38" s="29" t="s">
        <v>33</v>
      </c>
      <c r="D38" s="41">
        <v>182</v>
      </c>
    </row>
    <row r="39" spans="1:4" x14ac:dyDescent="0.2">
      <c r="A39" s="29">
        <v>9402058</v>
      </c>
      <c r="B39" s="28">
        <v>949</v>
      </c>
      <c r="C39" s="29" t="s">
        <v>34</v>
      </c>
      <c r="D39" s="42">
        <v>125</v>
      </c>
    </row>
    <row r="40" spans="1:4" x14ac:dyDescent="0.2">
      <c r="A40" s="29">
        <v>9402017</v>
      </c>
      <c r="B40" s="28">
        <v>949</v>
      </c>
      <c r="C40" s="29" t="s">
        <v>35</v>
      </c>
      <c r="D40" s="41">
        <v>182</v>
      </c>
    </row>
    <row r="41" spans="1:4" x14ac:dyDescent="0.2">
      <c r="A41" s="37"/>
      <c r="B41" s="37"/>
      <c r="C41" s="37"/>
      <c r="D41" s="41"/>
    </row>
    <row r="42" spans="1:4" x14ac:dyDescent="0.2">
      <c r="A42" s="30">
        <v>9110306</v>
      </c>
      <c r="B42" s="37">
        <v>919</v>
      </c>
      <c r="C42" s="30" t="s">
        <v>62</v>
      </c>
      <c r="D42" s="44">
        <v>1146</v>
      </c>
    </row>
    <row r="43" spans="1:4" x14ac:dyDescent="0.2">
      <c r="A43" s="30">
        <v>9110207</v>
      </c>
      <c r="B43" s="37">
        <v>919</v>
      </c>
      <c r="C43" s="30" t="s">
        <v>63</v>
      </c>
      <c r="D43" s="44">
        <v>1146</v>
      </c>
    </row>
    <row r="44" spans="1:4" x14ac:dyDescent="0.2">
      <c r="A44" s="30">
        <v>9110538</v>
      </c>
      <c r="B44" s="37">
        <v>912</v>
      </c>
      <c r="C44" s="30" t="s">
        <v>64</v>
      </c>
      <c r="D44" s="44">
        <v>210</v>
      </c>
    </row>
    <row r="45" spans="1:4" x14ac:dyDescent="0.2">
      <c r="A45" s="30">
        <v>9112203</v>
      </c>
      <c r="B45" s="37">
        <v>919</v>
      </c>
      <c r="C45" s="30" t="s">
        <v>65</v>
      </c>
      <c r="D45" s="44">
        <v>210</v>
      </c>
    </row>
    <row r="46" spans="1:4" x14ac:dyDescent="0.2">
      <c r="A46" s="30">
        <v>9410011</v>
      </c>
      <c r="B46" s="37">
        <v>949</v>
      </c>
      <c r="C46" s="30" t="s">
        <v>66</v>
      </c>
      <c r="D46" s="44">
        <v>851</v>
      </c>
    </row>
    <row r="47" spans="1:4" x14ac:dyDescent="0.2">
      <c r="A47" s="30">
        <v>9410128</v>
      </c>
      <c r="B47" s="37">
        <v>949</v>
      </c>
      <c r="C47" s="30" t="s">
        <v>67</v>
      </c>
      <c r="D47" s="44">
        <v>851</v>
      </c>
    </row>
    <row r="48" spans="1:4" x14ac:dyDescent="0.2">
      <c r="A48" s="30">
        <v>9410110</v>
      </c>
      <c r="B48" s="37">
        <v>915</v>
      </c>
      <c r="C48" s="30" t="s">
        <v>68</v>
      </c>
      <c r="D48" s="44">
        <v>210</v>
      </c>
    </row>
    <row r="49" spans="1:4" x14ac:dyDescent="0.2">
      <c r="A49" s="30">
        <v>9411001</v>
      </c>
      <c r="B49" s="37">
        <v>915</v>
      </c>
      <c r="C49" s="30" t="s">
        <v>69</v>
      </c>
      <c r="D49" s="44">
        <v>210</v>
      </c>
    </row>
    <row r="50" spans="1:4" x14ac:dyDescent="0.2">
      <c r="A50" s="30">
        <v>9412009</v>
      </c>
      <c r="B50" s="37">
        <v>949</v>
      </c>
      <c r="C50" s="30" t="s">
        <v>70</v>
      </c>
      <c r="D50" s="44">
        <v>182</v>
      </c>
    </row>
    <row r="51" spans="1:4" x14ac:dyDescent="0.2">
      <c r="A51" s="30">
        <v>9412058</v>
      </c>
      <c r="B51" s="37">
        <v>949</v>
      </c>
      <c r="C51" s="30" t="s">
        <v>71</v>
      </c>
      <c r="D51" s="44">
        <v>125</v>
      </c>
    </row>
    <row r="52" spans="1:4" x14ac:dyDescent="0.2">
      <c r="A52" s="30">
        <v>9412017</v>
      </c>
      <c r="B52" s="37">
        <v>949</v>
      </c>
      <c r="C52" s="30" t="s">
        <v>72</v>
      </c>
      <c r="D52" s="44">
        <v>182</v>
      </c>
    </row>
    <row r="53" spans="1:4" x14ac:dyDescent="0.2">
      <c r="A53" s="37"/>
      <c r="B53" s="37"/>
      <c r="C53" s="37"/>
      <c r="D53" s="41"/>
    </row>
    <row r="55" spans="1:4" x14ac:dyDescent="0.2">
      <c r="A55" s="34"/>
      <c r="B55" s="35"/>
    </row>
    <row r="56" spans="1:4" x14ac:dyDescent="0.2">
      <c r="A56" s="30" t="s">
        <v>57</v>
      </c>
    </row>
    <row r="58" spans="1:4" x14ac:dyDescent="0.2">
      <c r="A58" s="34"/>
      <c r="B58" s="35"/>
    </row>
    <row r="61" spans="1:4" x14ac:dyDescent="0.2">
      <c r="A61" s="34"/>
      <c r="B61" s="35"/>
    </row>
    <row r="64" spans="1:4" x14ac:dyDescent="0.2">
      <c r="A64" s="34"/>
      <c r="B64" s="35"/>
    </row>
    <row r="67" spans="1:2" x14ac:dyDescent="0.2">
      <c r="A67" s="34"/>
      <c r="B67" s="35"/>
    </row>
    <row r="70" spans="1:2" x14ac:dyDescent="0.2">
      <c r="A70" s="34"/>
      <c r="B70" s="35"/>
    </row>
    <row r="73" spans="1:2" x14ac:dyDescent="0.2">
      <c r="A73" s="34"/>
      <c r="B73" s="35"/>
    </row>
    <row r="76" spans="1:2" x14ac:dyDescent="0.2">
      <c r="A76" s="34"/>
      <c r="B76" s="35"/>
    </row>
    <row r="79" spans="1:2" x14ac:dyDescent="0.2">
      <c r="A79" s="34"/>
      <c r="B79" s="35"/>
    </row>
    <row r="82" spans="1:2" x14ac:dyDescent="0.2">
      <c r="A82" s="34"/>
      <c r="B82" s="35"/>
    </row>
    <row r="85" spans="1:2" x14ac:dyDescent="0.2">
      <c r="A85" s="34"/>
      <c r="B85" s="35"/>
    </row>
    <row r="88" spans="1:2" x14ac:dyDescent="0.2">
      <c r="A88" s="34"/>
      <c r="B88" s="35"/>
    </row>
    <row r="91" spans="1:2" x14ac:dyDescent="0.2">
      <c r="A91" s="34"/>
      <c r="B91" s="35"/>
    </row>
    <row r="94" spans="1:2" x14ac:dyDescent="0.2">
      <c r="A94" s="34"/>
      <c r="B94" s="35"/>
    </row>
    <row r="97" spans="1:2" x14ac:dyDescent="0.2">
      <c r="A97" s="34"/>
      <c r="B97" s="35"/>
    </row>
    <row r="100" spans="1:2" x14ac:dyDescent="0.2">
      <c r="A100" s="34"/>
      <c r="B100" s="35"/>
    </row>
    <row r="103" spans="1:2" x14ac:dyDescent="0.2">
      <c r="A103" s="34"/>
      <c r="B103" s="35"/>
    </row>
    <row r="106" spans="1:2" x14ac:dyDescent="0.2">
      <c r="A106" s="34"/>
      <c r="B106" s="35"/>
    </row>
    <row r="109" spans="1:2" x14ac:dyDescent="0.2">
      <c r="A109" s="34"/>
      <c r="B109" s="35"/>
    </row>
    <row r="112" spans="1:2" x14ac:dyDescent="0.2">
      <c r="A112" s="34"/>
      <c r="B112" s="35"/>
    </row>
    <row r="115" spans="1:2" x14ac:dyDescent="0.2">
      <c r="A115" s="34"/>
      <c r="B115" s="35"/>
    </row>
    <row r="118" spans="1:2" x14ac:dyDescent="0.2">
      <c r="A118" s="34"/>
      <c r="B118" s="35"/>
    </row>
    <row r="121" spans="1:2" x14ac:dyDescent="0.2">
      <c r="A121" s="34"/>
      <c r="B121" s="35"/>
    </row>
    <row r="124" spans="1:2" x14ac:dyDescent="0.2">
      <c r="A124" s="34"/>
      <c r="B124" s="35"/>
    </row>
    <row r="127" spans="1:2" x14ac:dyDescent="0.2">
      <c r="A127" s="34"/>
      <c r="B127" s="35"/>
    </row>
    <row r="130" spans="1:2" x14ac:dyDescent="0.2">
      <c r="A130" s="34"/>
      <c r="B130" s="35"/>
    </row>
    <row r="133" spans="1:2" x14ac:dyDescent="0.2">
      <c r="A133" s="34"/>
      <c r="B133" s="35"/>
    </row>
    <row r="136" spans="1:2" x14ac:dyDescent="0.2">
      <c r="A136" s="34"/>
      <c r="B136" s="35"/>
    </row>
    <row r="139" spans="1:2" x14ac:dyDescent="0.2">
      <c r="A139" s="34"/>
      <c r="B139" s="35"/>
    </row>
    <row r="142" spans="1:2" x14ac:dyDescent="0.2">
      <c r="A142" s="34"/>
      <c r="B142" s="35"/>
    </row>
    <row r="145" spans="1:2" x14ac:dyDescent="0.2">
      <c r="A145" s="34"/>
      <c r="B145" s="35"/>
    </row>
    <row r="148" spans="1:2" x14ac:dyDescent="0.2">
      <c r="A148" s="34"/>
      <c r="B148" s="35"/>
    </row>
    <row r="151" spans="1:2" x14ac:dyDescent="0.2">
      <c r="A151" s="34"/>
      <c r="B151" s="35"/>
    </row>
    <row r="154" spans="1:2" x14ac:dyDescent="0.2">
      <c r="A154" s="34"/>
      <c r="B154" s="35"/>
    </row>
    <row r="157" spans="1:2" x14ac:dyDescent="0.2">
      <c r="A157" s="34"/>
      <c r="B157" s="35"/>
    </row>
    <row r="160" spans="1:2" x14ac:dyDescent="0.2">
      <c r="A160" s="34"/>
      <c r="B160" s="35"/>
    </row>
    <row r="163" spans="1:2" x14ac:dyDescent="0.2">
      <c r="A163" s="34"/>
      <c r="B163" s="35"/>
    </row>
    <row r="166" spans="1:2" x14ac:dyDescent="0.2">
      <c r="A166" s="34"/>
      <c r="B166" s="35"/>
    </row>
    <row r="169" spans="1:2" x14ac:dyDescent="0.2">
      <c r="A169" s="34"/>
      <c r="B169" s="35"/>
    </row>
    <row r="172" spans="1:2" x14ac:dyDescent="0.2">
      <c r="A172" s="34"/>
      <c r="B172" s="35"/>
    </row>
    <row r="175" spans="1:2" x14ac:dyDescent="0.2">
      <c r="A175" s="34"/>
      <c r="B175" s="35"/>
    </row>
    <row r="178" spans="1:2" x14ac:dyDescent="0.2">
      <c r="A178" s="34"/>
      <c r="B178" s="35"/>
    </row>
    <row r="181" spans="1:2" x14ac:dyDescent="0.2">
      <c r="A181" s="34"/>
      <c r="B181" s="35"/>
    </row>
    <row r="184" spans="1:2" x14ac:dyDescent="0.2">
      <c r="A184" s="34"/>
      <c r="B184" s="35"/>
    </row>
    <row r="187" spans="1:2" x14ac:dyDescent="0.2">
      <c r="A187" s="34"/>
      <c r="B187" s="35"/>
    </row>
    <row r="190" spans="1:2" x14ac:dyDescent="0.2">
      <c r="A190" s="34"/>
      <c r="B190" s="35"/>
    </row>
    <row r="193" spans="1:2" x14ac:dyDescent="0.2">
      <c r="A193" s="34"/>
      <c r="B193" s="35"/>
    </row>
    <row r="196" spans="1:2" x14ac:dyDescent="0.2">
      <c r="A196" s="34"/>
      <c r="B196" s="35"/>
    </row>
    <row r="199" spans="1:2" x14ac:dyDescent="0.2">
      <c r="A199" s="34"/>
      <c r="B199" s="35"/>
    </row>
    <row r="202" spans="1:2" x14ac:dyDescent="0.2">
      <c r="A202" s="34"/>
      <c r="B202" s="35"/>
    </row>
    <row r="205" spans="1:2" x14ac:dyDescent="0.2">
      <c r="A205" s="34"/>
      <c r="B205" s="35"/>
    </row>
    <row r="208" spans="1:2" x14ac:dyDescent="0.2">
      <c r="A208" s="34"/>
      <c r="B208" s="35"/>
    </row>
    <row r="211" spans="1:2" x14ac:dyDescent="0.2">
      <c r="A211" s="34"/>
      <c r="B211" s="35"/>
    </row>
    <row r="214" spans="1:2" x14ac:dyDescent="0.2">
      <c r="A214" s="34"/>
      <c r="B214" s="35"/>
    </row>
    <row r="217" spans="1:2" x14ac:dyDescent="0.2">
      <c r="A217" s="34"/>
      <c r="B217" s="35"/>
    </row>
    <row r="220" spans="1:2" x14ac:dyDescent="0.2">
      <c r="A220" s="34"/>
      <c r="B220" s="35"/>
    </row>
    <row r="223" spans="1:2" x14ac:dyDescent="0.2">
      <c r="A223" s="34"/>
      <c r="B223" s="35"/>
    </row>
    <row r="226" spans="1:2" x14ac:dyDescent="0.2">
      <c r="A226" s="34"/>
      <c r="B226" s="35"/>
    </row>
    <row r="229" spans="1:2" x14ac:dyDescent="0.2">
      <c r="A229" s="34"/>
      <c r="B229" s="35"/>
    </row>
    <row r="232" spans="1:2" x14ac:dyDescent="0.2">
      <c r="A232" s="34"/>
      <c r="B232" s="35"/>
    </row>
  </sheetData>
  <printOptions horizontalCentered="1"/>
  <pageMargins left="0.75" right="0.75" top="1" bottom="1" header="0.5" footer="0.5"/>
  <pageSetup scale="9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3"/>
  <sheetViews>
    <sheetView workbookViewId="0"/>
  </sheetViews>
  <sheetFormatPr defaultRowHeight="12.75" x14ac:dyDescent="0.2"/>
  <cols>
    <col min="1" max="1" width="26.5703125" customWidth="1"/>
    <col min="2" max="2" width="14.140625" customWidth="1"/>
    <col min="3" max="3" width="9.28515625" bestFit="1" customWidth="1"/>
    <col min="4" max="4" width="11.28515625" customWidth="1"/>
    <col min="5" max="5" width="15.5703125" customWidth="1"/>
  </cols>
  <sheetData>
    <row r="1" spans="1:5" x14ac:dyDescent="0.2">
      <c r="A1" s="20" t="s">
        <v>73</v>
      </c>
      <c r="B1" s="20"/>
    </row>
    <row r="3" spans="1:5" x14ac:dyDescent="0.2">
      <c r="A3" t="s">
        <v>3</v>
      </c>
      <c r="B3" t="s">
        <v>36</v>
      </c>
      <c r="D3">
        <v>106190020</v>
      </c>
    </row>
    <row r="4" spans="1:5" x14ac:dyDescent="0.2">
      <c r="A4" s="26">
        <v>45444</v>
      </c>
      <c r="B4" s="26"/>
    </row>
    <row r="6" spans="1:5" x14ac:dyDescent="0.2">
      <c r="A6" t="s">
        <v>58</v>
      </c>
      <c r="B6" s="43">
        <v>0</v>
      </c>
    </row>
    <row r="7" spans="1:5" x14ac:dyDescent="0.2">
      <c r="A7" s="30" t="s">
        <v>59</v>
      </c>
      <c r="B7" s="43">
        <v>0</v>
      </c>
    </row>
    <row r="8" spans="1:5" x14ac:dyDescent="0.2">
      <c r="A8" s="30" t="s">
        <v>60</v>
      </c>
      <c r="B8" s="43">
        <v>0</v>
      </c>
      <c r="C8" s="27"/>
      <c r="D8" s="27"/>
      <c r="E8" s="27"/>
    </row>
    <row r="9" spans="1:5" x14ac:dyDescent="0.2">
      <c r="A9" s="30" t="s">
        <v>61</v>
      </c>
      <c r="B9" s="43">
        <v>0</v>
      </c>
      <c r="C9" s="31"/>
      <c r="D9" s="31"/>
      <c r="E9" s="31"/>
    </row>
    <row r="10" spans="1:5" x14ac:dyDescent="0.2">
      <c r="A10" s="30"/>
      <c r="B10" s="31"/>
      <c r="C10" s="31"/>
      <c r="D10" s="31"/>
      <c r="E10" s="31"/>
    </row>
    <row r="11" spans="1:5" x14ac:dyDescent="0.2">
      <c r="B11" s="33"/>
      <c r="D11" s="31"/>
    </row>
    <row r="12" spans="1:5" x14ac:dyDescent="0.2">
      <c r="B12" s="33"/>
      <c r="D12" s="31"/>
    </row>
    <row r="13" spans="1:5" x14ac:dyDescent="0.2">
      <c r="A13" s="30"/>
      <c r="B13" s="33"/>
      <c r="D13" s="31"/>
    </row>
    <row r="14" spans="1:5" x14ac:dyDescent="0.2">
      <c r="C14" s="27"/>
      <c r="D14" s="32"/>
      <c r="E14" s="27"/>
    </row>
    <row r="15" spans="1:5" x14ac:dyDescent="0.2">
      <c r="D15" s="31"/>
      <c r="E15" s="31"/>
    </row>
    <row r="16" spans="1:5" x14ac:dyDescent="0.2">
      <c r="B16" s="31"/>
      <c r="D16" s="31"/>
      <c r="E16" s="31"/>
    </row>
    <row r="17" spans="1:5" x14ac:dyDescent="0.2">
      <c r="A17" s="30"/>
    </row>
    <row r="18" spans="1:5" x14ac:dyDescent="0.2">
      <c r="D18" s="33"/>
    </row>
    <row r="19" spans="1:5" x14ac:dyDescent="0.2">
      <c r="B19" s="27"/>
      <c r="C19" s="27"/>
      <c r="D19" s="27"/>
      <c r="E19" s="27"/>
    </row>
    <row r="20" spans="1:5" x14ac:dyDescent="0.2">
      <c r="A20" s="30"/>
      <c r="B20" s="31"/>
      <c r="C20" s="31"/>
      <c r="D20" s="31"/>
      <c r="E20" s="31"/>
    </row>
    <row r="21" spans="1:5" x14ac:dyDescent="0.2">
      <c r="A21" s="30"/>
      <c r="B21" s="31"/>
      <c r="C21" s="31"/>
      <c r="D21" s="31"/>
      <c r="E21" s="31"/>
    </row>
    <row r="22" spans="1:5" x14ac:dyDescent="0.2">
      <c r="B22" s="31"/>
      <c r="C22" s="31"/>
      <c r="D22" s="31"/>
      <c r="E22" s="31"/>
    </row>
    <row r="23" spans="1:5" x14ac:dyDescent="0.2">
      <c r="B23" s="31"/>
      <c r="C23" s="31"/>
      <c r="D23" s="31"/>
      <c r="E23" s="31"/>
    </row>
  </sheetData>
  <printOptions horizontalCentered="1"/>
  <pageMargins left="0.75" right="0.75" top="1" bottom="1" header="0.5" footer="0.5"/>
  <pageSetup scale="9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Charges for Common OP Proc</vt:lpstr>
      <vt:lpstr>Chargemaster</vt:lpstr>
      <vt:lpstr>Change in Gross Revenue</vt:lpstr>
    </vt:vector>
  </TitlesOfParts>
  <Company>Ardent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 Quarante</dc:creator>
  <cp:lastModifiedBy>Corley, Craig</cp:lastModifiedBy>
  <cp:lastPrinted>2018-06-26T15:25:56Z</cp:lastPrinted>
  <dcterms:created xsi:type="dcterms:W3CDTF">2004-06-30T20:30:45Z</dcterms:created>
  <dcterms:modified xsi:type="dcterms:W3CDTF">2024-06-21T22:46:23Z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