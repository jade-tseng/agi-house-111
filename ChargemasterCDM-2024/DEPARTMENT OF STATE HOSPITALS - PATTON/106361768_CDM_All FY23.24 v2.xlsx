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defaultThemeVersion="124226"/>
  <mc:AlternateContent xmlns:mc="http://schemas.openxmlformats.org/markup-compatibility/2006">
    <mc:Choice Requires="x15">
      <x15ac:absPath xmlns:x15ac="http://schemas.microsoft.com/office/spreadsheetml/2010/11/ac" url="https://cadsh-my.sharepoint.com/personal/kevin_lanius_dsh_ca_gov/Documents/Assignments - Current/ChargeMaster Reporting/FY 23.24/Patton/"/>
    </mc:Choice>
  </mc:AlternateContent>
  <xr:revisionPtr revIDLastSave="3" documentId="8_{E95FDF87-2DDD-407E-A845-A5392250F26C}" xr6:coauthVersionLast="47" xr6:coauthVersionMax="47" xr10:uidLastSave="{714DB4D3-E5FD-4C6F-AD5C-E921EA3B0AC8}"/>
  <bookViews>
    <workbookView xWindow="20370" yWindow="-2595" windowWidth="29040" windowHeight="15720" firstSheet="1" activeTab="1" xr2:uid="{00000000-000D-0000-FFFF-FFFF00000000}"/>
  </bookViews>
  <sheets>
    <sheet name="Top 50 List" sheetId="1" state="hidden" r:id="rId1"/>
    <sheet name="AB 1045 Form" sheetId="5" r:id="rId2"/>
    <sheet name="Hospital CDM" sheetId="6" r:id="rId3"/>
    <sheet name="Percentage Change Gross Revenue" sheetId="7" r:id="rId4"/>
  </sheets>
  <definedNames>
    <definedName name="_xlnm._FilterDatabase" localSheetId="2" hidden="1">'Hospital CDM'!$A$2:$D$831</definedName>
    <definedName name="_xlnm.Print_Area" localSheetId="1">'AB 1045 Form'!$A$1:$C$48</definedName>
    <definedName name="_xlnm.Print_Titles" localSheetId="1">'AB 1045 Form'!$1:$4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9" i="7" l="1"/>
  <c r="E12" i="7" l="1"/>
  <c r="C12" i="7"/>
  <c r="G11" i="7"/>
  <c r="G10" i="7"/>
  <c r="G8" i="7"/>
  <c r="G7" i="7"/>
  <c r="G6" i="7"/>
  <c r="G5" i="7"/>
  <c r="G12" i="7" l="1"/>
</calcChain>
</file>

<file path=xl/sharedStrings.xml><?xml version="1.0" encoding="utf-8"?>
<sst xmlns="http://schemas.openxmlformats.org/spreadsheetml/2006/main" count="1623" uniqueCount="919">
  <si>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</si>
  <si>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</si>
  <si>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</si>
  <si>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</si>
  <si>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</si>
  <si>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</si>
  <si>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</si>
  <si>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</si>
  <si>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</si>
  <si>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</si>
  <si>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</si>
  <si>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</si>
  <si>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</si>
  <si>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</si>
  <si>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</si>
  <si>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</si>
  <si>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</si>
  <si>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</si>
  <si>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</si>
  <si>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</si>
  <si>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</si>
  <si>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</si>
  <si>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</si>
  <si>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</si>
  <si>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</si>
  <si>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</si>
  <si>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</si>
  <si>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</si>
  <si>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</si>
  <si>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</si>
  <si>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</si>
  <si>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</si>
  <si>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</si>
  <si>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</si>
  <si>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</si>
  <si>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</si>
  <si>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</si>
  <si>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</si>
  <si>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</si>
  <si>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</si>
  <si>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</si>
  <si>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</si>
  <si>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</si>
  <si>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</si>
  <si>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</si>
  <si>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</si>
  <si>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</si>
  <si>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</si>
  <si>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</si>
  <si>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</si>
  <si>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</si>
  <si>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</si>
  <si>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</si>
  <si>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</si>
  <si>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</si>
  <si>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</si>
  <si>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</si>
  <si>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</si>
  <si>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</si>
  <si>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</si>
  <si>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</si>
  <si>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</si>
  <si>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</si>
  <si>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</si>
  <si>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</si>
  <si>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</si>
  <si>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</si>
  <si>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</si>
  <si>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t>Complete Blood Count, with differential WBC, automated</t>
  </si>
  <si>
    <t>Urinalysis, without microscopy</t>
  </si>
  <si>
    <t>Radiology Services  (CPT Codes 70010-79999)</t>
  </si>
  <si>
    <t>Ultrasound, Abdomen, Complete</t>
  </si>
  <si>
    <t>X-Ray, Lower Back, minimum four views</t>
  </si>
  <si>
    <t>Medicine Services  (CPT Codes 90281-99607)</t>
  </si>
  <si>
    <t>Physical Therapy, Evaluation</t>
  </si>
  <si>
    <t>Physical Therapy, Gait Training</t>
  </si>
  <si>
    <t>Physical Therapy, Therapeutic Exercise</t>
  </si>
  <si>
    <t>Surgery Services  (CPT Codes 10021-69990)</t>
  </si>
  <si>
    <t>Hernia Repair, Inguinal, 5 years and older</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</si>
  <si>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</si>
  <si>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</si>
  <si>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</si>
  <si>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</si>
  <si>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</si>
  <si>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</si>
  <si>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</si>
  <si>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</si>
  <si>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</si>
  <si>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</si>
  <si>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</si>
  <si>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</si>
  <si>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</si>
  <si>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CPT Code</t>
  </si>
  <si>
    <t>Emergency Room Visit (straightforward)</t>
  </si>
  <si>
    <t>Emergency Room Visit (low level)</t>
  </si>
  <si>
    <t>Emergency Room Visit (moderate level)</t>
  </si>
  <si>
    <t>Emergency Room Visit (high level)</t>
  </si>
  <si>
    <t>Outpatient Visit, established patient, 20+ minutes</t>
  </si>
  <si>
    <t>2024 CPT Code</t>
  </si>
  <si>
    <t>HCPCS/CPT CODE</t>
  </si>
  <si>
    <t>DESCRIPTION</t>
  </si>
  <si>
    <t>AVERAGE CHARGE AMOUNT</t>
  </si>
  <si>
    <t>DEPARTMENT</t>
  </si>
  <si>
    <t>Department</t>
  </si>
  <si>
    <t>Accumulated Gross Charges by Department</t>
  </si>
  <si>
    <t>% Change</t>
  </si>
  <si>
    <t>Acute/Psychiatry - Physician Services</t>
  </si>
  <si>
    <t>Clinics/Physician Services</t>
  </si>
  <si>
    <t>Dentistry</t>
  </si>
  <si>
    <t>EEG-EKG-EMG</t>
  </si>
  <si>
    <t>SNF/ICF - Physician Services</t>
  </si>
  <si>
    <t>Total</t>
  </si>
  <si>
    <t>Effective Date of Charges: 6/1/2024</t>
  </si>
  <si>
    <t xml:space="preserve">CLINICS/PHYSICIAN SERVICE      </t>
  </si>
  <si>
    <t xml:space="preserve">RADIOLOGY                      </t>
  </si>
  <si>
    <t xml:space="preserve">SNF/ICF - PHYSICIAN            </t>
  </si>
  <si>
    <t xml:space="preserve">ACUTE/PSYCH - PHYSICIAN        </t>
  </si>
  <si>
    <t xml:space="preserve">PHYSICAL THERAPY               </t>
  </si>
  <si>
    <t xml:space="preserve">EEG-EKG-EMG                    </t>
  </si>
  <si>
    <t xml:space="preserve">DENTISTRY                      </t>
  </si>
  <si>
    <t xml:space="preserve">ANESTHESIA ELECTROCONVULSIVE THERAPY              </t>
  </si>
  <si>
    <t xml:space="preserve">FINE NEEDLE ASPIRATION BX W/O IMG GDN 1ST LESION  </t>
  </si>
  <si>
    <t xml:space="preserve">INCISION &amp; DRAINAGE ABSCESS SIMPLE/SINGLE         </t>
  </si>
  <si>
    <t xml:space="preserve">PUNCTURE ASPIRATION ABSCESS HEMATOMA BULLA/CYST   </t>
  </si>
  <si>
    <t xml:space="preserve">DEBRIDEMENT SUBCUTANEOUS TISSUE 20 SQ CM/&lt;        </t>
  </si>
  <si>
    <t xml:space="preserve">PARING/CUTTING BENIGN HYPERKERATOTIC LESION 1     </t>
  </si>
  <si>
    <t xml:space="preserve">PARING/CUTTING BENIGN HYPERKERATOTIC LESION 2-4   </t>
  </si>
  <si>
    <t xml:space="preserve">PARING/CUTTING BENIGN HYPERKERATOTIC LESION &gt;4    </t>
  </si>
  <si>
    <t xml:space="preserve">TANGENTIAL BIOPSY SKIN SINGLE LESION              </t>
  </si>
  <si>
    <t xml:space="preserve">TANGENTIAL BIOPSY SKIN EA SEP/ADDITIONAL LESION   </t>
  </si>
  <si>
    <t xml:space="preserve">PUNCH BIOPSY SKIN SINGLE LESION                   </t>
  </si>
  <si>
    <t xml:space="preserve">PUNCH BIOPSY SKIN EA SEP/ADDITIONAL LESION        </t>
  </si>
  <si>
    <t xml:space="preserve">REMOVAL SKN TAGS MLT FIBRQ TAGS ANY AREA UPW/15   </t>
  </si>
  <si>
    <t xml:space="preserve">REMOVAL SK TGS MLT FIBRQ TAGS ANY AREA EA 10      </t>
  </si>
  <si>
    <t xml:space="preserve">SHVG SKIN LESION 1 TRUNK/ARM/LEG DIAM 0.6-1.0 CM  </t>
  </si>
  <si>
    <t xml:space="preserve">SHVG SKN LESION 1 TRUNK/ARM/LEG DIAM 1.1-2.0 CM   </t>
  </si>
  <si>
    <t xml:space="preserve">SHVG SKIN LESION 1 TRUNK/ARM/LEG DIAM &gt;2.0 CM     </t>
  </si>
  <si>
    <t xml:space="preserve">SHAVING SKIN LESION 1 S/N/H/F/G DIAM 0.6-1.0 CM   </t>
  </si>
  <si>
    <t xml:space="preserve">SHVG SKIN LESION 1 F/E/E/N/L/M DIAM 0.6-1.0 CM    </t>
  </si>
  <si>
    <t xml:space="preserve">SHVG SKIN LESION 1 F/E/E/N/L/M DIAM 1.1-2.0 CM    </t>
  </si>
  <si>
    <t xml:space="preserve">EXC B9 LESION MRGN XCP SK TG T/A/L 1.1-2.0 CM     </t>
  </si>
  <si>
    <t xml:space="preserve">EXC B9 LESION MRGN XCP SK TG T/A/L 2.1-3.0 CM     </t>
  </si>
  <si>
    <t xml:space="preserve">EXC B9 LESION MRGN XCP SK TG T/A/L 3.1-4.0 CM     </t>
  </si>
  <si>
    <t xml:space="preserve">EXC B9 LESION MRGN XCP SK TG T/A/L &gt;4.0 CM        </t>
  </si>
  <si>
    <t xml:space="preserve">EXC B9 LESION MRGN XCP SK TG S/N/H/F/G 0.6-1.0CM  </t>
  </si>
  <si>
    <t xml:space="preserve">EXC B9 LESION MRGN XCP SK TG S/N/H/F/G &gt; 4.0CM    </t>
  </si>
  <si>
    <t xml:space="preserve">EXC B9 LES MRGN XCP SK TG F/E/E/N/L/M 1.1-2.0CM   </t>
  </si>
  <si>
    <t xml:space="preserve">EXC B9 LES MRGN XCP SK TG F/E/E/N/L/M 2.1-3.0CM   </t>
  </si>
  <si>
    <t xml:space="preserve">EXCISION MAL LESION TRUNK/ARM/LEG 2.1-3.0 CM      </t>
  </si>
  <si>
    <t xml:space="preserve">EXCISION MALIGNANT LESION F/E/E/N/L 1.1-2.0 CM    </t>
  </si>
  <si>
    <t xml:space="preserve">TRIMMING NONDYSTROPHIC NAILS ANY NUMBER           </t>
  </si>
  <si>
    <t xml:space="preserve">DEBRIDEMENT NAIL ANY METHOD 1-5                   </t>
  </si>
  <si>
    <t xml:space="preserve">DEBRIDEMENT NAIL ANY METHOD 6/&gt;                   </t>
  </si>
  <si>
    <t xml:space="preserve">AVULSION NAIL PLATE PARTIAL/COMPLETE SIMPLE 1     </t>
  </si>
  <si>
    <t xml:space="preserve">AVULSION NAIL PLATE PARTIAL/COMP SIMPLE EA ADDL   </t>
  </si>
  <si>
    <t xml:space="preserve">EXCISION NAIL MATRIX PERMANENT REMOVAL            </t>
  </si>
  <si>
    <t xml:space="preserve">BIOPSY NAIL UNIT SEPARATE PROCEDURE               </t>
  </si>
  <si>
    <t xml:space="preserve">INJECTION INTRALESIONAL UP TO &amp; INCLUD 7 LESIONS  </t>
  </si>
  <si>
    <t xml:space="preserve">INJECTION INTRALESIONAL &gt;7 LESIONS                </t>
  </si>
  <si>
    <t xml:space="preserve">REPAIR COMPLEX TRUNK 2.6-7.5 CM                   </t>
  </si>
  <si>
    <t xml:space="preserve">REPAIR COMPLEX TRUNK EACH ADDITIONAL 5 CM/&lt;       </t>
  </si>
  <si>
    <t xml:space="preserve">REPAIR COMPLEX SCALP/ARM/LEG 2.6-7.5 CM           </t>
  </si>
  <si>
    <t xml:space="preserve">REPAIR COMPLEX SCALP/ARM/LEG EA ADDL 5 CM/&lt;       </t>
  </si>
  <si>
    <t xml:space="preserve">REPAIR COMPLEX F/C/C/M/N/AX/G/H/F 1.1-2.5 CM      </t>
  </si>
  <si>
    <t xml:space="preserve">REPAIR COMPLEX F/C/C/M/N/AX/G/H/F 2.6-7.5 CM      </t>
  </si>
  <si>
    <t xml:space="preserve">REPAIR COMPLEX EYELID/NOSE/EAR/LIP 2.6-7.5 CM     </t>
  </si>
  <si>
    <t xml:space="preserve">DESTRUCTION PREMALIGNANT LESION 1ST               </t>
  </si>
  <si>
    <t xml:space="preserve">DESTRUCTION PREMALIGNANT LESION 2-14 EA           </t>
  </si>
  <si>
    <t xml:space="preserve">DESTRUCTION BENIGN LESIONS UP TO 14               </t>
  </si>
  <si>
    <t xml:space="preserve">DESTRUCTION BENIGN LESIONS 15/&gt;                   </t>
  </si>
  <si>
    <t xml:space="preserve">DESTRUCTION MALIGNANT LESION S/N/H/F/G 0.5 CM/&gt;   </t>
  </si>
  <si>
    <t xml:space="preserve">INJECTION 1 TENDON SHEATH/LIGAMENT APONEUROSIS    </t>
  </si>
  <si>
    <t xml:space="preserve">INJECTION SINGLE/MLT TRIGGER POINT 1/2 MUSCLES    </t>
  </si>
  <si>
    <t xml:space="preserve">ARTHROCENTESIS ASPIR&amp;/INJ SMALL JT/BURSA W/O US   </t>
  </si>
  <si>
    <t xml:space="preserve">ARTHROCENTESIS ASPIR&amp;/INJ INTERM JT/BURS W/O US   </t>
  </si>
  <si>
    <t xml:space="preserve">BIOPSY SOFT TISSUE BACK/FLANK DEEP                </t>
  </si>
  <si>
    <t xml:space="preserve">BIOPSY SOFT TISSUE UPPER ARM/ELBOW SUPERFICIAL    </t>
  </si>
  <si>
    <t xml:space="preserve">EXC TUMOR SOFT TISSUE FOREARM &amp;/WRIST SUBQ &lt;3CM   </t>
  </si>
  <si>
    <t xml:space="preserve">APPLICATION SHORT LEG SPLINT CALF FOOT            </t>
  </si>
  <si>
    <t xml:space="preserve">STRAPPING UNNA BOOT                               </t>
  </si>
  <si>
    <t xml:space="preserve">BYP OTH/THN VEIN SUBCLAVIAN-VERTEBRAL             </t>
  </si>
  <si>
    <t xml:space="preserve">COLLECTION VENOUS BLOOD VENIPUNCTURE              </t>
  </si>
  <si>
    <t xml:space="preserve">SURG TX ANAL FISTULA SUBQ                         </t>
  </si>
  <si>
    <t xml:space="preserve">ANOSCOPY DX W/COLLJ SPEC BR/WA SPX WHEN PRFRMD    </t>
  </si>
  <si>
    <t xml:space="preserve">RPR 1ST INGUN HRNA AGE 5 YRS/&gt; REDUCIBLE          </t>
  </si>
  <si>
    <t xml:space="preserve">INJECTION AA&amp;/STRD OTHER PERIPHERAL NERVE/BRANCH  </t>
  </si>
  <si>
    <t xml:space="preserve">NJX AA&amp;/STRD PLANTAR COMMON DIGITAL NERVES        </t>
  </si>
  <si>
    <t xml:space="preserve">INCISIONAL BIOPSY EYELID SKIN &amp; LID MARGIN        </t>
  </si>
  <si>
    <t xml:space="preserve">RADIOLOGIC EXAMINATION EYE DETECT FOREIGN BODY    </t>
  </si>
  <si>
    <t xml:space="preserve">RADIOLOGIC EXAMINATION MANDIPLE PRTL &lt;4 VIEWS     </t>
  </si>
  <si>
    <t xml:space="preserve">RADIOLOG EXAM MANDIBLE COMPL MINIMUM 4 VIEWS      </t>
  </si>
  <si>
    <t xml:space="preserve">RADIOLOGIC EXAM MASTOIDS &lt; 3 VIEWS PER SIDE       </t>
  </si>
  <si>
    <t xml:space="preserve">RADEX FACIAL BONES &lt; 3 VIEWS                      </t>
  </si>
  <si>
    <t xml:space="preserve">RADEX FACIAL BONES COMPLETE MINIMUM 3 VIEWS       </t>
  </si>
  <si>
    <t xml:space="preserve">RADEX NASAL BONES COMPLETE MINIMUM 3 VIEWS        </t>
  </si>
  <si>
    <t xml:space="preserve">RADEX OPTIC FORAMINA                              </t>
  </si>
  <si>
    <t xml:space="preserve">RADEX ORBITS COMPLETE MINIMUM 4 VIEWS             </t>
  </si>
  <si>
    <t xml:space="preserve">RADEX SINUSES PARANASAL &lt;3 VIEWS                  </t>
  </si>
  <si>
    <t xml:space="preserve">RADEX SINUSES PARANASAL COMPL MINIMUM 3 VIEWS     </t>
  </si>
  <si>
    <t xml:space="preserve">RADIOLOGIC EXAMINATION SKULL 4&lt; VIEWS             </t>
  </si>
  <si>
    <t xml:space="preserve">RADIOLOGIC EXAM SKULL COMPLETE MINIMUM 4 VIEWS    </t>
  </si>
  <si>
    <t xml:space="preserve">RADEX TEMPOROMANDBLE JT OPN &amp; CLSD MOUTH UNILAT   </t>
  </si>
  <si>
    <t xml:space="preserve">RADEX TEMPOROMANDBLE JT OPN &amp; CLSD MOUTH BILAT    </t>
  </si>
  <si>
    <t xml:space="preserve">RADIOLOGIC EXAMINATION NECK SOFT TISSUE           </t>
  </si>
  <si>
    <t xml:space="preserve">RADIOLOGIC EXAM CHEST SINGLE VIEW                 </t>
  </si>
  <si>
    <t xml:space="preserve">RADIOLOGIC EXAM CHEST 2 VIEWS                     </t>
  </si>
  <si>
    <t xml:space="preserve">RADIOLOGIC EXAM CHEST 3 VIEWS                     </t>
  </si>
  <si>
    <t xml:space="preserve">RADIOLOGIC EXAM CHEST 4+ VIEWS                    </t>
  </si>
  <si>
    <t xml:space="preserve">RADEX RIBS UNILATERAL 2 VIEWS                     </t>
  </si>
  <si>
    <t xml:space="preserve">RADEX RIBS UNI W/POSTEROANT CH MINIMUM 3 VIEWS    </t>
  </si>
  <si>
    <t xml:space="preserve">RADEX RIBS BILATERAL 3 VIEWS                      </t>
  </si>
  <si>
    <t xml:space="preserve">RADEX RIBS BI W/POSTEROANT CH MINIMUM 4 VIEWS     </t>
  </si>
  <si>
    <t xml:space="preserve">RADEX STERNUM MINIMUM 2 VIEWS                     </t>
  </si>
  <si>
    <t xml:space="preserve">RADEX STERNOCLAVICULAR JT/JTS MINIMUM 3 VIEWS     </t>
  </si>
  <si>
    <t xml:space="preserve">RADEX SPINE 1 VIEW SPECIFY LEVEL                  </t>
  </si>
  <si>
    <t xml:space="preserve">RADEX SPINE CERVICAL 2 OR 3 VIEWS                 </t>
  </si>
  <si>
    <t xml:space="preserve">RADEX SPINE CERVICAL 4 OR 5 VIEWS                 </t>
  </si>
  <si>
    <t xml:space="preserve">RADEX SPINE CERVICAL 6 OR MORE VIEWS              </t>
  </si>
  <si>
    <t xml:space="preserve">RADEX SPINE THORACIC 2 VIEWS                      </t>
  </si>
  <si>
    <t xml:space="preserve">RADEX SPINE THORACIC 3 VIEWS                      </t>
  </si>
  <si>
    <t xml:space="preserve">RADEX SPINE THORACOLUMBAR JUNCTION MIN 2 VIEWS    </t>
  </si>
  <si>
    <t xml:space="preserve">RADEX ENTIR THRC LMBR CRV SAC SPI W/SKULL 2/3 VW  </t>
  </si>
  <si>
    <t xml:space="preserve">RADEX SPINE LUMBOSACRAL 2/3 VIEWS                 </t>
  </si>
  <si>
    <t xml:space="preserve">RADEX SPINE LUMBOSACRAL MINIMUM 4 VIEWS           </t>
  </si>
  <si>
    <t xml:space="preserve">RADEX SPINE LUMBSCRL COMPL W/BENDING VIEWS MIN 6  </t>
  </si>
  <si>
    <t xml:space="preserve">RADEX SPINE LUMBOSACRAL ONLY BENDING 2/3 VIEWS    </t>
  </si>
  <si>
    <t xml:space="preserve">RADIOLOGIC EXAMINATION PELVIS 1/2 VIEWS           </t>
  </si>
  <si>
    <t xml:space="preserve">RADIOLOGIC EXAM PELVIS COMPL MINIMUM 3 VIEWS      </t>
  </si>
  <si>
    <t xml:space="preserve">RADIOLOGIC EXAMINATION SACROILIAC JNTS &lt;3 VIEWS   </t>
  </si>
  <si>
    <t xml:space="preserve">RADIOLOGIC EXAM SACROILIAC JOINTS 3/MORE VIEWS    </t>
  </si>
  <si>
    <t xml:space="preserve">RADEX SACRUM &amp; COCCYX MINIMUM 2 VIEWS             </t>
  </si>
  <si>
    <t xml:space="preserve">RADEX CLAVICLE COMPLETE                           </t>
  </si>
  <si>
    <t xml:space="preserve">RADEX SCAPULA COMPLETE                            </t>
  </si>
  <si>
    <t xml:space="preserve">RADEX SHOULDER 1 VIEW                             </t>
  </si>
  <si>
    <t xml:space="preserve">RADEX SHOULDER COMPLETE MINIMUM 2 VIEWS           </t>
  </si>
  <si>
    <t xml:space="preserve">RADEX A-C JOINTS BI W/WO WEIGHTED DISTRCJ         </t>
  </si>
  <si>
    <t xml:space="preserve">RADEX HUMERUS MINIMUM 2 VIEWS                     </t>
  </si>
  <si>
    <t xml:space="preserve">RADEX ELBOW 2 VIEWS                               </t>
  </si>
  <si>
    <t xml:space="preserve">RADEX ELBOW COMPLETE MINIMUM 3 VIEWS              </t>
  </si>
  <si>
    <t xml:space="preserve">RADEX FOREARM 2 VIEWS                             </t>
  </si>
  <si>
    <t xml:space="preserve">RADEX WRIST 2 VIEWS                               </t>
  </si>
  <si>
    <t xml:space="preserve">RADEX WRIST COMPLETE MINIMUM 3 VIEWS              </t>
  </si>
  <si>
    <t xml:space="preserve">RADEX HAND 2 VIEWS                                </t>
  </si>
  <si>
    <t xml:space="preserve">RADEX HAND MINIMUM 3 VIEWS                        </t>
  </si>
  <si>
    <t xml:space="preserve">RADEX FINGR MINIMUM 2 VIEWS                       </t>
  </si>
  <si>
    <t xml:space="preserve">RADEX HIP UNILATERAL WITH PELVIS 1 VIEW           </t>
  </si>
  <si>
    <t xml:space="preserve">RADEX HIP UNILATERAL WITH PELVIS 2-3 VIEWS        </t>
  </si>
  <si>
    <t xml:space="preserve">RADEX HIP UNILATERAL WITH PELVIS MINIMUM 4 VIEWS  </t>
  </si>
  <si>
    <t xml:space="preserve">RADEX HIPS BILATERAL WITH PELVIS 2 VIEWS          </t>
  </si>
  <si>
    <t xml:space="preserve">RADEX HIPS BILATERAL WITH PELVIS 3-4 VIEWS        </t>
  </si>
  <si>
    <t xml:space="preserve">RADEX HIPS BILATERAL WITH PELVIS MINIMUM 5 VIEWS  </t>
  </si>
  <si>
    <t xml:space="preserve">RADIOLOGIC EXAMINATION FEMUR 1 VIEW               </t>
  </si>
  <si>
    <t xml:space="preserve">RADIOLOGIC EXAMINATION FEMUR MINIMUM 2 VIEWS      </t>
  </si>
  <si>
    <t xml:space="preserve">RADIOLOGIC EXAMINATION KNEE 1/2 VIEWS             </t>
  </si>
  <si>
    <t xml:space="preserve">RADIOLOGIC EXAMINATION KNEE 3 VIEWS               </t>
  </si>
  <si>
    <t xml:space="preserve">RADIOLOGIC EXAM KNEE COMPLETE 4/MORE VIEWS        </t>
  </si>
  <si>
    <t xml:space="preserve">RADIOLOGIC EXAM BOTH KNEES STANDING ANTEROPOST    </t>
  </si>
  <si>
    <t xml:space="preserve">RADIOLOGIC EXAMINATION TIBIA &amp; FIBULA 2 VIEWS     </t>
  </si>
  <si>
    <t xml:space="preserve">RADIOLOGIC EXAMINATION ANKLE 2 VIEWS              </t>
  </si>
  <si>
    <t xml:space="preserve">RADEX ANKLE COMPLETE MINIMUM 3 VIEWS              </t>
  </si>
  <si>
    <t xml:space="preserve">RADIOLOGIC EXAMINATION FOOT 2 VIEWS               </t>
  </si>
  <si>
    <t xml:space="preserve">RADEX FOOT COMPLETE MINIMUM 3 VIEWS               </t>
  </si>
  <si>
    <t xml:space="preserve">RADEX CALCANEUS MINIMUM 2 VIEWS                   </t>
  </si>
  <si>
    <t xml:space="preserve">RADEX TOE MINIMUM 2 VIEWS                         </t>
  </si>
  <si>
    <t xml:space="preserve">RADIOLOGIC EXAM ABDOMEN 1 VIEW                    </t>
  </si>
  <si>
    <t xml:space="preserve">RADIOLOGIC EXAM ABDOMEN 2 VIEWS                   </t>
  </si>
  <si>
    <t xml:space="preserve">RADIOLOGIC EXAM ABDOMEN 3+ VIEWS                  </t>
  </si>
  <si>
    <t xml:space="preserve">RADIOLOGIC EXAM COMPLETE ACUTE ABDOMEN SERIES     </t>
  </si>
  <si>
    <t xml:space="preserve">RADIOLOGIC EXAM ESOPHAGUS SINGLE CONTRAST STUDY   </t>
  </si>
  <si>
    <t xml:space="preserve">OPHTHALMIC US DX CORNEAL PACHYMETRY UNI/BI        </t>
  </si>
  <si>
    <t xml:space="preserve">US SOFT TISSUE HEAD &amp; NECK REAL TIME IMGE DOCM    </t>
  </si>
  <si>
    <t xml:space="preserve">US BREAST UNI REAL TIME WITH IMAGE COMPLETE       </t>
  </si>
  <si>
    <t xml:space="preserve">US ABDOMINAL REAL TIME W/IMAGE DOCUMENTATION      </t>
  </si>
  <si>
    <t xml:space="preserve">US ABDOMINAL REAL TIME W/IMAGE LIMITED            </t>
  </si>
  <si>
    <t xml:space="preserve">US ABDOMINAL AORTA REAL TIME SCREEN STUDY AAA     </t>
  </si>
  <si>
    <t xml:space="preserve">US RETROPERITONEAL REAL TIME W/IMAGE COMPLETE     </t>
  </si>
  <si>
    <t xml:space="preserve">US RETROPERITONEAL REAL TIME W/IMAGE LIMITED      </t>
  </si>
  <si>
    <t xml:space="preserve">US PELVIC NONOBSTETRIC REAL-TIME IMAGE COMPLETE   </t>
  </si>
  <si>
    <t xml:space="preserve">US SCROTUM &amp; CONTENTS                             </t>
  </si>
  <si>
    <t xml:space="preserve">US LMTD JT/FCL EVAL NONVASC XTR STRUX R-T W/IMG   </t>
  </si>
  <si>
    <t xml:space="preserve">DXA BONE DENSITY STUDY 1/&gt; SITES AXIAL SKEL       </t>
  </si>
  <si>
    <t xml:space="preserve">DXA BONE DENSITY STUDY 1/&gt;SITES APPENDICLR SKEL   </t>
  </si>
  <si>
    <t xml:space="preserve">VERTEBRAL FRACTURE ASSESSMENT VIA DXA             </t>
  </si>
  <si>
    <t xml:space="preserve">BASIC METABOLIC PANEL CALCIUM IONIZED             </t>
  </si>
  <si>
    <t xml:space="preserve">BASIC METABOLIC PANEL CALCIUM TOTAL               </t>
  </si>
  <si>
    <t xml:space="preserve">ELECTROLYTE PANEL                                 </t>
  </si>
  <si>
    <t xml:space="preserve">COMPREHENSIVE METABOLIC PANEL                     </t>
  </si>
  <si>
    <t xml:space="preserve">OBSTETRIC PANEL                                   </t>
  </si>
  <si>
    <t xml:space="preserve">LIPID PANEL                                       </t>
  </si>
  <si>
    <t xml:space="preserve">RENAL FUNCTION PANEL                              </t>
  </si>
  <si>
    <t xml:space="preserve">HEPATIC FUNCTION PANEL                            </t>
  </si>
  <si>
    <t xml:space="preserve">DRUG ASSAY CARBAMAZEPINE TOTAL                    </t>
  </si>
  <si>
    <t xml:space="preserve">DRUG ASSAY CLOZAPINE                              </t>
  </si>
  <si>
    <t xml:space="preserve">DRUG SCREEN QUANTITATIVE DIGOXIN TOTAL            </t>
  </si>
  <si>
    <t xml:space="preserve">DRUG ASSAY VALPROIC DIPROPYLACETIC ACID TOTAL     </t>
  </si>
  <si>
    <t xml:space="preserve">DRUG SCREEN QUANTITATIVE HALOPRIDOL               </t>
  </si>
  <si>
    <t xml:space="preserve">DRUG SCREEN QUANTITATIVE LAMOTRIGINE              </t>
  </si>
  <si>
    <t xml:space="preserve">DRUG SCREEN QUANTITATIVE LIDOCAINE                </t>
  </si>
  <si>
    <t xml:space="preserve">DRUG SCREEN QUANTITATIVE LITHIUM                  </t>
  </si>
  <si>
    <t xml:space="preserve">DRUG SCREEN QUANTITATIVE PHENYTOIN TOTAL          </t>
  </si>
  <si>
    <t xml:space="preserve">DRUG SCREEN QUANTITATIVE VANCOMYCIN               </t>
  </si>
  <si>
    <t xml:space="preserve">QUANTITATION DRUG NOT ELSEWHERE SPECIFIED         </t>
  </si>
  <si>
    <t xml:space="preserve">DRUG TEST PRSMV READ DIRECT OPTICAL OBS PR DATE   </t>
  </si>
  <si>
    <t xml:space="preserve">DRUG TST PRSMV INSTRMNT CHEM ANALYZERS PR DATE    </t>
  </si>
  <si>
    <t xml:space="preserve">ANTIDEPRESSANTS NOT OTHERWISE SPECIFIED           </t>
  </si>
  <si>
    <t xml:space="preserve">ANTIPSYCHOTICS NOT OTHERWISE SPECIFIED 1-3        </t>
  </si>
  <si>
    <t xml:space="preserve">DRUG SCREENING BENZODIAZEPINES 1-12               </t>
  </si>
  <si>
    <t xml:space="preserve">DRUG SCREENING OXYCODONE                          </t>
  </si>
  <si>
    <t xml:space="preserve">URNLS DIP STICK/TABLET REAGENT AUTO MICROSCOPY    </t>
  </si>
  <si>
    <t xml:space="preserve">URNLS DIP STICK/TABLET RGNT NON-AUTO W/O MICRSCP  </t>
  </si>
  <si>
    <t xml:space="preserve">URNLS DIP STICK/TABLET RGNT AUTO W/O MICROSCOPY   </t>
  </si>
  <si>
    <t xml:space="preserve">URINALYSIS MICROSCOPIC ONLY                       </t>
  </si>
  <si>
    <t xml:space="preserve">ALBUMIN SERUM PLASMA/WHOLE BLOOD                  </t>
  </si>
  <si>
    <t xml:space="preserve">URINE ALBUMIN QUANTITATIVE                        </t>
  </si>
  <si>
    <t xml:space="preserve">ALPHA-FETOPROTEIN SERUM                           </t>
  </si>
  <si>
    <t xml:space="preserve">ASSAY OF AMMONIA                                  </t>
  </si>
  <si>
    <t xml:space="preserve">ASSAY OF AMYLASE                                  </t>
  </si>
  <si>
    <t xml:space="preserve">ASSAY OF ASCORBIC ACID BLOOD                      </t>
  </si>
  <si>
    <t xml:space="preserve">BILIRUBIN TOTAL                                   </t>
  </si>
  <si>
    <t xml:space="preserve">BILIRUBIN DIRECT                                  </t>
  </si>
  <si>
    <t xml:space="preserve">BLOOD OCCULT PEROXIDASE ACTV QUAL FECES 1 DETER   </t>
  </si>
  <si>
    <t xml:space="preserve">BLOOD OCCULT PEROXIDASE ACTV QUAL FECES 1-3 SPEC  </t>
  </si>
  <si>
    <t xml:space="preserve">BLOOD OCCULT FECAL HGB DETER IA QUAL FECES 1-3    </t>
  </si>
  <si>
    <t xml:space="preserve">25 HYDROXY INCLUDES FRACTIONS IF PERFORMED        </t>
  </si>
  <si>
    <t xml:space="preserve">CALCIUM TOTAL                                     </t>
  </si>
  <si>
    <t xml:space="preserve">CALCIUM URINE QUANTITATIVE TIMED SPECIMEN         </t>
  </si>
  <si>
    <t xml:space="preserve">CARBON DIOXIDE BICARBONATE                        </t>
  </si>
  <si>
    <t xml:space="preserve">CHLORIDE BLD                                      </t>
  </si>
  <si>
    <t xml:space="preserve">CHOLESTEROL SERUM/WHOLE BLOOD TOTAL               </t>
  </si>
  <si>
    <t xml:space="preserve">CORTISOL TOTAL                                    </t>
  </si>
  <si>
    <t xml:space="preserve">COL-CHR/MS NONDRUG ANALYTE NES QUAL/QUAN EA SPEC  </t>
  </si>
  <si>
    <t xml:space="preserve">CREATINE KINASE TOTAL                             </t>
  </si>
  <si>
    <t xml:space="preserve">CREATINE KINASE MB FRACTION ONLY                  </t>
  </si>
  <si>
    <t xml:space="preserve">CREATININE BLOOD                                  </t>
  </si>
  <si>
    <t xml:space="preserve">CREATININE OTHER SOURCE                           </t>
  </si>
  <si>
    <t xml:space="preserve">CYANOCOBALAMIN VITAMIN B-12                       </t>
  </si>
  <si>
    <t xml:space="preserve">1 25 DIHYDROXY INCLUDES FRACTIONS IF PERFORMED    </t>
  </si>
  <si>
    <t xml:space="preserve">ASSAY OF FERRITIN                                 </t>
  </si>
  <si>
    <t xml:space="preserve">ASSAY OF FOLIC ACID SERUM                         </t>
  </si>
  <si>
    <t xml:space="preserve">GLUCOSE QUANTITATIVE BLOOD XCPT REAGENT STRIP     </t>
  </si>
  <si>
    <t xml:space="preserve">GLUC-6-PHOSPHATE DEHYDROGENASE SCREEN             </t>
  </si>
  <si>
    <t xml:space="preserve">GLUC BLD GLUC MNTR DEV CLEARED FDA SPEC HOME USE  </t>
  </si>
  <si>
    <t xml:space="preserve">ASSAY OF GLUTAMATE DEHYDROGENASE                  </t>
  </si>
  <si>
    <t xml:space="preserve">ASSAY OF GLUTAMYLTRASE GAMMA                      </t>
  </si>
  <si>
    <t xml:space="preserve">HEMOGLOBIN FRACTJ/QUANTJ CHROMOTOGRAPHY           </t>
  </si>
  <si>
    <t xml:space="preserve">HEMOGLOBIN GLYCOSYLATED A1C                       </t>
  </si>
  <si>
    <t xml:space="preserve">ASSAY OF HOMOCYSTEINE                             </t>
  </si>
  <si>
    <t xml:space="preserve">ASSAY OF IRON                                     </t>
  </si>
  <si>
    <t xml:space="preserve">KETOSTEROIDS 17- FRACTIONATION                    </t>
  </si>
  <si>
    <t xml:space="preserve">LACTATE DEHYDROGENASE LDH                         </t>
  </si>
  <si>
    <t xml:space="preserve">ASSAY OF LIPASE                                   </t>
  </si>
  <si>
    <t xml:space="preserve">ASSAY OF MAGNESIUM                                </t>
  </si>
  <si>
    <t xml:space="preserve">MYOGLOBIN                                         </t>
  </si>
  <si>
    <t xml:space="preserve">NATRIURETIC PEPTIDE                               </t>
  </si>
  <si>
    <t xml:space="preserve">ASSAY OF NEPHELOMETRY EACH ANALYTE NES            </t>
  </si>
  <si>
    <t xml:space="preserve">ASSAY OF OSMOLALITY BLOOD                         </t>
  </si>
  <si>
    <t xml:space="preserve">ASSAY OF OSMOLALITY URINE                         </t>
  </si>
  <si>
    <t xml:space="preserve">ASSAY OF PARATHORMONE                             </t>
  </si>
  <si>
    <t xml:space="preserve">ASSAY OF PHOSPHATASE ALKALINE                     </t>
  </si>
  <si>
    <t xml:space="preserve">ASSAY OF PHOSPHORUS INORGANIC                     </t>
  </si>
  <si>
    <t xml:space="preserve">POTASSIUM SERUM PLASMA/WHOLE BLOOD                </t>
  </si>
  <si>
    <t xml:space="preserve">PREGNENOLONE                                      </t>
  </si>
  <si>
    <t xml:space="preserve">PROCALCITONIN (PCT)                               </t>
  </si>
  <si>
    <t xml:space="preserve">ASSAY OF PROLACTIN                                </t>
  </si>
  <si>
    <t xml:space="preserve">ASSAY OF PROSTATE SPECIFIC ANTIGEN TOTAL          </t>
  </si>
  <si>
    <t xml:space="preserve">ASSAY OF PROSTATE SPECIFIC ANTIGEN FREE           </t>
  </si>
  <si>
    <t xml:space="preserve">PROTEIN XCPT REFRACTOMETRY SERUM PLASMA/WHL BLD   </t>
  </si>
  <si>
    <t xml:space="preserve">SODIUM SERUM PLASMA OR WHOLE BLOOD                </t>
  </si>
  <si>
    <t xml:space="preserve">ASSAY OF URINE SODIUM                             </t>
  </si>
  <si>
    <t xml:space="preserve">ASSAY OF THIOCYANATE                              </t>
  </si>
  <si>
    <t xml:space="preserve">ASSAY OF THYROGLOBULIN                            </t>
  </si>
  <si>
    <t xml:space="preserve">ASSAY OF THYROXINE TOTAL                          </t>
  </si>
  <si>
    <t xml:space="preserve">ASSAY OF FREE THYROXINE                           </t>
  </si>
  <si>
    <t xml:space="preserve">ASSAY OF THYROXINE BINDING GLOBULIN               </t>
  </si>
  <si>
    <t xml:space="preserve">ASSAY OF THYROID STIMULATING HORMONE TSH          </t>
  </si>
  <si>
    <t xml:space="preserve">THYROID STIMULATING IMMUNE GLOBULINS TSI          </t>
  </si>
  <si>
    <t xml:space="preserve">ASSAY OF TOCOPHEROL ALPHA VITAMIN E               </t>
  </si>
  <si>
    <t xml:space="preserve">TRANSFERASE ASPARTATE AMINO AST SGOT              </t>
  </si>
  <si>
    <t xml:space="preserve">TRANSFERASE ALANINE AMINO ALT SGPT                </t>
  </si>
  <si>
    <t xml:space="preserve">ASSAY OF TRIGLYCERIDES                            </t>
  </si>
  <si>
    <t xml:space="preserve">THYROID HORM UPTK/THYROID HORMONE BINDING RATIO   </t>
  </si>
  <si>
    <t xml:space="preserve">ASSAY OF TRIIODOTHYRONINE T3 FREE                 </t>
  </si>
  <si>
    <t xml:space="preserve">ASSAY OF TROPONIN QUANTITATIVE                    </t>
  </si>
  <si>
    <t xml:space="preserve">ASSAY OF UREA NITROGEN QUANTITATIVE               </t>
  </si>
  <si>
    <t xml:space="preserve">ASSAY OF UREA NITROGEN URINE                      </t>
  </si>
  <si>
    <t xml:space="preserve">ASSAY OF BLOOD/URIC ACID                          </t>
  </si>
  <si>
    <t xml:space="preserve">ASSAY OF URIC ACID OTHER SOURCE                   </t>
  </si>
  <si>
    <t xml:space="preserve">ASSAY OF ZINC                                     </t>
  </si>
  <si>
    <t xml:space="preserve">GONADOTROPIN CHORIONIC QUANTITATIVE               </t>
  </si>
  <si>
    <t xml:space="preserve">GONADOTROPIN CHORIONIC QUALITATIVE                </t>
  </si>
  <si>
    <t xml:space="preserve">BLOOD COUNT AUTOMATED DIFFERENTIAL WBC COUNT      </t>
  </si>
  <si>
    <t xml:space="preserve">BLOOD COUNT SMEAR MCRSCP W/MNL DIFRNTL WBC COUNT  </t>
  </si>
  <si>
    <t xml:space="preserve">BLD COUNT SMEAR MCRSCP W/O MNL DIFRNTL WBC COUNT  </t>
  </si>
  <si>
    <t xml:space="preserve">BLOOD COUNT COMPLETE AUTO&amp;AUTO DIFRNTL WBC        </t>
  </si>
  <si>
    <t xml:space="preserve">BLOOD COUNT MANUAL CELL COUNT EACH                </t>
  </si>
  <si>
    <t xml:space="preserve">BLOOD COUNT RETICULOCYTE MANUAL                   </t>
  </si>
  <si>
    <t xml:space="preserve">BLOOD COUNT RETICULOCYTE AUTOMATED                </t>
  </si>
  <si>
    <t xml:space="preserve">BLOOD COUNT LEUKOCYTE WBC AUTOMATED               </t>
  </si>
  <si>
    <t xml:space="preserve">BLOOD COUNT PLATELET AUTOMATED                    </t>
  </si>
  <si>
    <t xml:space="preserve">RETICULATED PLATELET ASSAY                        </t>
  </si>
  <si>
    <t xml:space="preserve">CLOTTING FACTOR VIII AHG 1 STAGE                  </t>
  </si>
  <si>
    <t xml:space="preserve">FIBRIN DGRADJ PRODUCTS D-DIMER QUANTITATIVE       </t>
  </si>
  <si>
    <t xml:space="preserve">PROTHROMBIN TIME                                  </t>
  </si>
  <si>
    <t xml:space="preserve">SEDIMENTATION RATE RBC NON-AUTOMATED              </t>
  </si>
  <si>
    <t xml:space="preserve">SEDIMENTATION RATE RBC AUTOMATED                  </t>
  </si>
  <si>
    <t xml:space="preserve">THROMBOPLASTIN TIME PARTIAL PLASMA/WHOLE BLOOD    </t>
  </si>
  <si>
    <t xml:space="preserve">C-REACTIVE PROTEIN                                </t>
  </si>
  <si>
    <t xml:space="preserve">C-REACTIVE PROTEIN HIGH SENSITIVITY               </t>
  </si>
  <si>
    <t xml:space="preserve">CYCLIC CITRULLINATED PEPTIDE ANTIBODY             </t>
  </si>
  <si>
    <t xml:space="preserve">FLUORESCENT NONNFCT AGT ANTB SCREEN EA ANTIBODY   </t>
  </si>
  <si>
    <t xml:space="preserve">RHEUMATOID FACTOR QUALITATIVE                     </t>
  </si>
  <si>
    <t xml:space="preserve">TB CELL MEDIATED ANTIGN RESPNSE GAMMA INTERFERON  </t>
  </si>
  <si>
    <t xml:space="preserve">SKIN TEST TUBERCULOSIS INTRADERMAL                </t>
  </si>
  <si>
    <t xml:space="preserve">STREPTOKINASE ANTIBODY                            </t>
  </si>
  <si>
    <t xml:space="preserve">SYPHILIS TEST NON-TREPONEMAL ANTIBODY QUAL        </t>
  </si>
  <si>
    <t xml:space="preserve">SYPHILIS TEST QUANTITATIVE                        </t>
  </si>
  <si>
    <t xml:space="preserve">ANTIBODY HELICOBACTER PYLORI                      </t>
  </si>
  <si>
    <t xml:space="preserve">ANTIBODY HIV-1                                    </t>
  </si>
  <si>
    <t xml:space="preserve">ANTIBODY HIV-1&amp;HIV-2 SINGLE RESULT                </t>
  </si>
  <si>
    <t xml:space="preserve">HEPATITIS B CORE ANTIBODY HBCAB TOTAL             </t>
  </si>
  <si>
    <t xml:space="preserve">HEPATITIS B CORE ANTIBODY HBCAB IGM ANTIBODY      </t>
  </si>
  <si>
    <t xml:space="preserve">HEPATITIS B SURF ANTIBODY HBSAB                   </t>
  </si>
  <si>
    <t xml:space="preserve">HEPATITIS A ANTIBODY HAAB                         </t>
  </si>
  <si>
    <t xml:space="preserve">HEPATITIS ANTIBODY HAAB IGM ANTIBODY              </t>
  </si>
  <si>
    <t xml:space="preserve">ANTIBODY MUMPS                                    </t>
  </si>
  <si>
    <t xml:space="preserve">ANTIBODY RUBELLA                                  </t>
  </si>
  <si>
    <t xml:space="preserve">ANTIBODY RUBEOLA                                  </t>
  </si>
  <si>
    <t xml:space="preserve">ANTB SEVERE AQT RESPIR SYND SARS-COV-2 COVID-19   </t>
  </si>
  <si>
    <t xml:space="preserve">ANTIBODY TREPONEMA PALLIDUM                       </t>
  </si>
  <si>
    <t xml:space="preserve">ANTIBODY VARICELLA-ZOSTER                         </t>
  </si>
  <si>
    <t xml:space="preserve">HEPATITIS C ANTIBODY                              </t>
  </si>
  <si>
    <t xml:space="preserve">ANTIBODY SCREEN RBC EACH SERUM TECHNIQUE          </t>
  </si>
  <si>
    <t xml:space="preserve">BLOOD TYPING SEROLOGIC ABO                        </t>
  </si>
  <si>
    <t xml:space="preserve">BLOOD TYPING SEROLOGIC RH (D)                     </t>
  </si>
  <si>
    <t xml:space="preserve">CULTURE BACTERIAL QUANTTATIVE COLONY COUNT URINE  </t>
  </si>
  <si>
    <t xml:space="preserve">OVA&amp;PARASITES DIRECT SMEARS CONCENTRATION &amp; ID    </t>
  </si>
  <si>
    <t xml:space="preserve">SMR PRIM SRC CPLX SPEC STAIN OVA&amp;PARASITS         </t>
  </si>
  <si>
    <t xml:space="preserve">IAAD IA HIV-1 AG W/HIV-1 &amp; HIV-2 ANTBDY SINGLE    </t>
  </si>
  <si>
    <t xml:space="preserve">IADNA CHLAMYDIA TRACHOMATIS AMPLIFIED PROBE TQ    </t>
  </si>
  <si>
    <t xml:space="preserve">IADNA HEPATITIS C QUANT &amp; REVERSE TRANSCRIPTION   </t>
  </si>
  <si>
    <t xml:space="preserve">IAADIADOO INFLUENZA                               </t>
  </si>
  <si>
    <t xml:space="preserve">IAADIADOO STREPTOCOCCUS GROUP A                   </t>
  </si>
  <si>
    <t xml:space="preserve">NFCT AGENT GENOTYPE ALYS NUCLEIC ACD HEP C VIRUS  </t>
  </si>
  <si>
    <t xml:space="preserve">IM ADM PRQ ID SUBQ/IM NJXS 1 VACCINE              </t>
  </si>
  <si>
    <t xml:space="preserve">IM ADM PRQ ID SUBQ/IM NJXS EA VACCINE             </t>
  </si>
  <si>
    <t xml:space="preserve">IM ADM INTRANSL/ORAL EA VACCINE                   </t>
  </si>
  <si>
    <t xml:space="preserve">HEPA VACCINE ADULT DOSE FOR INTRAMUSCULAR USE     </t>
  </si>
  <si>
    <t xml:space="preserve">HEPATITIS A &amp; B VACCINE HEPA-HEPB ADULT IM        </t>
  </si>
  <si>
    <t xml:space="preserve">4VHPV VACCINE 3 DOSE SCHEDULE FOR IM USE          </t>
  </si>
  <si>
    <t xml:space="preserve">9VHPV VACC 2/3 DOSE SCHED IM USE                  </t>
  </si>
  <si>
    <t xml:space="preserve">IIV3 VACC PRESERVATIVE FREE 0.5 ML DOSAGE IM USE  </t>
  </si>
  <si>
    <t xml:space="preserve">PCV13 VACCINE FOR INTRAMUSCULAR USE               </t>
  </si>
  <si>
    <t xml:space="preserve">RIV3 VACCINE PRESERVATIVE FREE FOR IM USE         </t>
  </si>
  <si>
    <t xml:space="preserve">CCIIV4 VACCINE PRESERVATIVE FREE 0.5 ML IM USE    </t>
  </si>
  <si>
    <t xml:space="preserve">IIV4 VACC PRESRV FREE 0.5 ML DOS FOR IM USE       </t>
  </si>
  <si>
    <t xml:space="preserve">MEASLES MUMPS RUBELLA VIRUS VACCINE LIVE SUBQ     </t>
  </si>
  <si>
    <t>TD VACCINE PRSRV FREE 7 YRS OR OLDER FOR IM USE</t>
  </si>
  <si>
    <t xml:space="preserve">TDAP VACCINE 7 YRS/&gt; IM                           </t>
  </si>
  <si>
    <t xml:space="preserve">VAR VACCINE LIVE FOR SUBCUTANEOUS USE             </t>
  </si>
  <si>
    <t xml:space="preserve">PPSV23 VACCINE 2 YRS OR OLDER FOR SUBQ/IM USE     </t>
  </si>
  <si>
    <t xml:space="preserve">MENACWYD/MENACWY-CRM CONJ VACC GRPS ACWY IM USE   </t>
  </si>
  <si>
    <t xml:space="preserve">HEPB VACCINE ADULT 2/4 DOSE SCHEDULE FOR IM USE   </t>
  </si>
  <si>
    <t xml:space="preserve">HEPB VACCINE ADULT 3 DOSE SCHEDULE FOR IM USE     </t>
  </si>
  <si>
    <t xml:space="preserve">HZV ZOSTER VACC RECOMBINANT ADJUVANTED IM USE     </t>
  </si>
  <si>
    <t xml:space="preserve">PSYCHOTHERAPY COMPLEX INTERACTIVE                 </t>
  </si>
  <si>
    <t xml:space="preserve">PSYCHIATRIC DIAGNOSTIC EVALUATION                 </t>
  </si>
  <si>
    <t xml:space="preserve">PSYCHIATRIC DIAGNOSTIC EVAL W/MEDICAL SERVICES    </t>
  </si>
  <si>
    <t xml:space="preserve">PSYCHOTHERAPY W/PATIENT 30 MINUTES                </t>
  </si>
  <si>
    <t xml:space="preserve">PSYCHOTHERAPY W/PATIENT W/E&amp;M SRVCS 30 MIN        </t>
  </si>
  <si>
    <t xml:space="preserve">PSYCHOTHERAPY W/PATIENT 45 MINUTES                </t>
  </si>
  <si>
    <t xml:space="preserve">PSYCHOTHERAPY W/PATIENT W/E&amp;M SRVCS 45 MIN        </t>
  </si>
  <si>
    <t xml:space="preserve">PSYCHOTHERAPY W/PATIENT 60 MINUTES                </t>
  </si>
  <si>
    <t xml:space="preserve">PSYCHOTHERAPY W/PATIENT W/E&amp;M SRVCS 60 MIN        </t>
  </si>
  <si>
    <t xml:space="preserve">PSYCHOTHERAPY FOR CRISIS INITIAL 60 MINUTES       </t>
  </si>
  <si>
    <t xml:space="preserve">GROUP PSYCHOTHERAPY                               </t>
  </si>
  <si>
    <t xml:space="preserve">ELECTROCONVULSIVE THERAPY                         </t>
  </si>
  <si>
    <t xml:space="preserve">UNLISTED PSYCHIATRIC SERVICE/PROCEDURE            </t>
  </si>
  <si>
    <t xml:space="preserve">LIVER ELASTOGRAPHY W/O IMAG W/I&amp;R                 </t>
  </si>
  <si>
    <t xml:space="preserve">OPHTH MEDICAL XM&amp;EVAL INTERMEDIATE NEW PT         </t>
  </si>
  <si>
    <t xml:space="preserve">OPHTH MEDICAL XM&amp;EVAL COMPRE NEW PT 1/&gt; VST       </t>
  </si>
  <si>
    <t xml:space="preserve">OPHTH MEDICAL XM&amp;EVAL INTERMEDIATE ESTAB PT       </t>
  </si>
  <si>
    <t xml:space="preserve">OPHTH MEDICAL XM&amp;EVAL COMPRHNSV ESTAB PT 1/&gt;      </t>
  </si>
  <si>
    <t xml:space="preserve">DETERMINATION REFRACTIVE STATE                    </t>
  </si>
  <si>
    <t xml:space="preserve">OPHTH XM&amp;EVAL ANES W/WO MANJ GLOBE LMTD           </t>
  </si>
  <si>
    <t xml:space="preserve">GONIOSCOPY SEPARATE PROCEDURE                     </t>
  </si>
  <si>
    <t xml:space="preserve">VISUAL FIELD XM UNI/BI W/INTERPRETJ LIMITED EXAM  </t>
  </si>
  <si>
    <t xml:space="preserve">VISUAL FIELD XM UNI/BI W/INTERP EXTENDED EXAM     </t>
  </si>
  <si>
    <t xml:space="preserve">SERIAL TONOMETRY SPX W/MLT MEAS INTRAOCULAR PRES  </t>
  </si>
  <si>
    <t xml:space="preserve">FITTING SPECTACLES XCPT APHAKIA MONOFOCAL         </t>
  </si>
  <si>
    <t xml:space="preserve">FITTING SPECTACLES XCPT APHAKIA BIFOCAL           </t>
  </si>
  <si>
    <t xml:space="preserve">FITTING SPECTACLES XCPT APHAKIA MULTIFOCAL        </t>
  </si>
  <si>
    <t xml:space="preserve">RPR&amp;REFITG SPECTACLES EXCEPT APHAKIA              </t>
  </si>
  <si>
    <t xml:space="preserve">TX SPEECH LANG VOICE COMMJ &amp;/AUDITORY PROC IND    </t>
  </si>
  <si>
    <t xml:space="preserve">EVALUATION OF SPEECH FLUENCY (STUTTER CLUTTER)    </t>
  </si>
  <si>
    <t xml:space="preserve">EVALUATION OF SPEECH SOUND PRODUCTION ARTICULATE  </t>
  </si>
  <si>
    <t xml:space="preserve">EVAL SPEECH SOUND PRODUCT LANGUAGE COMPREHENSION  </t>
  </si>
  <si>
    <t xml:space="preserve">TX SWALLOWING DYSFUNCTION&amp;/ORAL FUNCJ FEEDING     </t>
  </si>
  <si>
    <t xml:space="preserve">SYNTHETIC SENTENCE IDENTIFICATION TEST            </t>
  </si>
  <si>
    <t xml:space="preserve">THER SP-GENRATJ DEV PRGRMG&amp;MODIFICAJ              </t>
  </si>
  <si>
    <t xml:space="preserve">EVAL ORAL&amp;PHARYNGEAL SWLNG FUNCJ                  </t>
  </si>
  <si>
    <t xml:space="preserve">ECG ROUTINE ECG W/LEAST 12 LDS TRCG ONLY W/O I&amp;R  </t>
  </si>
  <si>
    <t xml:space="preserve">ECG ROUTINE ECG W/LEAST 12 LDS I&amp;R ONLY           </t>
  </si>
  <si>
    <t xml:space="preserve">CV STRS TST XERS&amp;/OR RX CONT ECG TRCG ONLY        </t>
  </si>
  <si>
    <t xml:space="preserve">INTERROG DEV EVAL PM/LDLS PM PHYS/QHP IN PERSON   </t>
  </si>
  <si>
    <t xml:space="preserve">INTERROG EVAL F2F 1/DUAL/MLT LEADS IMPLTBL DFB    </t>
  </si>
  <si>
    <t xml:space="preserve">DUPLEX SCAN EXTRACRANIAL ART COMPL BI STUDY       </t>
  </si>
  <si>
    <t xml:space="preserve">DUP-SCAN XTR VEINS COMPLETE BILATERAL STUDY       </t>
  </si>
  <si>
    <t xml:space="preserve">DUP-SCAN XTR VEINS UNILATERAL/LIMITED STUDY       </t>
  </si>
  <si>
    <t xml:space="preserve">DUP-SCAN ARTL FLO ABDL/PEL/SCROT&amp;/RPR ORGN COM    </t>
  </si>
  <si>
    <t xml:space="preserve">SPMTRY W/VC EXPIRATORY FLO W/WO MXML VOL VNTJ     </t>
  </si>
  <si>
    <t xml:space="preserve">ELECTROENCEPHALOGRAM W/REC AWAKE&amp;ASLEEP           </t>
  </si>
  <si>
    <t xml:space="preserve">NEEDLE EMG EA EXTREMTY W/PARASPINL AREA COMPLETE  </t>
  </si>
  <si>
    <t xml:space="preserve">NERVE CONDUCTION STUDIES 3-4 STUDIES              </t>
  </si>
  <si>
    <t xml:space="preserve">NERVE CONDUCTION STUDIES 5-6 STUDIES              </t>
  </si>
  <si>
    <t xml:space="preserve">NERVE CONDUCTION STUDIES 13/&gt; STUDIES             </t>
  </si>
  <si>
    <t xml:space="preserve">UNLISTED NEUROLOGICAL/NEUROMUSCULAR DX PX         </t>
  </si>
  <si>
    <t xml:space="preserve">DEVELOPMENTAL TST ADMIN PHYS/QHP EA ADDL 30 MIN   </t>
  </si>
  <si>
    <t xml:space="preserve">NEUROBEHAVIORAL STATUS XM PHYS/QHP 1ST HOUR       </t>
  </si>
  <si>
    <t xml:space="preserve">NEUROBEHAVIORAL STATUS XM PHYS/QHP EA ADDL HOUR   </t>
  </si>
  <si>
    <t xml:space="preserve">STANDARDIZED COGNITIVE PERFORMANCE TESTING        </t>
  </si>
  <si>
    <t xml:space="preserve">BEHAV ASSMT W/SCORE &amp; DOCD/STAND INSTRUMENT       </t>
  </si>
  <si>
    <t xml:space="preserve">PSYCHOLOGICAL TST EVAL SVC PHYS/QHP FIRST HOUR    </t>
  </si>
  <si>
    <t xml:space="preserve">PSYCHOLOGICAL TST EVAL SVC PHYS/QHP EA ADDL HOUR  </t>
  </si>
  <si>
    <t xml:space="preserve">NEUROPSYCHOLOGICAL TST EVAL PHYS/QHP 1ST HOUR     </t>
  </si>
  <si>
    <t xml:space="preserve">NEUROPSYCHOLOGICAL TST EVAL PHYS/QHP EA ADDL HR   </t>
  </si>
  <si>
    <t xml:space="preserve">PSYL/NRPSYCL TST PHYS/QHP 2+ TST 1ST 30 MIN       </t>
  </si>
  <si>
    <t xml:space="preserve">PSYCL/NRPSYCL TST PHYS/QHP 2+ TST EA ADDL 30 MIN  </t>
  </si>
  <si>
    <t xml:space="preserve">PSYCL/NRPSYCL TST TECH 2+ TST 1ST 30 MIN          </t>
  </si>
  <si>
    <t xml:space="preserve">PSYCL/NRPSYCL TST TECH 2+ TST EA ADDL 30 MIN      </t>
  </si>
  <si>
    <t xml:space="preserve">HEALTH BEHAVIOR ASSESSMENT/RE-ASSESSMENT          </t>
  </si>
  <si>
    <t xml:space="preserve">HEALTH BEHAVIOR IVNTJ INDIV F2F 1ST 30 MIN        </t>
  </si>
  <si>
    <t xml:space="preserve">HEALTH BEHAVIOR IVNTJ INDIV F2F EA ADDL 15 MIN    </t>
  </si>
  <si>
    <t xml:space="preserve">PT-FOCUSED HLTH RISK ASSMT SCORE DOC STND INSTRM  </t>
  </si>
  <si>
    <t xml:space="preserve">IV INFUSION HYDRATION EACH ADDITIONAL HOUR        </t>
  </si>
  <si>
    <t xml:space="preserve">IV INFUSION THERAPY/PROPHYLAXIS /DX 1ST TO 1 HR   </t>
  </si>
  <si>
    <t xml:space="preserve">THERAPEUTIC PROPHYLACTIC/DX INJECTION SUBQ/IM     </t>
  </si>
  <si>
    <t xml:space="preserve">THERAPEUTIC INJECTION IV PUSH EACH NEW DRUG       </t>
  </si>
  <si>
    <t xml:space="preserve">APPL MODALITY 1/&gt; AREAS ELEC STIMJ UNATTENDED     </t>
  </si>
  <si>
    <t xml:space="preserve">APPL MODALITY 1/&gt; AREAS ELEC STIMJ EA 15 MIN      </t>
  </si>
  <si>
    <t xml:space="preserve">APPL MODALITY 1/&gt; AREAS ULTRASOUND EA 15 MIN      </t>
  </si>
  <si>
    <t xml:space="preserve">THERAPEUTIC PX 1/&gt; AREAS EACH 15 MIN EXERCISES    </t>
  </si>
  <si>
    <t xml:space="preserve">THER PX 1/&gt; AREAS EACH 15 MIN NEUROMUSC REEDUCA   </t>
  </si>
  <si>
    <t xml:space="preserve">THER PX 1/&gt; AREAS EACH 15 MIN AQUA THER W/XERSS   </t>
  </si>
  <si>
    <t xml:space="preserve">THER PX 1/&gt; AREAS EA 15 MIN GAIT TRAING W/STAIR   </t>
  </si>
  <si>
    <t xml:space="preserve">THER IVNTJ COG FUNCJ CNTCT 1ST 15 MINUTES         </t>
  </si>
  <si>
    <t xml:space="preserve">MANUAL THERAPY TQS 1/&gt; REGIONS EACH 15 MINUTES    </t>
  </si>
  <si>
    <t xml:space="preserve">THERAPEUTIC PROCEDURES GROUP 2/&gt; INDIVIDUALS      </t>
  </si>
  <si>
    <t xml:space="preserve">PHYSICAL THERAPY EVALUATION LOW COMPLEX 20 MINS   </t>
  </si>
  <si>
    <t xml:space="preserve">PHYSICAL THERAPY EVALUATION MOD COMPLEX 30 MINS   </t>
  </si>
  <si>
    <t xml:space="preserve">PHYSICAL THERAPY EVALUATION HIGH COMPLEX 45 MINS  </t>
  </si>
  <si>
    <t xml:space="preserve">PHYSICAL THERAPY RE-EVAL EST PLAN CARE 20 MINS    </t>
  </si>
  <si>
    <t xml:space="preserve">OCCUPATIONAL THERAPY EVAL LOW COMPLEX 30 MINS     </t>
  </si>
  <si>
    <t xml:space="preserve">OCCUPATIONAL THERAPY EVAL MOD COMPLEX 45 MINS     </t>
  </si>
  <si>
    <t xml:space="preserve">OCCUPATIONAL THERAPY EVAL HIGH COMPLEX 60 MINS    </t>
  </si>
  <si>
    <t xml:space="preserve">THERAPEUT ACTVITY DIRECT PT CONTACT EACH 15 MIN   </t>
  </si>
  <si>
    <t xml:space="preserve">SENSORY INTEGRATIVE TECHNIQUES EACH 15 MINUTES    </t>
  </si>
  <si>
    <t xml:space="preserve">SELF-CARE/HOME MGMT TRAINING EACH 15 MINUTES      </t>
  </si>
  <si>
    <t xml:space="preserve">WHEELCHAIR MGMT EA 15 MIN                         </t>
  </si>
  <si>
    <t xml:space="preserve">DEBRIDEMENT OPEN WOUND 20 SQ CM/&lt;                 </t>
  </si>
  <si>
    <t xml:space="preserve">NEG PRESSURE WOUND THERAPY NON DME &lt;/= 50 SQ CM   </t>
  </si>
  <si>
    <t xml:space="preserve">ORTHOTICS MGMT &amp; TRAING INITIAL ENCTR EA 15 MINS  </t>
  </si>
  <si>
    <t xml:space="preserve">OFFICE/OUTPATIENT NEW SF MDM 15-29 MINUTES        </t>
  </si>
  <si>
    <t xml:space="preserve">OFFICE/OUTPATIENT NEW LOW MDM 30-44 MINUTES       </t>
  </si>
  <si>
    <t xml:space="preserve">OFFICE/OUTPATIENT NEW MODERATE MDM 45-59 MINUTES  </t>
  </si>
  <si>
    <t xml:space="preserve">OFFICE/OUTPATIENT ESTABLISHED SF MDM 10-19 MIN    </t>
  </si>
  <si>
    <t xml:space="preserve">OFFICE/OUTPATIENT ESTABLISHED LOW MDM 20-29 MIN   </t>
  </si>
  <si>
    <t xml:space="preserve">OFFICE/OUTPATIENT ESTABLISHED MOD MDM 30-39 MIN   </t>
  </si>
  <si>
    <t xml:space="preserve">OFFICE/OUTPATIENT ESTABLISHED HIGH MDM 40-54 MIN  </t>
  </si>
  <si>
    <t xml:space="preserve">INITIAL OBSERVATION CARE/DAY 50 MINUTES           </t>
  </si>
  <si>
    <t xml:space="preserve">1ST HOSPITAL IP/OBS CARE SF/LOW MDM 40 MINUTES    </t>
  </si>
  <si>
    <t xml:space="preserve">1ST HOSPITAL IP/OBS CARE MODERATE MDM 55 MINUTES  </t>
  </si>
  <si>
    <t xml:space="preserve">1ST HOSPITAL IP/OBS CARE HIGH MDM 75 MINUTES      </t>
  </si>
  <si>
    <t xml:space="preserve">SBSQ OBSERVATION CARE/DAY 15 MINUTES              </t>
  </si>
  <si>
    <t xml:space="preserve">SBSQ HOSPITAL IP/OBS CARE SF/LOW MDM 25 MINUTES   </t>
  </si>
  <si>
    <t xml:space="preserve">SBSQ HOSPITAL IP/OBS CARE MOD MDM 35 MINUTES      </t>
  </si>
  <si>
    <t xml:space="preserve">SBSQ HOSPITAL IP/OBS CARE HIGH MDM 50 MINUTES     </t>
  </si>
  <si>
    <t xml:space="preserve">HOSPITAL IP/OBS CARE SAME DATE SF/LOW MDM 45 MIN  </t>
  </si>
  <si>
    <t xml:space="preserve">HOSPITAL IP/OBS CARE SAME DATE MOD MDM 70 MIN     </t>
  </si>
  <si>
    <t xml:space="preserve">HOSPITAL IP/OBS CARE SAME DATE HIGH MDM 85 MIN    </t>
  </si>
  <si>
    <t xml:space="preserve">HOSPITAL IP/OBS DISCHARGE DAY MGMT 30 MIN/&lt;       </t>
  </si>
  <si>
    <t xml:space="preserve">HOSPITAL IP/OBS DISCHARGE DAY MGMT &gt; 30 MIN       </t>
  </si>
  <si>
    <t xml:space="preserve">OFFICE/OP CONSLTJ NEW/EST PT LOW MDM 30 MINUTES   </t>
  </si>
  <si>
    <t xml:space="preserve">EMERGENCY DEPARTMENT VISIT MAY NOT REQ PHYS/QHP   </t>
  </si>
  <si>
    <t xml:space="preserve">EMERGENCY DEPARTMENT VISIT STRAIGHTFORWARD MDM    </t>
  </si>
  <si>
    <t xml:space="preserve">EMERGENCY DEPARTMENT VISIT LOW MDM                </t>
  </si>
  <si>
    <t xml:space="preserve">EMERGENCY DEPARTMENT VISIT MODERATE MDM           </t>
  </si>
  <si>
    <t xml:space="preserve">EMERGENCY DEPARTMENT VISIT HIGH MDM               </t>
  </si>
  <si>
    <t xml:space="preserve">INITIAL NURSING FACILITY CARE SF/LOW MDM 25 MIN   </t>
  </si>
  <si>
    <t xml:space="preserve">INITIAL NURSING FACILITY CARE MOD MDM 35 MINUTES  </t>
  </si>
  <si>
    <t xml:space="preserve">INITIAL NURSING FACILITY CARE HI MDM 45 MINUTES   </t>
  </si>
  <si>
    <t xml:space="preserve">SBSQ NURSING FACILITY CARE SF MDM 10 MINUTES      </t>
  </si>
  <si>
    <t xml:space="preserve">SBSQ NURSING FACILITY CARE LOW MDM 15 MINUTES     </t>
  </si>
  <si>
    <t xml:space="preserve">SBSQ NURSING FACILITY CARE MOD MDM 30 MINUTES     </t>
  </si>
  <si>
    <t xml:space="preserve">SBSQ NURSING FACILITY CARE HIGH MDM 45 MINUTES    </t>
  </si>
  <si>
    <t xml:space="preserve">NURSING FACILITY DSCHRG MGMT 30 MIN/&lt; TOT TIME    </t>
  </si>
  <si>
    <t xml:space="preserve">NURSING FACILITY DSCHRG MGMT 30 MIN+ TOT TIME     </t>
  </si>
  <si>
    <t xml:space="preserve">PROLONGED SVC I/P OR OBS SETTING EA ADDL 30 MIN   </t>
  </si>
  <si>
    <t xml:space="preserve">PROLNG E/M SVC BEFORE&amp;/AFTER DIR PT CARE 1ST HR   </t>
  </si>
  <si>
    <t xml:space="preserve">PROLNG E/M BEFORE&amp;/AFTER DIR CARE EA 30 MINUTES   </t>
  </si>
  <si>
    <t xml:space="preserve">INITIAL PREVENTIVE MEDICINE NEW PT AGE 18-39YRS   </t>
  </si>
  <si>
    <t xml:space="preserve">INITIAL PREVENTIVE MEDICINE NEW PATIENT 40-64YRS  </t>
  </si>
  <si>
    <t xml:space="preserve">INITIAL PREVENTIVE MEDICINE NEW PATIENT 65YRS&amp;&gt;   </t>
  </si>
  <si>
    <t xml:space="preserve">PERIODIC PREVENTIVE MED EST PATIENT 18-39 YRS     </t>
  </si>
  <si>
    <t xml:space="preserve">PERIODIC PREVENTIVE MED EST PATIENT 40-64YRS      </t>
  </si>
  <si>
    <t xml:space="preserve">PERIODIC PREVENTIVE MED EST PATIENT 65YRS&amp; OLDER  </t>
  </si>
  <si>
    <t>PREVENT MED COUNSEL&amp;/RISK FACTOR REDJ SPX 15 MIN</t>
  </si>
  <si>
    <t xml:space="preserve">ONLINE DIGITAL E/M SVC EST PT &lt;7 D 5-10 MINUTES   </t>
  </si>
  <si>
    <t xml:space="preserve">ONLINE DIGITAL E/M SVC EST PT &lt;7 D 11-20 MINUTES  </t>
  </si>
  <si>
    <t xml:space="preserve">ONLINE DIGITAL E/M SVC EST PT &lt;7 D 21+ MINUTES    </t>
  </si>
  <si>
    <t xml:space="preserve">PHYS/QHP TELEPHONE EVALUATION 5-10 MIN            </t>
  </si>
  <si>
    <t xml:space="preserve">PHYS/QHP TELEPHONE EVALUATION 11-20 MIN           </t>
  </si>
  <si>
    <t xml:space="preserve">PHYS/QHP TELEPHONE EVALUATION 21-30 MIN           </t>
  </si>
  <si>
    <t xml:space="preserve">PERIODIC ORAL EVALUATION                          </t>
  </si>
  <si>
    <t xml:space="preserve">LIMITED ORAL EVALUATION - PROBLEM FOCUSED         </t>
  </si>
  <si>
    <t>COMPREHENSIVE ORAL EVALUATION - NEW OR ESTABLISHED</t>
  </si>
  <si>
    <t>DETAILED AND EXTENSIVE ORAL EVALUATION - PROBLEM F</t>
  </si>
  <si>
    <t>RE-EVALUATION - LIMITED, PROBLEM FOCUSED (ESTABLIS</t>
  </si>
  <si>
    <t xml:space="preserve"> COMPREHENSIVE PERIODONTAL EVALUATION - NEW OR ESTA</t>
  </si>
  <si>
    <t xml:space="preserve"> INTRAORAL - COMPLETE SERIES (INCLUDING BITEWINGS) </t>
  </si>
  <si>
    <t xml:space="preserve"> INTRAORAL - PERIAPICAL FIRST FILM                 </t>
  </si>
  <si>
    <t xml:space="preserve"> INTRAORAL - PERIAPICAL EACH ADDITIONAL FILM       </t>
  </si>
  <si>
    <t xml:space="preserve"> EXTRAORAL - FIRST FILM                            </t>
  </si>
  <si>
    <t xml:space="preserve"> BITEWINGS - SINGLE FILM                           </t>
  </si>
  <si>
    <t xml:space="preserve"> BITEWINGS - TWO FILMS                             </t>
  </si>
  <si>
    <t xml:space="preserve"> BITEWINGS - THREE FILMS                           </t>
  </si>
  <si>
    <t xml:space="preserve"> BITEWINGS - FOUR FILMS                            </t>
  </si>
  <si>
    <t xml:space="preserve"> PANORAMIC FILM                                    </t>
  </si>
  <si>
    <t xml:space="preserve"> ORAL/FACIAL PHOTOGRAPHIC IMAGES                   </t>
  </si>
  <si>
    <t xml:space="preserve"> PULP VITALITY TESTS                               </t>
  </si>
  <si>
    <t xml:space="preserve"> DIAGNOSTIC CASTS                                  </t>
  </si>
  <si>
    <t xml:space="preserve"> PROPHYLAXIS - ADULT                               </t>
  </si>
  <si>
    <t xml:space="preserve"> PROPHYLAXIS - CHILD                               </t>
  </si>
  <si>
    <t xml:space="preserve"> TOPICAL FLUORIDE VARNISH - THERAPEUTIC APPLICATION</t>
  </si>
  <si>
    <t xml:space="preserve"> TOPICAL APPLICATION OF FLUORIDE                   </t>
  </si>
  <si>
    <t xml:space="preserve"> ORAL HYGIENE INSTRUCTIONS                         </t>
  </si>
  <si>
    <t xml:space="preserve"> SEALANT - PER TOOTH                               </t>
  </si>
  <si>
    <t xml:space="preserve"> INTERIM CARIES ARRESTING MEDICAMENT APPLICATION   </t>
  </si>
  <si>
    <t xml:space="preserve"> AMALGAM - ONE SURFACE, PRIMARY OR PERMANENT       </t>
  </si>
  <si>
    <t xml:space="preserve"> AMALGAM - TWO SURFACES, PRIMARY OR PERMANENT      </t>
  </si>
  <si>
    <t xml:space="preserve"> AMALGAM - THREE SURFACES, PRIMARY OR PERMANENT    </t>
  </si>
  <si>
    <t xml:space="preserve"> AMALGAM - FOUR OR MORE SURFACES, PRIMARY OR PERMAN</t>
  </si>
  <si>
    <t xml:space="preserve"> RESIN-BASED COMPOSITE - ONE SURFACE, ANTERIOR     </t>
  </si>
  <si>
    <t xml:space="preserve"> RESIN-BASED COMPOSITE - TWO SURFACES, ANTERIOR    </t>
  </si>
  <si>
    <t xml:space="preserve"> RESIN-BASED COMPOSITE - THREE SURFACES, ANTERIOR  </t>
  </si>
  <si>
    <t xml:space="preserve"> RESIN-BASED COMPOSITE - FOUR OR MORE SURFACES OR I</t>
  </si>
  <si>
    <t xml:space="preserve"> RESIN-BASED COMPOSITE CROWN, ANTERIOR             </t>
  </si>
  <si>
    <t xml:space="preserve"> RESIN-BASED COMPOSITE - ONE SURFACE, POSTERIOR    </t>
  </si>
  <si>
    <t xml:space="preserve"> RESIN-BASED COMPOSITE - TWO SURFACES, POSTERIOR   </t>
  </si>
  <si>
    <t xml:space="preserve"> RESIN-BASED COMPOSITE - THREE SURFACES, POSTERIOR </t>
  </si>
  <si>
    <t xml:space="preserve"> RESIN-BASED COMPOSITE - FOUR OR MORE SURFACES, POS</t>
  </si>
  <si>
    <t xml:space="preserve"> CROWN - RESIN WITH HIGH NOBLE METAL               </t>
  </si>
  <si>
    <t xml:space="preserve"> CROWN - PORCELAIN/CERAMIC SUBSTRATE               </t>
  </si>
  <si>
    <t xml:space="preserve"> PROVISIONAL CROWN                                 </t>
  </si>
  <si>
    <t xml:space="preserve"> RECEMENT CROWN                                    </t>
  </si>
  <si>
    <t xml:space="preserve"> PREFABRICATED STAINLESS STEEL CROWN - PRIMARY TOOT</t>
  </si>
  <si>
    <t xml:space="preserve"> PREFABRICATED STAINLESS STEEL CROWN - PERMANENT TO</t>
  </si>
  <si>
    <t xml:space="preserve"> PREFABRICATED RESIN CROWN                         </t>
  </si>
  <si>
    <t xml:space="preserve"> SEDATIVE FILLING                                  </t>
  </si>
  <si>
    <t xml:space="preserve"> CORE BUILDUP, INCLUDING ANY PINS                  </t>
  </si>
  <si>
    <t xml:space="preserve"> PREFABRICATED POST AND CORE IN ADDITION TO CROWN  </t>
  </si>
  <si>
    <t xml:space="preserve"> PULP CAP - DIRECT (EXCLUDING FINAL RESTORATION)   </t>
  </si>
  <si>
    <t xml:space="preserve"> PULP CAP - INDIRECT (EXCLUDING FINAL RESTORATION) </t>
  </si>
  <si>
    <t xml:space="preserve"> THERAPEUTIC PULPOTOMY (EXCLUDING FINAL RESTORATION</t>
  </si>
  <si>
    <t xml:space="preserve"> PULPAL DEBRIDEMENT, PRIMARY AND PERMANENT TEETH   </t>
  </si>
  <si>
    <t xml:space="preserve"> ANTERIOR (EXCLUDING FINAL RESTORATION)            </t>
  </si>
  <si>
    <t xml:space="preserve"> BICUSPID (EXCLUDING FINAL RESTORATION)            </t>
  </si>
  <si>
    <t xml:space="preserve"> MOLAR (EXCLUDING FINAL RESTORATION)               </t>
  </si>
  <si>
    <t xml:space="preserve"> CANAL PREPARATION AND FITTING OF PREFORMED DOWEL O</t>
  </si>
  <si>
    <t xml:space="preserve"> GINGIVECTOMY OR GINGIVOPLASTY - ONE TO THREE CONTI</t>
  </si>
  <si>
    <t xml:space="preserve"> GINGIVAL FLAP PROCEDURE, INCLUDING ROOT PLANING - </t>
  </si>
  <si>
    <t xml:space="preserve"> PROVISIONAL SPLINTING - EXTRACORONAL              </t>
  </si>
  <si>
    <t xml:space="preserve"> PERIODONTAL SCALING AND ROOT PLANING - FOUR OR MOR</t>
  </si>
  <si>
    <t xml:space="preserve"> PERIODONTAL SCALING AND ROOT PLANING - ONE TO THRE</t>
  </si>
  <si>
    <t xml:space="preserve"> SCALING IN PRESENCE GINGIVITIS                    </t>
  </si>
  <si>
    <t xml:space="preserve"> FULL MOUTH DEBRIDEMENT TO ENABLE COMPREHENSIVE EVA</t>
  </si>
  <si>
    <t xml:space="preserve"> LOCALIZED DELIVERY OF ANTIMICROBIAL AGENTS VIA A C</t>
  </si>
  <si>
    <t xml:space="preserve"> PERIODONTAL MAINTENANCE                           </t>
  </si>
  <si>
    <t xml:space="preserve"> UNSPECIFIED PERIODONTAL PROCEDURE, BY REPORT      </t>
  </si>
  <si>
    <t xml:space="preserve"> COMPLETE DENTURE - MAXILLARY                      </t>
  </si>
  <si>
    <t xml:space="preserve"> COMPLETE DENTURE - MANDIBULAR                     </t>
  </si>
  <si>
    <t xml:space="preserve"> IMMEDIATE DENTURE - MAXILLARY                     </t>
  </si>
  <si>
    <t xml:space="preserve"> IMMEDIATE DENTURE - MANDIBULAR                    </t>
  </si>
  <si>
    <t xml:space="preserve"> MAXILLARY PARTIAL DENTURE - RESIN BASE (INCLUDING </t>
  </si>
  <si>
    <t xml:space="preserve"> MANDIBULAR PARTIAL DENTURE - RESIN BASE (INCLUDING</t>
  </si>
  <si>
    <t xml:space="preserve"> MAXILLARY PARTIAL DENTURE - CAST METAL FRAMEWORK W</t>
  </si>
  <si>
    <t xml:space="preserve"> MANDIBULAR PARTIAL DENTURE - CAST METAL FRAMEWORK </t>
  </si>
  <si>
    <t xml:space="preserve"> ADJUST COMPLETE DENTURE - MAXILLARY               </t>
  </si>
  <si>
    <t xml:space="preserve"> ADJUST COMPLETE DENTURE - MANDIBULAR              </t>
  </si>
  <si>
    <t xml:space="preserve"> ADJUST PARTIAL DENTURE - MAXILLARY                </t>
  </si>
  <si>
    <t xml:space="preserve"> ADJUST PARTIAL DENTURE - MANDIBULAR               </t>
  </si>
  <si>
    <t xml:space="preserve"> REPAIR BROKEN DENTURE BASE, MANDIBULAR            </t>
  </si>
  <si>
    <t xml:space="preserve"> REPLACE MISSING OR BROKEN TEETH - COMPLETE DENTURE</t>
  </si>
  <si>
    <t xml:space="preserve"> REPAIR RESIN PARTIAL DENTURE BASE, MANDIBULAR     </t>
  </si>
  <si>
    <t xml:space="preserve"> REPAIR RESIN PARTIAL DENTURE BASE, MAXILLARY      </t>
  </si>
  <si>
    <t xml:space="preserve"> REPAIR OR REPLACE BROKEN CLASP                    </t>
  </si>
  <si>
    <t xml:space="preserve"> REPLACE BROKEN TEETH - PER TOOTH                  </t>
  </si>
  <si>
    <t xml:space="preserve"> ADD TOOTH TO EXISTING PARTIAL DENTURE             </t>
  </si>
  <si>
    <t xml:space="preserve"> ADD CLASP TO EXISTING PARTIAL DENTURE             </t>
  </si>
  <si>
    <t xml:space="preserve"> REBASE COMPLETE MAXILLARY DENTURE                 </t>
  </si>
  <si>
    <t xml:space="preserve"> REBASE MANDIBULAR PARTIAL DENTURE                 </t>
  </si>
  <si>
    <t xml:space="preserve"> RELINE COMPLETE MAXILLARY DENTURE (CHAIRSIDE)     </t>
  </si>
  <si>
    <t xml:space="preserve"> RELINE COMPLETE MANDIBULAR DENTURE (CHAIRSIDE)    </t>
  </si>
  <si>
    <t xml:space="preserve"> RELINE MAXILLARY PARTIAL DENTURE (CHAIRSIDE)      </t>
  </si>
  <si>
    <t xml:space="preserve"> RELINE MANDIBULAR PARTIAL DENTURE (CHAIRSIDE)     </t>
  </si>
  <si>
    <t xml:space="preserve"> RELINE COMPLETE MAXILLARY DENTURE (LABORATORY)    </t>
  </si>
  <si>
    <t xml:space="preserve"> RELINE COMPLETE MANDIBULAR DENTURE (LABORATORY)   </t>
  </si>
  <si>
    <t xml:space="preserve"> RELINE MAXILLARY PARTIAL DENTURE (LABORATORY)     </t>
  </si>
  <si>
    <t xml:space="preserve"> RELINE MANDIBULAR PARTIAL DENTURE (LABORATORY)    </t>
  </si>
  <si>
    <t xml:space="preserve"> INTERIM PARTIAL DENTURE (MAXILLARY)               </t>
  </si>
  <si>
    <t xml:space="preserve"> TISSUE CONDITIONING, MAXILLARY                    </t>
  </si>
  <si>
    <t xml:space="preserve"> TISSUE CONDITIONING, MANDIBULAR                   </t>
  </si>
  <si>
    <t xml:space="preserve"> UNSPECIFIED REMOVABLE PROSTHODONTIC PROCEDURE, BY </t>
  </si>
  <si>
    <t xml:space="preserve"> RECEMENT FIXED PARTIAL DENTURE                    </t>
  </si>
  <si>
    <t xml:space="preserve"> EXTRACTION, CORONAL REMNANTS - DECIDUOUS TOOTH    </t>
  </si>
  <si>
    <t xml:space="preserve"> EXTRACTION, ERUPTED TOOTH OR EXPOSED ROOT (ELEVATI</t>
  </si>
  <si>
    <t xml:space="preserve"> SURGICAL REMOVAL OF ERUPTED TOOTH REQUIRING ELEVAT</t>
  </si>
  <si>
    <t xml:space="preserve"> REMOVAL OF IMPACTED TOOTH - SOFT TISSUE           </t>
  </si>
  <si>
    <t xml:space="preserve"> REMOVAL OF IMPACTED TOOTH - PARTIALLY BONY        </t>
  </si>
  <si>
    <t xml:space="preserve"> REMOVAL OF IMPACTED TOOTH - COMPLETELY BONY       </t>
  </si>
  <si>
    <t xml:space="preserve"> SURGICAL REMOVAL OF RESIDUAL TOOTH ROOTS (CUTTING </t>
  </si>
  <si>
    <t xml:space="preserve"> TOOTH REIMPLANTATION AND/OR STABILIZATION OF ACCID</t>
  </si>
  <si>
    <t xml:space="preserve"> BIOPSY OF ORAL TISSUE - SOFT                      </t>
  </si>
  <si>
    <t xml:space="preserve"> ALVEOLOPLASTY IN CONJUNCTION WITH EXTRACTIONS - PE</t>
  </si>
  <si>
    <t xml:space="preserve"> ALVEOLOPLASTY IN CONJUNCTION WITH EXTRACTIONS - ON</t>
  </si>
  <si>
    <t xml:space="preserve"> ALVEOLOPLASTY NOT IN CONJUNCTION WITH EXTRACTIONS </t>
  </si>
  <si>
    <t xml:space="preserve"> EXCISION OF BENIGN LESION UP TO 1.25 CM           </t>
  </si>
  <si>
    <t xml:space="preserve"> EXCISION OF BENIGN LESION GREATER THAN 1.25 CM    </t>
  </si>
  <si>
    <t xml:space="preserve"> INCISION AND DRAINAGE OF ABSCESS - INTRAORAL SOFT </t>
  </si>
  <si>
    <t xml:space="preserve"> REMOVAL OF FOREIGN BODY FROM MUCOSA, SKIN, OR SUBC</t>
  </si>
  <si>
    <t xml:space="preserve"> SUTURE OF RECENT SMALL WOUNDS UP TO 5 CM          </t>
  </si>
  <si>
    <t xml:space="preserve"> UNSPECIFIED ORAL SURGERY PROCEDURE, BY REPORT     </t>
  </si>
  <si>
    <t xml:space="preserve"> UNSPECIFIED ORTHODONTIC PROCEDURE, BY REPORT      </t>
  </si>
  <si>
    <t xml:space="preserve"> PALLIATIVE (EMERGENCY) TREATMENT OF DENTAL PAIN - </t>
  </si>
  <si>
    <t xml:space="preserve"> LOCAL ANESTHESIA NOT IN CONJUNCTION WITH OPERATIVE</t>
  </si>
  <si>
    <t xml:space="preserve"> LOCAL ANESTHESIA                                  </t>
  </si>
  <si>
    <t xml:space="preserve"> CONSULTATION (DIAGNOSTIC SERVICE PROVIDED BY DENTI</t>
  </si>
  <si>
    <t xml:space="preserve"> OFFICE VISIT FOR OBSERVATION (DURING REGULARLY SCH</t>
  </si>
  <si>
    <t xml:space="preserve"> OFFICE VISIT - AFTER REGULARLY SCHEDULED HOURS    </t>
  </si>
  <si>
    <t xml:space="preserve"> OTHER DRUGS AND/OR MEDICAMENTS, BY REPORT         </t>
  </si>
  <si>
    <t xml:space="preserve"> APPLICATION OF DESENSITIZING MEDICAMENT           </t>
  </si>
  <si>
    <t xml:space="preserve"> APPLICATION OF DESENSITIZING RESIN FOR CERVICAL AN</t>
  </si>
  <si>
    <t xml:space="preserve"> TREATMENT OF COMPLICATIONS (POST-SURGICAL) - UNUSU</t>
  </si>
  <si>
    <t xml:space="preserve"> CLEANING/INSPECT COMPLETE DENTURE, MAXILLARY      </t>
  </si>
  <si>
    <t xml:space="preserve"> CLEANING/INSPECT COMPLETE DENTURE, MANDIBULAR     </t>
  </si>
  <si>
    <t xml:space="preserve"> CLEANING/INSPECT PARTIAL DENTURE, MAXILLARY       </t>
  </si>
  <si>
    <t xml:space="preserve"> CLEANING/INSPECT PARTIAL DENTURE, MANDIBULAR      </t>
  </si>
  <si>
    <t xml:space="preserve"> OCCLUSAL ADJUSTMENT - LIMITED                     </t>
  </si>
  <si>
    <t xml:space="preserve"> UNSPECIFIED ADJUNCTIVE PROCEDURE, BY REPORT       </t>
  </si>
  <si>
    <t xml:space="preserve"> CHLOHEXIDINE W/ANTISPTC, 1ML                      </t>
  </si>
  <si>
    <t xml:space="preserve"> FOR DIABETICS ONLY, FITTING (INCLUDING FOLLOW-UP),</t>
  </si>
  <si>
    <t xml:space="preserve"> ADMINISTRATION OF INFLUENZA VIRUS VACCINE         </t>
  </si>
  <si>
    <t xml:space="preserve"> ADMINISTRATION OF PNEUMOCOCCAL VACCINE            </t>
  </si>
  <si>
    <t xml:space="preserve"> ADMINISTRATION OF HEPATITIS B VACCINE             </t>
  </si>
  <si>
    <t xml:space="preserve"> TRIMMING OF DYSTROPHIC NAILS, ANY NUMBER          </t>
  </si>
  <si>
    <t>ANNUAL WELLNESS VISIT, INCLUDES A PERSONALIZED PRE</t>
  </si>
  <si>
    <t xml:space="preserve"> INJECTION, TRIAMCINOLONE ACETONIDE, NOT OTHERWISE </t>
  </si>
  <si>
    <t xml:space="preserve"> ANKLE ORTHOSIS, ANKLE GAUNTLET OR SIMILAR, WITH OR</t>
  </si>
  <si>
    <t xml:space="preserve"> ORTHOPEDIC FOOTWEAR, MENS SHOES, DEPTH INLAY, EACH</t>
  </si>
  <si>
    <t xml:space="preserve"> TELEHEALTH ORIGINATING SITE FACILITY FEE          </t>
  </si>
  <si>
    <t xml:space="preserve"> INFECTIOUS AGENT DETECTION BY NUCLEIC ACID (DNA OR</t>
  </si>
  <si>
    <t>LABORATORY</t>
  </si>
  <si>
    <t>RADIOLOGY</t>
  </si>
  <si>
    <t>D0120</t>
  </si>
  <si>
    <t>A4248</t>
  </si>
  <si>
    <t>A5500</t>
  </si>
  <si>
    <t>G0008</t>
  </si>
  <si>
    <t>G0009</t>
  </si>
  <si>
    <t>G0010</t>
  </si>
  <si>
    <t>G0127</t>
  </si>
  <si>
    <t>G0439</t>
  </si>
  <si>
    <t>J3301</t>
  </si>
  <si>
    <t>U0003</t>
  </si>
  <si>
    <t>Q3014</t>
  </si>
  <si>
    <t>L1902</t>
  </si>
  <si>
    <t>L3221</t>
  </si>
  <si>
    <t>D0140</t>
  </si>
  <si>
    <t>D0150</t>
  </si>
  <si>
    <t>D0160</t>
  </si>
  <si>
    <t>D0170</t>
  </si>
  <si>
    <t>D0180</t>
  </si>
  <si>
    <t>D0210</t>
  </si>
  <si>
    <t>D0220</t>
  </si>
  <si>
    <t>D0230</t>
  </si>
  <si>
    <t>D0250</t>
  </si>
  <si>
    <t>D0270</t>
  </si>
  <si>
    <t>D0272</t>
  </si>
  <si>
    <t>D0273</t>
  </si>
  <si>
    <t>D0274</t>
  </si>
  <si>
    <t>D0330</t>
  </si>
  <si>
    <t>D0350</t>
  </si>
  <si>
    <t>D0460</t>
  </si>
  <si>
    <t>D0470</t>
  </si>
  <si>
    <t>D1110</t>
  </si>
  <si>
    <t>D1120</t>
  </si>
  <si>
    <t>D1206</t>
  </si>
  <si>
    <t>D1208</t>
  </si>
  <si>
    <t>D1330</t>
  </si>
  <si>
    <t>D1351</t>
  </si>
  <si>
    <t>D1354</t>
  </si>
  <si>
    <t>D2140</t>
  </si>
  <si>
    <t>D2150</t>
  </si>
  <si>
    <t>D2160</t>
  </si>
  <si>
    <t>D2161</t>
  </si>
  <si>
    <t>D2330</t>
  </si>
  <si>
    <t>D2331</t>
  </si>
  <si>
    <t>D2332</t>
  </si>
  <si>
    <t>D2335</t>
  </si>
  <si>
    <t>D2390</t>
  </si>
  <si>
    <t>D9999</t>
  </si>
  <si>
    <t>D9951</t>
  </si>
  <si>
    <t>D9935</t>
  </si>
  <si>
    <t>D9934</t>
  </si>
  <si>
    <t>D9933</t>
  </si>
  <si>
    <t>D9932</t>
  </si>
  <si>
    <t>D9930</t>
  </si>
  <si>
    <t>D9911</t>
  </si>
  <si>
    <t>D9910</t>
  </si>
  <si>
    <t>D9630</t>
  </si>
  <si>
    <t>D9440</t>
  </si>
  <si>
    <t>D9430</t>
  </si>
  <si>
    <t>D9310</t>
  </si>
  <si>
    <t>D9215</t>
  </si>
  <si>
    <t>D9210</t>
  </si>
  <si>
    <t>D9110</t>
  </si>
  <si>
    <t>D2391</t>
  </si>
  <si>
    <t>D2392</t>
  </si>
  <si>
    <t>D2393</t>
  </si>
  <si>
    <t>D2394</t>
  </si>
  <si>
    <t>D2720</t>
  </si>
  <si>
    <t>D2740</t>
  </si>
  <si>
    <t>D2799</t>
  </si>
  <si>
    <t>D2920</t>
  </si>
  <si>
    <t>D2930</t>
  </si>
  <si>
    <t>D2931</t>
  </si>
  <si>
    <t>D2932</t>
  </si>
  <si>
    <t>D2940</t>
  </si>
  <si>
    <t>D2950</t>
  </si>
  <si>
    <t>D2954</t>
  </si>
  <si>
    <t>D3110</t>
  </si>
  <si>
    <t>D3120</t>
  </si>
  <si>
    <t>D3220</t>
  </si>
  <si>
    <t>D3221</t>
  </si>
  <si>
    <t>D3310</t>
  </si>
  <si>
    <t>D3320</t>
  </si>
  <si>
    <t>D3330</t>
  </si>
  <si>
    <t>D3950</t>
  </si>
  <si>
    <t>D4211</t>
  </si>
  <si>
    <t>D4241</t>
  </si>
  <si>
    <t>D4323</t>
  </si>
  <si>
    <t>D4341</t>
  </si>
  <si>
    <t>D4342</t>
  </si>
  <si>
    <t>D4346</t>
  </si>
  <si>
    <t>D4355</t>
  </si>
  <si>
    <t>D4381</t>
  </si>
  <si>
    <t>D4910</t>
  </si>
  <si>
    <t>D4999</t>
  </si>
  <si>
    <t>D5110</t>
  </si>
  <si>
    <t>D5120</t>
  </si>
  <si>
    <t>D5130</t>
  </si>
  <si>
    <t>D5140</t>
  </si>
  <si>
    <t>D5211</t>
  </si>
  <si>
    <t>D5212</t>
  </si>
  <si>
    <t>D5213</t>
  </si>
  <si>
    <t>D5214</t>
  </si>
  <si>
    <t>D5410</t>
  </si>
  <si>
    <t>D5411</t>
  </si>
  <si>
    <t>D5421</t>
  </si>
  <si>
    <t>D5511</t>
  </si>
  <si>
    <t>D5422</t>
  </si>
  <si>
    <t>D5520</t>
  </si>
  <si>
    <t>D5611</t>
  </si>
  <si>
    <t>D5612</t>
  </si>
  <si>
    <t>D8999</t>
  </si>
  <si>
    <t>D7999</t>
  </si>
  <si>
    <t>D5630</t>
  </si>
  <si>
    <t>D5640</t>
  </si>
  <si>
    <t>D5650</t>
  </si>
  <si>
    <t>D5660</t>
  </si>
  <si>
    <t>D5710</t>
  </si>
  <si>
    <t>D5721</t>
  </si>
  <si>
    <t>D5730</t>
  </si>
  <si>
    <t>D5731</t>
  </si>
  <si>
    <t>D5740</t>
  </si>
  <si>
    <t>D5741</t>
  </si>
  <si>
    <t>D5750</t>
  </si>
  <si>
    <t>D5751</t>
  </si>
  <si>
    <t>D5760</t>
  </si>
  <si>
    <t>D5761</t>
  </si>
  <si>
    <t>D5820</t>
  </si>
  <si>
    <t>D5850</t>
  </si>
  <si>
    <t>D5851</t>
  </si>
  <si>
    <t>D5899</t>
  </si>
  <si>
    <t>D6930</t>
  </si>
  <si>
    <t>D7111</t>
  </si>
  <si>
    <t>D7140</t>
  </si>
  <si>
    <t>D7210</t>
  </si>
  <si>
    <t>D7220</t>
  </si>
  <si>
    <t>D7230</t>
  </si>
  <si>
    <t>D7240</t>
  </si>
  <si>
    <t>D7250</t>
  </si>
  <si>
    <t>D7270</t>
  </si>
  <si>
    <t>D7286</t>
  </si>
  <si>
    <t>D7310</t>
  </si>
  <si>
    <t>D7311</t>
  </si>
  <si>
    <t>D7320</t>
  </si>
  <si>
    <t>D7321</t>
  </si>
  <si>
    <t>D7410</t>
  </si>
  <si>
    <t>D7411</t>
  </si>
  <si>
    <t>D7510</t>
  </si>
  <si>
    <t>D7530</t>
  </si>
  <si>
    <t>D7910</t>
  </si>
  <si>
    <t>Physical Therapy</t>
  </si>
  <si>
    <t>Hospital Name: Patton State Hospital</t>
  </si>
  <si>
    <t>HCAI Facility No: 106361768</t>
  </si>
  <si>
    <r>
      <rPr>
        <b/>
        <sz val="20"/>
        <color theme="1"/>
        <rFont val="Arial"/>
        <family val="2"/>
      </rPr>
      <t>Department of State Hospitals</t>
    </r>
    <r>
      <rPr>
        <sz val="11"/>
        <color theme="1"/>
        <rFont val="Arial"/>
        <family val="2"/>
      </rPr>
      <t xml:space="preserve">
</t>
    </r>
    <r>
      <rPr>
        <b/>
        <sz val="16"/>
        <color theme="1"/>
        <rFont val="Arial"/>
        <family val="2"/>
      </rPr>
      <t>Charge Description Master</t>
    </r>
    <r>
      <rPr>
        <b/>
        <sz val="11"/>
        <color theme="1"/>
        <rFont val="Arial"/>
        <family val="2"/>
      </rPr>
      <t xml:space="preserve">
</t>
    </r>
    <r>
      <rPr>
        <b/>
        <sz val="16"/>
        <color theme="1"/>
        <rFont val="Arial"/>
        <family val="2"/>
      </rPr>
      <t>Patton</t>
    </r>
    <r>
      <rPr>
        <b/>
        <sz val="16"/>
        <rFont val="Arial"/>
        <family val="2"/>
      </rPr>
      <t xml:space="preserve"> State Hospital</t>
    </r>
  </si>
  <si>
    <r>
      <rPr>
        <b/>
        <sz val="20"/>
        <color theme="1"/>
        <rFont val="Arial"/>
        <family val="2"/>
      </rPr>
      <t>Department of State Hospitals</t>
    </r>
    <r>
      <rPr>
        <b/>
        <sz val="11"/>
        <color theme="1"/>
        <rFont val="Arial"/>
        <family val="2"/>
      </rPr>
      <t xml:space="preserve">
</t>
    </r>
    <r>
      <rPr>
        <b/>
        <sz val="16"/>
        <color theme="1"/>
        <rFont val="Arial"/>
        <family val="2"/>
      </rPr>
      <t xml:space="preserve">Chargemaster Change Impact
</t>
    </r>
    <r>
      <rPr>
        <b/>
        <sz val="16"/>
        <rFont val="Arial"/>
        <family val="2"/>
      </rPr>
      <t>Patton State Hospital</t>
    </r>
  </si>
  <si>
    <t>Above figures are obtained from Monthly Revenue and Usage Statistics Report (CP842BC). These figures factor in the utilization rates of procedure codes. Services that were not billed to patients are not included in the above figures. Service costs were updated on 1/1/24.</t>
  </si>
  <si>
    <t>Prior Year Charges (6/1/22-5/31/23)</t>
  </si>
  <si>
    <t>Current Year Charges (6/1/23-6/1/24)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</si>
</sst>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1"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b/>
      <sz val="10"/>
      <name val="Arial"/>
      <family val="2"/>
    </font>
    <font>
      <sz val="11"/>
      <color theme="1"/>
      <name val="Arial"/>
      <family val="2"/>
    </font>
    <font>
      <b/>
      <sz val="20"/>
      <color theme="1"/>
      <name val="Arial"/>
      <family val="2"/>
    </font>
    <font>
      <b/>
      <sz val="16"/>
      <color theme="1"/>
      <name val="Arial"/>
      <family val="2"/>
    </font>
    <font>
      <b/>
      <sz val="11"/>
      <color theme="1"/>
      <name val="Arial"/>
      <family val="2"/>
    </font>
    <font>
      <b/>
      <sz val="16"/>
      <name val="Arial"/>
      <family val="2"/>
    </font>
    <font>
      <b/>
      <sz val="12"/>
      <name val="Arial"/>
      <family val="2"/>
    </font>
    <font>
      <sz val="12"/>
      <name val="Arial"/>
      <family val="2"/>
    </font>
    <font>
      <sz val="12"/>
      <color rgb="FF000000"/>
      <name val="Arial"/>
      <family val="2"/>
    </font>
    <font>
      <sz val="12"/>
      <color rgb="FFFF0000"/>
      <name val="Arial"/>
      <family val="2"/>
    </font>
  </fonts>
  <fills count="9">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
      <patternFill patternType="solid">
        <fgColor theme="4" tint="0.39997558519241921"/>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FFFFFF"/>
        <bgColor rgb="FF000000"/>
      </patternFill>
    </fill>
  </fills>
  <borders count="45">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s>
  <cellStyleXfs count="1">
    <xf numFmtId="0" fontId="0" fillId="0" borderId="0"/>
  </cellStyleXfs>
  <cellXfs count="112">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0" fontId="2" fillId="0" borderId="19" xfId="0" applyFont="1" applyBorder="1" applyAlignment="1">
      <alignment horizontal="left"/>
    </xf>
    <xf numFmtId="0" fontId="4" fillId="0" borderId="20"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19"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1"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7" xfId="0" applyNumberFormat="1" applyFont="1" applyBorder="1" applyAlignment="1">
      <alignment horizontal="left" indent="1"/>
    </xf>
    <xf numFmtId="0" fontId="4" fillId="4" borderId="14" xfId="0" applyFont="1" applyFill="1" applyBorder="1" applyAlignment="1">
      <alignment horizontal="center" wrapText="1"/>
    </xf>
    <xf numFmtId="0" fontId="4" fillId="4" borderId="17" xfId="0" applyFont="1" applyFill="1" applyBorder="1" applyAlignment="1">
      <alignment horizontal="center" vertical="center" wrapText="1"/>
    </xf>
    <xf numFmtId="17" fontId="1" fillId="0" borderId="14" xfId="0" applyNumberFormat="1" applyFont="1" applyBorder="1" applyAlignment="1">
      <alignment horizontal="left" indent="1"/>
    </xf>
    <xf numFmtId="164" fontId="4" fillId="0" borderId="7" xfId="0" applyNumberFormat="1" applyFont="1" applyBorder="1"/>
    <xf numFmtId="164" fontId="4" fillId="0" borderId="8" xfId="0" applyNumberFormat="1" applyFont="1" applyBorder="1"/>
    <xf numFmtId="164" fontId="4" fillId="0" borderId="18" xfId="0" applyNumberFormat="1" applyFont="1" applyBorder="1"/>
    <xf numFmtId="0" fontId="12" fillId="0" borderId="0" xfId="0" applyFont="1" applyFill="1" applyAlignment="1">
      <alignment vertical="center" wrapText="1"/>
    </xf>
    <xf numFmtId="0" fontId="0" fillId="6" borderId="28" xfId="0" applyFill="1" applyBorder="1"/>
    <xf numFmtId="9" fontId="0" fillId="6" borderId="28" xfId="0" applyNumberFormat="1" applyFill="1" applyBorder="1" applyAlignment="1">
      <alignment horizontal="center"/>
    </xf>
    <xf numFmtId="0" fontId="17" fillId="7" borderId="29" xfId="0" applyFont="1" applyFill="1" applyBorder="1" applyAlignment="1">
      <alignment horizontal="center" vertical="center"/>
    </xf>
    <xf numFmtId="164" fontId="17" fillId="7" borderId="30" xfId="0" applyNumberFormat="1" applyFont="1" applyFill="1" applyBorder="1" applyAlignment="1">
      <alignment horizontal="center" vertical="center" wrapText="1"/>
    </xf>
    <xf numFmtId="0" fontId="0" fillId="7" borderId="24" xfId="0" applyFill="1" applyBorder="1"/>
    <xf numFmtId="9" fontId="17" fillId="7" borderId="30" xfId="0" applyNumberFormat="1" applyFont="1" applyFill="1" applyBorder="1" applyAlignment="1">
      <alignment horizontal="center" vertical="center"/>
    </xf>
    <xf numFmtId="0" fontId="18" fillId="0" borderId="31" xfId="0" applyFont="1" applyBorder="1"/>
    <xf numFmtId="164" fontId="0" fillId="0" borderId="32" xfId="0" applyNumberFormat="1" applyBorder="1"/>
    <xf numFmtId="10" fontId="0" fillId="0" borderId="33" xfId="0" applyNumberFormat="1" applyBorder="1"/>
    <xf numFmtId="0" fontId="18" fillId="0" borderId="34" xfId="0" applyFont="1" applyBorder="1"/>
    <xf numFmtId="164" fontId="0" fillId="0" borderId="35" xfId="0" applyNumberFormat="1" applyBorder="1"/>
    <xf numFmtId="10" fontId="0" fillId="0" borderId="36" xfId="0" applyNumberFormat="1" applyBorder="1"/>
    <xf numFmtId="0" fontId="17" fillId="0" borderId="37" xfId="0" applyFont="1" applyBorder="1"/>
    <xf numFmtId="164" fontId="17" fillId="0" borderId="38" xfId="0" applyNumberFormat="1" applyFont="1" applyBorder="1"/>
    <xf numFmtId="0" fontId="17" fillId="7" borderId="39" xfId="0" applyFont="1" applyFill="1" applyBorder="1"/>
    <xf numFmtId="10" fontId="17" fillId="0" borderId="40" xfId="0" applyNumberFormat="1" applyFont="1" applyBorder="1"/>
    <xf numFmtId="0" fontId="18" fillId="0" borderId="41" xfId="0" applyFont="1" applyBorder="1"/>
    <xf numFmtId="0" fontId="19" fillId="0" borderId="0" xfId="0" applyFont="1" applyAlignment="1">
      <alignment vertical="center"/>
    </xf>
    <xf numFmtId="0" fontId="0" fillId="0" borderId="0" xfId="0" applyNumberFormat="1" applyAlignment="1">
      <alignment horizontal="left"/>
    </xf>
    <xf numFmtId="0" fontId="0" fillId="0" borderId="0" xfId="0" applyNumberFormat="1"/>
    <xf numFmtId="164" fontId="0" fillId="0" borderId="0" xfId="0" applyNumberFormat="1"/>
    <xf numFmtId="0" fontId="1" fillId="0" borderId="14" xfId="0" applyFont="1" applyBorder="1" applyAlignment="1">
      <alignment horizontal="left" indent="1"/>
    </xf>
    <xf numFmtId="0" fontId="2" fillId="2" borderId="15" xfId="0" applyNumberFormat="1" applyFont="1" applyFill="1" applyBorder="1" applyAlignment="1">
      <alignment horizontal="center" vertical="center" wrapText="1"/>
    </xf>
    <xf numFmtId="0" fontId="2" fillId="2" borderId="15" xfId="0" applyFont="1" applyFill="1" applyBorder="1" applyAlignment="1">
      <alignment horizontal="center" vertical="center"/>
    </xf>
    <xf numFmtId="164" fontId="2" fillId="2" borderId="15" xfId="0" applyNumberFormat="1" applyFont="1" applyFill="1" applyBorder="1" applyAlignment="1">
      <alignment horizontal="center" vertical="center" wrapText="1"/>
    </xf>
    <xf numFmtId="0" fontId="19" fillId="0" borderId="15" xfId="0" applyNumberFormat="1" applyFont="1" applyBorder="1" applyAlignment="1">
      <alignment horizontal="center" vertical="center"/>
    </xf>
    <xf numFmtId="0" fontId="19" fillId="0" borderId="15" xfId="0" applyFont="1" applyBorder="1" applyAlignment="1">
      <alignment vertical="center"/>
    </xf>
    <xf numFmtId="164" fontId="19" fillId="0" borderId="15" xfId="0" applyNumberFormat="1" applyFont="1" applyBorder="1" applyAlignment="1">
      <alignment horizontal="center" vertical="center"/>
    </xf>
    <xf numFmtId="0" fontId="0" fillId="0" borderId="15" xfId="0" applyBorder="1"/>
    <xf numFmtId="0" fontId="18" fillId="0" borderId="15" xfId="0" applyFont="1" applyBorder="1"/>
    <xf numFmtId="0" fontId="19" fillId="8" borderId="15" xfId="0" applyNumberFormat="1" applyFont="1" applyFill="1" applyBorder="1" applyAlignment="1">
      <alignment horizontal="center" vertical="center"/>
    </xf>
    <xf numFmtId="0" fontId="19" fillId="8" borderId="15" xfId="0" applyFont="1" applyFill="1" applyBorder="1" applyAlignment="1">
      <alignment vertical="center"/>
    </xf>
    <xf numFmtId="164" fontId="19" fillId="0" borderId="19" xfId="0" applyNumberFormat="1" applyFont="1" applyBorder="1" applyAlignment="1">
      <alignment vertical="center" readingOrder="1"/>
    </xf>
    <xf numFmtId="164" fontId="19" fillId="0" borderId="21" xfId="0" applyNumberFormat="1" applyFont="1" applyBorder="1" applyAlignment="1">
      <alignment vertical="center" readingOrder="1"/>
    </xf>
    <xf numFmtId="164" fontId="18" fillId="0" borderId="21" xfId="0" applyNumberFormat="1" applyFont="1" applyBorder="1"/>
    <xf numFmtId="0" fontId="0" fillId="7" borderId="43" xfId="0" applyFill="1" applyBorder="1"/>
    <xf numFmtId="0" fontId="0" fillId="7" borderId="44" xfId="0" applyFill="1" applyBorder="1"/>
    <xf numFmtId="0" fontId="0" fillId="0" borderId="0" xfId="0" applyBorder="1"/>
    <xf numFmtId="0" fontId="18" fillId="0" borderId="0" xfId="0" applyFont="1" applyBorder="1"/>
    <xf numFmtId="164" fontId="19" fillId="0" borderId="0" xfId="0" applyNumberFormat="1" applyFont="1" applyBorder="1" applyAlignment="1">
      <alignment vertical="center" readingOrder="1"/>
    </xf>
    <xf numFmtId="164" fontId="18" fillId="0" borderId="0" xfId="0" applyNumberFormat="1" applyFont="1" applyBorder="1"/>
    <xf numFmtId="0" fontId="4" fillId="0" borderId="21" xfId="0" applyFont="1" applyBorder="1" applyAlignment="1">
      <alignment horizontal="left" wrapText="1"/>
    </xf>
    <xf numFmtId="0" fontId="4" fillId="0" borderId="22" xfId="0" applyFont="1" applyBorder="1" applyAlignment="1">
      <alignment horizontal="left" wrapText="1"/>
    </xf>
    <xf numFmtId="0" fontId="4" fillId="0" borderId="16" xfId="0" applyFont="1" applyBorder="1" applyAlignment="1">
      <alignment horizontal="left" wrapText="1"/>
    </xf>
    <xf numFmtId="0" fontId="12" fillId="5" borderId="15" xfId="0" applyFont="1" applyFill="1" applyBorder="1" applyAlignment="1">
      <alignment horizontal="center" vertical="center" wrapText="1"/>
    </xf>
    <xf numFmtId="0" fontId="15" fillId="5" borderId="23" xfId="0" applyFont="1" applyFill="1" applyBorder="1" applyAlignment="1">
      <alignment horizontal="center" vertical="center" wrapText="1"/>
    </xf>
    <xf numFmtId="0" fontId="15" fillId="5" borderId="24" xfId="0" applyFont="1" applyFill="1" applyBorder="1" applyAlignment="1">
      <alignment horizontal="center" vertical="center" wrapText="1"/>
    </xf>
    <xf numFmtId="0" fontId="15" fillId="5" borderId="25" xfId="0" applyFont="1" applyFill="1" applyBorder="1" applyAlignment="1">
      <alignment horizontal="center" vertical="center" wrapText="1"/>
    </xf>
    <xf numFmtId="0" fontId="17" fillId="6" borderId="26" xfId="0" applyFont="1" applyFill="1" applyBorder="1" applyAlignment="1">
      <alignment horizontal="center"/>
    </xf>
    <xf numFmtId="0" fontId="17" fillId="6" borderId="27" xfId="0" applyFont="1" applyFill="1" applyBorder="1" applyAlignment="1">
      <alignment horizontal="center"/>
    </xf>
    <xf numFmtId="0" fontId="20" fillId="0" borderId="42"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0</xdr:colOff>
      <xdr:row>0</xdr:row>
      <xdr:rowOff>1123950</xdr:rowOff>
    </xdr:to>
    <xdr:pic>
      <xdr:nvPicPr>
        <xdr:cNvPr id="2" name="Picture 1">
          <a:extLst>
            <a:ext uri="{FF2B5EF4-FFF2-40B4-BE49-F238E27FC236}">
              <a16:creationId xmlns:a16="http://schemas.microsoft.com/office/drawing/2014/main" id="{CA18A9EF-3DA3-445C-A96D-20940FD975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85850" cy="11239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38100</xdr:colOff>
      <xdr:row>0</xdr:row>
      <xdr:rowOff>28574</xdr:rowOff>
    </xdr:from>
    <xdr:to>
      <xdr:col>1</xdr:col>
      <xdr:colOff>104775</xdr:colOff>
      <xdr:row>0</xdr:row>
      <xdr:rowOff>1009650</xdr:rowOff>
    </xdr:to>
    <xdr:pic>
      <xdr:nvPicPr>
        <xdr:cNvPr id="2" name="Picture 1">
          <a:extLst>
            <a:ext uri="{FF2B5EF4-FFF2-40B4-BE49-F238E27FC236}">
              <a16:creationId xmlns:a16="http://schemas.microsoft.com/office/drawing/2014/main" id="{261D80F5-2B5E-44E6-AEA8-016EA2ABCA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8125" y="228599"/>
          <a:ext cx="828675" cy="97155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0</v>
      </c>
      <c r="B1" s="13" t="s">
        <v>1</v>
      </c>
      <c r="C1" s="13" t="s">
        <v>2</v>
      </c>
    </row>
    <row r="2" spans="1:3" x14ac:dyDescent="0.2">
      <c r="A2" s="10">
        <v>210</v>
      </c>
      <c r="B2" s="2" t="s">
        <v>3</v>
      </c>
      <c r="C2" s="2" t="s">
        <v>4</v>
      </c>
    </row>
    <row r="3" spans="1:3" x14ac:dyDescent="0.2">
      <c r="A3" s="12">
        <v>201</v>
      </c>
      <c r="B3" s="2" t="s">
        <v>5</v>
      </c>
      <c r="C3" s="2" t="s">
        <v>6</v>
      </c>
    </row>
    <row r="4" spans="1:3" x14ac:dyDescent="0.2">
      <c r="A4" s="10">
        <v>167</v>
      </c>
      <c r="B4" s="1" t="s">
        <v>7</v>
      </c>
      <c r="C4" s="1" t="s">
        <v>8</v>
      </c>
    </row>
    <row r="5" spans="1:3" x14ac:dyDescent="0.2">
      <c r="A5" s="10">
        <v>148</v>
      </c>
      <c r="B5" s="1" t="s">
        <v>9</v>
      </c>
      <c r="C5" s="1" t="s">
        <v>8</v>
      </c>
    </row>
    <row r="6" spans="1:3" x14ac:dyDescent="0.2">
      <c r="A6" s="10">
        <v>142</v>
      </c>
      <c r="B6" s="1" t="s">
        <v>10</v>
      </c>
      <c r="C6" s="1" t="s">
        <v>8</v>
      </c>
    </row>
    <row r="7" spans="1:3" x14ac:dyDescent="0.2">
      <c r="A7" s="10">
        <v>134</v>
      </c>
      <c r="B7" s="2" t="s">
        <v>11</v>
      </c>
      <c r="C7" s="2" t="s">
        <v>4</v>
      </c>
    </row>
    <row r="8" spans="1:3" x14ac:dyDescent="0.2">
      <c r="A8" s="10">
        <v>127</v>
      </c>
      <c r="B8" s="3" t="s">
        <v>12</v>
      </c>
      <c r="C8" s="1" t="s">
        <v>8</v>
      </c>
    </row>
    <row r="9" spans="1:3" x14ac:dyDescent="0.2">
      <c r="A9" s="10">
        <v>127</v>
      </c>
      <c r="B9" s="1" t="s">
        <v>13</v>
      </c>
      <c r="C9" s="1" t="s">
        <v>14</v>
      </c>
    </row>
    <row r="10" spans="1:3" x14ac:dyDescent="0.2">
      <c r="A10" s="10">
        <v>121</v>
      </c>
      <c r="B10" s="2" t="s">
        <v>15</v>
      </c>
      <c r="C10" s="2" t="s">
        <v>16</v>
      </c>
    </row>
    <row r="11" spans="1:3" x14ac:dyDescent="0.2">
      <c r="A11" s="10">
        <v>119</v>
      </c>
      <c r="B11" s="2" t="s">
        <v>17</v>
      </c>
      <c r="C11" s="2" t="s">
        <v>18</v>
      </c>
    </row>
    <row r="12" spans="1:3" x14ac:dyDescent="0.2">
      <c r="A12" s="10">
        <v>116</v>
      </c>
      <c r="B12" s="2" t="s">
        <v>19</v>
      </c>
      <c r="C12" s="2" t="s">
        <v>20</v>
      </c>
    </row>
    <row r="13" spans="1:3" x14ac:dyDescent="0.2">
      <c r="A13" s="10">
        <v>114</v>
      </c>
      <c r="B13" s="1" t="s">
        <v>21</v>
      </c>
      <c r="C13" s="1" t="s">
        <v>8</v>
      </c>
    </row>
    <row r="14" spans="1:3" x14ac:dyDescent="0.2">
      <c r="A14" s="10">
        <v>103</v>
      </c>
      <c r="B14" s="1" t="s">
        <v>22</v>
      </c>
      <c r="C14" s="2" t="s">
        <v>18</v>
      </c>
    </row>
    <row r="15" spans="1:3" x14ac:dyDescent="0.2">
      <c r="A15" s="10">
        <v>96</v>
      </c>
      <c r="B15" s="1" t="s">
        <v>23</v>
      </c>
      <c r="C15" s="2" t="s">
        <v>24</v>
      </c>
    </row>
    <row r="16" spans="1:3" x14ac:dyDescent="0.2">
      <c r="A16" s="10">
        <v>96</v>
      </c>
      <c r="B16" s="2" t="s">
        <v>25</v>
      </c>
      <c r="C16" s="2" t="s">
        <v>18</v>
      </c>
    </row>
    <row r="17" spans="1:3" x14ac:dyDescent="0.2">
      <c r="A17" s="10">
        <v>90</v>
      </c>
      <c r="B17" s="3" t="s">
        <v>26</v>
      </c>
      <c r="C17" s="2" t="s">
        <v>18</v>
      </c>
    </row>
    <row r="18" spans="1:3" x14ac:dyDescent="0.2">
      <c r="A18" s="10">
        <v>89</v>
      </c>
      <c r="B18" s="2" t="s">
        <v>27</v>
      </c>
      <c r="C18" s="2" t="s">
        <v>18</v>
      </c>
    </row>
    <row r="19" spans="1:3" x14ac:dyDescent="0.2">
      <c r="A19" s="10">
        <v>80</v>
      </c>
      <c r="B19" s="2" t="s">
        <v>28</v>
      </c>
      <c r="C19" s="2" t="s">
        <v>18</v>
      </c>
    </row>
    <row r="20" spans="1:3" x14ac:dyDescent="0.2">
      <c r="A20" s="10">
        <v>79</v>
      </c>
      <c r="B20" s="1" t="s">
        <v>29</v>
      </c>
      <c r="C20" s="1" t="s">
        <v>8</v>
      </c>
    </row>
    <row r="21" spans="1:3" x14ac:dyDescent="0.2">
      <c r="A21" s="12">
        <v>71</v>
      </c>
      <c r="B21" s="5" t="s">
        <v>30</v>
      </c>
      <c r="C21" s="2" t="s">
        <v>18</v>
      </c>
    </row>
    <row r="22" spans="1:3" x14ac:dyDescent="0.2">
      <c r="A22" s="10">
        <v>69</v>
      </c>
      <c r="B22" s="1" t="s">
        <v>31</v>
      </c>
      <c r="C22" s="1" t="s">
        <v>8</v>
      </c>
    </row>
    <row r="23" spans="1:3" x14ac:dyDescent="0.2">
      <c r="A23" s="10">
        <v>69</v>
      </c>
      <c r="B23" s="2" t="s">
        <v>32</v>
      </c>
      <c r="C23" s="2" t="s">
        <v>16</v>
      </c>
    </row>
    <row r="24" spans="1:3" x14ac:dyDescent="0.2">
      <c r="A24" s="10">
        <v>67</v>
      </c>
      <c r="B24" s="2" t="s">
        <v>33</v>
      </c>
      <c r="C24" s="2" t="s">
        <v>34</v>
      </c>
    </row>
    <row r="25" spans="1:3" x14ac:dyDescent="0.2">
      <c r="A25" s="10">
        <v>65</v>
      </c>
      <c r="B25" s="2" t="s">
        <v>35</v>
      </c>
      <c r="C25" s="2" t="s">
        <v>6</v>
      </c>
    </row>
    <row r="26" spans="1:3" x14ac:dyDescent="0.2">
      <c r="A26" s="12">
        <v>65</v>
      </c>
      <c r="B26" s="1" t="s">
        <v>36</v>
      </c>
      <c r="C26" s="1" t="s">
        <v>14</v>
      </c>
    </row>
    <row r="27" spans="1:3" x14ac:dyDescent="0.2">
      <c r="A27" s="10">
        <v>64</v>
      </c>
      <c r="B27" s="2" t="s">
        <v>37</v>
      </c>
      <c r="C27" s="2" t="s">
        <v>18</v>
      </c>
    </row>
    <row r="28" spans="1:3" x14ac:dyDescent="0.2">
      <c r="A28" s="10">
        <v>62</v>
      </c>
      <c r="B28" s="1" t="s">
        <v>38</v>
      </c>
      <c r="C28" s="1" t="s">
        <v>39</v>
      </c>
    </row>
    <row r="29" spans="1:3" x14ac:dyDescent="0.2">
      <c r="A29" s="10">
        <v>62</v>
      </c>
      <c r="B29" s="2" t="s">
        <v>40</v>
      </c>
      <c r="C29" s="2" t="s">
        <v>18</v>
      </c>
    </row>
    <row r="30" spans="1:3" x14ac:dyDescent="0.2">
      <c r="A30" s="10">
        <v>59</v>
      </c>
      <c r="B30" s="2" t="s">
        <v>41</v>
      </c>
      <c r="C30" s="1" t="s">
        <v>8</v>
      </c>
    </row>
    <row r="31" spans="1:3" x14ac:dyDescent="0.2">
      <c r="A31" s="10">
        <v>59</v>
      </c>
      <c r="B31" s="4" t="s">
        <v>42</v>
      </c>
      <c r="C31" s="1" t="s">
        <v>8</v>
      </c>
    </row>
    <row r="32" spans="1:3" x14ac:dyDescent="0.2">
      <c r="A32" s="10">
        <v>56</v>
      </c>
      <c r="B32" s="2" t="s">
        <v>43</v>
      </c>
      <c r="C32" s="1" t="s">
        <v>8</v>
      </c>
    </row>
    <row r="33" spans="1:3" x14ac:dyDescent="0.2">
      <c r="A33" s="10">
        <v>51</v>
      </c>
      <c r="B33" s="1" t="s">
        <v>44</v>
      </c>
      <c r="C33" s="2" t="s">
        <v>20</v>
      </c>
    </row>
    <row r="34" spans="1:3" x14ac:dyDescent="0.2">
      <c r="A34" s="10">
        <v>50</v>
      </c>
      <c r="B34" s="1" t="s">
        <v>45</v>
      </c>
      <c r="C34" s="2" t="s">
        <v>46</v>
      </c>
    </row>
    <row r="35" spans="1:3" x14ac:dyDescent="0.2">
      <c r="A35" s="10">
        <v>50</v>
      </c>
      <c r="B35" s="3" t="s">
        <v>47</v>
      </c>
      <c r="C35" s="2" t="s">
        <v>18</v>
      </c>
    </row>
    <row r="36" spans="1:3" x14ac:dyDescent="0.2">
      <c r="A36" s="10">
        <v>49</v>
      </c>
      <c r="B36" s="1" t="s">
        <v>48</v>
      </c>
      <c r="C36" s="1" t="s">
        <v>8</v>
      </c>
    </row>
    <row r="37" spans="1:3" x14ac:dyDescent="0.2">
      <c r="A37" s="12">
        <v>47</v>
      </c>
      <c r="B37" s="2" t="s">
        <v>49</v>
      </c>
      <c r="C37" s="1" t="s">
        <v>8</v>
      </c>
    </row>
    <row r="38" spans="1:3" x14ac:dyDescent="0.2">
      <c r="A38" s="10">
        <v>47</v>
      </c>
      <c r="B38" s="1" t="s">
        <v>50</v>
      </c>
      <c r="C38" s="2" t="s">
        <v>24</v>
      </c>
    </row>
    <row r="39" spans="1:3" x14ac:dyDescent="0.2">
      <c r="A39" s="10">
        <v>47</v>
      </c>
      <c r="B39" s="1" t="s">
        <v>51</v>
      </c>
      <c r="C39" s="2" t="s">
        <v>18</v>
      </c>
    </row>
    <row r="40" spans="1:3" x14ac:dyDescent="0.2">
      <c r="A40" s="10">
        <v>46</v>
      </c>
      <c r="B40" s="1" t="s">
        <v>52</v>
      </c>
      <c r="C40" s="1" t="s">
        <v>8</v>
      </c>
    </row>
    <row r="41" spans="1:3" x14ac:dyDescent="0.2">
      <c r="A41" s="10">
        <v>42</v>
      </c>
      <c r="B41" s="2" t="s">
        <v>53</v>
      </c>
      <c r="C41" s="2" t="s">
        <v>20</v>
      </c>
    </row>
    <row r="42" spans="1:3" x14ac:dyDescent="0.2">
      <c r="A42" s="10">
        <v>42</v>
      </c>
      <c r="B42" s="2" t="s">
        <v>54</v>
      </c>
      <c r="C42" s="2" t="s">
        <v>18</v>
      </c>
    </row>
    <row r="43" spans="1:3" x14ac:dyDescent="0.2">
      <c r="A43" s="10">
        <v>41</v>
      </c>
      <c r="B43" s="1" t="s">
        <v>55</v>
      </c>
      <c r="C43" s="2" t="s">
        <v>24</v>
      </c>
    </row>
    <row r="44" spans="1:3" x14ac:dyDescent="0.2">
      <c r="A44" s="10">
        <v>41</v>
      </c>
      <c r="B44" s="3" t="s">
        <v>56</v>
      </c>
      <c r="C44" s="2" t="s">
        <v>18</v>
      </c>
    </row>
    <row r="45" spans="1:3" x14ac:dyDescent="0.2">
      <c r="A45" s="10">
        <v>41</v>
      </c>
      <c r="B45" s="2" t="s">
        <v>57</v>
      </c>
      <c r="C45" s="2" t="s">
        <v>18</v>
      </c>
    </row>
    <row r="46" spans="1:3" x14ac:dyDescent="0.2">
      <c r="A46" s="12">
        <v>39</v>
      </c>
      <c r="B46" s="2" t="s">
        <v>58</v>
      </c>
      <c r="C46" s="1" t="s">
        <v>8</v>
      </c>
    </row>
    <row r="47" spans="1:3" x14ac:dyDescent="0.2">
      <c r="A47" s="10">
        <v>39</v>
      </c>
      <c r="B47" s="3" t="s">
        <v>59</v>
      </c>
      <c r="C47" s="2" t="s">
        <v>18</v>
      </c>
    </row>
    <row r="48" spans="1:3" x14ac:dyDescent="0.2">
      <c r="A48" s="10">
        <v>37</v>
      </c>
      <c r="B48" s="2" t="s">
        <v>60</v>
      </c>
      <c r="C48" s="2" t="s">
        <v>18</v>
      </c>
    </row>
    <row r="49" spans="1:3" x14ac:dyDescent="0.2">
      <c r="A49" s="10">
        <v>36</v>
      </c>
      <c r="B49" s="1" t="s">
        <v>61</v>
      </c>
      <c r="C49" s="1" t="s">
        <v>14</v>
      </c>
    </row>
    <row r="50" spans="1:3" x14ac:dyDescent="0.2">
      <c r="A50" s="10">
        <v>35</v>
      </c>
      <c r="B50" s="2" t="s">
        <v>62</v>
      </c>
      <c r="C50" s="2" t="s">
        <v>18</v>
      </c>
    </row>
    <row r="51" spans="1:3" x14ac:dyDescent="0.2">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5"/>
  <sheetViews>
    <sheetView showGridLines="0" tabSelected="1" zoomScaleNormal="100" zoomScalePageLayoutView="160" workbookViewId="0"/>
  </sheetViews>
  <sheetFormatPr defaultColWidth="8.88671875" defaultRowHeight="14.25" x14ac:dyDescent="0.2"/>
  <cols>
    <col min="1" max="1" width="54" style="6" customWidth="1"/>
    <col min="2" max="2" width="12.6640625" style="9" customWidth="1"/>
    <col min="3" max="3" width="16.88671875" style="6" customWidth="1"/>
    <col min="4" max="4" width="8.88671875" style="6"/>
    <col min="5" max="5" width="8.6640625" style="6" customWidth="1"/>
    <col min="6" max="16384" width="8.88671875" style="6"/>
  </cols>
  <sheetData>
    <row r="1" spans="1:4" ht="15" customHeight="1" x14ac:dyDescent="0.25">
      <c r="A1" s="14" t="s">
        <v>912</v>
      </c>
      <c r="B1" s="15"/>
      <c r="C1" s="16"/>
    </row>
    <row r="2" spans="1:4" ht="15" customHeight="1" x14ac:dyDescent="0.25">
      <c r="A2" s="17" t="s">
        <v>913</v>
      </c>
      <c r="C2" s="18"/>
    </row>
    <row r="3" spans="1:4" ht="15" customHeight="1" x14ac:dyDescent="0.25">
      <c r="A3" s="17" t="s">
        <v>112</v>
      </c>
      <c r="C3" s="18"/>
    </row>
    <row r="4" spans="1:4" ht="15" x14ac:dyDescent="0.25">
      <c r="A4" s="35"/>
      <c r="B4" s="21"/>
      <c r="C4" s="22"/>
    </row>
    <row r="5" spans="1:4" ht="73.5" customHeight="1" x14ac:dyDescent="0.2">
      <c r="A5" s="102" t="s">
        <v>64</v>
      </c>
      <c r="B5" s="103"/>
      <c r="C5" s="104"/>
    </row>
    <row r="6" spans="1:4" ht="15" customHeight="1" x14ac:dyDescent="0.25">
      <c r="A6" s="28" t="s">
        <v>65</v>
      </c>
      <c r="B6" s="48" t="s">
        <v>98</v>
      </c>
      <c r="C6" s="27" t="s">
        <v>66</v>
      </c>
      <c r="D6" s="32"/>
    </row>
    <row r="7" spans="1:4" ht="15" customHeight="1" x14ac:dyDescent="0.2">
      <c r="A7" s="23" t="s">
        <v>93</v>
      </c>
      <c r="B7" s="50">
        <v>99282</v>
      </c>
      <c r="C7" s="57">
        <v>48.25</v>
      </c>
    </row>
    <row r="8" spans="1:4" ht="15" customHeight="1" x14ac:dyDescent="0.2">
      <c r="A8" s="24" t="s">
        <v>94</v>
      </c>
      <c r="B8" s="51">
        <v>99283</v>
      </c>
      <c r="C8" s="58">
        <v>82.63</v>
      </c>
    </row>
    <row r="9" spans="1:4" ht="15" customHeight="1" x14ac:dyDescent="0.2">
      <c r="A9" s="49" t="s">
        <v>95</v>
      </c>
      <c r="B9" s="51">
        <v>99284</v>
      </c>
      <c r="C9" s="58">
        <v>139.38</v>
      </c>
    </row>
    <row r="10" spans="1:4" ht="15" customHeight="1" x14ac:dyDescent="0.2">
      <c r="A10" s="49" t="s">
        <v>96</v>
      </c>
      <c r="B10" s="51">
        <v>99285</v>
      </c>
      <c r="C10" s="58">
        <v>201.99</v>
      </c>
    </row>
    <row r="11" spans="1:4" ht="15" customHeight="1" x14ac:dyDescent="0.2">
      <c r="A11" s="56" t="s">
        <v>97</v>
      </c>
      <c r="B11" s="51">
        <v>99213</v>
      </c>
      <c r="C11" s="58">
        <v>78.78</v>
      </c>
    </row>
    <row r="12" spans="1:4" ht="15" customHeight="1" x14ac:dyDescent="0.25">
      <c r="A12" s="28" t="s">
        <v>67</v>
      </c>
      <c r="B12" s="48" t="s">
        <v>98</v>
      </c>
      <c r="C12" s="27" t="s">
        <v>66</v>
      </c>
      <c r="D12" s="32"/>
    </row>
    <row r="13" spans="1:4" ht="15" customHeight="1" x14ac:dyDescent="0.2">
      <c r="A13" s="23" t="s">
        <v>10</v>
      </c>
      <c r="B13" s="50">
        <v>80048</v>
      </c>
      <c r="C13" s="57">
        <v>9.31</v>
      </c>
    </row>
    <row r="14" spans="1:4" ht="15" customHeight="1" x14ac:dyDescent="0.2">
      <c r="A14" s="24" t="s">
        <v>68</v>
      </c>
      <c r="B14" s="51">
        <v>85025</v>
      </c>
      <c r="C14" s="58">
        <v>8.5500000000000007</v>
      </c>
    </row>
    <row r="15" spans="1:4" ht="15" customHeight="1" x14ac:dyDescent="0.2">
      <c r="A15" s="24" t="s">
        <v>7</v>
      </c>
      <c r="B15" s="51">
        <v>80053</v>
      </c>
      <c r="C15" s="58">
        <v>11.62</v>
      </c>
    </row>
    <row r="16" spans="1:4" ht="15" customHeight="1" x14ac:dyDescent="0.2">
      <c r="A16" s="25" t="s">
        <v>41</v>
      </c>
      <c r="B16" s="51">
        <v>82550</v>
      </c>
      <c r="C16" s="58">
        <v>7.16</v>
      </c>
    </row>
    <row r="17" spans="1:6" ht="15" customHeight="1" x14ac:dyDescent="0.2">
      <c r="A17" s="24" t="s">
        <v>31</v>
      </c>
      <c r="B17" s="51">
        <v>80061</v>
      </c>
      <c r="C17" s="58">
        <v>14.73</v>
      </c>
    </row>
    <row r="18" spans="1:6" ht="15" customHeight="1" x14ac:dyDescent="0.2">
      <c r="A18" s="24" t="s">
        <v>48</v>
      </c>
      <c r="B18" s="51">
        <v>85730</v>
      </c>
      <c r="C18" s="58">
        <v>6.61</v>
      </c>
    </row>
    <row r="19" spans="1:6" ht="15" customHeight="1" x14ac:dyDescent="0.2">
      <c r="A19" s="25" t="s">
        <v>12</v>
      </c>
      <c r="B19" s="51">
        <v>85610</v>
      </c>
      <c r="C19" s="58">
        <v>4.72</v>
      </c>
    </row>
    <row r="20" spans="1:6" ht="15" customHeight="1" x14ac:dyDescent="0.2">
      <c r="A20" s="52" t="s">
        <v>42</v>
      </c>
      <c r="B20" s="51">
        <v>84443</v>
      </c>
      <c r="C20" s="58">
        <v>18.48</v>
      </c>
    </row>
    <row r="21" spans="1:6" ht="15" customHeight="1" x14ac:dyDescent="0.2">
      <c r="A21" s="24" t="s">
        <v>52</v>
      </c>
      <c r="B21" s="51">
        <v>84484</v>
      </c>
      <c r="C21" s="58">
        <v>13.72</v>
      </c>
    </row>
    <row r="22" spans="1:6" ht="15" customHeight="1" x14ac:dyDescent="0.2">
      <c r="A22" s="24" t="s">
        <v>69</v>
      </c>
      <c r="B22" s="54">
        <v>81002</v>
      </c>
      <c r="C22" s="58">
        <v>3.83</v>
      </c>
    </row>
    <row r="23" spans="1:6" ht="15" customHeight="1" x14ac:dyDescent="0.2">
      <c r="A23" s="25" t="s">
        <v>49</v>
      </c>
      <c r="B23" s="54">
        <v>81001</v>
      </c>
      <c r="C23" s="58">
        <v>3.49</v>
      </c>
    </row>
    <row r="24" spans="1:6" ht="15" customHeight="1" x14ac:dyDescent="0.25">
      <c r="A24" s="29" t="s">
        <v>70</v>
      </c>
      <c r="B24" s="48" t="s">
        <v>98</v>
      </c>
      <c r="C24" s="27" t="s">
        <v>66</v>
      </c>
      <c r="D24" s="32"/>
    </row>
    <row r="25" spans="1:6" ht="15" customHeight="1" x14ac:dyDescent="0.2">
      <c r="A25" s="24" t="s">
        <v>71</v>
      </c>
      <c r="B25" s="51">
        <v>76700</v>
      </c>
      <c r="C25" s="58">
        <v>157.65</v>
      </c>
    </row>
    <row r="26" spans="1:6" ht="15" customHeight="1" x14ac:dyDescent="0.2">
      <c r="A26" s="25" t="s">
        <v>72</v>
      </c>
      <c r="B26" s="51">
        <v>72110</v>
      </c>
      <c r="C26" s="58">
        <v>69.98</v>
      </c>
      <c r="E26"/>
      <c r="F26"/>
    </row>
    <row r="27" spans="1:6" ht="15" customHeight="1" x14ac:dyDescent="0.2">
      <c r="A27" s="25" t="s">
        <v>3</v>
      </c>
      <c r="B27" s="51">
        <v>71046</v>
      </c>
      <c r="C27" s="58">
        <v>45.31</v>
      </c>
    </row>
    <row r="28" spans="1:6" ht="15" customHeight="1" x14ac:dyDescent="0.25">
      <c r="A28" s="28" t="s">
        <v>73</v>
      </c>
      <c r="B28" s="48" t="s">
        <v>92</v>
      </c>
      <c r="C28" s="46" t="s">
        <v>66</v>
      </c>
      <c r="D28" s="32"/>
    </row>
    <row r="29" spans="1:6" ht="15" customHeight="1" x14ac:dyDescent="0.2">
      <c r="A29" s="24" t="s">
        <v>74</v>
      </c>
      <c r="B29" s="51">
        <v>97161</v>
      </c>
      <c r="C29" s="58">
        <v>128.05000000000001</v>
      </c>
    </row>
    <row r="30" spans="1:6" ht="15" customHeight="1" x14ac:dyDescent="0.2">
      <c r="A30" s="24" t="s">
        <v>75</v>
      </c>
      <c r="B30" s="51">
        <v>97116</v>
      </c>
      <c r="C30" s="58">
        <v>37.630000000000003</v>
      </c>
    </row>
    <row r="31" spans="1:6" ht="15" customHeight="1" x14ac:dyDescent="0.2">
      <c r="A31" s="53" t="s">
        <v>76</v>
      </c>
      <c r="B31" s="55">
        <v>97110</v>
      </c>
      <c r="C31" s="59">
        <v>37.630000000000003</v>
      </c>
    </row>
    <row r="32" spans="1:6" ht="15" customHeight="1" x14ac:dyDescent="0.25">
      <c r="A32" s="28" t="s">
        <v>77</v>
      </c>
      <c r="B32" s="26" t="s">
        <v>98</v>
      </c>
      <c r="C32" s="27" t="s">
        <v>66</v>
      </c>
      <c r="D32" s="32"/>
    </row>
    <row r="33" spans="1:4" ht="15" customHeight="1" x14ac:dyDescent="0.2">
      <c r="A33" s="25" t="s">
        <v>78</v>
      </c>
      <c r="B33" s="54">
        <v>49505</v>
      </c>
      <c r="C33" s="58">
        <v>622.07000000000005</v>
      </c>
    </row>
    <row r="34" spans="1:4" ht="29.25" customHeight="1" x14ac:dyDescent="0.25">
      <c r="A34" s="28" t="s">
        <v>79</v>
      </c>
      <c r="B34" s="47" t="s">
        <v>98</v>
      </c>
      <c r="C34" s="27" t="s">
        <v>66</v>
      </c>
    </row>
    <row r="35" spans="1:4" ht="15" customHeight="1" x14ac:dyDescent="0.2">
      <c r="A35" s="78" t="s">
        <v>573</v>
      </c>
      <c r="B35" s="50">
        <v>99231</v>
      </c>
      <c r="C35" s="33">
        <v>58.53</v>
      </c>
    </row>
    <row r="36" spans="1:4" ht="15" customHeight="1" x14ac:dyDescent="0.2">
      <c r="A36" s="82" t="s">
        <v>590</v>
      </c>
      <c r="B36" s="51">
        <v>99307</v>
      </c>
      <c r="C36" s="34">
        <v>48.47</v>
      </c>
    </row>
    <row r="37" spans="1:4" ht="21" customHeight="1" thickBot="1" x14ac:dyDescent="0.3">
      <c r="A37" s="19" t="s">
        <v>80</v>
      </c>
      <c r="B37" s="7"/>
      <c r="C37" s="20">
        <v>25</v>
      </c>
      <c r="D37" s="32"/>
    </row>
    <row r="38" spans="1:4" ht="15" customHeight="1" thickTop="1" x14ac:dyDescent="0.2">
      <c r="A38" s="30" t="s">
        <v>81</v>
      </c>
      <c r="B38" s="31"/>
      <c r="C38" s="36"/>
    </row>
    <row r="39" spans="1:4" ht="15" customHeight="1" x14ac:dyDescent="0.2">
      <c r="A39" s="37" t="s">
        <v>82</v>
      </c>
      <c r="B39" s="38"/>
      <c r="C39" s="39"/>
    </row>
    <row r="40" spans="1:4" ht="15" customHeight="1" x14ac:dyDescent="0.2">
      <c r="A40" s="37" t="s">
        <v>83</v>
      </c>
      <c r="B40" s="40"/>
      <c r="C40" s="41"/>
    </row>
    <row r="41" spans="1:4" ht="15" customHeight="1" x14ac:dyDescent="0.2">
      <c r="A41" s="37" t="s">
        <v>84</v>
      </c>
      <c r="B41" s="40"/>
      <c r="C41" s="41"/>
    </row>
    <row r="42" spans="1:4" ht="15" customHeight="1" x14ac:dyDescent="0.2">
      <c r="A42" s="37" t="s">
        <v>85</v>
      </c>
      <c r="B42" s="40"/>
      <c r="C42" s="41"/>
    </row>
    <row r="43" spans="1:4" ht="15" customHeight="1" x14ac:dyDescent="0.2">
      <c r="A43" s="37" t="s">
        <v>86</v>
      </c>
      <c r="B43" s="40"/>
      <c r="C43" s="41"/>
    </row>
    <row r="44" spans="1:4" ht="15" customHeight="1" x14ac:dyDescent="0.2">
      <c r="A44" s="37" t="s">
        <v>87</v>
      </c>
      <c r="B44" s="40"/>
      <c r="C44" s="41"/>
    </row>
    <row r="45" spans="1:4" ht="15" customHeight="1" x14ac:dyDescent="0.2">
      <c r="A45" s="37" t="s">
        <v>88</v>
      </c>
      <c r="B45" s="40"/>
      <c r="C45" s="42"/>
      <c r="D45" s="8"/>
    </row>
    <row r="46" spans="1:4" ht="15" customHeight="1" x14ac:dyDescent="0.2">
      <c r="A46" s="37" t="s">
        <v>89</v>
      </c>
      <c r="B46" s="40"/>
      <c r="C46" s="41"/>
    </row>
    <row r="47" spans="1:4" ht="15" customHeight="1" x14ac:dyDescent="0.2">
      <c r="A47" s="37" t="s">
        <v>90</v>
      </c>
      <c r="B47" s="40"/>
      <c r="C47" s="41"/>
    </row>
    <row r="48" spans="1:4" ht="15" customHeight="1" x14ac:dyDescent="0.2">
      <c r="A48" s="43" t="s">
        <v>91</v>
      </c>
      <c r="B48" s="44"/>
      <c r="C48" s="45"/>
    </row>
    <row r="49" spans="2:2" ht="15" customHeight="1" x14ac:dyDescent="0.2"/>
    <row r="50" spans="2:2" ht="15" customHeight="1" x14ac:dyDescent="0.2">
      <c r="B50" s="6"/>
    </row>
    <row r="51" spans="2:2" x14ac:dyDescent="0.2">
      <c r="B51" s="6"/>
    </row>
    <row r="52" spans="2:2" x14ac:dyDescent="0.2">
      <c r="B52" s="6"/>
    </row>
    <row r="53" spans="2:2" x14ac:dyDescent="0.2">
      <c r="B53" s="6"/>
    </row>
    <row r="54" spans="2:2" x14ac:dyDescent="0.2">
      <c r="B54" s="6"/>
    </row>
    <row r="55" spans="2:2" x14ac:dyDescent="0.2">
      <c r="B55"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31"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A8A29-B20D-4F9E-B580-748C7C76BE87}">
  <dimension ref="A1:E675"/>
  <sheetViews>
    <sheetView workbookViewId="0">
      <pane ySplit="2" topLeftCell="A3" activePane="bottomLeft" state="frozenSplit"/>
      <selection pane="bottomLeft" sqref="A1:D1"/>
    </sheetView>
  </sheetViews>
  <sheetFormatPr defaultRowHeight="15" x14ac:dyDescent="0.2"/>
  <cols>
    <col min="1" max="1" width="12.6640625" style="80" customWidth="1"/>
    <col min="2" max="2" width="57.77734375" bestFit="1" customWidth="1"/>
    <col min="3" max="3" width="20.21875" style="81" bestFit="1" customWidth="1"/>
    <col min="4" max="4" width="28.6640625" bestFit="1" customWidth="1"/>
  </cols>
  <sheetData>
    <row r="1" spans="1:5" ht="90.75" customHeight="1" x14ac:dyDescent="0.2">
      <c r="A1" s="105" t="s">
        <v>914</v>
      </c>
      <c r="B1" s="105"/>
      <c r="C1" s="105"/>
      <c r="D1" s="105"/>
      <c r="E1" s="60"/>
    </row>
    <row r="2" spans="1:5" ht="30" x14ac:dyDescent="0.2">
      <c r="A2" s="83" t="s">
        <v>99</v>
      </c>
      <c r="B2" s="84" t="s">
        <v>100</v>
      </c>
      <c r="C2" s="85" t="s">
        <v>101</v>
      </c>
      <c r="D2" s="84" t="s">
        <v>102</v>
      </c>
    </row>
    <row r="3" spans="1:5" x14ac:dyDescent="0.2">
      <c r="A3" s="86">
        <v>104</v>
      </c>
      <c r="B3" s="87" t="s">
        <v>120</v>
      </c>
      <c r="C3" s="88">
        <v>26.25</v>
      </c>
      <c r="D3" s="89" t="s">
        <v>113</v>
      </c>
    </row>
    <row r="4" spans="1:5" x14ac:dyDescent="0.2">
      <c r="A4" s="86">
        <v>10021</v>
      </c>
      <c r="B4" s="87" t="s">
        <v>121</v>
      </c>
      <c r="C4" s="88">
        <v>64.72</v>
      </c>
      <c r="D4" s="90" t="s">
        <v>760</v>
      </c>
    </row>
    <row r="5" spans="1:5" x14ac:dyDescent="0.2">
      <c r="A5" s="86">
        <v>10060</v>
      </c>
      <c r="B5" s="87" t="s">
        <v>122</v>
      </c>
      <c r="C5" s="88">
        <v>134.97</v>
      </c>
      <c r="D5" s="89" t="s">
        <v>113</v>
      </c>
    </row>
    <row r="6" spans="1:5" x14ac:dyDescent="0.2">
      <c r="A6" s="86">
        <v>10160</v>
      </c>
      <c r="B6" s="87" t="s">
        <v>123</v>
      </c>
      <c r="C6" s="88">
        <v>121.07</v>
      </c>
      <c r="D6" s="89" t="s">
        <v>113</v>
      </c>
    </row>
    <row r="7" spans="1:5" x14ac:dyDescent="0.2">
      <c r="A7" s="86">
        <v>11042</v>
      </c>
      <c r="B7" s="87" t="s">
        <v>124</v>
      </c>
      <c r="C7" s="88">
        <v>72.040000000000006</v>
      </c>
      <c r="D7" s="89" t="s">
        <v>113</v>
      </c>
    </row>
    <row r="8" spans="1:5" x14ac:dyDescent="0.2">
      <c r="A8" s="86">
        <v>11055</v>
      </c>
      <c r="B8" s="87" t="s">
        <v>125</v>
      </c>
      <c r="C8" s="88">
        <v>18.25</v>
      </c>
      <c r="D8" s="89" t="s">
        <v>113</v>
      </c>
    </row>
    <row r="9" spans="1:5" x14ac:dyDescent="0.2">
      <c r="A9" s="86">
        <v>11056</v>
      </c>
      <c r="B9" s="87" t="s">
        <v>126</v>
      </c>
      <c r="C9" s="88">
        <v>25.54</v>
      </c>
      <c r="D9" s="89" t="s">
        <v>113</v>
      </c>
    </row>
    <row r="10" spans="1:5" x14ac:dyDescent="0.2">
      <c r="A10" s="86">
        <v>11057</v>
      </c>
      <c r="B10" s="87" t="s">
        <v>127</v>
      </c>
      <c r="C10" s="88">
        <v>33.31</v>
      </c>
      <c r="D10" s="89" t="s">
        <v>113</v>
      </c>
    </row>
    <row r="11" spans="1:5" x14ac:dyDescent="0.2">
      <c r="A11" s="86">
        <v>11102</v>
      </c>
      <c r="B11" s="87" t="s">
        <v>128</v>
      </c>
      <c r="C11" s="88">
        <v>45.58</v>
      </c>
      <c r="D11" s="89" t="s">
        <v>113</v>
      </c>
    </row>
    <row r="12" spans="1:5" x14ac:dyDescent="0.2">
      <c r="A12" s="86">
        <v>11103</v>
      </c>
      <c r="B12" s="87" t="s">
        <v>129</v>
      </c>
      <c r="C12" s="88">
        <v>26.03</v>
      </c>
      <c r="D12" s="89" t="s">
        <v>113</v>
      </c>
    </row>
    <row r="13" spans="1:5" x14ac:dyDescent="0.2">
      <c r="A13" s="86">
        <v>11104</v>
      </c>
      <c r="B13" s="87" t="s">
        <v>130</v>
      </c>
      <c r="C13" s="88">
        <v>56.12</v>
      </c>
      <c r="D13" s="89" t="s">
        <v>113</v>
      </c>
    </row>
    <row r="14" spans="1:5" x14ac:dyDescent="0.2">
      <c r="A14" s="86">
        <v>11105</v>
      </c>
      <c r="B14" s="87" t="s">
        <v>131</v>
      </c>
      <c r="C14" s="88">
        <v>30.57</v>
      </c>
      <c r="D14" s="89" t="s">
        <v>113</v>
      </c>
    </row>
    <row r="15" spans="1:5" x14ac:dyDescent="0.2">
      <c r="A15" s="86">
        <v>11200</v>
      </c>
      <c r="B15" s="87" t="s">
        <v>132</v>
      </c>
      <c r="C15" s="88">
        <v>98.16</v>
      </c>
      <c r="D15" s="89" t="s">
        <v>113</v>
      </c>
    </row>
    <row r="16" spans="1:5" x14ac:dyDescent="0.2">
      <c r="A16" s="86">
        <v>11201</v>
      </c>
      <c r="B16" s="87" t="s">
        <v>133</v>
      </c>
      <c r="C16" s="88">
        <v>19.670000000000002</v>
      </c>
      <c r="D16" s="89" t="s">
        <v>113</v>
      </c>
    </row>
    <row r="17" spans="1:4" x14ac:dyDescent="0.2">
      <c r="A17" s="86">
        <v>11301</v>
      </c>
      <c r="B17" s="87" t="s">
        <v>134</v>
      </c>
      <c r="C17" s="88">
        <v>61.69</v>
      </c>
      <c r="D17" s="89" t="s">
        <v>113</v>
      </c>
    </row>
    <row r="18" spans="1:4" x14ac:dyDescent="0.2">
      <c r="A18" s="86">
        <v>11302</v>
      </c>
      <c r="B18" s="87" t="s">
        <v>135</v>
      </c>
      <c r="C18" s="88">
        <v>72.010000000000005</v>
      </c>
      <c r="D18" s="89" t="s">
        <v>113</v>
      </c>
    </row>
    <row r="19" spans="1:4" x14ac:dyDescent="0.2">
      <c r="A19" s="86">
        <v>11303</v>
      </c>
      <c r="B19" s="87" t="s">
        <v>136</v>
      </c>
      <c r="C19" s="88">
        <v>85.13</v>
      </c>
      <c r="D19" s="89" t="s">
        <v>113</v>
      </c>
    </row>
    <row r="20" spans="1:4" x14ac:dyDescent="0.2">
      <c r="A20" s="86">
        <v>11306</v>
      </c>
      <c r="B20" s="87" t="s">
        <v>137</v>
      </c>
      <c r="C20" s="88">
        <v>58.39</v>
      </c>
      <c r="D20" s="89" t="s">
        <v>113</v>
      </c>
    </row>
    <row r="21" spans="1:4" x14ac:dyDescent="0.2">
      <c r="A21" s="86">
        <v>11311</v>
      </c>
      <c r="B21" s="87" t="s">
        <v>138</v>
      </c>
      <c r="C21" s="88">
        <v>75.569999999999993</v>
      </c>
      <c r="D21" s="89" t="s">
        <v>113</v>
      </c>
    </row>
    <row r="22" spans="1:4" x14ac:dyDescent="0.2">
      <c r="A22" s="86">
        <v>11312</v>
      </c>
      <c r="B22" s="87" t="s">
        <v>139</v>
      </c>
      <c r="C22" s="88">
        <v>90.01</v>
      </c>
      <c r="D22" s="89" t="s">
        <v>113</v>
      </c>
    </row>
    <row r="23" spans="1:4" x14ac:dyDescent="0.2">
      <c r="A23" s="86">
        <v>11402</v>
      </c>
      <c r="B23" s="87" t="s">
        <v>140</v>
      </c>
      <c r="C23" s="88">
        <v>145.79</v>
      </c>
      <c r="D23" s="89" t="s">
        <v>113</v>
      </c>
    </row>
    <row r="24" spans="1:4" x14ac:dyDescent="0.2">
      <c r="A24" s="86">
        <v>11403</v>
      </c>
      <c r="B24" s="87" t="s">
        <v>141</v>
      </c>
      <c r="C24" s="88">
        <v>187.59</v>
      </c>
      <c r="D24" s="89" t="s">
        <v>113</v>
      </c>
    </row>
    <row r="25" spans="1:4" x14ac:dyDescent="0.2">
      <c r="A25" s="86">
        <v>11404</v>
      </c>
      <c r="B25" s="87" t="s">
        <v>142</v>
      </c>
      <c r="C25" s="88">
        <v>204.89</v>
      </c>
      <c r="D25" s="89" t="s">
        <v>113</v>
      </c>
    </row>
    <row r="26" spans="1:4" x14ac:dyDescent="0.2">
      <c r="A26" s="86">
        <v>11406</v>
      </c>
      <c r="B26" s="87" t="s">
        <v>143</v>
      </c>
      <c r="C26" s="88">
        <v>302.17</v>
      </c>
      <c r="D26" s="89" t="s">
        <v>113</v>
      </c>
    </row>
    <row r="27" spans="1:4" x14ac:dyDescent="0.2">
      <c r="A27" s="86">
        <v>11421</v>
      </c>
      <c r="B27" s="87" t="s">
        <v>144</v>
      </c>
      <c r="C27" s="88">
        <v>137.41999999999999</v>
      </c>
      <c r="D27" s="89" t="s">
        <v>113</v>
      </c>
    </row>
    <row r="28" spans="1:4" x14ac:dyDescent="0.2">
      <c r="A28" s="86">
        <v>11426</v>
      </c>
      <c r="B28" s="87" t="s">
        <v>145</v>
      </c>
      <c r="C28" s="88">
        <v>328.27</v>
      </c>
      <c r="D28" s="89" t="s">
        <v>113</v>
      </c>
    </row>
    <row r="29" spans="1:4" x14ac:dyDescent="0.2">
      <c r="A29" s="86">
        <v>11442</v>
      </c>
      <c r="B29" s="87" t="s">
        <v>146</v>
      </c>
      <c r="C29" s="88">
        <v>185.97</v>
      </c>
      <c r="D29" s="89" t="s">
        <v>113</v>
      </c>
    </row>
    <row r="30" spans="1:4" x14ac:dyDescent="0.2">
      <c r="A30" s="86">
        <v>11443</v>
      </c>
      <c r="B30" s="87" t="s">
        <v>147</v>
      </c>
      <c r="C30" s="88">
        <v>223.97</v>
      </c>
      <c r="D30" s="89" t="s">
        <v>113</v>
      </c>
    </row>
    <row r="31" spans="1:4" x14ac:dyDescent="0.2">
      <c r="A31" s="86">
        <v>11603</v>
      </c>
      <c r="B31" s="87" t="s">
        <v>148</v>
      </c>
      <c r="C31" s="88">
        <v>238.36</v>
      </c>
      <c r="D31" s="89" t="s">
        <v>113</v>
      </c>
    </row>
    <row r="32" spans="1:4" x14ac:dyDescent="0.2">
      <c r="A32" s="86">
        <v>11642</v>
      </c>
      <c r="B32" s="87" t="s">
        <v>149</v>
      </c>
      <c r="C32" s="88">
        <v>224.58</v>
      </c>
      <c r="D32" s="89" t="s">
        <v>113</v>
      </c>
    </row>
    <row r="33" spans="1:4" x14ac:dyDescent="0.2">
      <c r="A33" s="86">
        <v>11719</v>
      </c>
      <c r="B33" s="87" t="s">
        <v>150</v>
      </c>
      <c r="C33" s="88">
        <v>8.73</v>
      </c>
      <c r="D33" s="89" t="s">
        <v>113</v>
      </c>
    </row>
    <row r="34" spans="1:4" x14ac:dyDescent="0.2">
      <c r="A34" s="86">
        <v>11720</v>
      </c>
      <c r="B34" s="87" t="s">
        <v>151</v>
      </c>
      <c r="C34" s="88">
        <v>16.600000000000001</v>
      </c>
      <c r="D34" s="89" t="s">
        <v>113</v>
      </c>
    </row>
    <row r="35" spans="1:4" x14ac:dyDescent="0.2">
      <c r="A35" s="86">
        <v>11721</v>
      </c>
      <c r="B35" s="87" t="s">
        <v>152</v>
      </c>
      <c r="C35" s="88">
        <v>27.58</v>
      </c>
      <c r="D35" s="89" t="s">
        <v>113</v>
      </c>
    </row>
    <row r="36" spans="1:4" x14ac:dyDescent="0.2">
      <c r="A36" s="86">
        <v>11730</v>
      </c>
      <c r="B36" s="87" t="s">
        <v>153</v>
      </c>
      <c r="C36" s="88">
        <v>63.8</v>
      </c>
      <c r="D36" s="89" t="s">
        <v>113</v>
      </c>
    </row>
    <row r="37" spans="1:4" x14ac:dyDescent="0.2">
      <c r="A37" s="86">
        <v>11732</v>
      </c>
      <c r="B37" s="87" t="s">
        <v>154</v>
      </c>
      <c r="C37" s="88">
        <v>19.899999999999999</v>
      </c>
      <c r="D37" s="89" t="s">
        <v>113</v>
      </c>
    </row>
    <row r="38" spans="1:4" x14ac:dyDescent="0.2">
      <c r="A38" s="86">
        <v>11750</v>
      </c>
      <c r="B38" s="87" t="s">
        <v>155</v>
      </c>
      <c r="C38" s="88">
        <v>125.03</v>
      </c>
      <c r="D38" s="89" t="s">
        <v>113</v>
      </c>
    </row>
    <row r="39" spans="1:4" x14ac:dyDescent="0.2">
      <c r="A39" s="86">
        <v>11755</v>
      </c>
      <c r="B39" s="87" t="s">
        <v>156</v>
      </c>
      <c r="C39" s="88">
        <v>71.63</v>
      </c>
      <c r="D39" s="89" t="s">
        <v>113</v>
      </c>
    </row>
    <row r="40" spans="1:4" x14ac:dyDescent="0.2">
      <c r="A40" s="86">
        <v>11900</v>
      </c>
      <c r="B40" s="87" t="s">
        <v>157</v>
      </c>
      <c r="C40" s="88">
        <v>36.14</v>
      </c>
      <c r="D40" s="89" t="s">
        <v>113</v>
      </c>
    </row>
    <row r="41" spans="1:4" x14ac:dyDescent="0.2">
      <c r="A41" s="86">
        <v>11901</v>
      </c>
      <c r="B41" s="87" t="s">
        <v>158</v>
      </c>
      <c r="C41" s="88">
        <v>55.03</v>
      </c>
      <c r="D41" s="89" t="s">
        <v>113</v>
      </c>
    </row>
    <row r="42" spans="1:4" x14ac:dyDescent="0.2">
      <c r="A42" s="86">
        <v>13101</v>
      </c>
      <c r="B42" s="87" t="s">
        <v>159</v>
      </c>
      <c r="C42" s="88">
        <v>306.7</v>
      </c>
      <c r="D42" s="89" t="s">
        <v>113</v>
      </c>
    </row>
    <row r="43" spans="1:4" x14ac:dyDescent="0.2">
      <c r="A43" s="86">
        <v>13102</v>
      </c>
      <c r="B43" s="87" t="s">
        <v>160</v>
      </c>
      <c r="C43" s="88">
        <v>84.74</v>
      </c>
      <c r="D43" s="89" t="s">
        <v>113</v>
      </c>
    </row>
    <row r="44" spans="1:4" x14ac:dyDescent="0.2">
      <c r="A44" s="86">
        <v>13121</v>
      </c>
      <c r="B44" s="87" t="s">
        <v>161</v>
      </c>
      <c r="C44" s="88">
        <v>315.07</v>
      </c>
      <c r="D44" s="89" t="s">
        <v>113</v>
      </c>
    </row>
    <row r="45" spans="1:4" x14ac:dyDescent="0.2">
      <c r="A45" s="86">
        <v>13122</v>
      </c>
      <c r="B45" s="87" t="s">
        <v>162</v>
      </c>
      <c r="C45" s="88">
        <v>97.88</v>
      </c>
      <c r="D45" s="89" t="s">
        <v>113</v>
      </c>
    </row>
    <row r="46" spans="1:4" x14ac:dyDescent="0.2">
      <c r="A46" s="86">
        <v>13131</v>
      </c>
      <c r="B46" s="87" t="s">
        <v>163</v>
      </c>
      <c r="C46" s="88">
        <v>295.54000000000002</v>
      </c>
      <c r="D46" s="89" t="s">
        <v>113</v>
      </c>
    </row>
    <row r="47" spans="1:4" x14ac:dyDescent="0.2">
      <c r="A47" s="86">
        <v>13132</v>
      </c>
      <c r="B47" s="87" t="s">
        <v>164</v>
      </c>
      <c r="C47" s="88">
        <v>369.42</v>
      </c>
      <c r="D47" s="89" t="s">
        <v>113</v>
      </c>
    </row>
    <row r="48" spans="1:4" x14ac:dyDescent="0.2">
      <c r="A48" s="86">
        <v>13152</v>
      </c>
      <c r="B48" s="87" t="s">
        <v>165</v>
      </c>
      <c r="C48" s="88">
        <v>407.89</v>
      </c>
      <c r="D48" s="89" t="s">
        <v>113</v>
      </c>
    </row>
    <row r="49" spans="1:4" x14ac:dyDescent="0.2">
      <c r="A49" s="86">
        <v>17000</v>
      </c>
      <c r="B49" s="87" t="s">
        <v>166</v>
      </c>
      <c r="C49" s="88">
        <v>70.31</v>
      </c>
      <c r="D49" s="89" t="s">
        <v>113</v>
      </c>
    </row>
    <row r="50" spans="1:4" x14ac:dyDescent="0.2">
      <c r="A50" s="86">
        <v>17003</v>
      </c>
      <c r="B50" s="87" t="s">
        <v>167</v>
      </c>
      <c r="C50" s="88">
        <v>2.5099999999999998</v>
      </c>
      <c r="D50" s="89" t="s">
        <v>113</v>
      </c>
    </row>
    <row r="51" spans="1:4" x14ac:dyDescent="0.2">
      <c r="A51" s="86">
        <v>17110</v>
      </c>
      <c r="B51" s="87" t="s">
        <v>168</v>
      </c>
      <c r="C51" s="88">
        <v>86.76</v>
      </c>
      <c r="D51" s="89" t="s">
        <v>113</v>
      </c>
    </row>
    <row r="52" spans="1:4" x14ac:dyDescent="0.2">
      <c r="A52" s="86">
        <v>17111</v>
      </c>
      <c r="B52" s="87" t="s">
        <v>169</v>
      </c>
      <c r="C52" s="88">
        <v>104.98</v>
      </c>
      <c r="D52" s="89" t="s">
        <v>113</v>
      </c>
    </row>
    <row r="53" spans="1:4" x14ac:dyDescent="0.2">
      <c r="A53" s="86">
        <v>17270</v>
      </c>
      <c r="B53" s="87" t="s">
        <v>170</v>
      </c>
      <c r="C53" s="88">
        <v>118.23</v>
      </c>
      <c r="D53" s="89" t="s">
        <v>113</v>
      </c>
    </row>
    <row r="54" spans="1:4" x14ac:dyDescent="0.2">
      <c r="A54" s="86">
        <v>20550</v>
      </c>
      <c r="B54" s="87" t="s">
        <v>171</v>
      </c>
      <c r="C54" s="88">
        <v>45.91</v>
      </c>
      <c r="D54" s="89" t="s">
        <v>113</v>
      </c>
    </row>
    <row r="55" spans="1:4" x14ac:dyDescent="0.2">
      <c r="A55" s="86">
        <v>20552</v>
      </c>
      <c r="B55" s="87" t="s">
        <v>172</v>
      </c>
      <c r="C55" s="88">
        <v>44.36</v>
      </c>
      <c r="D55" s="89" t="s">
        <v>113</v>
      </c>
    </row>
    <row r="56" spans="1:4" x14ac:dyDescent="0.2">
      <c r="A56" s="86">
        <v>20600</v>
      </c>
      <c r="B56" s="87" t="s">
        <v>173</v>
      </c>
      <c r="C56" s="88">
        <v>42.01</v>
      </c>
      <c r="D56" s="89" t="s">
        <v>113</v>
      </c>
    </row>
    <row r="57" spans="1:4" x14ac:dyDescent="0.2">
      <c r="A57" s="86">
        <v>20605</v>
      </c>
      <c r="B57" s="87" t="s">
        <v>174</v>
      </c>
      <c r="C57" s="88">
        <v>43.64</v>
      </c>
      <c r="D57" s="89" t="s">
        <v>113</v>
      </c>
    </row>
    <row r="58" spans="1:4" x14ac:dyDescent="0.2">
      <c r="A58" s="86">
        <v>21925</v>
      </c>
      <c r="B58" s="87" t="s">
        <v>175</v>
      </c>
      <c r="C58" s="88">
        <v>471.26</v>
      </c>
      <c r="D58" s="89" t="s">
        <v>113</v>
      </c>
    </row>
    <row r="59" spans="1:4" x14ac:dyDescent="0.2">
      <c r="A59" s="86">
        <v>24065</v>
      </c>
      <c r="B59" s="87" t="s">
        <v>176</v>
      </c>
      <c r="C59" s="88">
        <v>203.76</v>
      </c>
      <c r="D59" s="89" t="s">
        <v>113</v>
      </c>
    </row>
    <row r="60" spans="1:4" x14ac:dyDescent="0.2">
      <c r="A60" s="86">
        <v>25075</v>
      </c>
      <c r="B60" s="87" t="s">
        <v>177</v>
      </c>
      <c r="C60" s="88">
        <v>396.58</v>
      </c>
      <c r="D60" s="89" t="s">
        <v>113</v>
      </c>
    </row>
    <row r="61" spans="1:4" x14ac:dyDescent="0.2">
      <c r="A61" s="86">
        <v>29515</v>
      </c>
      <c r="B61" s="87" t="s">
        <v>178</v>
      </c>
      <c r="C61" s="88">
        <v>60.41</v>
      </c>
      <c r="D61" s="89" t="s">
        <v>113</v>
      </c>
    </row>
    <row r="62" spans="1:4" x14ac:dyDescent="0.2">
      <c r="A62" s="86">
        <v>29580</v>
      </c>
      <c r="B62" s="87" t="s">
        <v>179</v>
      </c>
      <c r="C62" s="88">
        <v>30.43</v>
      </c>
      <c r="D62" s="89" t="s">
        <v>113</v>
      </c>
    </row>
    <row r="63" spans="1:4" x14ac:dyDescent="0.2">
      <c r="A63" s="86">
        <v>35645</v>
      </c>
      <c r="B63" s="87" t="s">
        <v>180</v>
      </c>
      <c r="C63" s="88">
        <v>1031.97</v>
      </c>
      <c r="D63" s="89" t="s">
        <v>113</v>
      </c>
    </row>
    <row r="64" spans="1:4" x14ac:dyDescent="0.2">
      <c r="A64" s="91">
        <v>36415</v>
      </c>
      <c r="B64" s="92" t="s">
        <v>181</v>
      </c>
      <c r="C64" s="88">
        <v>10.37</v>
      </c>
      <c r="D64" s="90" t="s">
        <v>760</v>
      </c>
    </row>
    <row r="65" spans="1:4" x14ac:dyDescent="0.2">
      <c r="A65" s="86">
        <v>46270</v>
      </c>
      <c r="B65" s="87" t="s">
        <v>182</v>
      </c>
      <c r="C65" s="88">
        <v>502.33</v>
      </c>
      <c r="D65" s="89" t="s">
        <v>113</v>
      </c>
    </row>
    <row r="66" spans="1:4" x14ac:dyDescent="0.2">
      <c r="A66" s="86">
        <v>46600</v>
      </c>
      <c r="B66" s="87" t="s">
        <v>183</v>
      </c>
      <c r="C66" s="88">
        <v>50.81</v>
      </c>
      <c r="D66" s="89" t="s">
        <v>113</v>
      </c>
    </row>
    <row r="67" spans="1:4" x14ac:dyDescent="0.2">
      <c r="A67" s="86">
        <v>49505</v>
      </c>
      <c r="B67" s="87" t="s">
        <v>184</v>
      </c>
      <c r="C67" s="88">
        <v>622.07000000000005</v>
      </c>
      <c r="D67" s="89" t="s">
        <v>113</v>
      </c>
    </row>
    <row r="68" spans="1:4" x14ac:dyDescent="0.2">
      <c r="A68" s="86">
        <v>64450</v>
      </c>
      <c r="B68" s="87" t="s">
        <v>185</v>
      </c>
      <c r="C68" s="88">
        <v>50.25</v>
      </c>
      <c r="D68" s="89" t="s">
        <v>113</v>
      </c>
    </row>
    <row r="69" spans="1:4" x14ac:dyDescent="0.2">
      <c r="A69" s="86">
        <v>64455</v>
      </c>
      <c r="B69" s="87" t="s">
        <v>186</v>
      </c>
      <c r="C69" s="88">
        <v>39.020000000000003</v>
      </c>
      <c r="D69" s="89" t="s">
        <v>113</v>
      </c>
    </row>
    <row r="70" spans="1:4" x14ac:dyDescent="0.2">
      <c r="A70" s="86">
        <v>67810</v>
      </c>
      <c r="B70" s="87" t="s">
        <v>187</v>
      </c>
      <c r="C70" s="88">
        <v>82.28</v>
      </c>
      <c r="D70" s="89" t="s">
        <v>113</v>
      </c>
    </row>
    <row r="71" spans="1:4" x14ac:dyDescent="0.2">
      <c r="A71" s="86">
        <v>70030</v>
      </c>
      <c r="B71" s="87" t="s">
        <v>188</v>
      </c>
      <c r="C71" s="88">
        <v>44.21</v>
      </c>
      <c r="D71" s="90" t="s">
        <v>761</v>
      </c>
    </row>
    <row r="72" spans="1:4" x14ac:dyDescent="0.2">
      <c r="A72" s="86">
        <v>70100</v>
      </c>
      <c r="B72" s="87" t="s">
        <v>189</v>
      </c>
      <c r="C72" s="88">
        <v>52.7</v>
      </c>
      <c r="D72" s="90" t="s">
        <v>761</v>
      </c>
    </row>
    <row r="73" spans="1:4" x14ac:dyDescent="0.2">
      <c r="A73" s="86">
        <v>70110</v>
      </c>
      <c r="B73" s="87" t="s">
        <v>190</v>
      </c>
      <c r="C73" s="88">
        <v>58.74</v>
      </c>
      <c r="D73" s="90" t="s">
        <v>761</v>
      </c>
    </row>
    <row r="74" spans="1:4" x14ac:dyDescent="0.2">
      <c r="A74" s="86">
        <v>70120</v>
      </c>
      <c r="B74" s="87" t="s">
        <v>191</v>
      </c>
      <c r="C74" s="88">
        <v>52.7</v>
      </c>
      <c r="D74" s="90" t="s">
        <v>761</v>
      </c>
    </row>
    <row r="75" spans="1:4" x14ac:dyDescent="0.2">
      <c r="A75" s="86">
        <v>70140</v>
      </c>
      <c r="B75" s="87" t="s">
        <v>192</v>
      </c>
      <c r="C75" s="88">
        <v>85.1</v>
      </c>
      <c r="D75" s="90" t="s">
        <v>761</v>
      </c>
    </row>
    <row r="76" spans="1:4" x14ac:dyDescent="0.2">
      <c r="A76" s="86">
        <v>70150</v>
      </c>
      <c r="B76" s="87" t="s">
        <v>193</v>
      </c>
      <c r="C76" s="88">
        <v>63.86</v>
      </c>
      <c r="D76" s="90" t="s">
        <v>761</v>
      </c>
    </row>
    <row r="77" spans="1:4" x14ac:dyDescent="0.2">
      <c r="A77" s="86">
        <v>70160</v>
      </c>
      <c r="B77" s="87" t="s">
        <v>194</v>
      </c>
      <c r="C77" s="88">
        <v>52.31</v>
      </c>
      <c r="D77" s="90" t="s">
        <v>761</v>
      </c>
    </row>
    <row r="78" spans="1:4" x14ac:dyDescent="0.2">
      <c r="A78" s="86">
        <v>70190</v>
      </c>
      <c r="B78" s="87" t="s">
        <v>195</v>
      </c>
      <c r="C78" s="88">
        <v>51.05</v>
      </c>
      <c r="D78" s="90" t="s">
        <v>761</v>
      </c>
    </row>
    <row r="79" spans="1:4" x14ac:dyDescent="0.2">
      <c r="A79" s="86">
        <v>70200</v>
      </c>
      <c r="B79" s="87" t="s">
        <v>196</v>
      </c>
      <c r="C79" s="88">
        <v>65.11</v>
      </c>
      <c r="D79" s="90" t="s">
        <v>761</v>
      </c>
    </row>
    <row r="80" spans="1:4" x14ac:dyDescent="0.2">
      <c r="A80" s="86">
        <v>70210</v>
      </c>
      <c r="B80" s="87" t="s">
        <v>197</v>
      </c>
      <c r="C80" s="88">
        <v>43.82</v>
      </c>
      <c r="D80" s="90" t="s">
        <v>761</v>
      </c>
    </row>
    <row r="81" spans="1:4" x14ac:dyDescent="0.2">
      <c r="A81" s="86">
        <v>70220</v>
      </c>
      <c r="B81" s="87" t="s">
        <v>198</v>
      </c>
      <c r="C81" s="88">
        <v>50.96</v>
      </c>
      <c r="D81" s="90" t="s">
        <v>761</v>
      </c>
    </row>
    <row r="82" spans="1:4" x14ac:dyDescent="0.2">
      <c r="A82" s="86">
        <v>70250</v>
      </c>
      <c r="B82" s="87" t="s">
        <v>199</v>
      </c>
      <c r="C82" s="88">
        <v>48.93</v>
      </c>
      <c r="D82" s="90" t="s">
        <v>761</v>
      </c>
    </row>
    <row r="83" spans="1:4" x14ac:dyDescent="0.2">
      <c r="A83" s="86">
        <v>70260</v>
      </c>
      <c r="B83" s="87" t="s">
        <v>200</v>
      </c>
      <c r="C83" s="88">
        <v>60.39</v>
      </c>
      <c r="D83" s="90" t="s">
        <v>761</v>
      </c>
    </row>
    <row r="84" spans="1:4" x14ac:dyDescent="0.2">
      <c r="A84" s="86">
        <v>70328</v>
      </c>
      <c r="B84" s="87" t="s">
        <v>201</v>
      </c>
      <c r="C84" s="88">
        <v>47.05</v>
      </c>
      <c r="D84" s="90" t="s">
        <v>761</v>
      </c>
    </row>
    <row r="85" spans="1:4" x14ac:dyDescent="0.2">
      <c r="A85" s="86">
        <v>70330</v>
      </c>
      <c r="B85" s="87" t="s">
        <v>202</v>
      </c>
      <c r="C85" s="88">
        <v>72.5</v>
      </c>
      <c r="D85" s="90" t="s">
        <v>761</v>
      </c>
    </row>
    <row r="86" spans="1:4" x14ac:dyDescent="0.2">
      <c r="A86" s="86">
        <v>70360</v>
      </c>
      <c r="B86" s="87" t="s">
        <v>203</v>
      </c>
      <c r="C86" s="88">
        <v>42.8</v>
      </c>
      <c r="D86" s="90" t="s">
        <v>761</v>
      </c>
    </row>
    <row r="87" spans="1:4" x14ac:dyDescent="0.2">
      <c r="A87" s="86">
        <v>71045</v>
      </c>
      <c r="B87" s="87" t="s">
        <v>204</v>
      </c>
      <c r="C87" s="88">
        <v>34.78</v>
      </c>
      <c r="D87" s="90" t="s">
        <v>761</v>
      </c>
    </row>
    <row r="88" spans="1:4" x14ac:dyDescent="0.2">
      <c r="A88" s="86">
        <v>71046</v>
      </c>
      <c r="B88" s="87" t="s">
        <v>205</v>
      </c>
      <c r="C88" s="88">
        <v>45.31</v>
      </c>
      <c r="D88" s="90" t="s">
        <v>761</v>
      </c>
    </row>
    <row r="89" spans="1:4" x14ac:dyDescent="0.2">
      <c r="A89" s="86">
        <v>71047</v>
      </c>
      <c r="B89" s="87" t="s">
        <v>206</v>
      </c>
      <c r="C89" s="88">
        <v>57.17</v>
      </c>
      <c r="D89" s="90" t="s">
        <v>761</v>
      </c>
    </row>
    <row r="90" spans="1:4" x14ac:dyDescent="0.2">
      <c r="A90" s="86">
        <v>71048</v>
      </c>
      <c r="B90" s="87" t="s">
        <v>207</v>
      </c>
      <c r="C90" s="88">
        <v>62.51</v>
      </c>
      <c r="D90" s="90" t="s">
        <v>761</v>
      </c>
    </row>
    <row r="91" spans="1:4" x14ac:dyDescent="0.2">
      <c r="A91" s="86">
        <v>71100</v>
      </c>
      <c r="B91" s="87" t="s">
        <v>208</v>
      </c>
      <c r="C91" s="88">
        <v>50.03</v>
      </c>
      <c r="D91" s="90" t="s">
        <v>761</v>
      </c>
    </row>
    <row r="92" spans="1:4" x14ac:dyDescent="0.2">
      <c r="A92" s="86">
        <v>71101</v>
      </c>
      <c r="B92" s="87" t="s">
        <v>209</v>
      </c>
      <c r="C92" s="88">
        <v>57.17</v>
      </c>
      <c r="D92" s="90" t="s">
        <v>761</v>
      </c>
    </row>
    <row r="93" spans="1:4" x14ac:dyDescent="0.2">
      <c r="A93" s="86">
        <v>71110</v>
      </c>
      <c r="B93" s="87" t="s">
        <v>210</v>
      </c>
      <c r="C93" s="88">
        <v>59.37</v>
      </c>
      <c r="D93" s="90" t="s">
        <v>761</v>
      </c>
    </row>
    <row r="94" spans="1:4" x14ac:dyDescent="0.2">
      <c r="A94" s="86">
        <v>71111</v>
      </c>
      <c r="B94" s="87" t="s">
        <v>211</v>
      </c>
      <c r="C94" s="88">
        <v>71.12</v>
      </c>
      <c r="D94" s="90" t="s">
        <v>761</v>
      </c>
    </row>
    <row r="95" spans="1:4" x14ac:dyDescent="0.2">
      <c r="A95" s="86">
        <v>71120</v>
      </c>
      <c r="B95" s="87" t="s">
        <v>212</v>
      </c>
      <c r="C95" s="88">
        <v>45.47</v>
      </c>
      <c r="D95" s="90" t="s">
        <v>761</v>
      </c>
    </row>
    <row r="96" spans="1:4" x14ac:dyDescent="0.2">
      <c r="A96" s="86">
        <v>71130</v>
      </c>
      <c r="B96" s="87" t="s">
        <v>213</v>
      </c>
      <c r="C96" s="88">
        <v>56.16</v>
      </c>
      <c r="D96" s="90" t="s">
        <v>761</v>
      </c>
    </row>
    <row r="97" spans="1:4" x14ac:dyDescent="0.2">
      <c r="A97" s="86">
        <v>72020</v>
      </c>
      <c r="B97" s="87" t="s">
        <v>214</v>
      </c>
      <c r="C97" s="88">
        <v>33.06</v>
      </c>
      <c r="D97" s="90" t="s">
        <v>761</v>
      </c>
    </row>
    <row r="98" spans="1:4" x14ac:dyDescent="0.2">
      <c r="A98" s="86">
        <v>72040</v>
      </c>
      <c r="B98" s="87" t="s">
        <v>215</v>
      </c>
      <c r="C98" s="88">
        <v>53.8</v>
      </c>
      <c r="D98" s="90" t="s">
        <v>761</v>
      </c>
    </row>
    <row r="99" spans="1:4" x14ac:dyDescent="0.2">
      <c r="A99" s="86">
        <v>72050</v>
      </c>
      <c r="B99" s="87" t="s">
        <v>216</v>
      </c>
      <c r="C99" s="88">
        <v>72.73</v>
      </c>
      <c r="D99" s="90" t="s">
        <v>761</v>
      </c>
    </row>
    <row r="100" spans="1:4" x14ac:dyDescent="0.2">
      <c r="A100" s="86">
        <v>72052</v>
      </c>
      <c r="B100" s="87" t="s">
        <v>217</v>
      </c>
      <c r="C100" s="88">
        <v>84.94</v>
      </c>
      <c r="D100" s="90" t="s">
        <v>761</v>
      </c>
    </row>
    <row r="101" spans="1:4" x14ac:dyDescent="0.2">
      <c r="A101" s="86">
        <v>72070</v>
      </c>
      <c r="B101" s="87" t="s">
        <v>218</v>
      </c>
      <c r="C101" s="88">
        <v>44.53</v>
      </c>
      <c r="D101" s="90" t="s">
        <v>761</v>
      </c>
    </row>
    <row r="102" spans="1:4" x14ac:dyDescent="0.2">
      <c r="A102" s="86">
        <v>72072</v>
      </c>
      <c r="B102" s="87" t="s">
        <v>219</v>
      </c>
      <c r="C102" s="88">
        <v>53.25</v>
      </c>
      <c r="D102" s="90" t="s">
        <v>761</v>
      </c>
    </row>
    <row r="103" spans="1:4" x14ac:dyDescent="0.2">
      <c r="A103" s="86">
        <v>72080</v>
      </c>
      <c r="B103" s="87" t="s">
        <v>220</v>
      </c>
      <c r="C103" s="88">
        <v>46.81</v>
      </c>
      <c r="D103" s="90" t="s">
        <v>761</v>
      </c>
    </row>
    <row r="104" spans="1:4" x14ac:dyDescent="0.2">
      <c r="A104" s="86">
        <v>72082</v>
      </c>
      <c r="B104" s="87" t="s">
        <v>221</v>
      </c>
      <c r="C104" s="88">
        <v>96.18</v>
      </c>
      <c r="D104" s="90" t="s">
        <v>761</v>
      </c>
    </row>
    <row r="105" spans="1:4" x14ac:dyDescent="0.2">
      <c r="A105" s="86">
        <v>72100</v>
      </c>
      <c r="B105" s="87" t="s">
        <v>222</v>
      </c>
      <c r="C105" s="88">
        <v>54.27</v>
      </c>
      <c r="D105" s="90" t="s">
        <v>761</v>
      </c>
    </row>
    <row r="106" spans="1:4" x14ac:dyDescent="0.2">
      <c r="A106" s="86">
        <v>72110</v>
      </c>
      <c r="B106" s="87" t="s">
        <v>223</v>
      </c>
      <c r="C106" s="88">
        <v>69.98</v>
      </c>
      <c r="D106" s="90" t="s">
        <v>761</v>
      </c>
    </row>
    <row r="107" spans="1:4" x14ac:dyDescent="0.2">
      <c r="A107" s="86">
        <v>72114</v>
      </c>
      <c r="B107" s="87" t="s">
        <v>224</v>
      </c>
      <c r="C107" s="88">
        <v>84.47</v>
      </c>
      <c r="D107" s="90" t="s">
        <v>761</v>
      </c>
    </row>
    <row r="108" spans="1:4" x14ac:dyDescent="0.2">
      <c r="A108" s="86">
        <v>72120</v>
      </c>
      <c r="B108" s="87" t="s">
        <v>225</v>
      </c>
      <c r="C108" s="88">
        <v>55.21</v>
      </c>
      <c r="D108" s="90" t="s">
        <v>761</v>
      </c>
    </row>
    <row r="109" spans="1:4" x14ac:dyDescent="0.2">
      <c r="A109" s="86">
        <v>72170</v>
      </c>
      <c r="B109" s="87" t="s">
        <v>226</v>
      </c>
      <c r="C109" s="88">
        <v>37.700000000000003</v>
      </c>
      <c r="D109" s="90" t="s">
        <v>761</v>
      </c>
    </row>
    <row r="110" spans="1:4" x14ac:dyDescent="0.2">
      <c r="A110" s="86">
        <v>72190</v>
      </c>
      <c r="B110" s="87" t="s">
        <v>227</v>
      </c>
      <c r="C110" s="88">
        <v>57.33</v>
      </c>
      <c r="D110" s="90" t="s">
        <v>761</v>
      </c>
    </row>
    <row r="111" spans="1:4" x14ac:dyDescent="0.2">
      <c r="A111" s="86">
        <v>72200</v>
      </c>
      <c r="B111" s="87" t="s">
        <v>228</v>
      </c>
      <c r="C111" s="88">
        <v>44.77</v>
      </c>
      <c r="D111" s="90" t="s">
        <v>761</v>
      </c>
    </row>
    <row r="112" spans="1:4" x14ac:dyDescent="0.2">
      <c r="A112" s="86">
        <v>72202</v>
      </c>
      <c r="B112" s="87" t="s">
        <v>229</v>
      </c>
      <c r="C112" s="88">
        <v>53.25</v>
      </c>
      <c r="D112" s="90" t="s">
        <v>761</v>
      </c>
    </row>
    <row r="113" spans="1:4" x14ac:dyDescent="0.2">
      <c r="A113" s="86">
        <v>72220</v>
      </c>
      <c r="B113" s="87" t="s">
        <v>230</v>
      </c>
      <c r="C113" s="88">
        <v>44.3</v>
      </c>
      <c r="D113" s="90" t="s">
        <v>761</v>
      </c>
    </row>
    <row r="114" spans="1:4" x14ac:dyDescent="0.2">
      <c r="A114" s="86">
        <v>73000</v>
      </c>
      <c r="B114" s="87" t="s">
        <v>231</v>
      </c>
      <c r="C114" s="88">
        <v>43.9</v>
      </c>
      <c r="D114" s="90" t="s">
        <v>761</v>
      </c>
    </row>
    <row r="115" spans="1:4" x14ac:dyDescent="0.2">
      <c r="A115" s="86">
        <v>73010</v>
      </c>
      <c r="B115" s="87" t="s">
        <v>232</v>
      </c>
      <c r="C115" s="88">
        <v>31.56</v>
      </c>
      <c r="D115" s="90" t="s">
        <v>761</v>
      </c>
    </row>
    <row r="116" spans="1:4" x14ac:dyDescent="0.2">
      <c r="A116" s="86">
        <v>73020</v>
      </c>
      <c r="B116" s="87" t="s">
        <v>233</v>
      </c>
      <c r="C116" s="88">
        <v>28.9</v>
      </c>
      <c r="D116" s="90" t="s">
        <v>761</v>
      </c>
    </row>
    <row r="117" spans="1:4" x14ac:dyDescent="0.2">
      <c r="A117" s="86">
        <v>73030</v>
      </c>
      <c r="B117" s="87" t="s">
        <v>234</v>
      </c>
      <c r="C117" s="88">
        <v>47.05</v>
      </c>
      <c r="D117" s="90" t="s">
        <v>761</v>
      </c>
    </row>
    <row r="118" spans="1:4" x14ac:dyDescent="0.2">
      <c r="A118" s="86">
        <v>73050</v>
      </c>
      <c r="B118" s="87" t="s">
        <v>235</v>
      </c>
      <c r="C118" s="88">
        <v>38.56</v>
      </c>
      <c r="D118" s="90" t="s">
        <v>761</v>
      </c>
    </row>
    <row r="119" spans="1:4" x14ac:dyDescent="0.2">
      <c r="A119" s="86">
        <v>73060</v>
      </c>
      <c r="B119" s="87" t="s">
        <v>236</v>
      </c>
      <c r="C119" s="88">
        <v>43.9</v>
      </c>
      <c r="D119" s="90" t="s">
        <v>761</v>
      </c>
    </row>
    <row r="120" spans="1:4" x14ac:dyDescent="0.2">
      <c r="A120" s="86">
        <v>73070</v>
      </c>
      <c r="B120" s="87" t="s">
        <v>237</v>
      </c>
      <c r="C120" s="88">
        <v>39.659999999999997</v>
      </c>
      <c r="D120" s="90" t="s">
        <v>761</v>
      </c>
    </row>
    <row r="121" spans="1:4" x14ac:dyDescent="0.2">
      <c r="A121" s="86">
        <v>73080</v>
      </c>
      <c r="B121" s="87" t="s">
        <v>238</v>
      </c>
      <c r="C121" s="88">
        <v>44.3</v>
      </c>
      <c r="D121" s="90" t="s">
        <v>761</v>
      </c>
    </row>
    <row r="122" spans="1:4" x14ac:dyDescent="0.2">
      <c r="A122" s="86">
        <v>73090</v>
      </c>
      <c r="B122" s="87" t="s">
        <v>239</v>
      </c>
      <c r="C122" s="88">
        <v>39.659999999999997</v>
      </c>
      <c r="D122" s="90" t="s">
        <v>761</v>
      </c>
    </row>
    <row r="123" spans="1:4" x14ac:dyDescent="0.2">
      <c r="A123" s="86">
        <v>73100</v>
      </c>
      <c r="B123" s="87" t="s">
        <v>240</v>
      </c>
      <c r="C123" s="88">
        <v>46.26</v>
      </c>
      <c r="D123" s="90" t="s">
        <v>761</v>
      </c>
    </row>
    <row r="124" spans="1:4" x14ac:dyDescent="0.2">
      <c r="A124" s="86">
        <v>73110</v>
      </c>
      <c r="B124" s="87" t="s">
        <v>241</v>
      </c>
      <c r="C124" s="88">
        <v>56.08</v>
      </c>
      <c r="D124" s="90" t="s">
        <v>761</v>
      </c>
    </row>
    <row r="125" spans="1:4" x14ac:dyDescent="0.2">
      <c r="A125" s="86">
        <v>73120</v>
      </c>
      <c r="B125" s="87" t="s">
        <v>242</v>
      </c>
      <c r="C125" s="88">
        <v>42.49</v>
      </c>
      <c r="D125" s="90" t="s">
        <v>761</v>
      </c>
    </row>
    <row r="126" spans="1:4" x14ac:dyDescent="0.2">
      <c r="A126" s="86">
        <v>73130</v>
      </c>
      <c r="B126" s="87" t="s">
        <v>243</v>
      </c>
      <c r="C126" s="88">
        <v>50.42</v>
      </c>
      <c r="D126" s="90" t="s">
        <v>761</v>
      </c>
    </row>
    <row r="127" spans="1:4" x14ac:dyDescent="0.2">
      <c r="A127" s="86">
        <v>73140</v>
      </c>
      <c r="B127" s="87" t="s">
        <v>244</v>
      </c>
      <c r="C127" s="88">
        <v>52.16</v>
      </c>
      <c r="D127" s="90" t="s">
        <v>761</v>
      </c>
    </row>
    <row r="128" spans="1:4" x14ac:dyDescent="0.2">
      <c r="A128" s="86">
        <v>73501</v>
      </c>
      <c r="B128" s="87" t="s">
        <v>245</v>
      </c>
      <c r="C128" s="88">
        <v>44.68</v>
      </c>
      <c r="D128" s="90" t="s">
        <v>761</v>
      </c>
    </row>
    <row r="129" spans="1:4" x14ac:dyDescent="0.2">
      <c r="A129" s="86">
        <v>73502</v>
      </c>
      <c r="B129" s="87" t="s">
        <v>246</v>
      </c>
      <c r="C129" s="88">
        <v>64.17</v>
      </c>
      <c r="D129" s="90" t="s">
        <v>761</v>
      </c>
    </row>
    <row r="130" spans="1:4" x14ac:dyDescent="0.2">
      <c r="A130" s="86">
        <v>73503</v>
      </c>
      <c r="B130" s="87" t="s">
        <v>247</v>
      </c>
      <c r="C130" s="88">
        <v>81.22</v>
      </c>
      <c r="D130" s="90" t="s">
        <v>761</v>
      </c>
    </row>
    <row r="131" spans="1:4" x14ac:dyDescent="0.2">
      <c r="A131" s="86">
        <v>73521</v>
      </c>
      <c r="B131" s="87" t="s">
        <v>248</v>
      </c>
      <c r="C131" s="88">
        <v>56.16</v>
      </c>
      <c r="D131" s="90" t="s">
        <v>761</v>
      </c>
    </row>
    <row r="132" spans="1:4" x14ac:dyDescent="0.2">
      <c r="A132" s="86">
        <v>73522</v>
      </c>
      <c r="B132" s="87" t="s">
        <v>249</v>
      </c>
      <c r="C132" s="88">
        <v>73.040000000000006</v>
      </c>
      <c r="D132" s="90" t="s">
        <v>761</v>
      </c>
    </row>
    <row r="133" spans="1:4" x14ac:dyDescent="0.2">
      <c r="A133" s="86">
        <v>73523</v>
      </c>
      <c r="B133" s="87" t="s">
        <v>250</v>
      </c>
      <c r="C133" s="88">
        <v>84.39</v>
      </c>
      <c r="D133" s="90" t="s">
        <v>761</v>
      </c>
    </row>
    <row r="134" spans="1:4" x14ac:dyDescent="0.2">
      <c r="A134" s="86">
        <v>73551</v>
      </c>
      <c r="B134" s="87" t="s">
        <v>251</v>
      </c>
      <c r="C134" s="88">
        <v>39.659999999999997</v>
      </c>
      <c r="D134" s="90" t="s">
        <v>761</v>
      </c>
    </row>
    <row r="135" spans="1:4" x14ac:dyDescent="0.2">
      <c r="A135" s="86">
        <v>73552</v>
      </c>
      <c r="B135" s="87" t="s">
        <v>252</v>
      </c>
      <c r="C135" s="88">
        <v>48.46</v>
      </c>
      <c r="D135" s="90" t="s">
        <v>761</v>
      </c>
    </row>
    <row r="136" spans="1:4" x14ac:dyDescent="0.2">
      <c r="A136" s="86">
        <v>73560</v>
      </c>
      <c r="B136" s="87" t="s">
        <v>253</v>
      </c>
      <c r="C136" s="88">
        <v>46.73</v>
      </c>
      <c r="D136" s="90" t="s">
        <v>761</v>
      </c>
    </row>
    <row r="137" spans="1:4" x14ac:dyDescent="0.2">
      <c r="A137" s="86">
        <v>73562</v>
      </c>
      <c r="B137" s="87" t="s">
        <v>254</v>
      </c>
      <c r="C137" s="88">
        <v>55.53</v>
      </c>
      <c r="D137" s="90" t="s">
        <v>761</v>
      </c>
    </row>
    <row r="138" spans="1:4" x14ac:dyDescent="0.2">
      <c r="A138" s="86">
        <v>73564</v>
      </c>
      <c r="B138" s="87" t="s">
        <v>255</v>
      </c>
      <c r="C138" s="88">
        <v>63.7</v>
      </c>
      <c r="D138" s="90" t="s">
        <v>761</v>
      </c>
    </row>
    <row r="139" spans="1:4" x14ac:dyDescent="0.2">
      <c r="A139" s="86">
        <v>73565</v>
      </c>
      <c r="B139" s="87" t="s">
        <v>256</v>
      </c>
      <c r="C139" s="88">
        <v>54.75</v>
      </c>
      <c r="D139" s="90" t="s">
        <v>761</v>
      </c>
    </row>
    <row r="140" spans="1:4" x14ac:dyDescent="0.2">
      <c r="A140" s="86">
        <v>73590</v>
      </c>
      <c r="B140" s="87" t="s">
        <v>257</v>
      </c>
      <c r="C140" s="88">
        <v>42.96</v>
      </c>
      <c r="D140" s="90" t="s">
        <v>761</v>
      </c>
    </row>
    <row r="141" spans="1:4" x14ac:dyDescent="0.2">
      <c r="A141" s="86">
        <v>73600</v>
      </c>
      <c r="B141" s="87" t="s">
        <v>258</v>
      </c>
      <c r="C141" s="88">
        <v>44.37</v>
      </c>
      <c r="D141" s="90" t="s">
        <v>761</v>
      </c>
    </row>
    <row r="142" spans="1:4" x14ac:dyDescent="0.2">
      <c r="A142" s="86">
        <v>73610</v>
      </c>
      <c r="B142" s="87" t="s">
        <v>259</v>
      </c>
      <c r="C142" s="88">
        <v>50.42</v>
      </c>
      <c r="D142" s="90" t="s">
        <v>761</v>
      </c>
    </row>
    <row r="143" spans="1:4" x14ac:dyDescent="0.2">
      <c r="A143" s="86">
        <v>73620</v>
      </c>
      <c r="B143" s="87" t="s">
        <v>260</v>
      </c>
      <c r="C143" s="88">
        <v>38.25</v>
      </c>
      <c r="D143" s="90" t="s">
        <v>761</v>
      </c>
    </row>
    <row r="144" spans="1:4" x14ac:dyDescent="0.2">
      <c r="A144" s="86">
        <v>73630</v>
      </c>
      <c r="B144" s="87" t="s">
        <v>261</v>
      </c>
      <c r="C144" s="88">
        <v>46.65</v>
      </c>
      <c r="D144" s="90" t="s">
        <v>761</v>
      </c>
    </row>
    <row r="145" spans="1:4" x14ac:dyDescent="0.2">
      <c r="A145" s="86">
        <v>73650</v>
      </c>
      <c r="B145" s="87" t="s">
        <v>262</v>
      </c>
      <c r="C145" s="88">
        <v>38.72</v>
      </c>
      <c r="D145" s="90" t="s">
        <v>761</v>
      </c>
    </row>
    <row r="146" spans="1:4" x14ac:dyDescent="0.2">
      <c r="A146" s="86">
        <v>73660</v>
      </c>
      <c r="B146" s="87" t="s">
        <v>263</v>
      </c>
      <c r="C146" s="88">
        <v>39.9</v>
      </c>
      <c r="D146" s="90" t="s">
        <v>761</v>
      </c>
    </row>
    <row r="147" spans="1:4" x14ac:dyDescent="0.2">
      <c r="A147" s="86">
        <v>74018</v>
      </c>
      <c r="B147" s="87" t="s">
        <v>264</v>
      </c>
      <c r="C147" s="88">
        <v>40.450000000000003</v>
      </c>
      <c r="D147" s="90" t="s">
        <v>761</v>
      </c>
    </row>
    <row r="148" spans="1:4" x14ac:dyDescent="0.2">
      <c r="A148" s="86">
        <v>74019</v>
      </c>
      <c r="B148" s="87" t="s">
        <v>265</v>
      </c>
      <c r="C148" s="88">
        <v>49.95</v>
      </c>
      <c r="D148" s="90" t="s">
        <v>761</v>
      </c>
    </row>
    <row r="149" spans="1:4" x14ac:dyDescent="0.2">
      <c r="A149" s="86">
        <v>74021</v>
      </c>
      <c r="B149" s="87" t="s">
        <v>266</v>
      </c>
      <c r="C149" s="88">
        <v>58.11</v>
      </c>
      <c r="D149" s="90" t="s">
        <v>761</v>
      </c>
    </row>
    <row r="150" spans="1:4" x14ac:dyDescent="0.2">
      <c r="A150" s="86">
        <v>74022</v>
      </c>
      <c r="B150" s="87" t="s">
        <v>267</v>
      </c>
      <c r="C150" s="88">
        <v>67.34</v>
      </c>
      <c r="D150" s="90" t="s">
        <v>761</v>
      </c>
    </row>
    <row r="151" spans="1:4" x14ac:dyDescent="0.2">
      <c r="A151" s="86">
        <v>74220</v>
      </c>
      <c r="B151" s="87" t="s">
        <v>268</v>
      </c>
      <c r="C151" s="88">
        <v>134.81</v>
      </c>
      <c r="D151" s="90" t="s">
        <v>761</v>
      </c>
    </row>
    <row r="152" spans="1:4" x14ac:dyDescent="0.2">
      <c r="A152" s="86">
        <v>76514</v>
      </c>
      <c r="B152" s="87" t="s">
        <v>269</v>
      </c>
      <c r="C152" s="88">
        <v>14.36</v>
      </c>
      <c r="D152" s="90" t="s">
        <v>761</v>
      </c>
    </row>
    <row r="153" spans="1:4" x14ac:dyDescent="0.2">
      <c r="A153" s="86">
        <v>76536</v>
      </c>
      <c r="B153" s="87" t="s">
        <v>270</v>
      </c>
      <c r="C153" s="88">
        <v>152.1</v>
      </c>
      <c r="D153" s="90" t="s">
        <v>761</v>
      </c>
    </row>
    <row r="154" spans="1:4" x14ac:dyDescent="0.2">
      <c r="A154" s="86">
        <v>76641</v>
      </c>
      <c r="B154" s="87" t="s">
        <v>271</v>
      </c>
      <c r="C154" s="88">
        <v>139.43</v>
      </c>
      <c r="D154" s="90" t="s">
        <v>761</v>
      </c>
    </row>
    <row r="155" spans="1:4" x14ac:dyDescent="0.2">
      <c r="A155" s="86">
        <v>76700</v>
      </c>
      <c r="B155" s="87" t="s">
        <v>272</v>
      </c>
      <c r="C155" s="88">
        <v>157.65</v>
      </c>
      <c r="D155" s="90" t="s">
        <v>761</v>
      </c>
    </row>
    <row r="156" spans="1:4" x14ac:dyDescent="0.2">
      <c r="A156" s="86">
        <v>76705</v>
      </c>
      <c r="B156" s="87" t="s">
        <v>273</v>
      </c>
      <c r="C156" s="88">
        <v>118.86</v>
      </c>
      <c r="D156" s="90" t="s">
        <v>761</v>
      </c>
    </row>
    <row r="157" spans="1:4" x14ac:dyDescent="0.2">
      <c r="A157" s="86">
        <v>76706</v>
      </c>
      <c r="B157" s="87" t="s">
        <v>274</v>
      </c>
      <c r="C157" s="88">
        <v>145.57</v>
      </c>
      <c r="D157" s="90" t="s">
        <v>761</v>
      </c>
    </row>
    <row r="158" spans="1:4" x14ac:dyDescent="0.2">
      <c r="A158" s="86">
        <v>76770</v>
      </c>
      <c r="B158" s="87" t="s">
        <v>275</v>
      </c>
      <c r="C158" s="88">
        <v>146.88999999999999</v>
      </c>
      <c r="D158" s="90" t="s">
        <v>761</v>
      </c>
    </row>
    <row r="159" spans="1:4" x14ac:dyDescent="0.2">
      <c r="A159" s="86">
        <v>76775</v>
      </c>
      <c r="B159" s="87" t="s">
        <v>276</v>
      </c>
      <c r="C159" s="88">
        <v>77.430000000000007</v>
      </c>
      <c r="D159" s="90" t="s">
        <v>761</v>
      </c>
    </row>
    <row r="160" spans="1:4" x14ac:dyDescent="0.2">
      <c r="A160" s="86">
        <v>76856</v>
      </c>
      <c r="B160" s="87" t="s">
        <v>277</v>
      </c>
      <c r="C160" s="88">
        <v>143.04</v>
      </c>
      <c r="D160" s="90" t="s">
        <v>761</v>
      </c>
    </row>
    <row r="161" spans="1:4" x14ac:dyDescent="0.2">
      <c r="A161" s="86">
        <v>76870</v>
      </c>
      <c r="B161" s="87" t="s">
        <v>278</v>
      </c>
      <c r="C161" s="88">
        <v>136.84</v>
      </c>
      <c r="D161" s="90" t="s">
        <v>761</v>
      </c>
    </row>
    <row r="162" spans="1:4" x14ac:dyDescent="0.2">
      <c r="A162" s="86">
        <v>76882</v>
      </c>
      <c r="B162" s="87" t="s">
        <v>279</v>
      </c>
      <c r="C162" s="88">
        <v>52.5</v>
      </c>
      <c r="D162" s="90" t="s">
        <v>761</v>
      </c>
    </row>
    <row r="163" spans="1:4" x14ac:dyDescent="0.2">
      <c r="A163" s="86">
        <v>77080</v>
      </c>
      <c r="B163" s="87" t="s">
        <v>280</v>
      </c>
      <c r="C163" s="88">
        <v>51.6</v>
      </c>
      <c r="D163" s="90" t="s">
        <v>761</v>
      </c>
    </row>
    <row r="164" spans="1:4" x14ac:dyDescent="0.2">
      <c r="A164" s="86">
        <v>77081</v>
      </c>
      <c r="B164" s="87" t="s">
        <v>281</v>
      </c>
      <c r="C164" s="88">
        <v>42.17</v>
      </c>
      <c r="D164" s="90" t="s">
        <v>761</v>
      </c>
    </row>
    <row r="165" spans="1:4" x14ac:dyDescent="0.2">
      <c r="A165" s="86">
        <v>77086</v>
      </c>
      <c r="B165" s="87" t="s">
        <v>282</v>
      </c>
      <c r="C165" s="88">
        <v>44.77</v>
      </c>
      <c r="D165" s="90" t="s">
        <v>761</v>
      </c>
    </row>
    <row r="166" spans="1:4" x14ac:dyDescent="0.2">
      <c r="A166" s="86">
        <v>80047</v>
      </c>
      <c r="B166" s="87" t="s">
        <v>283</v>
      </c>
      <c r="C166" s="88">
        <v>15.1</v>
      </c>
      <c r="D166" s="90" t="s">
        <v>760</v>
      </c>
    </row>
    <row r="167" spans="1:4" x14ac:dyDescent="0.2">
      <c r="A167" s="86">
        <v>80048</v>
      </c>
      <c r="B167" s="87" t="s">
        <v>284</v>
      </c>
      <c r="C167" s="88">
        <v>9.31</v>
      </c>
      <c r="D167" s="90" t="s">
        <v>760</v>
      </c>
    </row>
    <row r="168" spans="1:4" x14ac:dyDescent="0.2">
      <c r="A168" s="86">
        <v>80051</v>
      </c>
      <c r="B168" s="87" t="s">
        <v>285</v>
      </c>
      <c r="C168" s="88">
        <v>7.71</v>
      </c>
      <c r="D168" s="90" t="s">
        <v>760</v>
      </c>
    </row>
    <row r="169" spans="1:4" x14ac:dyDescent="0.2">
      <c r="A169" s="86">
        <v>80053</v>
      </c>
      <c r="B169" s="87" t="s">
        <v>286</v>
      </c>
      <c r="C169" s="88">
        <v>11.62</v>
      </c>
      <c r="D169" s="90" t="s">
        <v>760</v>
      </c>
    </row>
    <row r="170" spans="1:4" x14ac:dyDescent="0.2">
      <c r="A170" s="86">
        <v>80055</v>
      </c>
      <c r="B170" s="87" t="s">
        <v>287</v>
      </c>
      <c r="C170" s="88">
        <v>52.59</v>
      </c>
      <c r="D170" s="90" t="s">
        <v>760</v>
      </c>
    </row>
    <row r="171" spans="1:4" x14ac:dyDescent="0.2">
      <c r="A171" s="86">
        <v>80061</v>
      </c>
      <c r="B171" s="87" t="s">
        <v>288</v>
      </c>
      <c r="C171" s="88">
        <v>14.73</v>
      </c>
      <c r="D171" s="90" t="s">
        <v>760</v>
      </c>
    </row>
    <row r="172" spans="1:4" x14ac:dyDescent="0.2">
      <c r="A172" s="86">
        <v>80069</v>
      </c>
      <c r="B172" s="87" t="s">
        <v>289</v>
      </c>
      <c r="C172" s="88">
        <v>9.5500000000000007</v>
      </c>
      <c r="D172" s="90" t="s">
        <v>760</v>
      </c>
    </row>
    <row r="173" spans="1:4" x14ac:dyDescent="0.2">
      <c r="A173" s="86">
        <v>80076</v>
      </c>
      <c r="B173" s="87" t="s">
        <v>290</v>
      </c>
      <c r="C173" s="88">
        <v>8.99</v>
      </c>
      <c r="D173" s="90" t="s">
        <v>760</v>
      </c>
    </row>
    <row r="174" spans="1:4" x14ac:dyDescent="0.2">
      <c r="A174" s="86">
        <v>80156</v>
      </c>
      <c r="B174" s="87" t="s">
        <v>291</v>
      </c>
      <c r="C174" s="88">
        <v>16.03</v>
      </c>
      <c r="D174" s="90" t="s">
        <v>760</v>
      </c>
    </row>
    <row r="175" spans="1:4" x14ac:dyDescent="0.2">
      <c r="A175" s="86">
        <v>80159</v>
      </c>
      <c r="B175" s="87" t="s">
        <v>292</v>
      </c>
      <c r="C175" s="88">
        <v>22.17</v>
      </c>
      <c r="D175" s="90" t="s">
        <v>760</v>
      </c>
    </row>
    <row r="176" spans="1:4" x14ac:dyDescent="0.2">
      <c r="A176" s="86">
        <v>80162</v>
      </c>
      <c r="B176" s="87" t="s">
        <v>293</v>
      </c>
      <c r="C176" s="88">
        <v>14.61</v>
      </c>
      <c r="D176" s="90" t="s">
        <v>760</v>
      </c>
    </row>
    <row r="177" spans="1:4" x14ac:dyDescent="0.2">
      <c r="A177" s="86">
        <v>80164</v>
      </c>
      <c r="B177" s="87" t="s">
        <v>294</v>
      </c>
      <c r="C177" s="88">
        <v>14.89</v>
      </c>
      <c r="D177" s="90" t="s">
        <v>760</v>
      </c>
    </row>
    <row r="178" spans="1:4" x14ac:dyDescent="0.2">
      <c r="A178" s="86">
        <v>80173</v>
      </c>
      <c r="B178" s="87" t="s">
        <v>295</v>
      </c>
      <c r="C178" s="88">
        <v>17.36</v>
      </c>
      <c r="D178" s="90" t="s">
        <v>760</v>
      </c>
    </row>
    <row r="179" spans="1:4" x14ac:dyDescent="0.2">
      <c r="A179" s="86">
        <v>80175</v>
      </c>
      <c r="B179" s="87" t="s">
        <v>296</v>
      </c>
      <c r="C179" s="88">
        <v>14.58</v>
      </c>
      <c r="D179" s="90" t="s">
        <v>760</v>
      </c>
    </row>
    <row r="180" spans="1:4" x14ac:dyDescent="0.2">
      <c r="A180" s="86">
        <v>80176</v>
      </c>
      <c r="B180" s="87" t="s">
        <v>297</v>
      </c>
      <c r="C180" s="88">
        <v>16.16</v>
      </c>
      <c r="D180" s="90" t="s">
        <v>760</v>
      </c>
    </row>
    <row r="181" spans="1:4" x14ac:dyDescent="0.2">
      <c r="A181" s="86">
        <v>80178</v>
      </c>
      <c r="B181" s="87" t="s">
        <v>298</v>
      </c>
      <c r="C181" s="88">
        <v>7.27</v>
      </c>
      <c r="D181" s="90" t="s">
        <v>760</v>
      </c>
    </row>
    <row r="182" spans="1:4" x14ac:dyDescent="0.2">
      <c r="A182" s="86">
        <v>80185</v>
      </c>
      <c r="B182" s="87" t="s">
        <v>299</v>
      </c>
      <c r="C182" s="88">
        <v>14.58</v>
      </c>
      <c r="D182" s="90" t="s">
        <v>760</v>
      </c>
    </row>
    <row r="183" spans="1:4" x14ac:dyDescent="0.2">
      <c r="A183" s="86">
        <v>80202</v>
      </c>
      <c r="B183" s="87" t="s">
        <v>300</v>
      </c>
      <c r="C183" s="88">
        <v>14.89</v>
      </c>
      <c r="D183" s="90" t="s">
        <v>760</v>
      </c>
    </row>
    <row r="184" spans="1:4" x14ac:dyDescent="0.2">
      <c r="A184" s="86">
        <v>80299</v>
      </c>
      <c r="B184" s="87" t="s">
        <v>301</v>
      </c>
      <c r="C184" s="88">
        <v>20.5</v>
      </c>
      <c r="D184" s="90" t="s">
        <v>760</v>
      </c>
    </row>
    <row r="185" spans="1:4" x14ac:dyDescent="0.2">
      <c r="A185" s="86">
        <v>80305</v>
      </c>
      <c r="B185" s="87" t="s">
        <v>302</v>
      </c>
      <c r="C185" s="88">
        <v>13.86</v>
      </c>
      <c r="D185" s="90" t="s">
        <v>760</v>
      </c>
    </row>
    <row r="186" spans="1:4" x14ac:dyDescent="0.2">
      <c r="A186" s="86">
        <v>80307</v>
      </c>
      <c r="B186" s="87" t="s">
        <v>303</v>
      </c>
      <c r="C186" s="88">
        <v>68.349999999999994</v>
      </c>
      <c r="D186" s="90" t="s">
        <v>760</v>
      </c>
    </row>
    <row r="187" spans="1:4" x14ac:dyDescent="0.2">
      <c r="A187" s="86">
        <v>80338</v>
      </c>
      <c r="B187" s="87" t="s">
        <v>304</v>
      </c>
      <c r="C187" s="88">
        <v>92.72</v>
      </c>
      <c r="D187" s="90" t="s">
        <v>760</v>
      </c>
    </row>
    <row r="188" spans="1:4" x14ac:dyDescent="0.2">
      <c r="A188" s="86">
        <v>80342</v>
      </c>
      <c r="B188" s="87" t="s">
        <v>305</v>
      </c>
      <c r="C188" s="88">
        <v>92.72</v>
      </c>
      <c r="D188" s="90" t="s">
        <v>760</v>
      </c>
    </row>
    <row r="189" spans="1:4" x14ac:dyDescent="0.2">
      <c r="A189" s="86">
        <v>80346</v>
      </c>
      <c r="B189" s="87" t="s">
        <v>306</v>
      </c>
      <c r="C189" s="88">
        <v>125.4</v>
      </c>
      <c r="D189" s="90" t="s">
        <v>760</v>
      </c>
    </row>
    <row r="190" spans="1:4" x14ac:dyDescent="0.2">
      <c r="A190" s="86">
        <v>80365</v>
      </c>
      <c r="B190" s="87" t="s">
        <v>307</v>
      </c>
      <c r="C190" s="88">
        <v>110</v>
      </c>
      <c r="D190" s="90" t="s">
        <v>760</v>
      </c>
    </row>
    <row r="191" spans="1:4" x14ac:dyDescent="0.2">
      <c r="A191" s="86">
        <v>81001</v>
      </c>
      <c r="B191" s="87" t="s">
        <v>308</v>
      </c>
      <c r="C191" s="88">
        <v>3.49</v>
      </c>
      <c r="D191" s="90" t="s">
        <v>760</v>
      </c>
    </row>
    <row r="192" spans="1:4" x14ac:dyDescent="0.2">
      <c r="A192" s="86">
        <v>81002</v>
      </c>
      <c r="B192" s="87" t="s">
        <v>309</v>
      </c>
      <c r="C192" s="88">
        <v>3.83</v>
      </c>
      <c r="D192" s="90" t="s">
        <v>760</v>
      </c>
    </row>
    <row r="193" spans="1:4" x14ac:dyDescent="0.2">
      <c r="A193" s="86">
        <v>81003</v>
      </c>
      <c r="B193" s="87" t="s">
        <v>310</v>
      </c>
      <c r="C193" s="88">
        <v>2.48</v>
      </c>
      <c r="D193" s="90" t="s">
        <v>760</v>
      </c>
    </row>
    <row r="194" spans="1:4" x14ac:dyDescent="0.2">
      <c r="A194" s="86">
        <v>81015</v>
      </c>
      <c r="B194" s="87" t="s">
        <v>311</v>
      </c>
      <c r="C194" s="88">
        <v>3.36</v>
      </c>
      <c r="D194" s="90" t="s">
        <v>760</v>
      </c>
    </row>
    <row r="195" spans="1:4" x14ac:dyDescent="0.2">
      <c r="A195" s="86">
        <v>82040</v>
      </c>
      <c r="B195" s="87" t="s">
        <v>312</v>
      </c>
      <c r="C195" s="88">
        <v>5.45</v>
      </c>
      <c r="D195" s="90" t="s">
        <v>760</v>
      </c>
    </row>
    <row r="196" spans="1:4" x14ac:dyDescent="0.2">
      <c r="A196" s="86">
        <v>82043</v>
      </c>
      <c r="B196" s="87" t="s">
        <v>313</v>
      </c>
      <c r="C196" s="88">
        <v>6.36</v>
      </c>
      <c r="D196" s="90" t="s">
        <v>760</v>
      </c>
    </row>
    <row r="197" spans="1:4" x14ac:dyDescent="0.2">
      <c r="A197" s="86">
        <v>82105</v>
      </c>
      <c r="B197" s="87" t="s">
        <v>314</v>
      </c>
      <c r="C197" s="88">
        <v>18.45</v>
      </c>
      <c r="D197" s="90" t="s">
        <v>760</v>
      </c>
    </row>
    <row r="198" spans="1:4" x14ac:dyDescent="0.2">
      <c r="A198" s="86">
        <v>82140</v>
      </c>
      <c r="B198" s="87" t="s">
        <v>315</v>
      </c>
      <c r="C198" s="88">
        <v>16.03</v>
      </c>
      <c r="D198" s="90" t="s">
        <v>760</v>
      </c>
    </row>
    <row r="199" spans="1:4" x14ac:dyDescent="0.2">
      <c r="A199" s="86">
        <v>82150</v>
      </c>
      <c r="B199" s="87" t="s">
        <v>316</v>
      </c>
      <c r="C199" s="88">
        <v>7.13</v>
      </c>
      <c r="D199" s="90" t="s">
        <v>760</v>
      </c>
    </row>
    <row r="200" spans="1:4" x14ac:dyDescent="0.2">
      <c r="A200" s="86">
        <v>82180</v>
      </c>
      <c r="B200" s="87" t="s">
        <v>317</v>
      </c>
      <c r="C200" s="88">
        <v>10.88</v>
      </c>
      <c r="D200" s="90" t="s">
        <v>760</v>
      </c>
    </row>
    <row r="201" spans="1:4" x14ac:dyDescent="0.2">
      <c r="A201" s="86">
        <v>82247</v>
      </c>
      <c r="B201" s="87" t="s">
        <v>318</v>
      </c>
      <c r="C201" s="88">
        <v>5.52</v>
      </c>
      <c r="D201" s="90" t="s">
        <v>760</v>
      </c>
    </row>
    <row r="202" spans="1:4" x14ac:dyDescent="0.2">
      <c r="A202" s="86">
        <v>82248</v>
      </c>
      <c r="B202" s="87" t="s">
        <v>319</v>
      </c>
      <c r="C202" s="88">
        <v>5.52</v>
      </c>
      <c r="D202" s="90" t="s">
        <v>760</v>
      </c>
    </row>
    <row r="203" spans="1:4" x14ac:dyDescent="0.2">
      <c r="A203" s="86">
        <v>82270</v>
      </c>
      <c r="B203" s="87" t="s">
        <v>320</v>
      </c>
      <c r="C203" s="88">
        <v>4.82</v>
      </c>
      <c r="D203" s="90" t="s">
        <v>760</v>
      </c>
    </row>
    <row r="204" spans="1:4" x14ac:dyDescent="0.2">
      <c r="A204" s="86">
        <v>82272</v>
      </c>
      <c r="B204" s="87" t="s">
        <v>321</v>
      </c>
      <c r="C204" s="88">
        <v>4.6500000000000004</v>
      </c>
      <c r="D204" s="90" t="s">
        <v>760</v>
      </c>
    </row>
    <row r="205" spans="1:4" x14ac:dyDescent="0.2">
      <c r="A205" s="86">
        <v>82274</v>
      </c>
      <c r="B205" s="87" t="s">
        <v>322</v>
      </c>
      <c r="C205" s="88">
        <v>17.510000000000002</v>
      </c>
      <c r="D205" s="90" t="s">
        <v>760</v>
      </c>
    </row>
    <row r="206" spans="1:4" x14ac:dyDescent="0.2">
      <c r="A206" s="86">
        <v>82306</v>
      </c>
      <c r="B206" s="87" t="s">
        <v>323</v>
      </c>
      <c r="C206" s="88">
        <v>32.56</v>
      </c>
      <c r="D206" s="90" t="s">
        <v>760</v>
      </c>
    </row>
    <row r="207" spans="1:4" x14ac:dyDescent="0.2">
      <c r="A207" s="86">
        <v>82310</v>
      </c>
      <c r="B207" s="87" t="s">
        <v>324</v>
      </c>
      <c r="C207" s="88">
        <v>5.68</v>
      </c>
      <c r="D207" s="90" t="s">
        <v>760</v>
      </c>
    </row>
    <row r="208" spans="1:4" x14ac:dyDescent="0.2">
      <c r="A208" s="86">
        <v>82340</v>
      </c>
      <c r="B208" s="87" t="s">
        <v>325</v>
      </c>
      <c r="C208" s="88">
        <v>6.63</v>
      </c>
      <c r="D208" s="90" t="s">
        <v>760</v>
      </c>
    </row>
    <row r="209" spans="1:4" x14ac:dyDescent="0.2">
      <c r="A209" s="86">
        <v>82374</v>
      </c>
      <c r="B209" s="87" t="s">
        <v>326</v>
      </c>
      <c r="C209" s="88">
        <v>5.37</v>
      </c>
      <c r="D209" s="90" t="s">
        <v>760</v>
      </c>
    </row>
    <row r="210" spans="1:4" x14ac:dyDescent="0.2">
      <c r="A210" s="86">
        <v>82435</v>
      </c>
      <c r="B210" s="87" t="s">
        <v>327</v>
      </c>
      <c r="C210" s="88">
        <v>5.0599999999999996</v>
      </c>
      <c r="D210" s="90" t="s">
        <v>760</v>
      </c>
    </row>
    <row r="211" spans="1:4" x14ac:dyDescent="0.2">
      <c r="A211" s="86">
        <v>82465</v>
      </c>
      <c r="B211" s="87" t="s">
        <v>328</v>
      </c>
      <c r="C211" s="88">
        <v>4.79</v>
      </c>
      <c r="D211" s="90" t="s">
        <v>760</v>
      </c>
    </row>
    <row r="212" spans="1:4" x14ac:dyDescent="0.2">
      <c r="A212" s="86">
        <v>82533</v>
      </c>
      <c r="B212" s="87" t="s">
        <v>329</v>
      </c>
      <c r="C212" s="88">
        <v>17.93</v>
      </c>
      <c r="D212" s="90" t="s">
        <v>760</v>
      </c>
    </row>
    <row r="213" spans="1:4" x14ac:dyDescent="0.2">
      <c r="A213" s="86">
        <v>82542</v>
      </c>
      <c r="B213" s="87" t="s">
        <v>330</v>
      </c>
      <c r="C213" s="88">
        <v>26.5</v>
      </c>
      <c r="D213" s="90" t="s">
        <v>760</v>
      </c>
    </row>
    <row r="214" spans="1:4" x14ac:dyDescent="0.2">
      <c r="A214" s="86">
        <v>82550</v>
      </c>
      <c r="B214" s="87" t="s">
        <v>331</v>
      </c>
      <c r="C214" s="88">
        <v>7.16</v>
      </c>
      <c r="D214" s="90" t="s">
        <v>760</v>
      </c>
    </row>
    <row r="215" spans="1:4" x14ac:dyDescent="0.2">
      <c r="A215" s="86">
        <v>82553</v>
      </c>
      <c r="B215" s="87" t="s">
        <v>332</v>
      </c>
      <c r="C215" s="88">
        <v>12.71</v>
      </c>
      <c r="D215" s="90" t="s">
        <v>760</v>
      </c>
    </row>
    <row r="216" spans="1:4" x14ac:dyDescent="0.2">
      <c r="A216" s="86">
        <v>82565</v>
      </c>
      <c r="B216" s="87" t="s">
        <v>333</v>
      </c>
      <c r="C216" s="88">
        <v>5.63</v>
      </c>
      <c r="D216" s="90" t="s">
        <v>760</v>
      </c>
    </row>
    <row r="217" spans="1:4" x14ac:dyDescent="0.2">
      <c r="A217" s="86">
        <v>82570</v>
      </c>
      <c r="B217" s="87" t="s">
        <v>334</v>
      </c>
      <c r="C217" s="88">
        <v>5.7</v>
      </c>
      <c r="D217" s="90" t="s">
        <v>760</v>
      </c>
    </row>
    <row r="218" spans="1:4" x14ac:dyDescent="0.2">
      <c r="A218" s="86">
        <v>82607</v>
      </c>
      <c r="B218" s="87" t="s">
        <v>335</v>
      </c>
      <c r="C218" s="88">
        <v>16.59</v>
      </c>
      <c r="D218" s="90" t="s">
        <v>760</v>
      </c>
    </row>
    <row r="219" spans="1:4" x14ac:dyDescent="0.2">
      <c r="A219" s="86">
        <v>82652</v>
      </c>
      <c r="B219" s="87" t="s">
        <v>336</v>
      </c>
      <c r="C219" s="88">
        <v>42.35</v>
      </c>
      <c r="D219" s="90" t="s">
        <v>760</v>
      </c>
    </row>
    <row r="220" spans="1:4" x14ac:dyDescent="0.2">
      <c r="A220" s="86">
        <v>82728</v>
      </c>
      <c r="B220" s="87" t="s">
        <v>337</v>
      </c>
      <c r="C220" s="88">
        <v>14.99</v>
      </c>
      <c r="D220" s="90" t="s">
        <v>760</v>
      </c>
    </row>
    <row r="221" spans="1:4" x14ac:dyDescent="0.2">
      <c r="A221" s="86">
        <v>82746</v>
      </c>
      <c r="B221" s="87" t="s">
        <v>338</v>
      </c>
      <c r="C221" s="88">
        <v>16.170000000000002</v>
      </c>
      <c r="D221" s="90" t="s">
        <v>760</v>
      </c>
    </row>
    <row r="222" spans="1:4" x14ac:dyDescent="0.2">
      <c r="A222" s="86">
        <v>82947</v>
      </c>
      <c r="B222" s="87" t="s">
        <v>339</v>
      </c>
      <c r="C222" s="88">
        <v>4.32</v>
      </c>
      <c r="D222" s="90" t="s">
        <v>760</v>
      </c>
    </row>
    <row r="223" spans="1:4" x14ac:dyDescent="0.2">
      <c r="A223" s="86">
        <v>82960</v>
      </c>
      <c r="B223" s="87" t="s">
        <v>340</v>
      </c>
      <c r="C223" s="88">
        <v>6.66</v>
      </c>
      <c r="D223" s="90" t="s">
        <v>760</v>
      </c>
    </row>
    <row r="224" spans="1:4" x14ac:dyDescent="0.2">
      <c r="A224" s="86">
        <v>82962</v>
      </c>
      <c r="B224" s="87" t="s">
        <v>341</v>
      </c>
      <c r="C224" s="88">
        <v>3.61</v>
      </c>
      <c r="D224" s="90" t="s">
        <v>760</v>
      </c>
    </row>
    <row r="225" spans="1:4" x14ac:dyDescent="0.2">
      <c r="A225" s="86">
        <v>82965</v>
      </c>
      <c r="B225" s="87" t="s">
        <v>342</v>
      </c>
      <c r="C225" s="88">
        <v>14.47</v>
      </c>
      <c r="D225" s="90" t="s">
        <v>760</v>
      </c>
    </row>
    <row r="226" spans="1:4" x14ac:dyDescent="0.2">
      <c r="A226" s="86">
        <v>82977</v>
      </c>
      <c r="B226" s="87" t="s">
        <v>343</v>
      </c>
      <c r="C226" s="88">
        <v>7.92</v>
      </c>
      <c r="D226" s="90" t="s">
        <v>760</v>
      </c>
    </row>
    <row r="227" spans="1:4" x14ac:dyDescent="0.2">
      <c r="A227" s="91">
        <v>83021</v>
      </c>
      <c r="B227" s="92" t="s">
        <v>344</v>
      </c>
      <c r="C227" s="88">
        <v>21.86</v>
      </c>
      <c r="D227" s="90" t="s">
        <v>760</v>
      </c>
    </row>
    <row r="228" spans="1:4" x14ac:dyDescent="0.2">
      <c r="A228" s="86">
        <v>83036</v>
      </c>
      <c r="B228" s="87" t="s">
        <v>345</v>
      </c>
      <c r="C228" s="88">
        <v>10.68</v>
      </c>
      <c r="D228" s="90" t="s">
        <v>760</v>
      </c>
    </row>
    <row r="229" spans="1:4" x14ac:dyDescent="0.2">
      <c r="A229" s="86">
        <v>83090</v>
      </c>
      <c r="B229" s="87" t="s">
        <v>346</v>
      </c>
      <c r="C229" s="88">
        <v>19.71</v>
      </c>
      <c r="D229" s="90" t="s">
        <v>760</v>
      </c>
    </row>
    <row r="230" spans="1:4" x14ac:dyDescent="0.2">
      <c r="A230" s="86">
        <v>83540</v>
      </c>
      <c r="B230" s="87" t="s">
        <v>347</v>
      </c>
      <c r="C230" s="88">
        <v>7.12</v>
      </c>
      <c r="D230" s="90" t="s">
        <v>760</v>
      </c>
    </row>
    <row r="231" spans="1:4" x14ac:dyDescent="0.2">
      <c r="A231" s="86">
        <v>83593</v>
      </c>
      <c r="B231" s="87" t="s">
        <v>348</v>
      </c>
      <c r="C231" s="88">
        <v>31.35</v>
      </c>
      <c r="D231" s="90" t="s">
        <v>760</v>
      </c>
    </row>
    <row r="232" spans="1:4" x14ac:dyDescent="0.2">
      <c r="A232" s="86">
        <v>83615</v>
      </c>
      <c r="B232" s="87" t="s">
        <v>349</v>
      </c>
      <c r="C232" s="88">
        <v>6.64</v>
      </c>
      <c r="D232" s="90" t="s">
        <v>760</v>
      </c>
    </row>
    <row r="233" spans="1:4" x14ac:dyDescent="0.2">
      <c r="A233" s="86">
        <v>83690</v>
      </c>
      <c r="B233" s="87" t="s">
        <v>350</v>
      </c>
      <c r="C233" s="88">
        <v>7.58</v>
      </c>
      <c r="D233" s="90" t="s">
        <v>760</v>
      </c>
    </row>
    <row r="234" spans="1:4" x14ac:dyDescent="0.2">
      <c r="A234" s="86">
        <v>83735</v>
      </c>
      <c r="B234" s="87" t="s">
        <v>351</v>
      </c>
      <c r="C234" s="88">
        <v>7.37</v>
      </c>
      <c r="D234" s="90" t="s">
        <v>760</v>
      </c>
    </row>
    <row r="235" spans="1:4" x14ac:dyDescent="0.2">
      <c r="A235" s="86">
        <v>83874</v>
      </c>
      <c r="B235" s="87" t="s">
        <v>352</v>
      </c>
      <c r="C235" s="88">
        <v>14.21</v>
      </c>
      <c r="D235" s="90" t="s">
        <v>760</v>
      </c>
    </row>
    <row r="236" spans="1:4" x14ac:dyDescent="0.2">
      <c r="A236" s="86">
        <v>83880</v>
      </c>
      <c r="B236" s="87" t="s">
        <v>353</v>
      </c>
      <c r="C236" s="88">
        <v>43.19</v>
      </c>
      <c r="D236" s="90" t="s">
        <v>760</v>
      </c>
    </row>
    <row r="237" spans="1:4" x14ac:dyDescent="0.2">
      <c r="A237" s="86">
        <v>83883</v>
      </c>
      <c r="B237" s="87" t="s">
        <v>354</v>
      </c>
      <c r="C237" s="88">
        <v>14.96</v>
      </c>
      <c r="D237" s="90" t="s">
        <v>760</v>
      </c>
    </row>
    <row r="238" spans="1:4" x14ac:dyDescent="0.2">
      <c r="A238" s="86">
        <v>83930</v>
      </c>
      <c r="B238" s="87" t="s">
        <v>355</v>
      </c>
      <c r="C238" s="88">
        <v>7.27</v>
      </c>
      <c r="D238" s="90" t="s">
        <v>760</v>
      </c>
    </row>
    <row r="239" spans="1:4" x14ac:dyDescent="0.2">
      <c r="A239" s="86">
        <v>83935</v>
      </c>
      <c r="B239" s="87" t="s">
        <v>356</v>
      </c>
      <c r="C239" s="88">
        <v>7.5</v>
      </c>
      <c r="D239" s="90" t="s">
        <v>760</v>
      </c>
    </row>
    <row r="240" spans="1:4" x14ac:dyDescent="0.2">
      <c r="A240" s="86">
        <v>83970</v>
      </c>
      <c r="B240" s="87" t="s">
        <v>357</v>
      </c>
      <c r="C240" s="88">
        <v>45.41</v>
      </c>
      <c r="D240" s="90" t="s">
        <v>760</v>
      </c>
    </row>
    <row r="241" spans="1:4" x14ac:dyDescent="0.2">
      <c r="A241" s="86">
        <v>84075</v>
      </c>
      <c r="B241" s="87" t="s">
        <v>358</v>
      </c>
      <c r="C241" s="88">
        <v>5.7</v>
      </c>
      <c r="D241" s="90" t="s">
        <v>760</v>
      </c>
    </row>
    <row r="242" spans="1:4" x14ac:dyDescent="0.2">
      <c r="A242" s="86">
        <v>84100</v>
      </c>
      <c r="B242" s="87" t="s">
        <v>359</v>
      </c>
      <c r="C242" s="88">
        <v>5.21</v>
      </c>
      <c r="D242" s="90" t="s">
        <v>760</v>
      </c>
    </row>
    <row r="243" spans="1:4" x14ac:dyDescent="0.2">
      <c r="A243" s="86">
        <v>84132</v>
      </c>
      <c r="B243" s="87" t="s">
        <v>360</v>
      </c>
      <c r="C243" s="88">
        <v>5.24</v>
      </c>
      <c r="D243" s="90" t="s">
        <v>760</v>
      </c>
    </row>
    <row r="244" spans="1:4" x14ac:dyDescent="0.2">
      <c r="A244" s="86">
        <v>84140</v>
      </c>
      <c r="B244" s="87" t="s">
        <v>361</v>
      </c>
      <c r="C244" s="88">
        <v>22.74</v>
      </c>
      <c r="D244" s="90" t="s">
        <v>760</v>
      </c>
    </row>
    <row r="245" spans="1:4" x14ac:dyDescent="0.2">
      <c r="A245" s="86">
        <v>84145</v>
      </c>
      <c r="B245" s="87" t="s">
        <v>362</v>
      </c>
      <c r="C245" s="88">
        <v>29.94</v>
      </c>
      <c r="D245" s="90" t="s">
        <v>760</v>
      </c>
    </row>
    <row r="246" spans="1:4" x14ac:dyDescent="0.2">
      <c r="A246" s="86">
        <v>84146</v>
      </c>
      <c r="B246" s="87" t="s">
        <v>363</v>
      </c>
      <c r="C246" s="88">
        <v>21.32</v>
      </c>
      <c r="D246" s="90" t="s">
        <v>760</v>
      </c>
    </row>
    <row r="247" spans="1:4" x14ac:dyDescent="0.2">
      <c r="A247" s="86">
        <v>84153</v>
      </c>
      <c r="B247" s="87" t="s">
        <v>364</v>
      </c>
      <c r="C247" s="88">
        <v>20.23</v>
      </c>
      <c r="D247" s="90" t="s">
        <v>760</v>
      </c>
    </row>
    <row r="248" spans="1:4" x14ac:dyDescent="0.2">
      <c r="A248" s="86">
        <v>84154</v>
      </c>
      <c r="B248" s="87" t="s">
        <v>365</v>
      </c>
      <c r="C248" s="88">
        <v>20.23</v>
      </c>
      <c r="D248" s="90" t="s">
        <v>760</v>
      </c>
    </row>
    <row r="249" spans="1:4" x14ac:dyDescent="0.2">
      <c r="A249" s="86">
        <v>84155</v>
      </c>
      <c r="B249" s="87" t="s">
        <v>366</v>
      </c>
      <c r="C249" s="88">
        <v>4.04</v>
      </c>
      <c r="D249" s="90" t="s">
        <v>760</v>
      </c>
    </row>
    <row r="250" spans="1:4" x14ac:dyDescent="0.2">
      <c r="A250" s="86">
        <v>84295</v>
      </c>
      <c r="B250" s="87" t="s">
        <v>367</v>
      </c>
      <c r="C250" s="88">
        <v>5.29</v>
      </c>
      <c r="D250" s="90" t="s">
        <v>760</v>
      </c>
    </row>
    <row r="251" spans="1:4" x14ac:dyDescent="0.2">
      <c r="A251" s="86">
        <v>84300</v>
      </c>
      <c r="B251" s="87" t="s">
        <v>368</v>
      </c>
      <c r="C251" s="88">
        <v>5.57</v>
      </c>
      <c r="D251" s="90" t="s">
        <v>760</v>
      </c>
    </row>
    <row r="252" spans="1:4" x14ac:dyDescent="0.2">
      <c r="A252" s="86">
        <v>84430</v>
      </c>
      <c r="B252" s="87" t="s">
        <v>369</v>
      </c>
      <c r="C252" s="88">
        <v>12.79</v>
      </c>
      <c r="D252" s="90" t="s">
        <v>760</v>
      </c>
    </row>
    <row r="253" spans="1:4" x14ac:dyDescent="0.2">
      <c r="A253" s="86">
        <v>84432</v>
      </c>
      <c r="B253" s="87" t="s">
        <v>370</v>
      </c>
      <c r="C253" s="88">
        <v>17.670000000000002</v>
      </c>
      <c r="D253" s="90" t="s">
        <v>760</v>
      </c>
    </row>
    <row r="254" spans="1:4" x14ac:dyDescent="0.2">
      <c r="A254" s="86">
        <v>84436</v>
      </c>
      <c r="B254" s="87" t="s">
        <v>371</v>
      </c>
      <c r="C254" s="88">
        <v>7.56</v>
      </c>
      <c r="D254" s="90" t="s">
        <v>760</v>
      </c>
    </row>
    <row r="255" spans="1:4" x14ac:dyDescent="0.2">
      <c r="A255" s="86">
        <v>84439</v>
      </c>
      <c r="B255" s="87" t="s">
        <v>372</v>
      </c>
      <c r="C255" s="88">
        <v>9.92</v>
      </c>
      <c r="D255" s="90" t="s">
        <v>760</v>
      </c>
    </row>
    <row r="256" spans="1:4" x14ac:dyDescent="0.2">
      <c r="A256" s="86">
        <v>84442</v>
      </c>
      <c r="B256" s="87" t="s">
        <v>373</v>
      </c>
      <c r="C256" s="88">
        <v>16.260000000000002</v>
      </c>
      <c r="D256" s="90" t="s">
        <v>760</v>
      </c>
    </row>
    <row r="257" spans="1:4" x14ac:dyDescent="0.2">
      <c r="A257" s="86">
        <v>84443</v>
      </c>
      <c r="B257" s="87" t="s">
        <v>374</v>
      </c>
      <c r="C257" s="88">
        <v>18.48</v>
      </c>
      <c r="D257" s="90" t="s">
        <v>760</v>
      </c>
    </row>
    <row r="258" spans="1:4" x14ac:dyDescent="0.2">
      <c r="A258" s="86">
        <v>84445</v>
      </c>
      <c r="B258" s="87" t="s">
        <v>375</v>
      </c>
      <c r="C258" s="88">
        <v>55.95</v>
      </c>
      <c r="D258" s="90" t="s">
        <v>760</v>
      </c>
    </row>
    <row r="259" spans="1:4" x14ac:dyDescent="0.2">
      <c r="A259" s="86">
        <v>84446</v>
      </c>
      <c r="B259" s="87" t="s">
        <v>376</v>
      </c>
      <c r="C259" s="88">
        <v>15.6</v>
      </c>
      <c r="D259" s="90" t="s">
        <v>760</v>
      </c>
    </row>
    <row r="260" spans="1:4" x14ac:dyDescent="0.2">
      <c r="A260" s="86">
        <v>84450</v>
      </c>
      <c r="B260" s="87" t="s">
        <v>377</v>
      </c>
      <c r="C260" s="88">
        <v>5.7</v>
      </c>
      <c r="D260" s="90" t="s">
        <v>760</v>
      </c>
    </row>
    <row r="261" spans="1:4" x14ac:dyDescent="0.2">
      <c r="A261" s="86">
        <v>84460</v>
      </c>
      <c r="B261" s="87" t="s">
        <v>378</v>
      </c>
      <c r="C261" s="88">
        <v>5.83</v>
      </c>
      <c r="D261" s="90" t="s">
        <v>760</v>
      </c>
    </row>
    <row r="262" spans="1:4" x14ac:dyDescent="0.2">
      <c r="A262" s="86">
        <v>84478</v>
      </c>
      <c r="B262" s="87" t="s">
        <v>379</v>
      </c>
      <c r="C262" s="88">
        <v>6.31</v>
      </c>
      <c r="D262" s="90" t="s">
        <v>760</v>
      </c>
    </row>
    <row r="263" spans="1:4" x14ac:dyDescent="0.2">
      <c r="A263" s="86">
        <v>84479</v>
      </c>
      <c r="B263" s="87" t="s">
        <v>380</v>
      </c>
      <c r="C263" s="88">
        <v>7.12</v>
      </c>
      <c r="D263" s="90" t="s">
        <v>760</v>
      </c>
    </row>
    <row r="264" spans="1:4" x14ac:dyDescent="0.2">
      <c r="A264" s="86">
        <v>84481</v>
      </c>
      <c r="B264" s="87" t="s">
        <v>381</v>
      </c>
      <c r="C264" s="88">
        <v>18.63</v>
      </c>
      <c r="D264" s="90" t="s">
        <v>760</v>
      </c>
    </row>
    <row r="265" spans="1:4" x14ac:dyDescent="0.2">
      <c r="A265" s="86">
        <v>84484</v>
      </c>
      <c r="B265" s="87" t="s">
        <v>382</v>
      </c>
      <c r="C265" s="88">
        <v>13.72</v>
      </c>
      <c r="D265" s="90" t="s">
        <v>760</v>
      </c>
    </row>
    <row r="266" spans="1:4" x14ac:dyDescent="0.2">
      <c r="A266" s="86">
        <v>84520</v>
      </c>
      <c r="B266" s="87" t="s">
        <v>383</v>
      </c>
      <c r="C266" s="88">
        <v>4.3499999999999996</v>
      </c>
      <c r="D266" s="90" t="s">
        <v>760</v>
      </c>
    </row>
    <row r="267" spans="1:4" x14ac:dyDescent="0.2">
      <c r="A267" s="86">
        <v>84540</v>
      </c>
      <c r="B267" s="87" t="s">
        <v>384</v>
      </c>
      <c r="C267" s="88">
        <v>6.12</v>
      </c>
      <c r="D267" s="90" t="s">
        <v>760</v>
      </c>
    </row>
    <row r="268" spans="1:4" x14ac:dyDescent="0.2">
      <c r="A268" s="86">
        <v>84550</v>
      </c>
      <c r="B268" s="87" t="s">
        <v>385</v>
      </c>
      <c r="C268" s="88">
        <v>4.97</v>
      </c>
      <c r="D268" s="90" t="s">
        <v>760</v>
      </c>
    </row>
    <row r="269" spans="1:4" x14ac:dyDescent="0.2">
      <c r="A269" s="86">
        <v>84560</v>
      </c>
      <c r="B269" s="87" t="s">
        <v>386</v>
      </c>
      <c r="C269" s="88">
        <v>5.59</v>
      </c>
      <c r="D269" s="90" t="s">
        <v>760</v>
      </c>
    </row>
    <row r="270" spans="1:4" x14ac:dyDescent="0.2">
      <c r="A270" s="86">
        <v>84630</v>
      </c>
      <c r="B270" s="87" t="s">
        <v>387</v>
      </c>
      <c r="C270" s="88">
        <v>12.53</v>
      </c>
      <c r="D270" s="90" t="s">
        <v>760</v>
      </c>
    </row>
    <row r="271" spans="1:4" x14ac:dyDescent="0.2">
      <c r="A271" s="86">
        <v>84702</v>
      </c>
      <c r="B271" s="87" t="s">
        <v>388</v>
      </c>
      <c r="C271" s="88">
        <v>16.559999999999999</v>
      </c>
      <c r="D271" s="90" t="s">
        <v>760</v>
      </c>
    </row>
    <row r="272" spans="1:4" x14ac:dyDescent="0.2">
      <c r="A272" s="86">
        <v>84703</v>
      </c>
      <c r="B272" s="87" t="s">
        <v>389</v>
      </c>
      <c r="C272" s="88">
        <v>8.27</v>
      </c>
      <c r="D272" s="90" t="s">
        <v>760</v>
      </c>
    </row>
    <row r="273" spans="1:4" x14ac:dyDescent="0.2">
      <c r="A273" s="86">
        <v>85004</v>
      </c>
      <c r="B273" s="87" t="s">
        <v>390</v>
      </c>
      <c r="C273" s="88">
        <v>7.12</v>
      </c>
      <c r="D273" s="90" t="s">
        <v>760</v>
      </c>
    </row>
    <row r="274" spans="1:4" x14ac:dyDescent="0.2">
      <c r="A274" s="86">
        <v>85007</v>
      </c>
      <c r="B274" s="87" t="s">
        <v>391</v>
      </c>
      <c r="C274" s="88">
        <v>4.18</v>
      </c>
      <c r="D274" s="90" t="s">
        <v>760</v>
      </c>
    </row>
    <row r="275" spans="1:4" x14ac:dyDescent="0.2">
      <c r="A275" s="86">
        <v>85008</v>
      </c>
      <c r="B275" s="87" t="s">
        <v>392</v>
      </c>
      <c r="C275" s="88">
        <v>3.77</v>
      </c>
      <c r="D275" s="90" t="s">
        <v>760</v>
      </c>
    </row>
    <row r="276" spans="1:4" x14ac:dyDescent="0.2">
      <c r="A276" s="86">
        <v>85025</v>
      </c>
      <c r="B276" s="87" t="s">
        <v>393</v>
      </c>
      <c r="C276" s="88">
        <v>8.5500000000000007</v>
      </c>
      <c r="D276" s="90" t="s">
        <v>760</v>
      </c>
    </row>
    <row r="277" spans="1:4" x14ac:dyDescent="0.2">
      <c r="A277" s="86">
        <v>85032</v>
      </c>
      <c r="B277" s="87" t="s">
        <v>394</v>
      </c>
      <c r="C277" s="88">
        <v>4.74</v>
      </c>
      <c r="D277" s="90" t="s">
        <v>760</v>
      </c>
    </row>
    <row r="278" spans="1:4" x14ac:dyDescent="0.2">
      <c r="A278" s="86">
        <v>85044</v>
      </c>
      <c r="B278" s="87" t="s">
        <v>395</v>
      </c>
      <c r="C278" s="88">
        <v>4.74</v>
      </c>
      <c r="D278" s="90" t="s">
        <v>760</v>
      </c>
    </row>
    <row r="279" spans="1:4" x14ac:dyDescent="0.2">
      <c r="A279" s="86">
        <v>85045</v>
      </c>
      <c r="B279" s="87" t="s">
        <v>396</v>
      </c>
      <c r="C279" s="88">
        <v>4.3899999999999997</v>
      </c>
      <c r="D279" s="90" t="s">
        <v>760</v>
      </c>
    </row>
    <row r="280" spans="1:4" x14ac:dyDescent="0.2">
      <c r="A280" s="86">
        <v>85048</v>
      </c>
      <c r="B280" s="87" t="s">
        <v>397</v>
      </c>
      <c r="C280" s="88">
        <v>2.79</v>
      </c>
      <c r="D280" s="90" t="s">
        <v>760</v>
      </c>
    </row>
    <row r="281" spans="1:4" x14ac:dyDescent="0.2">
      <c r="A281" s="86">
        <v>85049</v>
      </c>
      <c r="B281" s="87" t="s">
        <v>398</v>
      </c>
      <c r="C281" s="88">
        <v>4.93</v>
      </c>
      <c r="D281" s="90" t="s">
        <v>760</v>
      </c>
    </row>
    <row r="282" spans="1:4" x14ac:dyDescent="0.2">
      <c r="A282" s="86">
        <v>85055</v>
      </c>
      <c r="B282" s="87" t="s">
        <v>399</v>
      </c>
      <c r="C282" s="88">
        <v>39.31</v>
      </c>
      <c r="D282" s="90" t="s">
        <v>760</v>
      </c>
    </row>
    <row r="283" spans="1:4" x14ac:dyDescent="0.2">
      <c r="A283" s="86">
        <v>85240</v>
      </c>
      <c r="B283" s="87" t="s">
        <v>400</v>
      </c>
      <c r="C283" s="88">
        <v>19.690000000000001</v>
      </c>
      <c r="D283" s="90" t="s">
        <v>760</v>
      </c>
    </row>
    <row r="284" spans="1:4" x14ac:dyDescent="0.2">
      <c r="A284" s="86">
        <v>85379</v>
      </c>
      <c r="B284" s="87" t="s">
        <v>401</v>
      </c>
      <c r="C284" s="88">
        <v>11.2</v>
      </c>
      <c r="D284" s="90" t="s">
        <v>760</v>
      </c>
    </row>
    <row r="285" spans="1:4" x14ac:dyDescent="0.2">
      <c r="A285" s="86">
        <v>85610</v>
      </c>
      <c r="B285" s="87" t="s">
        <v>402</v>
      </c>
      <c r="C285" s="88">
        <v>4.72</v>
      </c>
      <c r="D285" s="90" t="s">
        <v>760</v>
      </c>
    </row>
    <row r="286" spans="1:4" x14ac:dyDescent="0.2">
      <c r="A286" s="86">
        <v>85651</v>
      </c>
      <c r="B286" s="87" t="s">
        <v>403</v>
      </c>
      <c r="C286" s="88">
        <v>4.7</v>
      </c>
      <c r="D286" s="90" t="s">
        <v>760</v>
      </c>
    </row>
    <row r="287" spans="1:4" x14ac:dyDescent="0.2">
      <c r="A287" s="86">
        <v>85652</v>
      </c>
      <c r="B287" s="87" t="s">
        <v>404</v>
      </c>
      <c r="C287" s="88">
        <v>2.97</v>
      </c>
      <c r="D287" s="90" t="s">
        <v>760</v>
      </c>
    </row>
    <row r="288" spans="1:4" x14ac:dyDescent="0.2">
      <c r="A288" s="86">
        <v>85730</v>
      </c>
      <c r="B288" s="87" t="s">
        <v>405</v>
      </c>
      <c r="C288" s="88">
        <v>6.61</v>
      </c>
      <c r="D288" s="90" t="s">
        <v>760</v>
      </c>
    </row>
    <row r="289" spans="1:4" x14ac:dyDescent="0.2">
      <c r="A289" s="86">
        <v>86140</v>
      </c>
      <c r="B289" s="87" t="s">
        <v>406</v>
      </c>
      <c r="C289" s="88">
        <v>5.7</v>
      </c>
      <c r="D289" s="90" t="s">
        <v>760</v>
      </c>
    </row>
    <row r="290" spans="1:4" x14ac:dyDescent="0.2">
      <c r="A290" s="86">
        <v>86141</v>
      </c>
      <c r="B290" s="87" t="s">
        <v>407</v>
      </c>
      <c r="C290" s="88">
        <v>14.25</v>
      </c>
      <c r="D290" s="90" t="s">
        <v>760</v>
      </c>
    </row>
    <row r="291" spans="1:4" x14ac:dyDescent="0.2">
      <c r="A291" s="91">
        <v>86200</v>
      </c>
      <c r="B291" s="92" t="s">
        <v>408</v>
      </c>
      <c r="C291" s="88">
        <v>15.68</v>
      </c>
      <c r="D291" s="90" t="s">
        <v>760</v>
      </c>
    </row>
    <row r="292" spans="1:4" x14ac:dyDescent="0.2">
      <c r="A292" s="86">
        <v>86255</v>
      </c>
      <c r="B292" s="87" t="s">
        <v>409</v>
      </c>
      <c r="C292" s="88">
        <v>93.5</v>
      </c>
      <c r="D292" s="90" t="s">
        <v>760</v>
      </c>
    </row>
    <row r="293" spans="1:4" x14ac:dyDescent="0.2">
      <c r="A293" s="86">
        <v>86430</v>
      </c>
      <c r="B293" s="87" t="s">
        <v>410</v>
      </c>
      <c r="C293" s="88">
        <v>6.75</v>
      </c>
      <c r="D293" s="90" t="s">
        <v>760</v>
      </c>
    </row>
    <row r="294" spans="1:4" x14ac:dyDescent="0.2">
      <c r="A294" s="91">
        <v>86480</v>
      </c>
      <c r="B294" s="92" t="s">
        <v>411</v>
      </c>
      <c r="C294" s="88">
        <v>75</v>
      </c>
      <c r="D294" s="90" t="s">
        <v>760</v>
      </c>
    </row>
    <row r="295" spans="1:4" x14ac:dyDescent="0.2">
      <c r="A295" s="86">
        <v>86580</v>
      </c>
      <c r="B295" s="87" t="s">
        <v>412</v>
      </c>
      <c r="C295" s="88">
        <v>38.5</v>
      </c>
      <c r="D295" s="90" t="s">
        <v>760</v>
      </c>
    </row>
    <row r="296" spans="1:4" x14ac:dyDescent="0.2">
      <c r="A296" s="86">
        <v>86590</v>
      </c>
      <c r="B296" s="87" t="s">
        <v>413</v>
      </c>
      <c r="C296" s="88">
        <v>13.93</v>
      </c>
      <c r="D296" s="90" t="s">
        <v>760</v>
      </c>
    </row>
    <row r="297" spans="1:4" x14ac:dyDescent="0.2">
      <c r="A297" s="86">
        <v>86592</v>
      </c>
      <c r="B297" s="87" t="s">
        <v>414</v>
      </c>
      <c r="C297" s="88">
        <v>4.7</v>
      </c>
      <c r="D297" s="90" t="s">
        <v>760</v>
      </c>
    </row>
    <row r="298" spans="1:4" x14ac:dyDescent="0.2">
      <c r="A298" s="86">
        <v>86593</v>
      </c>
      <c r="B298" s="87" t="s">
        <v>415</v>
      </c>
      <c r="C298" s="88">
        <v>4.84</v>
      </c>
      <c r="D298" s="90" t="s">
        <v>760</v>
      </c>
    </row>
    <row r="299" spans="1:4" x14ac:dyDescent="0.2">
      <c r="A299" s="86">
        <v>86677</v>
      </c>
      <c r="B299" s="87" t="s">
        <v>416</v>
      </c>
      <c r="C299" s="88">
        <v>18.54</v>
      </c>
      <c r="D299" s="90" t="s">
        <v>760</v>
      </c>
    </row>
    <row r="300" spans="1:4" x14ac:dyDescent="0.2">
      <c r="A300" s="86">
        <v>86701</v>
      </c>
      <c r="B300" s="87" t="s">
        <v>417</v>
      </c>
      <c r="C300" s="88">
        <v>9.7799999999999994</v>
      </c>
      <c r="D300" s="90" t="s">
        <v>760</v>
      </c>
    </row>
    <row r="301" spans="1:4" x14ac:dyDescent="0.2">
      <c r="A301" s="86">
        <v>86703</v>
      </c>
      <c r="B301" s="87" t="s">
        <v>418</v>
      </c>
      <c r="C301" s="88">
        <v>15.08</v>
      </c>
      <c r="D301" s="90" t="s">
        <v>760</v>
      </c>
    </row>
    <row r="302" spans="1:4" x14ac:dyDescent="0.2">
      <c r="A302" s="86">
        <v>86704</v>
      </c>
      <c r="B302" s="87" t="s">
        <v>419</v>
      </c>
      <c r="C302" s="88">
        <v>13.26</v>
      </c>
      <c r="D302" s="90" t="s">
        <v>760</v>
      </c>
    </row>
    <row r="303" spans="1:4" x14ac:dyDescent="0.2">
      <c r="A303" s="86">
        <v>86705</v>
      </c>
      <c r="B303" s="87" t="s">
        <v>420</v>
      </c>
      <c r="C303" s="88">
        <v>12.95</v>
      </c>
      <c r="D303" s="90" t="s">
        <v>760</v>
      </c>
    </row>
    <row r="304" spans="1:4" x14ac:dyDescent="0.2">
      <c r="A304" s="86">
        <v>86706</v>
      </c>
      <c r="B304" s="87" t="s">
        <v>421</v>
      </c>
      <c r="C304" s="88">
        <v>11.81</v>
      </c>
      <c r="D304" s="90" t="s">
        <v>760</v>
      </c>
    </row>
    <row r="305" spans="1:4" x14ac:dyDescent="0.2">
      <c r="A305" s="86">
        <v>86708</v>
      </c>
      <c r="B305" s="87" t="s">
        <v>422</v>
      </c>
      <c r="C305" s="88">
        <v>13.63</v>
      </c>
      <c r="D305" s="90" t="s">
        <v>760</v>
      </c>
    </row>
    <row r="306" spans="1:4" x14ac:dyDescent="0.2">
      <c r="A306" s="86">
        <v>86709</v>
      </c>
      <c r="B306" s="87" t="s">
        <v>423</v>
      </c>
      <c r="C306" s="88">
        <v>12.39</v>
      </c>
      <c r="D306" s="90" t="s">
        <v>760</v>
      </c>
    </row>
    <row r="307" spans="1:4" x14ac:dyDescent="0.2">
      <c r="A307" s="86">
        <v>86735</v>
      </c>
      <c r="B307" s="87" t="s">
        <v>424</v>
      </c>
      <c r="C307" s="88">
        <v>14.36</v>
      </c>
      <c r="D307" s="90" t="s">
        <v>760</v>
      </c>
    </row>
    <row r="308" spans="1:4" x14ac:dyDescent="0.2">
      <c r="A308" s="86">
        <v>86762</v>
      </c>
      <c r="B308" s="87" t="s">
        <v>425</v>
      </c>
      <c r="C308" s="88">
        <v>15.83</v>
      </c>
      <c r="D308" s="90" t="s">
        <v>760</v>
      </c>
    </row>
    <row r="309" spans="1:4" x14ac:dyDescent="0.2">
      <c r="A309" s="86">
        <v>86765</v>
      </c>
      <c r="B309" s="87" t="s">
        <v>426</v>
      </c>
      <c r="C309" s="88">
        <v>14.17</v>
      </c>
      <c r="D309" s="90" t="s">
        <v>760</v>
      </c>
    </row>
    <row r="310" spans="1:4" x14ac:dyDescent="0.2">
      <c r="A310" s="86">
        <v>86769</v>
      </c>
      <c r="B310" s="87" t="s">
        <v>427</v>
      </c>
      <c r="C310" s="88">
        <v>46.34</v>
      </c>
      <c r="D310" s="90" t="s">
        <v>760</v>
      </c>
    </row>
    <row r="311" spans="1:4" x14ac:dyDescent="0.2">
      <c r="A311" s="86">
        <v>86780</v>
      </c>
      <c r="B311" s="87" t="s">
        <v>428</v>
      </c>
      <c r="C311" s="88">
        <v>14.56</v>
      </c>
      <c r="D311" s="90" t="s">
        <v>760</v>
      </c>
    </row>
    <row r="312" spans="1:4" x14ac:dyDescent="0.2">
      <c r="A312" s="86">
        <v>86787</v>
      </c>
      <c r="B312" s="87" t="s">
        <v>429</v>
      </c>
      <c r="C312" s="88">
        <v>14.17</v>
      </c>
      <c r="D312" s="90" t="s">
        <v>760</v>
      </c>
    </row>
    <row r="313" spans="1:4" x14ac:dyDescent="0.2">
      <c r="A313" s="86">
        <v>86803</v>
      </c>
      <c r="B313" s="87" t="s">
        <v>430</v>
      </c>
      <c r="C313" s="88">
        <v>15.7</v>
      </c>
      <c r="D313" s="90" t="s">
        <v>760</v>
      </c>
    </row>
    <row r="314" spans="1:4" x14ac:dyDescent="0.2">
      <c r="A314" s="86">
        <v>86850</v>
      </c>
      <c r="B314" s="87" t="s">
        <v>431</v>
      </c>
      <c r="C314" s="88">
        <v>10.75</v>
      </c>
      <c r="D314" s="90" t="s">
        <v>760</v>
      </c>
    </row>
    <row r="315" spans="1:4" x14ac:dyDescent="0.2">
      <c r="A315" s="86">
        <v>86900</v>
      </c>
      <c r="B315" s="87" t="s">
        <v>432</v>
      </c>
      <c r="C315" s="88">
        <v>3.29</v>
      </c>
      <c r="D315" s="90" t="s">
        <v>760</v>
      </c>
    </row>
    <row r="316" spans="1:4" x14ac:dyDescent="0.2">
      <c r="A316" s="86">
        <v>86901</v>
      </c>
      <c r="B316" s="87" t="s">
        <v>433</v>
      </c>
      <c r="C316" s="88">
        <v>3.29</v>
      </c>
      <c r="D316" s="90" t="s">
        <v>760</v>
      </c>
    </row>
    <row r="317" spans="1:4" x14ac:dyDescent="0.2">
      <c r="A317" s="86">
        <v>87086</v>
      </c>
      <c r="B317" s="87" t="s">
        <v>434</v>
      </c>
      <c r="C317" s="88">
        <v>8.8800000000000008</v>
      </c>
      <c r="D317" s="90" t="s">
        <v>760</v>
      </c>
    </row>
    <row r="318" spans="1:4" x14ac:dyDescent="0.2">
      <c r="A318" s="86">
        <v>87177</v>
      </c>
      <c r="B318" s="87" t="s">
        <v>435</v>
      </c>
      <c r="C318" s="88">
        <v>9.7899999999999991</v>
      </c>
      <c r="D318" s="90" t="s">
        <v>760</v>
      </c>
    </row>
    <row r="319" spans="1:4" x14ac:dyDescent="0.2">
      <c r="A319" s="86">
        <v>87209</v>
      </c>
      <c r="B319" s="87" t="s">
        <v>436</v>
      </c>
      <c r="C319" s="88">
        <v>19.78</v>
      </c>
      <c r="D319" s="90" t="s">
        <v>760</v>
      </c>
    </row>
    <row r="320" spans="1:4" x14ac:dyDescent="0.2">
      <c r="A320" s="86">
        <v>87389</v>
      </c>
      <c r="B320" s="87" t="s">
        <v>437</v>
      </c>
      <c r="C320" s="88">
        <v>26.49</v>
      </c>
      <c r="D320" s="90" t="s">
        <v>760</v>
      </c>
    </row>
    <row r="321" spans="1:4" x14ac:dyDescent="0.2">
      <c r="A321" s="86">
        <v>87491</v>
      </c>
      <c r="B321" s="87" t="s">
        <v>438</v>
      </c>
      <c r="C321" s="88">
        <v>38.6</v>
      </c>
      <c r="D321" s="90" t="s">
        <v>760</v>
      </c>
    </row>
    <row r="322" spans="1:4" x14ac:dyDescent="0.2">
      <c r="A322" s="86">
        <v>87522</v>
      </c>
      <c r="B322" s="87" t="s">
        <v>439</v>
      </c>
      <c r="C322" s="88">
        <v>47.12</v>
      </c>
      <c r="D322" s="90" t="s">
        <v>760</v>
      </c>
    </row>
    <row r="323" spans="1:4" x14ac:dyDescent="0.2">
      <c r="A323" s="86">
        <v>87804</v>
      </c>
      <c r="B323" s="87" t="s">
        <v>440</v>
      </c>
      <c r="C323" s="88">
        <v>18.21</v>
      </c>
      <c r="D323" s="90" t="s">
        <v>760</v>
      </c>
    </row>
    <row r="324" spans="1:4" x14ac:dyDescent="0.2">
      <c r="A324" s="86">
        <v>87880</v>
      </c>
      <c r="B324" s="87" t="s">
        <v>441</v>
      </c>
      <c r="C324" s="88">
        <v>18.18</v>
      </c>
      <c r="D324" s="90" t="s">
        <v>760</v>
      </c>
    </row>
    <row r="325" spans="1:4" x14ac:dyDescent="0.2">
      <c r="A325" s="86">
        <v>87902</v>
      </c>
      <c r="B325" s="87" t="s">
        <v>442</v>
      </c>
      <c r="C325" s="88">
        <v>283.2</v>
      </c>
      <c r="D325" s="90" t="s">
        <v>760</v>
      </c>
    </row>
    <row r="326" spans="1:4" x14ac:dyDescent="0.2">
      <c r="A326" s="86">
        <v>90471</v>
      </c>
      <c r="B326" s="87" t="s">
        <v>443</v>
      </c>
      <c r="C326" s="88">
        <v>26.65</v>
      </c>
      <c r="D326" s="89" t="s">
        <v>113</v>
      </c>
    </row>
    <row r="327" spans="1:4" x14ac:dyDescent="0.2">
      <c r="A327" s="86">
        <v>90472</v>
      </c>
      <c r="B327" s="87" t="s">
        <v>444</v>
      </c>
      <c r="C327" s="88">
        <v>18.8</v>
      </c>
      <c r="D327" s="89" t="s">
        <v>113</v>
      </c>
    </row>
    <row r="328" spans="1:4" x14ac:dyDescent="0.2">
      <c r="A328" s="86">
        <v>90474</v>
      </c>
      <c r="B328" s="87" t="s">
        <v>445</v>
      </c>
      <c r="C328" s="88">
        <v>15.03</v>
      </c>
      <c r="D328" s="89" t="s">
        <v>113</v>
      </c>
    </row>
    <row r="329" spans="1:4" x14ac:dyDescent="0.2">
      <c r="A329" s="86">
        <v>90632</v>
      </c>
      <c r="B329" s="87" t="s">
        <v>446</v>
      </c>
      <c r="C329" s="88">
        <v>157.30000000000001</v>
      </c>
      <c r="D329" s="89" t="s">
        <v>113</v>
      </c>
    </row>
    <row r="330" spans="1:4" x14ac:dyDescent="0.2">
      <c r="A330" s="86">
        <v>90636</v>
      </c>
      <c r="B330" s="87" t="s">
        <v>447</v>
      </c>
      <c r="C330" s="88">
        <v>281.05</v>
      </c>
      <c r="D330" s="89" t="s">
        <v>113</v>
      </c>
    </row>
    <row r="331" spans="1:4" x14ac:dyDescent="0.2">
      <c r="A331" s="86">
        <v>90649</v>
      </c>
      <c r="B331" s="87" t="s">
        <v>448</v>
      </c>
      <c r="C331" s="88">
        <v>452.98</v>
      </c>
      <c r="D331" s="89" t="s">
        <v>113</v>
      </c>
    </row>
    <row r="332" spans="1:4" x14ac:dyDescent="0.2">
      <c r="A332" s="86">
        <v>90651</v>
      </c>
      <c r="B332" s="87" t="s">
        <v>449</v>
      </c>
      <c r="C332" s="88">
        <v>517</v>
      </c>
      <c r="D332" s="89" t="s">
        <v>113</v>
      </c>
    </row>
    <row r="333" spans="1:4" x14ac:dyDescent="0.2">
      <c r="A333" s="86">
        <v>90656</v>
      </c>
      <c r="B333" s="87" t="s">
        <v>450</v>
      </c>
      <c r="C333" s="88">
        <v>44</v>
      </c>
      <c r="D333" s="89" t="s">
        <v>113</v>
      </c>
    </row>
    <row r="334" spans="1:4" x14ac:dyDescent="0.2">
      <c r="A334" s="86">
        <v>90670</v>
      </c>
      <c r="B334" s="87" t="s">
        <v>451</v>
      </c>
      <c r="C334" s="88">
        <v>384.05</v>
      </c>
      <c r="D334" s="89" t="s">
        <v>113</v>
      </c>
    </row>
    <row r="335" spans="1:4" x14ac:dyDescent="0.2">
      <c r="A335" s="86">
        <v>90673</v>
      </c>
      <c r="B335" s="87" t="s">
        <v>452</v>
      </c>
      <c r="C335" s="88">
        <v>85.8</v>
      </c>
      <c r="D335" s="89" t="s">
        <v>113</v>
      </c>
    </row>
    <row r="336" spans="1:4" x14ac:dyDescent="0.2">
      <c r="A336" s="86">
        <v>90674</v>
      </c>
      <c r="B336" s="87" t="s">
        <v>453</v>
      </c>
      <c r="C336" s="88">
        <v>55</v>
      </c>
      <c r="D336" s="89" t="s">
        <v>113</v>
      </c>
    </row>
    <row r="337" spans="1:4" x14ac:dyDescent="0.2">
      <c r="A337" s="86">
        <v>90686</v>
      </c>
      <c r="B337" s="87" t="s">
        <v>454</v>
      </c>
      <c r="C337" s="88">
        <v>51.7</v>
      </c>
      <c r="D337" s="89" t="s">
        <v>113</v>
      </c>
    </row>
    <row r="338" spans="1:4" x14ac:dyDescent="0.2">
      <c r="A338" s="86">
        <v>90707</v>
      </c>
      <c r="B338" s="87" t="s">
        <v>455</v>
      </c>
      <c r="C338" s="88">
        <v>126.5</v>
      </c>
      <c r="D338" s="89" t="s">
        <v>113</v>
      </c>
    </row>
    <row r="339" spans="1:4" x14ac:dyDescent="0.2">
      <c r="A339" s="86">
        <v>90714</v>
      </c>
      <c r="B339" s="87" t="s">
        <v>456</v>
      </c>
      <c r="C339" s="88">
        <v>67.099999999999994</v>
      </c>
      <c r="D339" s="89" t="s">
        <v>113</v>
      </c>
    </row>
    <row r="340" spans="1:4" x14ac:dyDescent="0.2">
      <c r="A340" s="86">
        <v>90715</v>
      </c>
      <c r="B340" s="87" t="s">
        <v>457</v>
      </c>
      <c r="C340" s="88">
        <v>92.4</v>
      </c>
      <c r="D340" s="89" t="s">
        <v>113</v>
      </c>
    </row>
    <row r="341" spans="1:4" x14ac:dyDescent="0.2">
      <c r="A341" s="86">
        <v>90716</v>
      </c>
      <c r="B341" s="87" t="s">
        <v>458</v>
      </c>
      <c r="C341" s="88">
        <v>231</v>
      </c>
      <c r="D341" s="89" t="s">
        <v>113</v>
      </c>
    </row>
    <row r="342" spans="1:4" x14ac:dyDescent="0.2">
      <c r="A342" s="86">
        <v>90732</v>
      </c>
      <c r="B342" s="87" t="s">
        <v>459</v>
      </c>
      <c r="C342" s="88">
        <v>229.9</v>
      </c>
      <c r="D342" s="89" t="s">
        <v>113</v>
      </c>
    </row>
    <row r="343" spans="1:4" x14ac:dyDescent="0.2">
      <c r="A343" s="86">
        <v>90734</v>
      </c>
      <c r="B343" s="87" t="s">
        <v>460</v>
      </c>
      <c r="C343" s="88">
        <v>268.68</v>
      </c>
      <c r="D343" s="89" t="s">
        <v>113</v>
      </c>
    </row>
    <row r="344" spans="1:4" x14ac:dyDescent="0.2">
      <c r="A344" s="86">
        <v>90739</v>
      </c>
      <c r="B344" s="87" t="s">
        <v>461</v>
      </c>
      <c r="C344" s="88">
        <v>205.7</v>
      </c>
      <c r="D344" s="89" t="s">
        <v>113</v>
      </c>
    </row>
    <row r="345" spans="1:4" x14ac:dyDescent="0.2">
      <c r="A345" s="86">
        <v>90746</v>
      </c>
      <c r="B345" s="87" t="s">
        <v>462</v>
      </c>
      <c r="C345" s="88">
        <v>165</v>
      </c>
      <c r="D345" s="89" t="s">
        <v>113</v>
      </c>
    </row>
    <row r="346" spans="1:4" x14ac:dyDescent="0.2">
      <c r="A346" s="86">
        <v>90750</v>
      </c>
      <c r="B346" s="87" t="s">
        <v>463</v>
      </c>
      <c r="C346" s="88">
        <v>231</v>
      </c>
      <c r="D346" s="89" t="s">
        <v>113</v>
      </c>
    </row>
    <row r="347" spans="1:4" x14ac:dyDescent="0.2">
      <c r="A347" s="86">
        <v>90785</v>
      </c>
      <c r="B347" s="87" t="s">
        <v>464</v>
      </c>
      <c r="C347" s="88">
        <v>15.48</v>
      </c>
      <c r="D347" s="89" t="s">
        <v>115</v>
      </c>
    </row>
    <row r="348" spans="1:4" x14ac:dyDescent="0.2">
      <c r="A348" s="86">
        <v>90791</v>
      </c>
      <c r="B348" s="87" t="s">
        <v>465</v>
      </c>
      <c r="C348" s="88">
        <v>176.4</v>
      </c>
      <c r="D348" s="89" t="s">
        <v>115</v>
      </c>
    </row>
    <row r="349" spans="1:4" x14ac:dyDescent="0.2">
      <c r="A349" s="86">
        <v>90792</v>
      </c>
      <c r="B349" s="87" t="s">
        <v>466</v>
      </c>
      <c r="C349" s="88">
        <v>201.31</v>
      </c>
      <c r="D349" s="89" t="s">
        <v>115</v>
      </c>
    </row>
    <row r="350" spans="1:4" x14ac:dyDescent="0.2">
      <c r="A350" s="86">
        <v>90832</v>
      </c>
      <c r="B350" s="87" t="s">
        <v>467</v>
      </c>
      <c r="C350" s="88">
        <v>77.739999999999995</v>
      </c>
      <c r="D350" s="89" t="s">
        <v>115</v>
      </c>
    </row>
    <row r="351" spans="1:4" x14ac:dyDescent="0.2">
      <c r="A351" s="86">
        <v>90833</v>
      </c>
      <c r="B351" s="87" t="s">
        <v>468</v>
      </c>
      <c r="C351" s="88">
        <v>72.64</v>
      </c>
      <c r="D351" s="89" t="s">
        <v>115</v>
      </c>
    </row>
    <row r="352" spans="1:4" x14ac:dyDescent="0.2">
      <c r="A352" s="86">
        <v>90834</v>
      </c>
      <c r="B352" s="87" t="s">
        <v>469</v>
      </c>
      <c r="C352" s="88">
        <v>103.05</v>
      </c>
      <c r="D352" s="89" t="s">
        <v>115</v>
      </c>
    </row>
    <row r="353" spans="1:4" x14ac:dyDescent="0.2">
      <c r="A353" s="86">
        <v>90836</v>
      </c>
      <c r="B353" s="87" t="s">
        <v>470</v>
      </c>
      <c r="C353" s="88">
        <v>91.99</v>
      </c>
      <c r="D353" s="89" t="s">
        <v>115</v>
      </c>
    </row>
    <row r="354" spans="1:4" x14ac:dyDescent="0.2">
      <c r="A354" s="86">
        <v>90837</v>
      </c>
      <c r="B354" s="87" t="s">
        <v>471</v>
      </c>
      <c r="C354" s="88">
        <v>151.47999999999999</v>
      </c>
      <c r="D354" s="89" t="s">
        <v>115</v>
      </c>
    </row>
    <row r="355" spans="1:4" x14ac:dyDescent="0.2">
      <c r="A355" s="86">
        <v>90838</v>
      </c>
      <c r="B355" s="87" t="s">
        <v>472</v>
      </c>
      <c r="C355" s="88">
        <v>122.21</v>
      </c>
      <c r="D355" s="89" t="s">
        <v>115</v>
      </c>
    </row>
    <row r="356" spans="1:4" x14ac:dyDescent="0.2">
      <c r="A356" s="86">
        <v>90839</v>
      </c>
      <c r="B356" s="87" t="s">
        <v>473</v>
      </c>
      <c r="C356" s="88">
        <v>146.22</v>
      </c>
      <c r="D356" s="89" t="s">
        <v>115</v>
      </c>
    </row>
    <row r="357" spans="1:4" x14ac:dyDescent="0.2">
      <c r="A357" s="86">
        <v>90853</v>
      </c>
      <c r="B357" s="87" t="s">
        <v>474</v>
      </c>
      <c r="C357" s="88">
        <v>27.27</v>
      </c>
      <c r="D357" s="89" t="s">
        <v>116</v>
      </c>
    </row>
    <row r="358" spans="1:4" x14ac:dyDescent="0.2">
      <c r="A358" s="86">
        <v>90870</v>
      </c>
      <c r="B358" s="87" t="s">
        <v>475</v>
      </c>
      <c r="C358" s="88">
        <v>123.9</v>
      </c>
      <c r="D358" s="89" t="s">
        <v>116</v>
      </c>
    </row>
    <row r="359" spans="1:4" x14ac:dyDescent="0.2">
      <c r="A359" s="86">
        <v>90899</v>
      </c>
      <c r="B359" s="87" t="s">
        <v>476</v>
      </c>
      <c r="C359" s="88">
        <v>277.66000000000003</v>
      </c>
      <c r="D359" s="89" t="s">
        <v>116</v>
      </c>
    </row>
    <row r="360" spans="1:4" x14ac:dyDescent="0.2">
      <c r="A360" s="86">
        <v>91200</v>
      </c>
      <c r="B360" s="87" t="s">
        <v>477</v>
      </c>
      <c r="C360" s="88">
        <v>40.68</v>
      </c>
      <c r="D360" s="89" t="s">
        <v>114</v>
      </c>
    </row>
    <row r="361" spans="1:4" x14ac:dyDescent="0.2">
      <c r="A361" s="86">
        <v>92002</v>
      </c>
      <c r="B361" s="87" t="s">
        <v>478</v>
      </c>
      <c r="C361" s="88">
        <v>56.08</v>
      </c>
      <c r="D361" s="89" t="s">
        <v>113</v>
      </c>
    </row>
    <row r="362" spans="1:4" x14ac:dyDescent="0.2">
      <c r="A362" s="86">
        <v>92004</v>
      </c>
      <c r="B362" s="87" t="s">
        <v>479</v>
      </c>
      <c r="C362" s="88">
        <v>114.97</v>
      </c>
      <c r="D362" s="89" t="s">
        <v>113</v>
      </c>
    </row>
    <row r="363" spans="1:4" x14ac:dyDescent="0.2">
      <c r="A363" s="86">
        <v>92012</v>
      </c>
      <c r="B363" s="87" t="s">
        <v>480</v>
      </c>
      <c r="C363" s="88">
        <v>61.8</v>
      </c>
      <c r="D363" s="89" t="s">
        <v>113</v>
      </c>
    </row>
    <row r="364" spans="1:4" x14ac:dyDescent="0.2">
      <c r="A364" s="86">
        <v>92014</v>
      </c>
      <c r="B364" s="87" t="s">
        <v>481</v>
      </c>
      <c r="C364" s="88">
        <v>93.18</v>
      </c>
      <c r="D364" s="89" t="s">
        <v>113</v>
      </c>
    </row>
    <row r="365" spans="1:4" x14ac:dyDescent="0.2">
      <c r="A365" s="86">
        <v>92015</v>
      </c>
      <c r="B365" s="87" t="s">
        <v>482</v>
      </c>
      <c r="C365" s="88">
        <v>87.92</v>
      </c>
      <c r="D365" s="89" t="s">
        <v>113</v>
      </c>
    </row>
    <row r="366" spans="1:4" x14ac:dyDescent="0.2">
      <c r="A366" s="86">
        <v>92019</v>
      </c>
      <c r="B366" s="87" t="s">
        <v>483</v>
      </c>
      <c r="C366" s="88">
        <v>87.92</v>
      </c>
      <c r="D366" s="89" t="s">
        <v>113</v>
      </c>
    </row>
    <row r="367" spans="1:4" x14ac:dyDescent="0.2">
      <c r="A367" s="86">
        <v>92020</v>
      </c>
      <c r="B367" s="87" t="s">
        <v>484</v>
      </c>
      <c r="C367" s="88">
        <v>25.06</v>
      </c>
      <c r="D367" s="89" t="s">
        <v>113</v>
      </c>
    </row>
    <row r="368" spans="1:4" x14ac:dyDescent="0.2">
      <c r="A368" s="86">
        <v>92081</v>
      </c>
      <c r="B368" s="87" t="s">
        <v>485</v>
      </c>
      <c r="C368" s="88">
        <v>43.73</v>
      </c>
      <c r="D368" s="89" t="s">
        <v>113</v>
      </c>
    </row>
    <row r="369" spans="1:4" x14ac:dyDescent="0.2">
      <c r="A369" s="86">
        <v>92083</v>
      </c>
      <c r="B369" s="87" t="s">
        <v>486</v>
      </c>
      <c r="C369" s="88">
        <v>83.16</v>
      </c>
      <c r="D369" s="89" t="s">
        <v>113</v>
      </c>
    </row>
    <row r="370" spans="1:4" x14ac:dyDescent="0.2">
      <c r="A370" s="86">
        <v>92100</v>
      </c>
      <c r="B370" s="87" t="s">
        <v>487</v>
      </c>
      <c r="C370" s="88">
        <v>39.369999999999997</v>
      </c>
      <c r="D370" s="89" t="s">
        <v>113</v>
      </c>
    </row>
    <row r="371" spans="1:4" x14ac:dyDescent="0.2">
      <c r="A371" s="86">
        <v>92340</v>
      </c>
      <c r="B371" s="87" t="s">
        <v>488</v>
      </c>
      <c r="C371" s="88">
        <v>59.4</v>
      </c>
      <c r="D371" s="89" t="s">
        <v>113</v>
      </c>
    </row>
    <row r="372" spans="1:4" x14ac:dyDescent="0.2">
      <c r="A372" s="86">
        <v>92341</v>
      </c>
      <c r="B372" s="87" t="s">
        <v>489</v>
      </c>
      <c r="C372" s="88">
        <v>88</v>
      </c>
      <c r="D372" s="89" t="s">
        <v>113</v>
      </c>
    </row>
    <row r="373" spans="1:4" x14ac:dyDescent="0.2">
      <c r="A373" s="86">
        <v>92342</v>
      </c>
      <c r="B373" s="87" t="s">
        <v>490</v>
      </c>
      <c r="C373" s="88">
        <v>123.2</v>
      </c>
      <c r="D373" s="89" t="s">
        <v>113</v>
      </c>
    </row>
    <row r="374" spans="1:4" x14ac:dyDescent="0.2">
      <c r="A374" s="86">
        <v>92370</v>
      </c>
      <c r="B374" s="87" t="s">
        <v>491</v>
      </c>
      <c r="C374" s="88">
        <v>50.6</v>
      </c>
      <c r="D374" s="89" t="s">
        <v>113</v>
      </c>
    </row>
    <row r="375" spans="1:4" x14ac:dyDescent="0.2">
      <c r="A375" s="86">
        <v>92507</v>
      </c>
      <c r="B375" s="87" t="s">
        <v>492</v>
      </c>
      <c r="C375" s="88">
        <v>96.02</v>
      </c>
      <c r="D375" s="89" t="s">
        <v>117</v>
      </c>
    </row>
    <row r="376" spans="1:4" x14ac:dyDescent="0.2">
      <c r="A376" s="86">
        <v>92521</v>
      </c>
      <c r="B376" s="87" t="s">
        <v>493</v>
      </c>
      <c r="C376" s="88">
        <v>167.18</v>
      </c>
      <c r="D376" s="89" t="s">
        <v>113</v>
      </c>
    </row>
    <row r="377" spans="1:4" x14ac:dyDescent="0.2">
      <c r="A377" s="86">
        <v>92522</v>
      </c>
      <c r="B377" s="87" t="s">
        <v>494</v>
      </c>
      <c r="C377" s="88">
        <v>138.80000000000001</v>
      </c>
      <c r="D377" s="89" t="s">
        <v>113</v>
      </c>
    </row>
    <row r="378" spans="1:4" x14ac:dyDescent="0.2">
      <c r="A378" s="86">
        <v>92523</v>
      </c>
      <c r="B378" s="87" t="s">
        <v>495</v>
      </c>
      <c r="C378" s="88">
        <v>286.74</v>
      </c>
      <c r="D378" s="89" t="s">
        <v>113</v>
      </c>
    </row>
    <row r="379" spans="1:4" x14ac:dyDescent="0.2">
      <c r="A379" s="86">
        <v>92526</v>
      </c>
      <c r="B379" s="87" t="s">
        <v>496</v>
      </c>
      <c r="C379" s="88">
        <v>107.49</v>
      </c>
      <c r="D379" s="89" t="s">
        <v>113</v>
      </c>
    </row>
    <row r="380" spans="1:4" x14ac:dyDescent="0.2">
      <c r="A380" s="86">
        <v>92576</v>
      </c>
      <c r="B380" s="87" t="s">
        <v>497</v>
      </c>
      <c r="C380" s="88">
        <v>55.84</v>
      </c>
      <c r="D380" s="89" t="s">
        <v>113</v>
      </c>
    </row>
    <row r="381" spans="1:4" x14ac:dyDescent="0.2">
      <c r="A381" s="86">
        <v>92609</v>
      </c>
      <c r="B381" s="87" t="s">
        <v>498</v>
      </c>
      <c r="C381" s="88">
        <v>132.13999999999999</v>
      </c>
      <c r="D381" s="89" t="s">
        <v>113</v>
      </c>
    </row>
    <row r="382" spans="1:4" x14ac:dyDescent="0.2">
      <c r="A382" s="86">
        <v>92610</v>
      </c>
      <c r="B382" s="87" t="s">
        <v>499</v>
      </c>
      <c r="C382" s="88">
        <v>86.59</v>
      </c>
      <c r="D382" s="89" t="s">
        <v>113</v>
      </c>
    </row>
    <row r="383" spans="1:4" x14ac:dyDescent="0.2">
      <c r="A383" s="86">
        <v>93005</v>
      </c>
      <c r="B383" s="87" t="s">
        <v>500</v>
      </c>
      <c r="C383" s="88">
        <v>8.68</v>
      </c>
      <c r="D383" s="89" t="s">
        <v>118</v>
      </c>
    </row>
    <row r="384" spans="1:4" x14ac:dyDescent="0.2">
      <c r="A384" s="86">
        <v>93010</v>
      </c>
      <c r="B384" s="87" t="s">
        <v>501</v>
      </c>
      <c r="C384" s="88">
        <v>9.68</v>
      </c>
      <c r="D384" s="89" t="s">
        <v>118</v>
      </c>
    </row>
    <row r="385" spans="1:4" x14ac:dyDescent="0.2">
      <c r="A385" s="86">
        <v>93017</v>
      </c>
      <c r="B385" s="87" t="s">
        <v>502</v>
      </c>
      <c r="C385" s="88">
        <v>49.9</v>
      </c>
      <c r="D385" s="89" t="s">
        <v>118</v>
      </c>
    </row>
    <row r="386" spans="1:4" x14ac:dyDescent="0.2">
      <c r="A386" s="86">
        <v>93288</v>
      </c>
      <c r="B386" s="87" t="s">
        <v>503</v>
      </c>
      <c r="C386" s="88">
        <v>75.7</v>
      </c>
      <c r="D386" s="89" t="s">
        <v>113</v>
      </c>
    </row>
    <row r="387" spans="1:4" x14ac:dyDescent="0.2">
      <c r="A387" s="86">
        <v>93289</v>
      </c>
      <c r="B387" s="87" t="s">
        <v>504</v>
      </c>
      <c r="C387" s="88">
        <v>95.41</v>
      </c>
      <c r="D387" s="89" t="s">
        <v>113</v>
      </c>
    </row>
    <row r="388" spans="1:4" x14ac:dyDescent="0.2">
      <c r="A388" s="86">
        <v>93880</v>
      </c>
      <c r="B388" s="87" t="s">
        <v>505</v>
      </c>
      <c r="C388" s="88">
        <v>260.73</v>
      </c>
      <c r="D388" s="89" t="s">
        <v>113</v>
      </c>
    </row>
    <row r="389" spans="1:4" x14ac:dyDescent="0.2">
      <c r="A389" s="86">
        <v>93970</v>
      </c>
      <c r="B389" s="87" t="s">
        <v>506</v>
      </c>
      <c r="C389" s="88">
        <v>258.04000000000002</v>
      </c>
      <c r="D389" s="89" t="s">
        <v>113</v>
      </c>
    </row>
    <row r="390" spans="1:4" x14ac:dyDescent="0.2">
      <c r="A390" s="86">
        <v>93971</v>
      </c>
      <c r="B390" s="87" t="s">
        <v>507</v>
      </c>
      <c r="C390" s="88">
        <v>163.54</v>
      </c>
      <c r="D390" s="89" t="s">
        <v>113</v>
      </c>
    </row>
    <row r="391" spans="1:4" x14ac:dyDescent="0.2">
      <c r="A391" s="86">
        <v>93975</v>
      </c>
      <c r="B391" s="87" t="s">
        <v>508</v>
      </c>
      <c r="C391" s="88">
        <v>363.11</v>
      </c>
      <c r="D391" s="89" t="s">
        <v>113</v>
      </c>
    </row>
    <row r="392" spans="1:4" x14ac:dyDescent="0.2">
      <c r="A392" s="86">
        <v>94010</v>
      </c>
      <c r="B392" s="87" t="s">
        <v>509</v>
      </c>
      <c r="C392" s="88">
        <v>35.81</v>
      </c>
      <c r="D392" s="89" t="s">
        <v>113</v>
      </c>
    </row>
    <row r="393" spans="1:4" x14ac:dyDescent="0.2">
      <c r="A393" s="86">
        <v>95819</v>
      </c>
      <c r="B393" s="87" t="s">
        <v>510</v>
      </c>
      <c r="C393" s="88">
        <v>614.88</v>
      </c>
      <c r="D393" s="89" t="s">
        <v>118</v>
      </c>
    </row>
    <row r="394" spans="1:4" x14ac:dyDescent="0.2">
      <c r="A394" s="86">
        <v>95886</v>
      </c>
      <c r="B394" s="87" t="s">
        <v>511</v>
      </c>
      <c r="C394" s="88">
        <v>129.24</v>
      </c>
      <c r="D394" s="89" t="s">
        <v>118</v>
      </c>
    </row>
    <row r="395" spans="1:4" x14ac:dyDescent="0.2">
      <c r="A395" s="86">
        <v>95908</v>
      </c>
      <c r="B395" s="87" t="s">
        <v>512</v>
      </c>
      <c r="C395" s="88">
        <v>145.18</v>
      </c>
      <c r="D395" s="89" t="s">
        <v>114</v>
      </c>
    </row>
    <row r="396" spans="1:4" x14ac:dyDescent="0.2">
      <c r="A396" s="86">
        <v>95909</v>
      </c>
      <c r="B396" s="87" t="s">
        <v>513</v>
      </c>
      <c r="C396" s="88">
        <v>174.22</v>
      </c>
      <c r="D396" s="89" t="s">
        <v>118</v>
      </c>
    </row>
    <row r="397" spans="1:4" x14ac:dyDescent="0.2">
      <c r="A397" s="86">
        <v>95913</v>
      </c>
      <c r="B397" s="87" t="s">
        <v>514</v>
      </c>
      <c r="C397" s="88">
        <v>368.4</v>
      </c>
      <c r="D397" s="89" t="s">
        <v>113</v>
      </c>
    </row>
    <row r="398" spans="1:4" x14ac:dyDescent="0.2">
      <c r="A398" s="86">
        <v>95999</v>
      </c>
      <c r="B398" s="87" t="s">
        <v>515</v>
      </c>
      <c r="C398" s="88">
        <v>19.13</v>
      </c>
      <c r="D398" s="89" t="s">
        <v>118</v>
      </c>
    </row>
    <row r="399" spans="1:4" x14ac:dyDescent="0.2">
      <c r="A399" s="86">
        <v>96113</v>
      </c>
      <c r="B399" s="87" t="s">
        <v>516</v>
      </c>
      <c r="C399" s="88">
        <v>67.34</v>
      </c>
      <c r="D399" s="89" t="s">
        <v>115</v>
      </c>
    </row>
    <row r="400" spans="1:4" x14ac:dyDescent="0.2">
      <c r="A400" s="86">
        <v>96116</v>
      </c>
      <c r="B400" s="87" t="s">
        <v>517</v>
      </c>
      <c r="C400" s="88">
        <v>94.68</v>
      </c>
      <c r="D400" s="89" t="s">
        <v>116</v>
      </c>
    </row>
    <row r="401" spans="1:4" x14ac:dyDescent="0.2">
      <c r="A401" s="86">
        <v>96121</v>
      </c>
      <c r="B401" s="92" t="s">
        <v>518</v>
      </c>
      <c r="C401" s="88">
        <v>78.61</v>
      </c>
      <c r="D401" s="89" t="s">
        <v>115</v>
      </c>
    </row>
    <row r="402" spans="1:4" x14ac:dyDescent="0.2">
      <c r="A402" s="86">
        <v>96125</v>
      </c>
      <c r="B402" s="87" t="s">
        <v>519</v>
      </c>
      <c r="C402" s="88">
        <v>128.58000000000001</v>
      </c>
      <c r="D402" s="89" t="s">
        <v>116</v>
      </c>
    </row>
    <row r="403" spans="1:4" x14ac:dyDescent="0.2">
      <c r="A403" s="86">
        <v>96127</v>
      </c>
      <c r="B403" s="87" t="s">
        <v>520</v>
      </c>
      <c r="C403" s="88">
        <v>6.33</v>
      </c>
      <c r="D403" s="89" t="s">
        <v>116</v>
      </c>
    </row>
    <row r="404" spans="1:4" x14ac:dyDescent="0.2">
      <c r="A404" s="86">
        <v>96130</v>
      </c>
      <c r="B404" s="87" t="s">
        <v>521</v>
      </c>
      <c r="C404" s="88">
        <v>128.13999999999999</v>
      </c>
      <c r="D404" s="89" t="s">
        <v>115</v>
      </c>
    </row>
    <row r="405" spans="1:4" x14ac:dyDescent="0.2">
      <c r="A405" s="86">
        <v>96131</v>
      </c>
      <c r="B405" s="87" t="s">
        <v>522</v>
      </c>
      <c r="C405" s="88">
        <v>89.82</v>
      </c>
      <c r="D405" s="89" t="s">
        <v>115</v>
      </c>
    </row>
    <row r="406" spans="1:4" x14ac:dyDescent="0.2">
      <c r="A406" s="86">
        <v>96132</v>
      </c>
      <c r="B406" s="87" t="s">
        <v>523</v>
      </c>
      <c r="C406" s="88">
        <v>124.37</v>
      </c>
      <c r="D406" s="89" t="s">
        <v>115</v>
      </c>
    </row>
    <row r="407" spans="1:4" x14ac:dyDescent="0.2">
      <c r="A407" s="86">
        <v>96133</v>
      </c>
      <c r="B407" s="87" t="s">
        <v>524</v>
      </c>
      <c r="C407" s="88">
        <v>89.82</v>
      </c>
      <c r="D407" s="89" t="s">
        <v>115</v>
      </c>
    </row>
    <row r="408" spans="1:4" x14ac:dyDescent="0.2">
      <c r="A408" s="86">
        <v>96136</v>
      </c>
      <c r="B408" s="87" t="s">
        <v>525</v>
      </c>
      <c r="C408" s="88">
        <v>27.59</v>
      </c>
      <c r="D408" s="89" t="s">
        <v>115</v>
      </c>
    </row>
    <row r="409" spans="1:4" x14ac:dyDescent="0.2">
      <c r="A409" s="86">
        <v>96137</v>
      </c>
      <c r="B409" s="87" t="s">
        <v>526</v>
      </c>
      <c r="C409" s="88">
        <v>21.04</v>
      </c>
      <c r="D409" s="89" t="s">
        <v>115</v>
      </c>
    </row>
    <row r="410" spans="1:4" x14ac:dyDescent="0.2">
      <c r="A410" s="86">
        <v>96138</v>
      </c>
      <c r="B410" s="92" t="s">
        <v>527</v>
      </c>
      <c r="C410" s="88">
        <v>47.34</v>
      </c>
      <c r="D410" s="89" t="s">
        <v>115</v>
      </c>
    </row>
    <row r="411" spans="1:4" x14ac:dyDescent="0.2">
      <c r="A411" s="86">
        <v>96139</v>
      </c>
      <c r="B411" s="87" t="s">
        <v>528</v>
      </c>
      <c r="C411" s="88">
        <v>48.76</v>
      </c>
      <c r="D411" s="89" t="s">
        <v>115</v>
      </c>
    </row>
    <row r="412" spans="1:4" x14ac:dyDescent="0.2">
      <c r="A412" s="86">
        <v>96156</v>
      </c>
      <c r="B412" s="87" t="s">
        <v>529</v>
      </c>
      <c r="C412" s="88">
        <v>98.98</v>
      </c>
      <c r="D412" s="89" t="s">
        <v>113</v>
      </c>
    </row>
    <row r="413" spans="1:4" x14ac:dyDescent="0.2">
      <c r="A413" s="86">
        <v>96158</v>
      </c>
      <c r="B413" s="87" t="s">
        <v>530</v>
      </c>
      <c r="C413" s="88">
        <v>67</v>
      </c>
      <c r="D413" s="89" t="s">
        <v>113</v>
      </c>
    </row>
    <row r="414" spans="1:4" x14ac:dyDescent="0.2">
      <c r="A414" s="86">
        <v>96159</v>
      </c>
      <c r="B414" s="87" t="s">
        <v>531</v>
      </c>
      <c r="C414" s="88">
        <v>23.08</v>
      </c>
      <c r="D414" s="89" t="s">
        <v>113</v>
      </c>
    </row>
    <row r="415" spans="1:4" x14ac:dyDescent="0.2">
      <c r="A415" s="86">
        <v>96160</v>
      </c>
      <c r="B415" s="87" t="s">
        <v>532</v>
      </c>
      <c r="C415" s="88">
        <v>3.77</v>
      </c>
      <c r="D415" s="89" t="s">
        <v>115</v>
      </c>
    </row>
    <row r="416" spans="1:4" x14ac:dyDescent="0.2">
      <c r="A416" s="86">
        <v>96361</v>
      </c>
      <c r="B416" s="87" t="s">
        <v>533</v>
      </c>
      <c r="C416" s="88">
        <v>16.920000000000002</v>
      </c>
      <c r="D416" s="89" t="s">
        <v>113</v>
      </c>
    </row>
    <row r="417" spans="1:4" x14ac:dyDescent="0.2">
      <c r="A417" s="86">
        <v>96365</v>
      </c>
      <c r="B417" s="87" t="s">
        <v>534</v>
      </c>
      <c r="C417" s="88">
        <v>87.26</v>
      </c>
      <c r="D417" s="89" t="s">
        <v>113</v>
      </c>
    </row>
    <row r="418" spans="1:4" x14ac:dyDescent="0.2">
      <c r="A418" s="86">
        <v>96372</v>
      </c>
      <c r="B418" s="87" t="s">
        <v>535</v>
      </c>
      <c r="C418" s="88">
        <v>18.170000000000002</v>
      </c>
      <c r="D418" s="89" t="s">
        <v>113</v>
      </c>
    </row>
    <row r="419" spans="1:4" x14ac:dyDescent="0.2">
      <c r="A419" s="86">
        <v>96375</v>
      </c>
      <c r="B419" s="87" t="s">
        <v>536</v>
      </c>
      <c r="C419" s="88">
        <v>20.61</v>
      </c>
      <c r="D419" s="89" t="s">
        <v>113</v>
      </c>
    </row>
    <row r="420" spans="1:4" x14ac:dyDescent="0.2">
      <c r="A420" s="86">
        <v>97014</v>
      </c>
      <c r="B420" s="87" t="s">
        <v>537</v>
      </c>
      <c r="C420" s="88">
        <v>33</v>
      </c>
      <c r="D420" s="89" t="s">
        <v>117</v>
      </c>
    </row>
    <row r="421" spans="1:4" x14ac:dyDescent="0.2">
      <c r="A421" s="86">
        <v>97032</v>
      </c>
      <c r="B421" s="87" t="s">
        <v>538</v>
      </c>
      <c r="C421" s="88">
        <v>18.010000000000002</v>
      </c>
      <c r="D421" s="89" t="s">
        <v>113</v>
      </c>
    </row>
    <row r="422" spans="1:4" x14ac:dyDescent="0.2">
      <c r="A422" s="86">
        <v>97035</v>
      </c>
      <c r="B422" s="87" t="s">
        <v>539</v>
      </c>
      <c r="C422" s="88">
        <v>18.329999999999998</v>
      </c>
      <c r="D422" s="89" t="s">
        <v>113</v>
      </c>
    </row>
    <row r="423" spans="1:4" x14ac:dyDescent="0.2">
      <c r="A423" s="86">
        <v>97110</v>
      </c>
      <c r="B423" s="87" t="s">
        <v>540</v>
      </c>
      <c r="C423" s="88">
        <v>37.630000000000003</v>
      </c>
      <c r="D423" s="89" t="s">
        <v>113</v>
      </c>
    </row>
    <row r="424" spans="1:4" x14ac:dyDescent="0.2">
      <c r="A424" s="86">
        <v>97112</v>
      </c>
      <c r="B424" s="87" t="s">
        <v>541</v>
      </c>
      <c r="C424" s="88">
        <v>43.36</v>
      </c>
      <c r="D424" s="89" t="s">
        <v>113</v>
      </c>
    </row>
    <row r="425" spans="1:4" x14ac:dyDescent="0.2">
      <c r="A425" s="86">
        <v>97113</v>
      </c>
      <c r="B425" s="87" t="s">
        <v>542</v>
      </c>
      <c r="C425" s="88">
        <v>47.76</v>
      </c>
      <c r="D425" s="89" t="s">
        <v>113</v>
      </c>
    </row>
    <row r="426" spans="1:4" x14ac:dyDescent="0.2">
      <c r="A426" s="86">
        <v>97116</v>
      </c>
      <c r="B426" s="87" t="s">
        <v>543</v>
      </c>
      <c r="C426" s="88">
        <v>37.630000000000003</v>
      </c>
      <c r="D426" s="89" t="s">
        <v>113</v>
      </c>
    </row>
    <row r="427" spans="1:4" x14ac:dyDescent="0.2">
      <c r="A427" s="86">
        <v>97129</v>
      </c>
      <c r="B427" s="87" t="s">
        <v>544</v>
      </c>
      <c r="C427" s="88">
        <v>26.85</v>
      </c>
      <c r="D427" s="89" t="s">
        <v>113</v>
      </c>
    </row>
    <row r="428" spans="1:4" x14ac:dyDescent="0.2">
      <c r="A428" s="86">
        <v>97140</v>
      </c>
      <c r="B428" s="87" t="s">
        <v>545</v>
      </c>
      <c r="C428" s="88">
        <v>34.49</v>
      </c>
      <c r="D428" s="89" t="s">
        <v>113</v>
      </c>
    </row>
    <row r="429" spans="1:4" x14ac:dyDescent="0.2">
      <c r="A429" s="86">
        <v>97150</v>
      </c>
      <c r="B429" s="87" t="s">
        <v>546</v>
      </c>
      <c r="C429" s="88">
        <v>22.4</v>
      </c>
      <c r="D429" s="89" t="s">
        <v>113</v>
      </c>
    </row>
    <row r="430" spans="1:4" x14ac:dyDescent="0.2">
      <c r="A430" s="86">
        <v>97161</v>
      </c>
      <c r="B430" s="87" t="s">
        <v>547</v>
      </c>
      <c r="C430" s="88">
        <v>128.05000000000001</v>
      </c>
      <c r="D430" s="89" t="s">
        <v>113</v>
      </c>
    </row>
    <row r="431" spans="1:4" x14ac:dyDescent="0.2">
      <c r="A431" s="86">
        <v>97162</v>
      </c>
      <c r="B431" s="87" t="s">
        <v>548</v>
      </c>
      <c r="C431" s="88">
        <v>128.05000000000001</v>
      </c>
      <c r="D431" s="89" t="s">
        <v>113</v>
      </c>
    </row>
    <row r="432" spans="1:4" x14ac:dyDescent="0.2">
      <c r="A432" s="86">
        <v>97163</v>
      </c>
      <c r="B432" s="87" t="s">
        <v>549</v>
      </c>
      <c r="C432" s="88">
        <v>128.05000000000001</v>
      </c>
      <c r="D432" s="89" t="s">
        <v>113</v>
      </c>
    </row>
    <row r="433" spans="1:4" x14ac:dyDescent="0.2">
      <c r="A433" s="86">
        <v>97164</v>
      </c>
      <c r="B433" s="87" t="s">
        <v>550</v>
      </c>
      <c r="C433" s="88">
        <v>89.3</v>
      </c>
      <c r="D433" s="89" t="s">
        <v>113</v>
      </c>
    </row>
    <row r="434" spans="1:4" x14ac:dyDescent="0.2">
      <c r="A434" s="86">
        <v>97165</v>
      </c>
      <c r="B434" s="87" t="s">
        <v>551</v>
      </c>
      <c r="C434" s="88">
        <v>128.05000000000001</v>
      </c>
      <c r="D434" s="89" t="s">
        <v>113</v>
      </c>
    </row>
    <row r="435" spans="1:4" x14ac:dyDescent="0.2">
      <c r="A435" s="86">
        <v>97166</v>
      </c>
      <c r="B435" s="87" t="s">
        <v>552</v>
      </c>
      <c r="C435" s="88">
        <v>128.05000000000001</v>
      </c>
      <c r="D435" s="89" t="s">
        <v>113</v>
      </c>
    </row>
    <row r="436" spans="1:4" x14ac:dyDescent="0.2">
      <c r="A436" s="86">
        <v>97167</v>
      </c>
      <c r="B436" s="87" t="s">
        <v>553</v>
      </c>
      <c r="C436" s="88">
        <v>128.05000000000001</v>
      </c>
      <c r="D436" s="89" t="s">
        <v>113</v>
      </c>
    </row>
    <row r="437" spans="1:4" x14ac:dyDescent="0.2">
      <c r="A437" s="86">
        <v>97530</v>
      </c>
      <c r="B437" s="87" t="s">
        <v>554</v>
      </c>
      <c r="C437" s="88">
        <v>48.55</v>
      </c>
      <c r="D437" s="89" t="s">
        <v>113</v>
      </c>
    </row>
    <row r="438" spans="1:4" x14ac:dyDescent="0.2">
      <c r="A438" s="86">
        <v>97533</v>
      </c>
      <c r="B438" s="87" t="s">
        <v>555</v>
      </c>
      <c r="C438" s="88">
        <v>85.48</v>
      </c>
      <c r="D438" s="89" t="s">
        <v>113</v>
      </c>
    </row>
    <row r="439" spans="1:4" x14ac:dyDescent="0.2">
      <c r="A439" s="86">
        <v>97535</v>
      </c>
      <c r="B439" s="87" t="s">
        <v>556</v>
      </c>
      <c r="C439" s="88">
        <v>42.34</v>
      </c>
      <c r="D439" s="89" t="s">
        <v>117</v>
      </c>
    </row>
    <row r="440" spans="1:4" x14ac:dyDescent="0.2">
      <c r="A440" s="86">
        <v>97542</v>
      </c>
      <c r="B440" s="87" t="s">
        <v>557</v>
      </c>
      <c r="C440" s="88">
        <v>40.69</v>
      </c>
      <c r="D440" s="89" t="s">
        <v>117</v>
      </c>
    </row>
    <row r="441" spans="1:4" x14ac:dyDescent="0.2">
      <c r="A441" s="86">
        <v>97597</v>
      </c>
      <c r="B441" s="87" t="s">
        <v>558</v>
      </c>
      <c r="C441" s="88">
        <v>41.69</v>
      </c>
      <c r="D441" s="89" t="s">
        <v>113</v>
      </c>
    </row>
    <row r="442" spans="1:4" x14ac:dyDescent="0.2">
      <c r="A442" s="86">
        <v>97607</v>
      </c>
      <c r="B442" s="87" t="s">
        <v>559</v>
      </c>
      <c r="C442" s="88">
        <v>25.42</v>
      </c>
      <c r="D442" s="89" t="s">
        <v>117</v>
      </c>
    </row>
    <row r="443" spans="1:4" x14ac:dyDescent="0.2">
      <c r="A443" s="86">
        <v>97760</v>
      </c>
      <c r="B443" s="87" t="s">
        <v>560</v>
      </c>
      <c r="C443" s="88">
        <v>64.11</v>
      </c>
      <c r="D443" s="89" t="s">
        <v>113</v>
      </c>
    </row>
    <row r="444" spans="1:4" x14ac:dyDescent="0.2">
      <c r="A444" s="86">
        <v>99202</v>
      </c>
      <c r="B444" s="87" t="s">
        <v>561</v>
      </c>
      <c r="C444" s="88">
        <v>57.3</v>
      </c>
      <c r="D444" s="89" t="s">
        <v>113</v>
      </c>
    </row>
    <row r="445" spans="1:4" x14ac:dyDescent="0.2">
      <c r="A445" s="86">
        <v>99203</v>
      </c>
      <c r="B445" s="87" t="s">
        <v>562</v>
      </c>
      <c r="C445" s="88">
        <v>98</v>
      </c>
      <c r="D445" s="89" t="s">
        <v>113</v>
      </c>
    </row>
    <row r="446" spans="1:4" x14ac:dyDescent="0.2">
      <c r="A446" s="86">
        <v>99204</v>
      </c>
      <c r="B446" s="87" t="s">
        <v>563</v>
      </c>
      <c r="C446" s="88">
        <v>158.6</v>
      </c>
      <c r="D446" s="89" t="s">
        <v>113</v>
      </c>
    </row>
    <row r="447" spans="1:4" x14ac:dyDescent="0.2">
      <c r="A447" s="86">
        <v>99212</v>
      </c>
      <c r="B447" s="87" t="s">
        <v>564</v>
      </c>
      <c r="C447" s="88">
        <v>42.25</v>
      </c>
      <c r="D447" s="89" t="s">
        <v>113</v>
      </c>
    </row>
    <row r="448" spans="1:4" x14ac:dyDescent="0.2">
      <c r="A448" s="86">
        <v>99213</v>
      </c>
      <c r="B448" s="87" t="s">
        <v>565</v>
      </c>
      <c r="C448" s="88">
        <v>78.78</v>
      </c>
      <c r="D448" s="89" t="s">
        <v>113</v>
      </c>
    </row>
    <row r="449" spans="1:4" x14ac:dyDescent="0.2">
      <c r="A449" s="86">
        <v>99214</v>
      </c>
      <c r="B449" s="87" t="s">
        <v>566</v>
      </c>
      <c r="C449" s="88">
        <v>116.57</v>
      </c>
      <c r="D449" s="89" t="s">
        <v>113</v>
      </c>
    </row>
    <row r="450" spans="1:4" x14ac:dyDescent="0.2">
      <c r="A450" s="86">
        <v>99215</v>
      </c>
      <c r="B450" s="87" t="s">
        <v>567</v>
      </c>
      <c r="C450" s="88">
        <v>171.52</v>
      </c>
      <c r="D450" s="89" t="s">
        <v>113</v>
      </c>
    </row>
    <row r="451" spans="1:4" x14ac:dyDescent="0.2">
      <c r="A451" s="86">
        <v>99219</v>
      </c>
      <c r="B451" s="87" t="s">
        <v>568</v>
      </c>
      <c r="C451" s="88">
        <v>170.5</v>
      </c>
      <c r="D451" s="89" t="s">
        <v>116</v>
      </c>
    </row>
    <row r="452" spans="1:4" x14ac:dyDescent="0.2">
      <c r="A452" s="86">
        <v>99221</v>
      </c>
      <c r="B452" s="87" t="s">
        <v>569</v>
      </c>
      <c r="C452" s="88">
        <v>97.96</v>
      </c>
      <c r="D452" s="89" t="s">
        <v>116</v>
      </c>
    </row>
    <row r="453" spans="1:4" x14ac:dyDescent="0.2">
      <c r="A453" s="86">
        <v>99222</v>
      </c>
      <c r="B453" s="87" t="s">
        <v>570</v>
      </c>
      <c r="C453" s="88">
        <v>154.63999999999999</v>
      </c>
      <c r="D453" s="89" t="s">
        <v>116</v>
      </c>
    </row>
    <row r="454" spans="1:4" x14ac:dyDescent="0.2">
      <c r="A454" s="86">
        <v>99223</v>
      </c>
      <c r="B454" s="87" t="s">
        <v>571</v>
      </c>
      <c r="C454" s="88">
        <v>206.69</v>
      </c>
      <c r="D454" s="89" t="s">
        <v>116</v>
      </c>
    </row>
    <row r="455" spans="1:4" x14ac:dyDescent="0.2">
      <c r="A455" s="86">
        <v>99224</v>
      </c>
      <c r="B455" s="87" t="s">
        <v>572</v>
      </c>
      <c r="C455" s="88">
        <v>50.02</v>
      </c>
      <c r="D455" s="89" t="s">
        <v>116</v>
      </c>
    </row>
    <row r="456" spans="1:4" x14ac:dyDescent="0.2">
      <c r="A456" s="86">
        <v>99231</v>
      </c>
      <c r="B456" s="87" t="s">
        <v>573</v>
      </c>
      <c r="C456" s="88">
        <v>58.53</v>
      </c>
      <c r="D456" s="89" t="s">
        <v>116</v>
      </c>
    </row>
    <row r="457" spans="1:4" x14ac:dyDescent="0.2">
      <c r="A457" s="86">
        <v>99232</v>
      </c>
      <c r="B457" s="87" t="s">
        <v>574</v>
      </c>
      <c r="C457" s="88">
        <v>94.29</v>
      </c>
      <c r="D457" s="89" t="s">
        <v>116</v>
      </c>
    </row>
    <row r="458" spans="1:4" x14ac:dyDescent="0.2">
      <c r="A458" s="86">
        <v>99233</v>
      </c>
      <c r="B458" s="87" t="s">
        <v>575</v>
      </c>
      <c r="C458" s="88">
        <v>141.79</v>
      </c>
      <c r="D458" s="89" t="s">
        <v>116</v>
      </c>
    </row>
    <row r="459" spans="1:4" x14ac:dyDescent="0.2">
      <c r="A459" s="86">
        <v>99234</v>
      </c>
      <c r="B459" s="87" t="s">
        <v>576</v>
      </c>
      <c r="C459" s="88">
        <v>116.69</v>
      </c>
      <c r="D459" s="89" t="s">
        <v>116</v>
      </c>
    </row>
    <row r="460" spans="1:4" x14ac:dyDescent="0.2">
      <c r="A460" s="86">
        <v>99235</v>
      </c>
      <c r="B460" s="87" t="s">
        <v>577</v>
      </c>
      <c r="C460" s="88">
        <v>189.81</v>
      </c>
      <c r="D460" s="89" t="s">
        <v>116</v>
      </c>
    </row>
    <row r="461" spans="1:4" x14ac:dyDescent="0.2">
      <c r="A461" s="86">
        <v>99236</v>
      </c>
      <c r="B461" s="87" t="s">
        <v>578</v>
      </c>
      <c r="C461" s="88">
        <v>248.23</v>
      </c>
      <c r="D461" s="89" t="s">
        <v>116</v>
      </c>
    </row>
    <row r="462" spans="1:4" x14ac:dyDescent="0.2">
      <c r="A462" s="86">
        <v>99238</v>
      </c>
      <c r="B462" s="87" t="s">
        <v>579</v>
      </c>
      <c r="C462" s="88">
        <v>97.65</v>
      </c>
      <c r="D462" s="89" t="s">
        <v>116</v>
      </c>
    </row>
    <row r="463" spans="1:4" x14ac:dyDescent="0.2">
      <c r="A463" s="86">
        <v>99239</v>
      </c>
      <c r="B463" s="87" t="s">
        <v>580</v>
      </c>
      <c r="C463" s="88">
        <v>137.94</v>
      </c>
      <c r="D463" s="89" t="s">
        <v>116</v>
      </c>
    </row>
    <row r="464" spans="1:4" x14ac:dyDescent="0.2">
      <c r="A464" s="86">
        <v>99243</v>
      </c>
      <c r="B464" s="87" t="s">
        <v>581</v>
      </c>
      <c r="C464" s="88">
        <v>441.1</v>
      </c>
      <c r="D464" s="89" t="s">
        <v>113</v>
      </c>
    </row>
    <row r="465" spans="1:4" x14ac:dyDescent="0.2">
      <c r="A465" s="86">
        <v>99281</v>
      </c>
      <c r="B465" s="87" t="s">
        <v>582</v>
      </c>
      <c r="C465" s="88">
        <v>13.39</v>
      </c>
      <c r="D465" s="89" t="s">
        <v>113</v>
      </c>
    </row>
    <row r="466" spans="1:4" x14ac:dyDescent="0.2">
      <c r="A466" s="86">
        <v>99282</v>
      </c>
      <c r="B466" s="87" t="s">
        <v>583</v>
      </c>
      <c r="C466" s="88">
        <v>48.25</v>
      </c>
      <c r="D466" s="89" t="s">
        <v>113</v>
      </c>
    </row>
    <row r="467" spans="1:4" x14ac:dyDescent="0.2">
      <c r="A467" s="86">
        <v>99283</v>
      </c>
      <c r="B467" s="87" t="s">
        <v>584</v>
      </c>
      <c r="C467" s="88">
        <v>82.63</v>
      </c>
      <c r="D467" s="89" t="s">
        <v>113</v>
      </c>
    </row>
    <row r="468" spans="1:4" x14ac:dyDescent="0.2">
      <c r="A468" s="86">
        <v>99284</v>
      </c>
      <c r="B468" s="87" t="s">
        <v>585</v>
      </c>
      <c r="C468" s="88">
        <v>139.38</v>
      </c>
      <c r="D468" s="89" t="s">
        <v>113</v>
      </c>
    </row>
    <row r="469" spans="1:4" x14ac:dyDescent="0.2">
      <c r="A469" s="86">
        <v>99285</v>
      </c>
      <c r="B469" s="87" t="s">
        <v>586</v>
      </c>
      <c r="C469" s="88">
        <v>201.99</v>
      </c>
      <c r="D469" s="89" t="s">
        <v>113</v>
      </c>
    </row>
    <row r="470" spans="1:4" x14ac:dyDescent="0.2">
      <c r="A470" s="86">
        <v>99304</v>
      </c>
      <c r="B470" s="87" t="s">
        <v>587</v>
      </c>
      <c r="C470" s="88">
        <v>97.17</v>
      </c>
      <c r="D470" s="89" t="s">
        <v>115</v>
      </c>
    </row>
    <row r="471" spans="1:4" x14ac:dyDescent="0.2">
      <c r="A471" s="86">
        <v>99305</v>
      </c>
      <c r="B471" s="87" t="s">
        <v>588</v>
      </c>
      <c r="C471" s="88">
        <v>160.80000000000001</v>
      </c>
      <c r="D471" s="89" t="s">
        <v>115</v>
      </c>
    </row>
    <row r="472" spans="1:4" x14ac:dyDescent="0.2">
      <c r="A472" s="86">
        <v>99306</v>
      </c>
      <c r="B472" s="87" t="s">
        <v>589</v>
      </c>
      <c r="C472" s="88">
        <v>219.6</v>
      </c>
      <c r="D472" s="89" t="s">
        <v>115</v>
      </c>
    </row>
    <row r="473" spans="1:4" x14ac:dyDescent="0.2">
      <c r="A473" s="86">
        <v>99307</v>
      </c>
      <c r="B473" s="87" t="s">
        <v>590</v>
      </c>
      <c r="C473" s="88">
        <v>48.47</v>
      </c>
      <c r="D473" s="89" t="s">
        <v>115</v>
      </c>
    </row>
    <row r="474" spans="1:4" x14ac:dyDescent="0.2">
      <c r="A474" s="86">
        <v>99308</v>
      </c>
      <c r="B474" s="87" t="s">
        <v>591</v>
      </c>
      <c r="C474" s="88">
        <v>90.56</v>
      </c>
      <c r="D474" s="89" t="s">
        <v>115</v>
      </c>
    </row>
    <row r="475" spans="1:4" x14ac:dyDescent="0.2">
      <c r="A475" s="86">
        <v>99309</v>
      </c>
      <c r="B475" s="87" t="s">
        <v>592</v>
      </c>
      <c r="C475" s="88">
        <v>129.86000000000001</v>
      </c>
      <c r="D475" s="89" t="s">
        <v>115</v>
      </c>
    </row>
    <row r="476" spans="1:4" x14ac:dyDescent="0.2">
      <c r="A476" s="86">
        <v>99310</v>
      </c>
      <c r="B476" s="87" t="s">
        <v>593</v>
      </c>
      <c r="C476" s="88">
        <v>185.94</v>
      </c>
      <c r="D476" s="89" t="s">
        <v>115</v>
      </c>
    </row>
    <row r="477" spans="1:4" x14ac:dyDescent="0.2">
      <c r="A477" s="86">
        <v>99315</v>
      </c>
      <c r="B477" s="87" t="s">
        <v>594</v>
      </c>
      <c r="C477" s="88">
        <v>98.87</v>
      </c>
      <c r="D477" s="89" t="s">
        <v>115</v>
      </c>
    </row>
    <row r="478" spans="1:4" x14ac:dyDescent="0.2">
      <c r="A478" s="86">
        <v>99316</v>
      </c>
      <c r="B478" s="87" t="s">
        <v>595</v>
      </c>
      <c r="C478" s="88">
        <v>157.97</v>
      </c>
      <c r="D478" s="89" t="s">
        <v>115</v>
      </c>
    </row>
    <row r="479" spans="1:4" x14ac:dyDescent="0.2">
      <c r="A479" s="86">
        <v>99357</v>
      </c>
      <c r="B479" s="87" t="s">
        <v>596</v>
      </c>
      <c r="C479" s="88">
        <v>117.94</v>
      </c>
      <c r="D479" s="89" t="s">
        <v>115</v>
      </c>
    </row>
    <row r="480" spans="1:4" x14ac:dyDescent="0.2">
      <c r="A480" s="86">
        <v>99358</v>
      </c>
      <c r="B480" s="87" t="s">
        <v>597</v>
      </c>
      <c r="C480" s="88">
        <v>143.79</v>
      </c>
      <c r="D480" s="89" t="s">
        <v>115</v>
      </c>
    </row>
    <row r="481" spans="1:4" x14ac:dyDescent="0.2">
      <c r="A481" s="86">
        <v>99359</v>
      </c>
      <c r="B481" s="87" t="s">
        <v>598</v>
      </c>
      <c r="C481" s="88">
        <v>69.62</v>
      </c>
      <c r="D481" s="89" t="s">
        <v>115</v>
      </c>
    </row>
    <row r="482" spans="1:4" x14ac:dyDescent="0.2">
      <c r="A482" s="86">
        <v>99385</v>
      </c>
      <c r="B482" s="87" t="s">
        <v>599</v>
      </c>
      <c r="C482" s="88">
        <v>517.88</v>
      </c>
      <c r="D482" s="89" t="s">
        <v>116</v>
      </c>
    </row>
    <row r="483" spans="1:4" x14ac:dyDescent="0.2">
      <c r="A483" s="86">
        <v>99386</v>
      </c>
      <c r="B483" s="87" t="s">
        <v>600</v>
      </c>
      <c r="C483" s="88">
        <v>601.76</v>
      </c>
      <c r="D483" s="89" t="s">
        <v>116</v>
      </c>
    </row>
    <row r="484" spans="1:4" x14ac:dyDescent="0.2">
      <c r="A484" s="86">
        <v>99387</v>
      </c>
      <c r="B484" s="87" t="s">
        <v>601</v>
      </c>
      <c r="C484" s="88">
        <v>556.6</v>
      </c>
      <c r="D484" s="89" t="s">
        <v>116</v>
      </c>
    </row>
    <row r="485" spans="1:4" x14ac:dyDescent="0.2">
      <c r="A485" s="86">
        <v>99395</v>
      </c>
      <c r="B485" s="87" t="s">
        <v>602</v>
      </c>
      <c r="C485" s="88">
        <v>431.2</v>
      </c>
      <c r="D485" s="89" t="s">
        <v>116</v>
      </c>
    </row>
    <row r="486" spans="1:4" x14ac:dyDescent="0.2">
      <c r="A486" s="86">
        <v>99396</v>
      </c>
      <c r="B486" s="87" t="s">
        <v>603</v>
      </c>
      <c r="C486" s="88">
        <v>459.8</v>
      </c>
      <c r="D486" s="89" t="s">
        <v>116</v>
      </c>
    </row>
    <row r="487" spans="1:4" x14ac:dyDescent="0.2">
      <c r="A487" s="86">
        <v>99397</v>
      </c>
      <c r="B487" s="87" t="s">
        <v>604</v>
      </c>
      <c r="C487" s="88">
        <v>384.09</v>
      </c>
      <c r="D487" s="89" t="s">
        <v>116</v>
      </c>
    </row>
    <row r="488" spans="1:4" x14ac:dyDescent="0.2">
      <c r="A488" s="86">
        <v>99401</v>
      </c>
      <c r="B488" s="87" t="s">
        <v>605</v>
      </c>
      <c r="C488" s="88">
        <v>82.5</v>
      </c>
      <c r="D488" s="89" t="s">
        <v>116</v>
      </c>
    </row>
    <row r="489" spans="1:4" x14ac:dyDescent="0.2">
      <c r="A489" s="86">
        <v>99421</v>
      </c>
      <c r="B489" s="87" t="s">
        <v>606</v>
      </c>
      <c r="C489" s="88">
        <v>15.37</v>
      </c>
      <c r="D489" s="89" t="s">
        <v>115</v>
      </c>
    </row>
    <row r="490" spans="1:4" x14ac:dyDescent="0.2">
      <c r="A490" s="86">
        <v>99422</v>
      </c>
      <c r="B490" s="87" t="s">
        <v>607</v>
      </c>
      <c r="C490" s="88">
        <v>30.26</v>
      </c>
      <c r="D490" s="89" t="s">
        <v>115</v>
      </c>
    </row>
    <row r="491" spans="1:4" x14ac:dyDescent="0.2">
      <c r="A491" s="86">
        <v>99423</v>
      </c>
      <c r="B491" s="87" t="s">
        <v>608</v>
      </c>
      <c r="C491" s="88">
        <v>48.05</v>
      </c>
      <c r="D491" s="89" t="s">
        <v>115</v>
      </c>
    </row>
    <row r="492" spans="1:4" x14ac:dyDescent="0.2">
      <c r="A492" s="86">
        <v>99441</v>
      </c>
      <c r="B492" s="87" t="s">
        <v>609</v>
      </c>
      <c r="C492" s="88">
        <v>41.87</v>
      </c>
      <c r="D492" s="89" t="s">
        <v>116</v>
      </c>
    </row>
    <row r="493" spans="1:4" x14ac:dyDescent="0.2">
      <c r="A493" s="86">
        <v>99442</v>
      </c>
      <c r="B493" s="87" t="s">
        <v>610</v>
      </c>
      <c r="C493" s="88">
        <v>78.78</v>
      </c>
      <c r="D493" s="89" t="s">
        <v>116</v>
      </c>
    </row>
    <row r="494" spans="1:4" x14ac:dyDescent="0.2">
      <c r="A494" s="86">
        <v>99443</v>
      </c>
      <c r="B494" s="87" t="s">
        <v>611</v>
      </c>
      <c r="C494" s="88">
        <v>116.18</v>
      </c>
      <c r="D494" s="89" t="s">
        <v>116</v>
      </c>
    </row>
    <row r="495" spans="1:4" x14ac:dyDescent="0.2">
      <c r="A495" s="86" t="s">
        <v>763</v>
      </c>
      <c r="B495" s="87" t="s">
        <v>748</v>
      </c>
      <c r="C495" s="88">
        <v>0.11</v>
      </c>
      <c r="D495" s="89" t="s">
        <v>113</v>
      </c>
    </row>
    <row r="496" spans="1:4" x14ac:dyDescent="0.2">
      <c r="A496" s="86" t="s">
        <v>764</v>
      </c>
      <c r="B496" s="87" t="s">
        <v>749</v>
      </c>
      <c r="C496" s="88">
        <v>108.37</v>
      </c>
      <c r="D496" s="89" t="s">
        <v>113</v>
      </c>
    </row>
    <row r="497" spans="1:4" x14ac:dyDescent="0.2">
      <c r="A497" s="86" t="s">
        <v>762</v>
      </c>
      <c r="B497" s="87" t="s">
        <v>612</v>
      </c>
      <c r="C497" s="88">
        <v>80.12</v>
      </c>
      <c r="D497" s="89" t="s">
        <v>119</v>
      </c>
    </row>
    <row r="498" spans="1:4" x14ac:dyDescent="0.2">
      <c r="A498" s="86" t="s">
        <v>775</v>
      </c>
      <c r="B498" s="87" t="s">
        <v>613</v>
      </c>
      <c r="C498" s="88">
        <v>134.33000000000001</v>
      </c>
      <c r="D498" s="89" t="s">
        <v>119</v>
      </c>
    </row>
    <row r="499" spans="1:4" x14ac:dyDescent="0.2">
      <c r="A499" s="86" t="s">
        <v>776</v>
      </c>
      <c r="B499" s="87" t="s">
        <v>614</v>
      </c>
      <c r="C499" s="88">
        <v>141.41</v>
      </c>
      <c r="D499" s="89" t="s">
        <v>119</v>
      </c>
    </row>
    <row r="500" spans="1:4" x14ac:dyDescent="0.2">
      <c r="A500" s="86" t="s">
        <v>777</v>
      </c>
      <c r="B500" s="87" t="s">
        <v>615</v>
      </c>
      <c r="C500" s="88">
        <v>282.8</v>
      </c>
      <c r="D500" s="89" t="s">
        <v>119</v>
      </c>
    </row>
    <row r="501" spans="1:4" x14ac:dyDescent="0.2">
      <c r="A501" s="86" t="s">
        <v>778</v>
      </c>
      <c r="B501" s="87" t="s">
        <v>616</v>
      </c>
      <c r="C501" s="88">
        <v>94.27</v>
      </c>
      <c r="D501" s="89" t="s">
        <v>119</v>
      </c>
    </row>
    <row r="502" spans="1:4" x14ac:dyDescent="0.2">
      <c r="A502" s="86" t="s">
        <v>779</v>
      </c>
      <c r="B502" s="87" t="s">
        <v>617</v>
      </c>
      <c r="C502" s="88">
        <v>153.19</v>
      </c>
      <c r="D502" s="89" t="s">
        <v>119</v>
      </c>
    </row>
    <row r="503" spans="1:4" x14ac:dyDescent="0.2">
      <c r="A503" s="86" t="s">
        <v>780</v>
      </c>
      <c r="B503" s="87" t="s">
        <v>618</v>
      </c>
      <c r="C503" s="88">
        <v>216.39</v>
      </c>
      <c r="D503" s="89" t="s">
        <v>119</v>
      </c>
    </row>
    <row r="504" spans="1:4" x14ac:dyDescent="0.2">
      <c r="A504" s="86" t="s">
        <v>781</v>
      </c>
      <c r="B504" s="87" t="s">
        <v>619</v>
      </c>
      <c r="C504" s="88">
        <v>43.27</v>
      </c>
      <c r="D504" s="89" t="s">
        <v>119</v>
      </c>
    </row>
    <row r="505" spans="1:4" x14ac:dyDescent="0.2">
      <c r="A505" s="86" t="s">
        <v>782</v>
      </c>
      <c r="B505" s="87" t="s">
        <v>620</v>
      </c>
      <c r="C505" s="88">
        <v>38.950000000000003</v>
      </c>
      <c r="D505" s="89" t="s">
        <v>119</v>
      </c>
    </row>
    <row r="506" spans="1:4" x14ac:dyDescent="0.2">
      <c r="A506" s="86" t="s">
        <v>783</v>
      </c>
      <c r="B506" s="87" t="s">
        <v>621</v>
      </c>
      <c r="C506" s="88">
        <v>82.23</v>
      </c>
      <c r="D506" s="89" t="s">
        <v>119</v>
      </c>
    </row>
    <row r="507" spans="1:4" x14ac:dyDescent="0.2">
      <c r="A507" s="86" t="s">
        <v>784</v>
      </c>
      <c r="B507" s="87" t="s">
        <v>622</v>
      </c>
      <c r="C507" s="88">
        <v>44.95</v>
      </c>
      <c r="D507" s="89" t="s">
        <v>119</v>
      </c>
    </row>
    <row r="508" spans="1:4" x14ac:dyDescent="0.2">
      <c r="A508" s="86" t="s">
        <v>785</v>
      </c>
      <c r="B508" s="87" t="s">
        <v>623</v>
      </c>
      <c r="C508" s="88">
        <v>71.92</v>
      </c>
      <c r="D508" s="89" t="s">
        <v>119</v>
      </c>
    </row>
    <row r="509" spans="1:4" x14ac:dyDescent="0.2">
      <c r="A509" s="86" t="s">
        <v>786</v>
      </c>
      <c r="B509" s="87" t="s">
        <v>624</v>
      </c>
      <c r="C509" s="88">
        <v>87.65</v>
      </c>
      <c r="D509" s="89" t="s">
        <v>119</v>
      </c>
    </row>
    <row r="510" spans="1:4" x14ac:dyDescent="0.2">
      <c r="A510" s="86" t="s">
        <v>787</v>
      </c>
      <c r="B510" s="87" t="s">
        <v>625</v>
      </c>
      <c r="C510" s="88">
        <v>101.13</v>
      </c>
      <c r="D510" s="89" t="s">
        <v>119</v>
      </c>
    </row>
    <row r="511" spans="1:4" x14ac:dyDescent="0.2">
      <c r="A511" s="86" t="s">
        <v>788</v>
      </c>
      <c r="B511" s="87" t="s">
        <v>626</v>
      </c>
      <c r="C511" s="88">
        <v>166.11</v>
      </c>
      <c r="D511" s="89" t="s">
        <v>119</v>
      </c>
    </row>
    <row r="512" spans="1:4" x14ac:dyDescent="0.2">
      <c r="A512" s="86" t="s">
        <v>789</v>
      </c>
      <c r="B512" s="87" t="s">
        <v>627</v>
      </c>
      <c r="C512" s="88">
        <v>89.31</v>
      </c>
      <c r="D512" s="89" t="s">
        <v>119</v>
      </c>
    </row>
    <row r="513" spans="1:4" x14ac:dyDescent="0.2">
      <c r="A513" s="86" t="s">
        <v>790</v>
      </c>
      <c r="B513" s="87" t="s">
        <v>628</v>
      </c>
      <c r="C513" s="88">
        <v>80.12</v>
      </c>
      <c r="D513" s="89" t="s">
        <v>119</v>
      </c>
    </row>
    <row r="514" spans="1:4" x14ac:dyDescent="0.2">
      <c r="A514" s="86" t="s">
        <v>791</v>
      </c>
      <c r="B514" s="87" t="s">
        <v>629</v>
      </c>
      <c r="C514" s="88">
        <v>176.28</v>
      </c>
      <c r="D514" s="89" t="s">
        <v>119</v>
      </c>
    </row>
    <row r="515" spans="1:4" x14ac:dyDescent="0.2">
      <c r="A515" s="86" t="s">
        <v>792</v>
      </c>
      <c r="B515" s="87" t="s">
        <v>630</v>
      </c>
      <c r="C515" s="88">
        <v>147.08000000000001</v>
      </c>
      <c r="D515" s="89" t="s">
        <v>119</v>
      </c>
    </row>
    <row r="516" spans="1:4" x14ac:dyDescent="0.2">
      <c r="A516" s="86" t="s">
        <v>793</v>
      </c>
      <c r="B516" s="87" t="s">
        <v>631</v>
      </c>
      <c r="C516" s="88">
        <v>101.51</v>
      </c>
      <c r="D516" s="89" t="s">
        <v>119</v>
      </c>
    </row>
    <row r="517" spans="1:4" x14ac:dyDescent="0.2">
      <c r="A517" s="86" t="s">
        <v>794</v>
      </c>
      <c r="B517" s="87" t="s">
        <v>632</v>
      </c>
      <c r="C517" s="88">
        <v>75.849999999999994</v>
      </c>
      <c r="D517" s="89" t="s">
        <v>119</v>
      </c>
    </row>
    <row r="518" spans="1:4" x14ac:dyDescent="0.2">
      <c r="A518" s="86" t="s">
        <v>795</v>
      </c>
      <c r="B518" s="87" t="s">
        <v>633</v>
      </c>
      <c r="C518" s="88">
        <v>50.57</v>
      </c>
      <c r="D518" s="89" t="s">
        <v>119</v>
      </c>
    </row>
    <row r="519" spans="1:4" x14ac:dyDescent="0.2">
      <c r="A519" s="86" t="s">
        <v>796</v>
      </c>
      <c r="B519" s="87" t="s">
        <v>634</v>
      </c>
      <c r="C519" s="88">
        <v>109.25</v>
      </c>
      <c r="D519" s="89" t="s">
        <v>119</v>
      </c>
    </row>
    <row r="520" spans="1:4" x14ac:dyDescent="0.2">
      <c r="A520" s="86" t="s">
        <v>797</v>
      </c>
      <c r="B520" s="87" t="s">
        <v>635</v>
      </c>
      <c r="C520" s="88">
        <v>88.77</v>
      </c>
      <c r="D520" s="89" t="s">
        <v>119</v>
      </c>
    </row>
    <row r="521" spans="1:4" x14ac:dyDescent="0.2">
      <c r="A521" s="86" t="s">
        <v>798</v>
      </c>
      <c r="B521" s="87" t="s">
        <v>636</v>
      </c>
      <c r="C521" s="88">
        <v>88.77</v>
      </c>
      <c r="D521" s="89" t="s">
        <v>119</v>
      </c>
    </row>
    <row r="522" spans="1:4" x14ac:dyDescent="0.2">
      <c r="A522" s="86" t="s">
        <v>799</v>
      </c>
      <c r="B522" s="87" t="s">
        <v>637</v>
      </c>
      <c r="C522" s="88">
        <v>183.25</v>
      </c>
      <c r="D522" s="89" t="s">
        <v>119</v>
      </c>
    </row>
    <row r="523" spans="1:4" x14ac:dyDescent="0.2">
      <c r="A523" s="86" t="s">
        <v>800</v>
      </c>
      <c r="B523" s="87" t="s">
        <v>638</v>
      </c>
      <c r="C523" s="88">
        <v>237.15</v>
      </c>
      <c r="D523" s="89" t="s">
        <v>119</v>
      </c>
    </row>
    <row r="524" spans="1:4" x14ac:dyDescent="0.2">
      <c r="A524" s="86" t="s">
        <v>801</v>
      </c>
      <c r="B524" s="87" t="s">
        <v>639</v>
      </c>
      <c r="C524" s="88">
        <v>286.74</v>
      </c>
      <c r="D524" s="89" t="s">
        <v>119</v>
      </c>
    </row>
    <row r="525" spans="1:4" x14ac:dyDescent="0.2">
      <c r="A525" s="86" t="s">
        <v>802</v>
      </c>
      <c r="B525" s="87" t="s">
        <v>640</v>
      </c>
      <c r="C525" s="88">
        <v>349.26</v>
      </c>
      <c r="D525" s="89" t="s">
        <v>119</v>
      </c>
    </row>
    <row r="526" spans="1:4" x14ac:dyDescent="0.2">
      <c r="A526" s="86" t="s">
        <v>803</v>
      </c>
      <c r="B526" s="87" t="s">
        <v>641</v>
      </c>
      <c r="C526" s="88">
        <v>223.86</v>
      </c>
      <c r="D526" s="89" t="s">
        <v>119</v>
      </c>
    </row>
    <row r="527" spans="1:4" x14ac:dyDescent="0.2">
      <c r="A527" s="86" t="s">
        <v>804</v>
      </c>
      <c r="B527" s="87" t="s">
        <v>642</v>
      </c>
      <c r="C527" s="88">
        <v>285.68</v>
      </c>
      <c r="D527" s="89" t="s">
        <v>119</v>
      </c>
    </row>
    <row r="528" spans="1:4" x14ac:dyDescent="0.2">
      <c r="A528" s="86" t="s">
        <v>805</v>
      </c>
      <c r="B528" s="87" t="s">
        <v>643</v>
      </c>
      <c r="C528" s="88">
        <v>349.65</v>
      </c>
      <c r="D528" s="89" t="s">
        <v>119</v>
      </c>
    </row>
    <row r="529" spans="1:4" x14ac:dyDescent="0.2">
      <c r="A529" s="86" t="s">
        <v>806</v>
      </c>
      <c r="B529" s="87" t="s">
        <v>644</v>
      </c>
      <c r="C529" s="88">
        <v>413.6</v>
      </c>
      <c r="D529" s="89" t="s">
        <v>119</v>
      </c>
    </row>
    <row r="530" spans="1:4" x14ac:dyDescent="0.2">
      <c r="A530" s="86" t="s">
        <v>807</v>
      </c>
      <c r="B530" s="87" t="s">
        <v>645</v>
      </c>
      <c r="C530" s="88">
        <v>458.38</v>
      </c>
      <c r="D530" s="89" t="s">
        <v>119</v>
      </c>
    </row>
    <row r="531" spans="1:4" x14ac:dyDescent="0.2">
      <c r="A531" s="86" t="s">
        <v>824</v>
      </c>
      <c r="B531" s="87" t="s">
        <v>646</v>
      </c>
      <c r="C531" s="88">
        <v>262.23</v>
      </c>
      <c r="D531" s="89" t="s">
        <v>119</v>
      </c>
    </row>
    <row r="532" spans="1:4" x14ac:dyDescent="0.2">
      <c r="A532" s="86" t="s">
        <v>825</v>
      </c>
      <c r="B532" s="87" t="s">
        <v>647</v>
      </c>
      <c r="C532" s="88">
        <v>343.26</v>
      </c>
      <c r="D532" s="89" t="s">
        <v>119</v>
      </c>
    </row>
    <row r="533" spans="1:4" x14ac:dyDescent="0.2">
      <c r="A533" s="86" t="s">
        <v>826</v>
      </c>
      <c r="B533" s="87" t="s">
        <v>648</v>
      </c>
      <c r="C533" s="88">
        <v>426.39</v>
      </c>
      <c r="D533" s="89" t="s">
        <v>119</v>
      </c>
    </row>
    <row r="534" spans="1:4" x14ac:dyDescent="0.2">
      <c r="A534" s="86" t="s">
        <v>827</v>
      </c>
      <c r="B534" s="87" t="s">
        <v>649</v>
      </c>
      <c r="C534" s="88">
        <v>522.34</v>
      </c>
      <c r="D534" s="89" t="s">
        <v>119</v>
      </c>
    </row>
    <row r="535" spans="1:4" x14ac:dyDescent="0.2">
      <c r="A535" s="86" t="s">
        <v>828</v>
      </c>
      <c r="B535" s="87" t="s">
        <v>650</v>
      </c>
      <c r="C535" s="88">
        <v>1546.3</v>
      </c>
      <c r="D535" s="89" t="s">
        <v>119</v>
      </c>
    </row>
    <row r="536" spans="1:4" x14ac:dyDescent="0.2">
      <c r="A536" s="86" t="s">
        <v>829</v>
      </c>
      <c r="B536" s="87" t="s">
        <v>651</v>
      </c>
      <c r="C536" s="88">
        <v>1586.95</v>
      </c>
      <c r="D536" s="89" t="s">
        <v>119</v>
      </c>
    </row>
    <row r="537" spans="1:4" x14ac:dyDescent="0.2">
      <c r="A537" s="86" t="s">
        <v>830</v>
      </c>
      <c r="B537" s="87" t="s">
        <v>652</v>
      </c>
      <c r="C537" s="88">
        <v>627.36</v>
      </c>
      <c r="D537" s="89" t="s">
        <v>119</v>
      </c>
    </row>
    <row r="538" spans="1:4" x14ac:dyDescent="0.2">
      <c r="A538" s="86" t="s">
        <v>831</v>
      </c>
      <c r="B538" s="87" t="s">
        <v>653</v>
      </c>
      <c r="C538" s="88">
        <v>145.49</v>
      </c>
      <c r="D538" s="89" t="s">
        <v>119</v>
      </c>
    </row>
    <row r="539" spans="1:4" x14ac:dyDescent="0.2">
      <c r="A539" s="86" t="s">
        <v>832</v>
      </c>
      <c r="B539" s="87" t="s">
        <v>654</v>
      </c>
      <c r="C539" s="88">
        <v>396.61</v>
      </c>
      <c r="D539" s="89" t="s">
        <v>119</v>
      </c>
    </row>
    <row r="540" spans="1:4" x14ac:dyDescent="0.2">
      <c r="A540" s="86" t="s">
        <v>833</v>
      </c>
      <c r="B540" s="87" t="s">
        <v>655</v>
      </c>
      <c r="C540" s="88">
        <v>448.43</v>
      </c>
      <c r="D540" s="89" t="s">
        <v>119</v>
      </c>
    </row>
    <row r="541" spans="1:4" x14ac:dyDescent="0.2">
      <c r="A541" s="86" t="s">
        <v>834</v>
      </c>
      <c r="B541" s="87" t="s">
        <v>656</v>
      </c>
      <c r="C541" s="88">
        <v>478.32</v>
      </c>
      <c r="D541" s="89" t="s">
        <v>119</v>
      </c>
    </row>
    <row r="542" spans="1:4" x14ac:dyDescent="0.2">
      <c r="A542" s="86" t="s">
        <v>835</v>
      </c>
      <c r="B542" s="87" t="s">
        <v>657</v>
      </c>
      <c r="C542" s="88">
        <v>151.47</v>
      </c>
      <c r="D542" s="89" t="s">
        <v>119</v>
      </c>
    </row>
    <row r="543" spans="1:4" x14ac:dyDescent="0.2">
      <c r="A543" s="86" t="s">
        <v>836</v>
      </c>
      <c r="B543" s="87" t="s">
        <v>658</v>
      </c>
      <c r="C543" s="88">
        <v>378.68</v>
      </c>
      <c r="D543" s="89" t="s">
        <v>119</v>
      </c>
    </row>
    <row r="544" spans="1:4" x14ac:dyDescent="0.2">
      <c r="A544" s="86" t="s">
        <v>837</v>
      </c>
      <c r="B544" s="87" t="s">
        <v>659</v>
      </c>
      <c r="C544" s="88">
        <v>478.32</v>
      </c>
      <c r="D544" s="89" t="s">
        <v>119</v>
      </c>
    </row>
    <row r="545" spans="1:4" x14ac:dyDescent="0.2">
      <c r="A545" s="86" t="s">
        <v>838</v>
      </c>
      <c r="B545" s="87" t="s">
        <v>660</v>
      </c>
      <c r="C545" s="88">
        <v>139.35</v>
      </c>
      <c r="D545" s="89" t="s">
        <v>119</v>
      </c>
    </row>
    <row r="546" spans="1:4" x14ac:dyDescent="0.2">
      <c r="A546" s="86" t="s">
        <v>839</v>
      </c>
      <c r="B546" s="87" t="s">
        <v>661</v>
      </c>
      <c r="C546" s="88">
        <v>111.49</v>
      </c>
      <c r="D546" s="89" t="s">
        <v>119</v>
      </c>
    </row>
    <row r="547" spans="1:4" x14ac:dyDescent="0.2">
      <c r="A547" s="86" t="s">
        <v>840</v>
      </c>
      <c r="B547" s="87" t="s">
        <v>662</v>
      </c>
      <c r="C547" s="88">
        <v>285.67</v>
      </c>
      <c r="D547" s="89" t="s">
        <v>119</v>
      </c>
    </row>
    <row r="548" spans="1:4" x14ac:dyDescent="0.2">
      <c r="A548" s="86" t="s">
        <v>841</v>
      </c>
      <c r="B548" s="87" t="s">
        <v>663</v>
      </c>
      <c r="C548" s="88">
        <v>313.54000000000002</v>
      </c>
      <c r="D548" s="89" t="s">
        <v>119</v>
      </c>
    </row>
    <row r="549" spans="1:4" x14ac:dyDescent="0.2">
      <c r="A549" s="86" t="s">
        <v>842</v>
      </c>
      <c r="B549" s="87" t="s">
        <v>664</v>
      </c>
      <c r="C549" s="88">
        <v>1087.7</v>
      </c>
      <c r="D549" s="89" t="s">
        <v>119</v>
      </c>
    </row>
    <row r="550" spans="1:4" x14ac:dyDescent="0.2">
      <c r="A550" s="86" t="s">
        <v>843</v>
      </c>
      <c r="B550" s="87" t="s">
        <v>665</v>
      </c>
      <c r="C550" s="88">
        <v>1332.97</v>
      </c>
      <c r="D550" s="89" t="s">
        <v>119</v>
      </c>
    </row>
    <row r="551" spans="1:4" x14ac:dyDescent="0.2">
      <c r="A551" s="86" t="s">
        <v>844</v>
      </c>
      <c r="B551" s="87" t="s">
        <v>666</v>
      </c>
      <c r="C551" s="88">
        <v>1652.88</v>
      </c>
      <c r="D551" s="89" t="s">
        <v>119</v>
      </c>
    </row>
    <row r="552" spans="1:4" x14ac:dyDescent="0.2">
      <c r="A552" s="86" t="s">
        <v>845</v>
      </c>
      <c r="B552" s="87" t="s">
        <v>667</v>
      </c>
      <c r="C552" s="88">
        <v>311.2</v>
      </c>
      <c r="D552" s="89" t="s">
        <v>119</v>
      </c>
    </row>
    <row r="553" spans="1:4" x14ac:dyDescent="0.2">
      <c r="A553" s="86" t="s">
        <v>846</v>
      </c>
      <c r="B553" s="87" t="s">
        <v>668</v>
      </c>
      <c r="C553" s="88">
        <v>438.19</v>
      </c>
      <c r="D553" s="89" t="s">
        <v>119</v>
      </c>
    </row>
    <row r="554" spans="1:4" x14ac:dyDescent="0.2">
      <c r="A554" s="86" t="s">
        <v>847</v>
      </c>
      <c r="B554" s="87" t="s">
        <v>669</v>
      </c>
      <c r="C554" s="88">
        <v>723</v>
      </c>
      <c r="D554" s="89" t="s">
        <v>119</v>
      </c>
    </row>
    <row r="555" spans="1:4" x14ac:dyDescent="0.2">
      <c r="A555" s="86" t="s">
        <v>848</v>
      </c>
      <c r="B555" s="87" t="s">
        <v>670</v>
      </c>
      <c r="C555" s="88">
        <v>549.08000000000004</v>
      </c>
      <c r="D555" s="89" t="s">
        <v>119</v>
      </c>
    </row>
    <row r="556" spans="1:4" x14ac:dyDescent="0.2">
      <c r="A556" s="86" t="s">
        <v>849</v>
      </c>
      <c r="B556" s="87" t="s">
        <v>671</v>
      </c>
      <c r="C556" s="88">
        <v>347.74</v>
      </c>
      <c r="D556" s="89" t="s">
        <v>119</v>
      </c>
    </row>
    <row r="557" spans="1:4" x14ac:dyDescent="0.2">
      <c r="A557" s="86" t="s">
        <v>850</v>
      </c>
      <c r="B557" s="87" t="s">
        <v>672</v>
      </c>
      <c r="C557" s="88">
        <v>201.32</v>
      </c>
      <c r="D557" s="89" t="s">
        <v>119</v>
      </c>
    </row>
    <row r="558" spans="1:4" x14ac:dyDescent="0.2">
      <c r="A558" s="86" t="s">
        <v>851</v>
      </c>
      <c r="B558" s="87" t="s">
        <v>673</v>
      </c>
      <c r="C558" s="88">
        <v>201.32</v>
      </c>
      <c r="D558" s="89" t="s">
        <v>119</v>
      </c>
    </row>
    <row r="559" spans="1:4" x14ac:dyDescent="0.2">
      <c r="A559" s="86" t="s">
        <v>852</v>
      </c>
      <c r="B559" s="87" t="s">
        <v>674</v>
      </c>
      <c r="C559" s="88">
        <v>237.93</v>
      </c>
      <c r="D559" s="89" t="s">
        <v>119</v>
      </c>
    </row>
    <row r="560" spans="1:4" x14ac:dyDescent="0.2">
      <c r="A560" s="86" t="s">
        <v>853</v>
      </c>
      <c r="B560" s="87" t="s">
        <v>675</v>
      </c>
      <c r="C560" s="88">
        <v>184.54</v>
      </c>
      <c r="D560" s="89" t="s">
        <v>119</v>
      </c>
    </row>
    <row r="561" spans="1:4" x14ac:dyDescent="0.2">
      <c r="A561" s="86" t="s">
        <v>854</v>
      </c>
      <c r="B561" s="87" t="s">
        <v>676</v>
      </c>
      <c r="C561" s="88">
        <v>214.14</v>
      </c>
      <c r="D561" s="89" t="s">
        <v>119</v>
      </c>
    </row>
    <row r="562" spans="1:4" x14ac:dyDescent="0.2">
      <c r="A562" s="86" t="s">
        <v>855</v>
      </c>
      <c r="B562" s="87" t="s">
        <v>677</v>
      </c>
      <c r="C562" s="88">
        <v>184.54</v>
      </c>
      <c r="D562" s="89" t="s">
        <v>119</v>
      </c>
    </row>
    <row r="563" spans="1:4" x14ac:dyDescent="0.2">
      <c r="A563" s="86" t="s">
        <v>856</v>
      </c>
      <c r="B563" s="87" t="s">
        <v>678</v>
      </c>
      <c r="C563" s="88">
        <v>2160.6999999999998</v>
      </c>
      <c r="D563" s="89" t="s">
        <v>119</v>
      </c>
    </row>
    <row r="564" spans="1:4" x14ac:dyDescent="0.2">
      <c r="A564" s="86" t="s">
        <v>857</v>
      </c>
      <c r="B564" s="87" t="s">
        <v>679</v>
      </c>
      <c r="C564" s="88">
        <v>2160.6999999999998</v>
      </c>
      <c r="D564" s="89" t="s">
        <v>119</v>
      </c>
    </row>
    <row r="565" spans="1:4" x14ac:dyDescent="0.2">
      <c r="A565" s="86" t="s">
        <v>858</v>
      </c>
      <c r="B565" s="87" t="s">
        <v>680</v>
      </c>
      <c r="C565" s="88">
        <v>2355.87</v>
      </c>
      <c r="D565" s="89" t="s">
        <v>119</v>
      </c>
    </row>
    <row r="566" spans="1:4" x14ac:dyDescent="0.2">
      <c r="A566" s="86" t="s">
        <v>859</v>
      </c>
      <c r="B566" s="87" t="s">
        <v>681</v>
      </c>
      <c r="C566" s="88">
        <v>2355.87</v>
      </c>
      <c r="D566" s="89" t="s">
        <v>119</v>
      </c>
    </row>
    <row r="567" spans="1:4" x14ac:dyDescent="0.2">
      <c r="A567" s="86" t="s">
        <v>860</v>
      </c>
      <c r="B567" s="87" t="s">
        <v>682</v>
      </c>
      <c r="C567" s="88">
        <v>1823.58</v>
      </c>
      <c r="D567" s="89" t="s">
        <v>119</v>
      </c>
    </row>
    <row r="568" spans="1:4" x14ac:dyDescent="0.2">
      <c r="A568" s="86" t="s">
        <v>861</v>
      </c>
      <c r="B568" s="87" t="s">
        <v>683</v>
      </c>
      <c r="C568" s="88">
        <v>2119.3000000000002</v>
      </c>
      <c r="D568" s="89" t="s">
        <v>119</v>
      </c>
    </row>
    <row r="569" spans="1:4" x14ac:dyDescent="0.2">
      <c r="A569" s="86" t="s">
        <v>862</v>
      </c>
      <c r="B569" s="87" t="s">
        <v>684</v>
      </c>
      <c r="C569" s="88">
        <v>2387.42</v>
      </c>
      <c r="D569" s="89" t="s">
        <v>119</v>
      </c>
    </row>
    <row r="570" spans="1:4" x14ac:dyDescent="0.2">
      <c r="A570" s="86" t="s">
        <v>863</v>
      </c>
      <c r="B570" s="87" t="s">
        <v>685</v>
      </c>
      <c r="C570" s="88">
        <v>2387.42</v>
      </c>
      <c r="D570" s="89" t="s">
        <v>119</v>
      </c>
    </row>
    <row r="571" spans="1:4" x14ac:dyDescent="0.2">
      <c r="A571" s="86" t="s">
        <v>864</v>
      </c>
      <c r="B571" s="87" t="s">
        <v>686</v>
      </c>
      <c r="C571" s="88">
        <v>118.28</v>
      </c>
      <c r="D571" s="89" t="s">
        <v>119</v>
      </c>
    </row>
    <row r="572" spans="1:4" x14ac:dyDescent="0.2">
      <c r="A572" s="86" t="s">
        <v>865</v>
      </c>
      <c r="B572" s="87" t="s">
        <v>687</v>
      </c>
      <c r="C572" s="88">
        <v>118.28</v>
      </c>
      <c r="D572" s="89" t="s">
        <v>119</v>
      </c>
    </row>
    <row r="573" spans="1:4" x14ac:dyDescent="0.2">
      <c r="A573" s="86" t="s">
        <v>866</v>
      </c>
      <c r="B573" s="87" t="s">
        <v>688</v>
      </c>
      <c r="C573" s="88">
        <v>118.28</v>
      </c>
      <c r="D573" s="89" t="s">
        <v>119</v>
      </c>
    </row>
    <row r="574" spans="1:4" x14ac:dyDescent="0.2">
      <c r="A574" s="86" t="s">
        <v>868</v>
      </c>
      <c r="B574" s="87" t="s">
        <v>689</v>
      </c>
      <c r="C574" s="88">
        <v>118.28</v>
      </c>
      <c r="D574" s="89" t="s">
        <v>119</v>
      </c>
    </row>
    <row r="575" spans="1:4" x14ac:dyDescent="0.2">
      <c r="A575" s="86" t="s">
        <v>867</v>
      </c>
      <c r="B575" s="87" t="s">
        <v>690</v>
      </c>
      <c r="C575" s="88">
        <v>236.58</v>
      </c>
      <c r="D575" s="89" t="s">
        <v>119</v>
      </c>
    </row>
    <row r="576" spans="1:4" x14ac:dyDescent="0.2">
      <c r="A576" s="86" t="s">
        <v>869</v>
      </c>
      <c r="B576" s="87" t="s">
        <v>691</v>
      </c>
      <c r="C576" s="88">
        <v>197.14</v>
      </c>
      <c r="D576" s="89" t="s">
        <v>119</v>
      </c>
    </row>
    <row r="577" spans="1:4" x14ac:dyDescent="0.2">
      <c r="A577" s="86" t="s">
        <v>870</v>
      </c>
      <c r="B577" s="87" t="s">
        <v>692</v>
      </c>
      <c r="C577" s="88">
        <v>256.29000000000002</v>
      </c>
      <c r="D577" s="89" t="s">
        <v>119</v>
      </c>
    </row>
    <row r="578" spans="1:4" x14ac:dyDescent="0.2">
      <c r="A578" s="86" t="s">
        <v>871</v>
      </c>
      <c r="B578" s="87" t="s">
        <v>693</v>
      </c>
      <c r="C578" s="88">
        <v>256.29000000000002</v>
      </c>
      <c r="D578" s="89" t="s">
        <v>119</v>
      </c>
    </row>
    <row r="579" spans="1:4" x14ac:dyDescent="0.2">
      <c r="A579" s="86" t="s">
        <v>874</v>
      </c>
      <c r="B579" s="87" t="s">
        <v>694</v>
      </c>
      <c r="C579" s="88">
        <v>335.15</v>
      </c>
      <c r="D579" s="89" t="s">
        <v>119</v>
      </c>
    </row>
    <row r="580" spans="1:4" x14ac:dyDescent="0.2">
      <c r="A580" s="86" t="s">
        <v>875</v>
      </c>
      <c r="B580" s="87" t="s">
        <v>695</v>
      </c>
      <c r="C580" s="88">
        <v>216.85</v>
      </c>
      <c r="D580" s="89" t="s">
        <v>119</v>
      </c>
    </row>
    <row r="581" spans="1:4" x14ac:dyDescent="0.2">
      <c r="A581" s="86" t="s">
        <v>876</v>
      </c>
      <c r="B581" s="87" t="s">
        <v>696</v>
      </c>
      <c r="C581" s="88">
        <v>295.70999999999998</v>
      </c>
      <c r="D581" s="89" t="s">
        <v>119</v>
      </c>
    </row>
    <row r="582" spans="1:4" x14ac:dyDescent="0.2">
      <c r="A582" s="86" t="s">
        <v>877</v>
      </c>
      <c r="B582" s="87" t="s">
        <v>697</v>
      </c>
      <c r="C582" s="88">
        <v>354.86</v>
      </c>
      <c r="D582" s="89" t="s">
        <v>119</v>
      </c>
    </row>
    <row r="583" spans="1:4" x14ac:dyDescent="0.2">
      <c r="A583" s="86" t="s">
        <v>878</v>
      </c>
      <c r="B583" s="87" t="s">
        <v>698</v>
      </c>
      <c r="C583" s="88">
        <v>877.29</v>
      </c>
      <c r="D583" s="89" t="s">
        <v>119</v>
      </c>
    </row>
    <row r="584" spans="1:4" x14ac:dyDescent="0.2">
      <c r="A584" s="86" t="s">
        <v>879</v>
      </c>
      <c r="B584" s="87" t="s">
        <v>699</v>
      </c>
      <c r="C584" s="88">
        <v>828</v>
      </c>
      <c r="D584" s="89" t="s">
        <v>119</v>
      </c>
    </row>
    <row r="585" spans="1:4" x14ac:dyDescent="0.2">
      <c r="A585" s="86" t="s">
        <v>880</v>
      </c>
      <c r="B585" s="87" t="s">
        <v>700</v>
      </c>
      <c r="C585" s="88">
        <v>494.84</v>
      </c>
      <c r="D585" s="89" t="s">
        <v>119</v>
      </c>
    </row>
    <row r="586" spans="1:4" x14ac:dyDescent="0.2">
      <c r="A586" s="86" t="s">
        <v>881</v>
      </c>
      <c r="B586" s="87" t="s">
        <v>701</v>
      </c>
      <c r="C586" s="88">
        <v>494.84</v>
      </c>
      <c r="D586" s="89" t="s">
        <v>119</v>
      </c>
    </row>
    <row r="587" spans="1:4" x14ac:dyDescent="0.2">
      <c r="A587" s="86" t="s">
        <v>882</v>
      </c>
      <c r="B587" s="87" t="s">
        <v>702</v>
      </c>
      <c r="C587" s="88">
        <v>453.43</v>
      </c>
      <c r="D587" s="89" t="s">
        <v>119</v>
      </c>
    </row>
    <row r="588" spans="1:4" x14ac:dyDescent="0.2">
      <c r="A588" s="86" t="s">
        <v>883</v>
      </c>
      <c r="B588" s="87" t="s">
        <v>703</v>
      </c>
      <c r="C588" s="88">
        <v>453.43</v>
      </c>
      <c r="D588" s="89" t="s">
        <v>119</v>
      </c>
    </row>
    <row r="589" spans="1:4" x14ac:dyDescent="0.2">
      <c r="A589" s="86" t="s">
        <v>884</v>
      </c>
      <c r="B589" s="87" t="s">
        <v>704</v>
      </c>
      <c r="C589" s="88">
        <v>660.43</v>
      </c>
      <c r="D589" s="89" t="s">
        <v>119</v>
      </c>
    </row>
    <row r="590" spans="1:4" x14ac:dyDescent="0.2">
      <c r="A590" s="86" t="s">
        <v>885</v>
      </c>
      <c r="B590" s="87" t="s">
        <v>705</v>
      </c>
      <c r="C590" s="88">
        <v>660.43</v>
      </c>
      <c r="D590" s="89" t="s">
        <v>119</v>
      </c>
    </row>
    <row r="591" spans="1:4" x14ac:dyDescent="0.2">
      <c r="A591" s="86" t="s">
        <v>886</v>
      </c>
      <c r="B591" s="87" t="s">
        <v>706</v>
      </c>
      <c r="C591" s="88">
        <v>650.57000000000005</v>
      </c>
      <c r="D591" s="89" t="s">
        <v>119</v>
      </c>
    </row>
    <row r="592" spans="1:4" x14ac:dyDescent="0.2">
      <c r="A592" s="86" t="s">
        <v>887</v>
      </c>
      <c r="B592" s="87" t="s">
        <v>707</v>
      </c>
      <c r="C592" s="88">
        <v>650.57000000000005</v>
      </c>
      <c r="D592" s="89" t="s">
        <v>119</v>
      </c>
    </row>
    <row r="593" spans="1:4" x14ac:dyDescent="0.2">
      <c r="A593" s="86" t="s">
        <v>888</v>
      </c>
      <c r="B593" s="87" t="s">
        <v>708</v>
      </c>
      <c r="C593" s="88">
        <v>808.29</v>
      </c>
      <c r="D593" s="89" t="s">
        <v>119</v>
      </c>
    </row>
    <row r="594" spans="1:4" x14ac:dyDescent="0.2">
      <c r="A594" s="86" t="s">
        <v>889</v>
      </c>
      <c r="B594" s="87" t="s">
        <v>709</v>
      </c>
      <c r="C594" s="88">
        <v>207</v>
      </c>
      <c r="D594" s="89" t="s">
        <v>119</v>
      </c>
    </row>
    <row r="595" spans="1:4" x14ac:dyDescent="0.2">
      <c r="A595" s="86" t="s">
        <v>890</v>
      </c>
      <c r="B595" s="87" t="s">
        <v>710</v>
      </c>
      <c r="C595" s="88">
        <v>207</v>
      </c>
      <c r="D595" s="89" t="s">
        <v>119</v>
      </c>
    </row>
    <row r="596" spans="1:4" x14ac:dyDescent="0.2">
      <c r="A596" s="86" t="s">
        <v>891</v>
      </c>
      <c r="B596" s="87" t="s">
        <v>711</v>
      </c>
      <c r="C596" s="88">
        <v>92.27</v>
      </c>
      <c r="D596" s="89" t="s">
        <v>119</v>
      </c>
    </row>
    <row r="597" spans="1:4" x14ac:dyDescent="0.2">
      <c r="A597" s="86" t="s">
        <v>892</v>
      </c>
      <c r="B597" s="87" t="s">
        <v>712</v>
      </c>
      <c r="C597" s="88">
        <v>213.21</v>
      </c>
      <c r="D597" s="89" t="s">
        <v>119</v>
      </c>
    </row>
    <row r="598" spans="1:4" x14ac:dyDescent="0.2">
      <c r="A598" s="86" t="s">
        <v>893</v>
      </c>
      <c r="B598" s="87" t="s">
        <v>713</v>
      </c>
      <c r="C598" s="88">
        <v>186.69</v>
      </c>
      <c r="D598" s="89" t="s">
        <v>119</v>
      </c>
    </row>
    <row r="599" spans="1:4" x14ac:dyDescent="0.2">
      <c r="A599" s="86" t="s">
        <v>894</v>
      </c>
      <c r="B599" s="87" t="s">
        <v>714</v>
      </c>
      <c r="C599" s="88">
        <v>248.17</v>
      </c>
      <c r="D599" s="89" t="s">
        <v>119</v>
      </c>
    </row>
    <row r="600" spans="1:4" x14ac:dyDescent="0.2">
      <c r="A600" s="86" t="s">
        <v>895</v>
      </c>
      <c r="B600" s="87" t="s">
        <v>715</v>
      </c>
      <c r="C600" s="88">
        <v>381.01</v>
      </c>
      <c r="D600" s="89" t="s">
        <v>119</v>
      </c>
    </row>
    <row r="601" spans="1:4" x14ac:dyDescent="0.2">
      <c r="A601" s="86" t="s">
        <v>896</v>
      </c>
      <c r="B601" s="87" t="s">
        <v>716</v>
      </c>
      <c r="C601" s="88">
        <v>477.74</v>
      </c>
      <c r="D601" s="89" t="s">
        <v>119</v>
      </c>
    </row>
    <row r="602" spans="1:4" x14ac:dyDescent="0.2">
      <c r="A602" s="86" t="s">
        <v>897</v>
      </c>
      <c r="B602" s="87" t="s">
        <v>717</v>
      </c>
      <c r="C602" s="88">
        <v>635.66999999999996</v>
      </c>
      <c r="D602" s="89" t="s">
        <v>119</v>
      </c>
    </row>
    <row r="603" spans="1:4" x14ac:dyDescent="0.2">
      <c r="A603" s="86" t="s">
        <v>898</v>
      </c>
      <c r="B603" s="87" t="s">
        <v>718</v>
      </c>
      <c r="C603" s="88">
        <v>746.22</v>
      </c>
      <c r="D603" s="89" t="s">
        <v>119</v>
      </c>
    </row>
    <row r="604" spans="1:4" x14ac:dyDescent="0.2">
      <c r="A604" s="86" t="s">
        <v>899</v>
      </c>
      <c r="B604" s="87" t="s">
        <v>719</v>
      </c>
      <c r="C604" s="88">
        <v>402.72</v>
      </c>
      <c r="D604" s="89" t="s">
        <v>119</v>
      </c>
    </row>
    <row r="605" spans="1:4" x14ac:dyDescent="0.2">
      <c r="A605" s="86" t="s">
        <v>900</v>
      </c>
      <c r="B605" s="87" t="s">
        <v>720</v>
      </c>
      <c r="C605" s="88">
        <v>719.14</v>
      </c>
      <c r="D605" s="89" t="s">
        <v>119</v>
      </c>
    </row>
    <row r="606" spans="1:4" x14ac:dyDescent="0.2">
      <c r="A606" s="86" t="s">
        <v>901</v>
      </c>
      <c r="B606" s="87" t="s">
        <v>721</v>
      </c>
      <c r="C606" s="88">
        <v>575.30999999999995</v>
      </c>
      <c r="D606" s="89" t="s">
        <v>119</v>
      </c>
    </row>
    <row r="607" spans="1:4" x14ac:dyDescent="0.2">
      <c r="A607" s="86" t="s">
        <v>902</v>
      </c>
      <c r="B607" s="87" t="s">
        <v>722</v>
      </c>
      <c r="C607" s="88">
        <v>484.69</v>
      </c>
      <c r="D607" s="89" t="s">
        <v>119</v>
      </c>
    </row>
    <row r="608" spans="1:4" x14ac:dyDescent="0.2">
      <c r="A608" s="86" t="s">
        <v>903</v>
      </c>
      <c r="B608" s="87" t="s">
        <v>723</v>
      </c>
      <c r="C608" s="88">
        <v>424.11</v>
      </c>
      <c r="D608" s="89" t="s">
        <v>119</v>
      </c>
    </row>
    <row r="609" spans="1:4" x14ac:dyDescent="0.2">
      <c r="A609" s="86" t="s">
        <v>904</v>
      </c>
      <c r="B609" s="87" t="s">
        <v>724</v>
      </c>
      <c r="C609" s="88">
        <v>787.62</v>
      </c>
      <c r="D609" s="89" t="s">
        <v>119</v>
      </c>
    </row>
    <row r="610" spans="1:4" x14ac:dyDescent="0.2">
      <c r="A610" s="86" t="s">
        <v>905</v>
      </c>
      <c r="B610" s="87" t="s">
        <v>724</v>
      </c>
      <c r="C610" s="88">
        <v>666.45</v>
      </c>
      <c r="D610" s="89" t="s">
        <v>119</v>
      </c>
    </row>
    <row r="611" spans="1:4" x14ac:dyDescent="0.2">
      <c r="A611" s="86" t="s">
        <v>906</v>
      </c>
      <c r="B611" s="87" t="s">
        <v>725</v>
      </c>
      <c r="C611" s="88">
        <v>1454.07</v>
      </c>
      <c r="D611" s="89" t="s">
        <v>119</v>
      </c>
    </row>
    <row r="612" spans="1:4" x14ac:dyDescent="0.2">
      <c r="A612" s="86" t="s">
        <v>907</v>
      </c>
      <c r="B612" s="87" t="s">
        <v>726</v>
      </c>
      <c r="C612" s="88">
        <v>2302.2800000000002</v>
      </c>
      <c r="D612" s="89" t="s">
        <v>119</v>
      </c>
    </row>
    <row r="613" spans="1:4" x14ac:dyDescent="0.2">
      <c r="A613" s="86" t="s">
        <v>908</v>
      </c>
      <c r="B613" s="87" t="s">
        <v>727</v>
      </c>
      <c r="C613" s="88">
        <v>521.04999999999995</v>
      </c>
      <c r="D613" s="89" t="s">
        <v>119</v>
      </c>
    </row>
    <row r="614" spans="1:4" x14ac:dyDescent="0.2">
      <c r="A614" s="86" t="s">
        <v>909</v>
      </c>
      <c r="B614" s="87" t="s">
        <v>728</v>
      </c>
      <c r="C614" s="88">
        <v>894.26</v>
      </c>
      <c r="D614" s="89" t="s">
        <v>119</v>
      </c>
    </row>
    <row r="615" spans="1:4" x14ac:dyDescent="0.2">
      <c r="A615" s="86" t="s">
        <v>910</v>
      </c>
      <c r="B615" s="87" t="s">
        <v>729</v>
      </c>
      <c r="C615" s="88">
        <v>794.89</v>
      </c>
      <c r="D615" s="89" t="s">
        <v>119</v>
      </c>
    </row>
    <row r="616" spans="1:4" x14ac:dyDescent="0.2">
      <c r="A616" s="86" t="s">
        <v>873</v>
      </c>
      <c r="B616" s="87" t="s">
        <v>730</v>
      </c>
      <c r="C616" s="88">
        <v>92.27</v>
      </c>
      <c r="D616" s="89" t="s">
        <v>119</v>
      </c>
    </row>
    <row r="617" spans="1:4" x14ac:dyDescent="0.2">
      <c r="A617" s="86" t="s">
        <v>872</v>
      </c>
      <c r="B617" s="87" t="s">
        <v>731</v>
      </c>
      <c r="C617" s="88">
        <v>89.2</v>
      </c>
      <c r="D617" s="89" t="s">
        <v>119</v>
      </c>
    </row>
    <row r="618" spans="1:4" x14ac:dyDescent="0.2">
      <c r="A618" s="86" t="s">
        <v>823</v>
      </c>
      <c r="B618" s="87" t="s">
        <v>732</v>
      </c>
      <c r="C618" s="88">
        <v>205.62</v>
      </c>
      <c r="D618" s="89" t="s">
        <v>119</v>
      </c>
    </row>
    <row r="619" spans="1:4" x14ac:dyDescent="0.2">
      <c r="A619" s="86" t="s">
        <v>822</v>
      </c>
      <c r="B619" s="87" t="s">
        <v>733</v>
      </c>
      <c r="C619" s="88">
        <v>61.06</v>
      </c>
      <c r="D619" s="89" t="s">
        <v>119</v>
      </c>
    </row>
    <row r="620" spans="1:4" x14ac:dyDescent="0.2">
      <c r="A620" s="86" t="s">
        <v>821</v>
      </c>
      <c r="B620" s="87" t="s">
        <v>734</v>
      </c>
      <c r="C620" s="88">
        <v>50.53</v>
      </c>
      <c r="D620" s="89" t="s">
        <v>119</v>
      </c>
    </row>
    <row r="621" spans="1:4" x14ac:dyDescent="0.2">
      <c r="A621" s="86" t="s">
        <v>820</v>
      </c>
      <c r="B621" s="87" t="s">
        <v>735</v>
      </c>
      <c r="C621" s="88">
        <v>228.03</v>
      </c>
      <c r="D621" s="89" t="s">
        <v>119</v>
      </c>
    </row>
    <row r="622" spans="1:4" x14ac:dyDescent="0.2">
      <c r="A622" s="86" t="s">
        <v>819</v>
      </c>
      <c r="B622" s="87" t="s">
        <v>736</v>
      </c>
      <c r="C622" s="88">
        <v>435.67</v>
      </c>
      <c r="D622" s="89" t="s">
        <v>119</v>
      </c>
    </row>
    <row r="623" spans="1:4" x14ac:dyDescent="0.2">
      <c r="A623" s="86" t="s">
        <v>818</v>
      </c>
      <c r="B623" s="87" t="s">
        <v>737</v>
      </c>
      <c r="C623" s="88">
        <v>142.52000000000001</v>
      </c>
      <c r="D623" s="89" t="s">
        <v>119</v>
      </c>
    </row>
    <row r="624" spans="1:4" x14ac:dyDescent="0.2">
      <c r="A624" s="86" t="s">
        <v>817</v>
      </c>
      <c r="B624" s="87" t="s">
        <v>738</v>
      </c>
      <c r="C624" s="88">
        <v>101.5</v>
      </c>
      <c r="D624" s="89" t="s">
        <v>119</v>
      </c>
    </row>
    <row r="625" spans="1:4" x14ac:dyDescent="0.2">
      <c r="A625" s="86" t="s">
        <v>816</v>
      </c>
      <c r="B625" s="87" t="s">
        <v>739</v>
      </c>
      <c r="C625" s="88">
        <v>81.66</v>
      </c>
      <c r="D625" s="89" t="s">
        <v>119</v>
      </c>
    </row>
    <row r="626" spans="1:4" x14ac:dyDescent="0.2">
      <c r="A626" s="86" t="s">
        <v>815</v>
      </c>
      <c r="B626" s="87" t="s">
        <v>740</v>
      </c>
      <c r="C626" s="88">
        <v>114.32</v>
      </c>
      <c r="D626" s="89" t="s">
        <v>119</v>
      </c>
    </row>
    <row r="627" spans="1:4" x14ac:dyDescent="0.2">
      <c r="A627" s="86" t="s">
        <v>814</v>
      </c>
      <c r="B627" s="87" t="s">
        <v>741</v>
      </c>
      <c r="C627" s="88">
        <v>304.47000000000003</v>
      </c>
      <c r="D627" s="89" t="s">
        <v>119</v>
      </c>
    </row>
    <row r="628" spans="1:4" x14ac:dyDescent="0.2">
      <c r="A628" s="86" t="s">
        <v>813</v>
      </c>
      <c r="B628" s="87" t="s">
        <v>742</v>
      </c>
      <c r="C628" s="88">
        <v>200.65</v>
      </c>
      <c r="D628" s="89" t="s">
        <v>119</v>
      </c>
    </row>
    <row r="629" spans="1:4" x14ac:dyDescent="0.2">
      <c r="A629" s="86" t="s">
        <v>812</v>
      </c>
      <c r="B629" s="87" t="s">
        <v>743</v>
      </c>
      <c r="C629" s="88">
        <v>200.65</v>
      </c>
      <c r="D629" s="89" t="s">
        <v>119</v>
      </c>
    </row>
    <row r="630" spans="1:4" x14ac:dyDescent="0.2">
      <c r="A630" s="86" t="s">
        <v>811</v>
      </c>
      <c r="B630" s="87" t="s">
        <v>744</v>
      </c>
      <c r="C630" s="88">
        <v>200.65</v>
      </c>
      <c r="D630" s="89" t="s">
        <v>119</v>
      </c>
    </row>
    <row r="631" spans="1:4" x14ac:dyDescent="0.2">
      <c r="A631" s="86" t="s">
        <v>810</v>
      </c>
      <c r="B631" s="87" t="s">
        <v>745</v>
      </c>
      <c r="C631" s="88">
        <v>200.65</v>
      </c>
      <c r="D631" s="89" t="s">
        <v>119</v>
      </c>
    </row>
    <row r="632" spans="1:4" x14ac:dyDescent="0.2">
      <c r="A632" s="86" t="s">
        <v>809</v>
      </c>
      <c r="B632" s="87" t="s">
        <v>746</v>
      </c>
      <c r="C632" s="88">
        <v>198.32</v>
      </c>
      <c r="D632" s="89" t="s">
        <v>119</v>
      </c>
    </row>
    <row r="633" spans="1:4" x14ac:dyDescent="0.2">
      <c r="A633" s="86" t="s">
        <v>808</v>
      </c>
      <c r="B633" s="87" t="s">
        <v>747</v>
      </c>
      <c r="C633" s="88">
        <v>176.4</v>
      </c>
      <c r="D633" s="89" t="s">
        <v>119</v>
      </c>
    </row>
    <row r="634" spans="1:4" x14ac:dyDescent="0.2">
      <c r="A634" s="86" t="s">
        <v>765</v>
      </c>
      <c r="B634" s="87" t="s">
        <v>750</v>
      </c>
      <c r="C634" s="88">
        <v>50.6</v>
      </c>
      <c r="D634" s="89" t="s">
        <v>113</v>
      </c>
    </row>
    <row r="635" spans="1:4" x14ac:dyDescent="0.2">
      <c r="A635" s="86" t="s">
        <v>766</v>
      </c>
      <c r="B635" s="87" t="s">
        <v>751</v>
      </c>
      <c r="C635" s="88">
        <v>55.02</v>
      </c>
      <c r="D635" s="89" t="s">
        <v>113</v>
      </c>
    </row>
    <row r="636" spans="1:4" x14ac:dyDescent="0.2">
      <c r="A636" s="86" t="s">
        <v>767</v>
      </c>
      <c r="B636" s="87" t="s">
        <v>752</v>
      </c>
      <c r="C636" s="88">
        <v>55</v>
      </c>
      <c r="D636" s="89" t="s">
        <v>113</v>
      </c>
    </row>
    <row r="637" spans="1:4" x14ac:dyDescent="0.2">
      <c r="A637" s="86" t="s">
        <v>768</v>
      </c>
      <c r="B637" s="87" t="s">
        <v>753</v>
      </c>
      <c r="C637" s="88">
        <v>55</v>
      </c>
      <c r="D637" s="89" t="s">
        <v>113</v>
      </c>
    </row>
    <row r="638" spans="1:4" x14ac:dyDescent="0.2">
      <c r="A638" s="86" t="s">
        <v>769</v>
      </c>
      <c r="B638" s="87" t="s">
        <v>754</v>
      </c>
      <c r="C638" s="88">
        <v>280.5</v>
      </c>
      <c r="D638" s="89" t="s">
        <v>113</v>
      </c>
    </row>
    <row r="639" spans="1:4" x14ac:dyDescent="0.2">
      <c r="A639" s="86" t="s">
        <v>770</v>
      </c>
      <c r="B639" s="87" t="s">
        <v>755</v>
      </c>
      <c r="C639" s="88">
        <v>6.6</v>
      </c>
      <c r="D639" s="89" t="s">
        <v>113</v>
      </c>
    </row>
    <row r="640" spans="1:4" x14ac:dyDescent="0.2">
      <c r="A640" s="86" t="s">
        <v>773</v>
      </c>
      <c r="B640" s="87" t="s">
        <v>756</v>
      </c>
      <c r="C640" s="88">
        <v>129.91</v>
      </c>
      <c r="D640" s="89" t="s">
        <v>113</v>
      </c>
    </row>
    <row r="641" spans="1:4" x14ac:dyDescent="0.2">
      <c r="A641" s="86" t="s">
        <v>774</v>
      </c>
      <c r="B641" s="87" t="s">
        <v>757</v>
      </c>
      <c r="C641" s="88">
        <v>131.96</v>
      </c>
      <c r="D641" s="89" t="s">
        <v>113</v>
      </c>
    </row>
    <row r="642" spans="1:4" x14ac:dyDescent="0.2">
      <c r="A642" s="86" t="s">
        <v>772</v>
      </c>
      <c r="B642" s="87" t="s">
        <v>758</v>
      </c>
      <c r="C642" s="88">
        <v>55.75</v>
      </c>
      <c r="D642" s="89" t="s">
        <v>113</v>
      </c>
    </row>
    <row r="643" spans="1:4" x14ac:dyDescent="0.2">
      <c r="A643" s="86" t="s">
        <v>771</v>
      </c>
      <c r="B643" s="87" t="s">
        <v>759</v>
      </c>
      <c r="C643" s="88">
        <v>90.75</v>
      </c>
      <c r="D643" s="89" t="s">
        <v>760</v>
      </c>
    </row>
    <row r="644" spans="1:4" x14ac:dyDescent="0.2">
      <c r="A644" s="79"/>
    </row>
    <row r="645" spans="1:4" x14ac:dyDescent="0.2">
      <c r="A645" s="79"/>
    </row>
    <row r="646" spans="1:4" x14ac:dyDescent="0.2">
      <c r="A646" s="79"/>
    </row>
    <row r="647" spans="1:4" x14ac:dyDescent="0.2">
      <c r="A647" s="79"/>
    </row>
    <row r="648" spans="1:4" x14ac:dyDescent="0.2">
      <c r="A648" s="79"/>
    </row>
    <row r="649" spans="1:4" x14ac:dyDescent="0.2">
      <c r="A649" s="79"/>
    </row>
    <row r="650" spans="1:4" x14ac:dyDescent="0.2">
      <c r="A650" s="79"/>
    </row>
    <row r="651" spans="1:4" x14ac:dyDescent="0.2">
      <c r="A651" s="79"/>
    </row>
    <row r="652" spans="1:4" x14ac:dyDescent="0.2">
      <c r="A652" s="79"/>
    </row>
    <row r="653" spans="1:4" x14ac:dyDescent="0.2">
      <c r="A653" s="79"/>
    </row>
    <row r="654" spans="1:4" x14ac:dyDescent="0.2">
      <c r="A654" s="79"/>
    </row>
    <row r="655" spans="1:4" x14ac:dyDescent="0.2">
      <c r="A655" s="79"/>
    </row>
    <row r="656" spans="1:4" x14ac:dyDescent="0.2">
      <c r="A656" s="79"/>
    </row>
    <row r="657" spans="1:1" x14ac:dyDescent="0.2">
      <c r="A657" s="79"/>
    </row>
    <row r="658" spans="1:1" x14ac:dyDescent="0.2">
      <c r="A658" s="79"/>
    </row>
    <row r="659" spans="1:1" x14ac:dyDescent="0.2">
      <c r="A659" s="79"/>
    </row>
    <row r="660" spans="1:1" x14ac:dyDescent="0.2">
      <c r="A660" s="79"/>
    </row>
    <row r="661" spans="1:1" x14ac:dyDescent="0.2">
      <c r="A661" s="79"/>
    </row>
    <row r="662" spans="1:1" x14ac:dyDescent="0.2">
      <c r="A662" s="79"/>
    </row>
    <row r="663" spans="1:1" x14ac:dyDescent="0.2">
      <c r="A663" s="79"/>
    </row>
    <row r="664" spans="1:1" x14ac:dyDescent="0.2">
      <c r="A664" s="79"/>
    </row>
    <row r="665" spans="1:1" x14ac:dyDescent="0.2">
      <c r="A665" s="79"/>
    </row>
    <row r="666" spans="1:1" x14ac:dyDescent="0.2">
      <c r="A666" s="79"/>
    </row>
    <row r="667" spans="1:1" x14ac:dyDescent="0.2">
      <c r="A667" s="79"/>
    </row>
    <row r="668" spans="1:1" x14ac:dyDescent="0.2">
      <c r="A668" s="79"/>
    </row>
    <row r="669" spans="1:1" x14ac:dyDescent="0.2">
      <c r="A669" s="79"/>
    </row>
    <row r="670" spans="1:1" x14ac:dyDescent="0.2">
      <c r="A670" s="79"/>
    </row>
    <row r="671" spans="1:1" x14ac:dyDescent="0.2">
      <c r="A671" s="79"/>
    </row>
    <row r="672" spans="1:1" x14ac:dyDescent="0.2">
      <c r="A672" s="79"/>
    </row>
    <row r="673" spans="1:1" x14ac:dyDescent="0.2">
      <c r="A673" s="79"/>
    </row>
    <row r="674" spans="1:1" x14ac:dyDescent="0.2">
      <c r="A674" s="79"/>
    </row>
    <row r="675" spans="1:1" x14ac:dyDescent="0.2">
      <c r="A675" s="79"/>
    </row>
  </sheetData>
  <autoFilter ref="A2:D831" xr:uid="{293A8A29-B20D-4F9E-B580-748C7C76BE87}">
    <sortState xmlns:xlrd2="http://schemas.microsoft.com/office/spreadsheetml/2017/richdata2" ref="A3:D675">
      <sortCondition ref="A2:A831"/>
    </sortState>
  </autoFilter>
  <mergeCells count="1">
    <mergeCell ref="A1:D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C4F3A-75AD-4066-B861-506C70EB78B0}">
  <dimension ref="A1:H25"/>
  <sheetViews>
    <sheetView workbookViewId="0">
      <selection activeCell="D3" sqref="D3:E3"/>
    </sheetView>
  </sheetViews>
  <sheetFormatPr defaultRowHeight="15" x14ac:dyDescent="0.2"/>
  <cols>
    <col min="2" max="5" width="29.88671875" customWidth="1"/>
    <col min="6" max="6" width="2.6640625" customWidth="1"/>
    <col min="7" max="7" width="10.44140625" customWidth="1"/>
  </cols>
  <sheetData>
    <row r="1" spans="1:8" ht="81" customHeight="1" thickBot="1" x14ac:dyDescent="0.25">
      <c r="A1" s="106" t="s">
        <v>915</v>
      </c>
      <c r="B1" s="107"/>
      <c r="C1" s="107"/>
      <c r="D1" s="107"/>
      <c r="E1" s="107"/>
      <c r="F1" s="107"/>
      <c r="G1" s="107"/>
      <c r="H1" s="108"/>
    </row>
    <row r="2" spans="1:8" ht="15.75" thickBot="1" x14ac:dyDescent="0.25"/>
    <row r="3" spans="1:8" ht="16.5" thickBot="1" x14ac:dyDescent="0.3">
      <c r="B3" s="109" t="s">
        <v>917</v>
      </c>
      <c r="C3" s="110"/>
      <c r="D3" s="109" t="s">
        <v>918</v>
      </c>
      <c r="E3" s="110"/>
      <c r="F3" s="61"/>
      <c r="G3" s="62"/>
    </row>
    <row r="4" spans="1:8" ht="32.25" thickBot="1" x14ac:dyDescent="0.25">
      <c r="B4" s="63" t="s">
        <v>103</v>
      </c>
      <c r="C4" s="64" t="s">
        <v>104</v>
      </c>
      <c r="D4" s="63" t="s">
        <v>103</v>
      </c>
      <c r="E4" s="64" t="s">
        <v>104</v>
      </c>
      <c r="F4" s="65"/>
      <c r="G4" s="66" t="s">
        <v>105</v>
      </c>
    </row>
    <row r="5" spans="1:8" x14ac:dyDescent="0.2">
      <c r="B5" s="67" t="s">
        <v>106</v>
      </c>
      <c r="C5" s="68">
        <v>349300.5</v>
      </c>
      <c r="D5" s="77" t="s">
        <v>106</v>
      </c>
      <c r="E5" s="93">
        <v>368922.64</v>
      </c>
      <c r="F5" s="96"/>
      <c r="G5" s="69">
        <f>-(C5-E5)/C5</f>
        <v>5.6175527947998967E-2</v>
      </c>
    </row>
    <row r="6" spans="1:8" x14ac:dyDescent="0.2">
      <c r="B6" s="70" t="s">
        <v>107</v>
      </c>
      <c r="C6" s="71">
        <v>411477.17</v>
      </c>
      <c r="D6" s="70" t="s">
        <v>107</v>
      </c>
      <c r="E6" s="94">
        <v>417292.17</v>
      </c>
      <c r="F6" s="97"/>
      <c r="G6" s="72">
        <f t="shared" ref="G6:G12" si="0">-(C6-E6)/C6</f>
        <v>1.4132011260794858E-2</v>
      </c>
    </row>
    <row r="7" spans="1:8" x14ac:dyDescent="0.2">
      <c r="B7" s="70" t="s">
        <v>108</v>
      </c>
      <c r="C7" s="71">
        <v>768866.08</v>
      </c>
      <c r="D7" s="70" t="s">
        <v>108</v>
      </c>
      <c r="E7" s="94">
        <v>1100071.19</v>
      </c>
      <c r="F7" s="97"/>
      <c r="G7" s="72">
        <f t="shared" si="0"/>
        <v>0.43077086974626322</v>
      </c>
    </row>
    <row r="8" spans="1:8" x14ac:dyDescent="0.2">
      <c r="B8" s="70" t="s">
        <v>109</v>
      </c>
      <c r="C8" s="71">
        <v>456.65</v>
      </c>
      <c r="D8" s="70" t="s">
        <v>109</v>
      </c>
      <c r="E8" s="95">
        <v>5176.72</v>
      </c>
      <c r="F8" s="97"/>
      <c r="G8" s="72">
        <f t="shared" si="0"/>
        <v>10.336296945143985</v>
      </c>
    </row>
    <row r="9" spans="1:8" x14ac:dyDescent="0.2">
      <c r="B9" s="70" t="s">
        <v>911</v>
      </c>
      <c r="C9" s="71">
        <v>4077.23</v>
      </c>
      <c r="D9" s="70" t="s">
        <v>911</v>
      </c>
      <c r="E9" s="94">
        <v>10216.51</v>
      </c>
      <c r="F9" s="97"/>
      <c r="G9" s="72">
        <f t="shared" si="0"/>
        <v>1.5057477748373285</v>
      </c>
    </row>
    <row r="10" spans="1:8" x14ac:dyDescent="0.2">
      <c r="B10" s="70" t="s">
        <v>16</v>
      </c>
      <c r="C10" s="71">
        <v>30043.919999999998</v>
      </c>
      <c r="D10" s="70" t="s">
        <v>16</v>
      </c>
      <c r="E10" s="94">
        <v>20812.07</v>
      </c>
      <c r="F10" s="97"/>
      <c r="G10" s="72">
        <f t="shared" si="0"/>
        <v>-0.30727847764206534</v>
      </c>
    </row>
    <row r="11" spans="1:8" x14ac:dyDescent="0.2">
      <c r="B11" s="70" t="s">
        <v>110</v>
      </c>
      <c r="C11" s="71">
        <v>283706.46000000002</v>
      </c>
      <c r="D11" s="70" t="s">
        <v>110</v>
      </c>
      <c r="E11" s="94">
        <v>455694.67</v>
      </c>
      <c r="F11" s="97"/>
      <c r="G11" s="72">
        <f t="shared" si="0"/>
        <v>0.60621887143493292</v>
      </c>
    </row>
    <row r="12" spans="1:8" ht="16.5" thickBot="1" x14ac:dyDescent="0.3">
      <c r="B12" s="73" t="s">
        <v>111</v>
      </c>
      <c r="C12" s="74">
        <f>SUM(C5:C11)</f>
        <v>1847928.0099999998</v>
      </c>
      <c r="D12" s="73" t="s">
        <v>111</v>
      </c>
      <c r="E12" s="74">
        <f>SUM(E5:E11)</f>
        <v>2378185.9700000002</v>
      </c>
      <c r="F12" s="75"/>
      <c r="G12" s="76">
        <f t="shared" si="0"/>
        <v>0.28694730375346195</v>
      </c>
    </row>
    <row r="13" spans="1:8" ht="32.25" customHeight="1" x14ac:dyDescent="0.2">
      <c r="B13" s="111" t="s">
        <v>916</v>
      </c>
      <c r="C13" s="111"/>
      <c r="D13" s="111"/>
      <c r="E13" s="111"/>
      <c r="F13" s="111"/>
      <c r="G13" s="111"/>
    </row>
    <row r="16" spans="1:8" x14ac:dyDescent="0.2">
      <c r="B16" s="98"/>
      <c r="C16" s="98"/>
      <c r="D16" s="98"/>
    </row>
    <row r="17" spans="2:5" x14ac:dyDescent="0.2">
      <c r="B17" s="99"/>
      <c r="C17" s="100"/>
      <c r="D17" s="98"/>
      <c r="E17" s="81"/>
    </row>
    <row r="18" spans="2:5" x14ac:dyDescent="0.2">
      <c r="B18" s="99"/>
      <c r="C18" s="100"/>
      <c r="D18" s="98"/>
      <c r="E18" s="81"/>
    </row>
    <row r="19" spans="2:5" x14ac:dyDescent="0.2">
      <c r="B19" s="99"/>
      <c r="C19" s="100"/>
      <c r="D19" s="98"/>
      <c r="E19" s="81"/>
    </row>
    <row r="20" spans="2:5" x14ac:dyDescent="0.2">
      <c r="B20" s="99"/>
      <c r="C20" s="101"/>
      <c r="D20" s="98"/>
      <c r="E20" s="81"/>
    </row>
    <row r="21" spans="2:5" x14ac:dyDescent="0.2">
      <c r="B21" s="99"/>
      <c r="C21" s="100"/>
      <c r="D21" s="98"/>
      <c r="E21" s="81"/>
    </row>
    <row r="22" spans="2:5" x14ac:dyDescent="0.2">
      <c r="B22" s="99"/>
      <c r="C22" s="100"/>
      <c r="D22" s="98"/>
      <c r="E22" s="81"/>
    </row>
    <row r="23" spans="2:5" x14ac:dyDescent="0.2">
      <c r="B23" s="99"/>
      <c r="C23" s="100"/>
      <c r="D23" s="98"/>
      <c r="E23" s="81"/>
    </row>
    <row r="24" spans="2:5" x14ac:dyDescent="0.2">
      <c r="B24" s="98"/>
      <c r="C24" s="98"/>
      <c r="D24" s="98"/>
    </row>
    <row r="25" spans="2:5" x14ac:dyDescent="0.2">
      <c r="B25" s="98"/>
      <c r="C25" s="98"/>
      <c r="D25" s="98"/>
    </row>
  </sheetData>
  <mergeCells count="4">
    <mergeCell ref="A1:H1"/>
    <mergeCell ref="B3:C3"/>
    <mergeCell ref="D3:E3"/>
    <mergeCell ref="B13:G13"/>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2.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Top 50 List</vt:lpstr>
      <vt:lpstr>AB 1045 Form</vt:lpstr>
      <vt:lpstr>Hospital CDM</vt:lpstr>
      <vt:lpstr>Percentage Change Gross Revenue</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Lanius, Kevin@DSH-S</cp:lastModifiedBy>
  <cp:revision/>
  <dcterms:created xsi:type="dcterms:W3CDTF">2007-03-06T21:45:14Z</dcterms:created>
  <dcterms:modified xsi:type="dcterms:W3CDTF">2024-06-27T21:47:24Z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