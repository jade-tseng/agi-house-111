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Alta 2024 HCAI Files\"/>
    </mc:Choice>
  </mc:AlternateContent>
  <xr:revisionPtr revIDLastSave="0" documentId="13_ncr:1_{54955023-F38C-4593-B125-C10DD9EA9788}" xr6:coauthVersionLast="47" xr6:coauthVersionMax="47" xr10:uidLastSave="{00000000-0000-0000-0000-000000000000}"/>
  <bookViews>
    <workbookView xWindow="-110" yWindow="-110" windowWidth="19420" windowHeight="10420" xr2:uid="{FF0D429C-AC64-4DB6-BDD7-295DB7D1EE8F}"/>
  </bookViews>
  <sheets>
    <sheet name="Foothill 5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C35" i="1"/>
  <c r="C21" i="1"/>
</calcChain>
</file>

<file path=xl/sharedStrings.xml><?xml version="1.0" encoding="utf-8"?>
<sst xmlns="http://schemas.openxmlformats.org/spreadsheetml/2006/main" count="43" uniqueCount="42">
  <si>
    <t>FACILITY NAME:   FOOTHILL REGIONAL MEDICAL CENTER</t>
  </si>
  <si>
    <t>GROSS REVENUE SUMMARY 2023 - 2024 REPORTING PERIOD</t>
  </si>
  <si>
    <t>Gross Revenue</t>
  </si>
  <si>
    <t>Month</t>
  </si>
  <si>
    <t>FRMC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</si>
  <si>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</si>
  <si>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</si>
  <si>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</si>
  <si>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</si>
  <si>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</si>
  <si>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</si>
  <si>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</si>
  <si>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</si>
  <si>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</si>
  <si>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</si>
  <si>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</si>
  <si>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</si>
  <si>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Total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</si>
  <si>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</si>
  <si>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</si>
  <si>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</si>
  <si>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</si>
  <si>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</si>
  <si>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</si>
  <si>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</si>
  <si>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</si>
  <si>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</si>
  <si>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</si>
  <si>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</si>
  <si>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</si>
  <si>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A</t>
  </si>
  <si>
    <t>B</t>
  </si>
  <si>
    <t>2023 GrossRev (CDM Items)</t>
  </si>
  <si>
    <t>C</t>
  </si>
  <si>
    <t>2024 GrossRev (CDM Items)</t>
  </si>
  <si>
    <t>D</t>
  </si>
  <si>
    <t>GrossRevIncreaseDueToPriceIncrease</t>
  </si>
  <si>
    <t>E</t>
  </si>
  <si>
    <t>% of Increase vs. Total Gross Rev 2024 (D / A = E)</t>
  </si>
  <si>
    <t>Note:</t>
  </si>
  <si>
    <t>Last CDM Increase was February 1, 2019.  No CDM increases for years of 2020, 2021, 2022 and 2023 reporting periods.</t>
  </si>
  <si>
    <t>OSHPD ID NO: 106301357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</si>
</sst>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1" applyFont="1"/>
    <xf numFmtId="44" fontId="2" fillId="0" borderId="0" xfId="1" applyFont="1" applyFill="1"/>
    <xf numFmtId="44" fontId="0" fillId="0" borderId="0" xfId="1" applyFont="1" applyFill="1"/>
    <xf numFmtId="164" fontId="0" fillId="0" borderId="0" xfId="0" applyNumberFormat="1"/>
    <xf numFmtId="164" fontId="2" fillId="0" borderId="0" xfId="1" applyNumberFormat="1" applyFont="1" applyFill="1"/>
    <xf numFmtId="164" fontId="0" fillId="0" borderId="0" xfId="1" applyNumberFormat="1" applyFont="1" applyFill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0" fontId="3" fillId="0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AE70-F12A-4265-BB23-5F321ED44299}">
  <sheetPr>
    <pageSetUpPr fitToPage="1"/>
  </sheetPr>
  <dimension ref="A1:E43"/>
  <sheetViews>
    <sheetView tabSelected="1" workbookViewId="0">
      <selection activeCell="A5" sqref="A5"/>
    </sheetView>
  </sheetViews>
  <sheetFormatPr defaultRowHeight="14.5" x14ac:dyDescent="0.35"/>
  <cols>
    <col min="2" max="2" width="44.08984375" customWidth="1"/>
    <col min="3" max="3" width="25.7265625" customWidth="1"/>
    <col min="5" max="5" width="18.26953125" customWidth="1"/>
  </cols>
  <sheetData>
    <row r="1" spans="1:5" x14ac:dyDescent="0.35">
      <c r="A1" s="1" t="s">
        <v>41</v>
      </c>
    </row>
    <row r="2" spans="1:5" x14ac:dyDescent="0.35">
      <c r="A2" s="1" t="s">
        <v>0</v>
      </c>
    </row>
    <row r="3" spans="1:5" x14ac:dyDescent="0.35">
      <c r="A3" s="1" t="s">
        <v>1</v>
      </c>
    </row>
    <row r="7" spans="1:5" x14ac:dyDescent="0.35">
      <c r="B7" t="s">
        <v>2</v>
      </c>
      <c r="C7" s="2"/>
    </row>
    <row r="8" spans="1:5" s="2" customFormat="1" x14ac:dyDescent="0.35">
      <c r="B8" s="2" t="s">
        <v>3</v>
      </c>
      <c r="C8" s="3" t="s">
        <v>4</v>
      </c>
      <c r="E8"/>
    </row>
    <row r="9" spans="1:5" x14ac:dyDescent="0.35">
      <c r="B9" t="s">
        <v>5</v>
      </c>
      <c r="C9" s="4">
        <v>33099781.68</v>
      </c>
      <c r="D9" s="4"/>
    </row>
    <row r="10" spans="1:5" x14ac:dyDescent="0.35">
      <c r="B10" t="s">
        <v>6</v>
      </c>
      <c r="C10" s="4">
        <v>35673394.68</v>
      </c>
      <c r="D10" s="4"/>
    </row>
    <row r="11" spans="1:5" x14ac:dyDescent="0.35">
      <c r="B11" t="s">
        <v>7</v>
      </c>
      <c r="C11" s="4">
        <v>34247845.920000002</v>
      </c>
      <c r="D11" s="4"/>
    </row>
    <row r="12" spans="1:5" x14ac:dyDescent="0.35">
      <c r="B12" t="s">
        <v>8</v>
      </c>
      <c r="C12" s="4">
        <v>32929968.309999999</v>
      </c>
      <c r="D12" s="4"/>
    </row>
    <row r="13" spans="1:5" x14ac:dyDescent="0.35">
      <c r="B13" t="s">
        <v>9</v>
      </c>
      <c r="C13" s="4">
        <v>35017991.039999999</v>
      </c>
      <c r="D13" s="4"/>
    </row>
    <row r="14" spans="1:5" x14ac:dyDescent="0.35">
      <c r="B14" t="s">
        <v>10</v>
      </c>
      <c r="C14" s="4">
        <v>36162180.960000001</v>
      </c>
      <c r="D14" s="4"/>
    </row>
    <row r="15" spans="1:5" x14ac:dyDescent="0.35">
      <c r="B15" t="s">
        <v>11</v>
      </c>
      <c r="C15" s="4">
        <v>39071849.329999998</v>
      </c>
      <c r="D15" s="4"/>
    </row>
    <row r="16" spans="1:5" x14ac:dyDescent="0.35">
      <c r="B16" t="s">
        <v>12</v>
      </c>
      <c r="C16" s="4">
        <v>37091484.030000001</v>
      </c>
      <c r="D16" s="4"/>
    </row>
    <row r="17" spans="2:4" x14ac:dyDescent="0.35">
      <c r="B17" t="s">
        <v>13</v>
      </c>
      <c r="C17" s="4">
        <v>32626168.010000002</v>
      </c>
      <c r="D17" s="4"/>
    </row>
    <row r="18" spans="2:4" x14ac:dyDescent="0.35">
      <c r="B18" t="s">
        <v>14</v>
      </c>
      <c r="C18" s="4">
        <v>38973628.799999997</v>
      </c>
      <c r="D18" s="4"/>
    </row>
    <row r="19" spans="2:4" x14ac:dyDescent="0.35">
      <c r="B19" t="s">
        <v>15</v>
      </c>
      <c r="C19" s="4">
        <v>36679693.060000002</v>
      </c>
      <c r="D19" s="4"/>
    </row>
    <row r="20" spans="2:4" x14ac:dyDescent="0.35">
      <c r="B20" t="s">
        <v>16</v>
      </c>
      <c r="C20" s="4">
        <v>42585944.729999997</v>
      </c>
      <c r="D20" s="4"/>
    </row>
    <row r="21" spans="2:4" x14ac:dyDescent="0.35">
      <c r="B21" s="1" t="s">
        <v>17</v>
      </c>
      <c r="C21" s="5">
        <f>SUM(C9:C20)</f>
        <v>434159930.55000007</v>
      </c>
      <c r="D21" s="6"/>
    </row>
    <row r="22" spans="2:4" x14ac:dyDescent="0.35">
      <c r="C22" s="7"/>
    </row>
    <row r="23" spans="2:4" x14ac:dyDescent="0.35">
      <c r="B23" t="s">
        <v>18</v>
      </c>
      <c r="C23" s="4">
        <v>34631414.229999997</v>
      </c>
    </row>
    <row r="24" spans="2:4" x14ac:dyDescent="0.35">
      <c r="B24" t="s">
        <v>19</v>
      </c>
      <c r="C24" s="4">
        <v>35786346.359999999</v>
      </c>
    </row>
    <row r="25" spans="2:4" x14ac:dyDescent="0.35">
      <c r="B25" t="s">
        <v>20</v>
      </c>
      <c r="C25" s="4">
        <v>1433581.25</v>
      </c>
    </row>
    <row r="26" spans="2:4" x14ac:dyDescent="0.35">
      <c r="B26" t="s">
        <v>21</v>
      </c>
      <c r="C26" s="4">
        <v>15603109.359999999</v>
      </c>
    </row>
    <row r="27" spans="2:4" x14ac:dyDescent="0.35">
      <c r="B27" t="s">
        <v>22</v>
      </c>
      <c r="C27" s="4">
        <v>52772041.200000003</v>
      </c>
    </row>
    <row r="28" spans="2:4" x14ac:dyDescent="0.35">
      <c r="B28" t="s">
        <v>23</v>
      </c>
      <c r="C28" s="4">
        <v>47436293.450000003</v>
      </c>
    </row>
    <row r="29" spans="2:4" x14ac:dyDescent="0.35">
      <c r="B29" t="s">
        <v>24</v>
      </c>
      <c r="C29" s="4">
        <v>51206011.390000001</v>
      </c>
    </row>
    <row r="30" spans="2:4" x14ac:dyDescent="0.35">
      <c r="B30" t="s">
        <v>25</v>
      </c>
      <c r="C30" s="4">
        <v>47581263.479999997</v>
      </c>
    </row>
    <row r="31" spans="2:4" x14ac:dyDescent="0.35">
      <c r="B31" t="s">
        <v>26</v>
      </c>
      <c r="C31" s="4">
        <v>89958928.769999996</v>
      </c>
    </row>
    <row r="32" spans="2:4" x14ac:dyDescent="0.35">
      <c r="B32" t="s">
        <v>27</v>
      </c>
      <c r="C32" s="4">
        <v>49152423.659999996</v>
      </c>
    </row>
    <row r="33" spans="1:3" x14ac:dyDescent="0.35">
      <c r="B33" t="s">
        <v>28</v>
      </c>
      <c r="C33" s="4">
        <v>49107333.710000001</v>
      </c>
    </row>
    <row r="34" spans="1:3" x14ac:dyDescent="0.35">
      <c r="B34" t="s">
        <v>29</v>
      </c>
      <c r="C34" s="4">
        <v>47673654.380000003</v>
      </c>
    </row>
    <row r="35" spans="1:3" ht="25.5" customHeight="1" x14ac:dyDescent="0.35">
      <c r="A35" s="2" t="s">
        <v>30</v>
      </c>
      <c r="B35" s="1" t="s">
        <v>17</v>
      </c>
      <c r="C35" s="8">
        <f>SUM(C23:C34)</f>
        <v>522342401.23999995</v>
      </c>
    </row>
    <row r="36" spans="1:3" x14ac:dyDescent="0.35">
      <c r="A36" s="2"/>
      <c r="C36" s="9"/>
    </row>
    <row r="37" spans="1:3" x14ac:dyDescent="0.35">
      <c r="A37" s="2" t="s">
        <v>31</v>
      </c>
      <c r="B37" s="1" t="s">
        <v>32</v>
      </c>
      <c r="C37" s="4">
        <v>434159930.55000007</v>
      </c>
    </row>
    <row r="38" spans="1:3" x14ac:dyDescent="0.35">
      <c r="A38" s="2" t="s">
        <v>33</v>
      </c>
      <c r="B38" s="1" t="s">
        <v>34</v>
      </c>
      <c r="C38" s="4">
        <v>522342401.23999995</v>
      </c>
    </row>
    <row r="39" spans="1:3" s="1" customFormat="1" x14ac:dyDescent="0.35">
      <c r="A39" s="2" t="s">
        <v>35</v>
      </c>
      <c r="B39" s="1" t="s">
        <v>36</v>
      </c>
      <c r="C39" s="10">
        <f>+C38-C37</f>
        <v>88182470.689999878</v>
      </c>
    </row>
    <row r="40" spans="1:3" s="1" customFormat="1" ht="29.25" customHeight="1" x14ac:dyDescent="0.35">
      <c r="A40" s="11" t="s">
        <v>37</v>
      </c>
      <c r="B40" s="12" t="s">
        <v>38</v>
      </c>
      <c r="C40" s="13">
        <f>+C39/C35</f>
        <v>0.16882119942907486</v>
      </c>
    </row>
    <row r="41" spans="1:3" x14ac:dyDescent="0.35">
      <c r="A41" s="2"/>
      <c r="C41" s="7"/>
    </row>
    <row r="42" spans="1:3" x14ac:dyDescent="0.35">
      <c r="A42" s="2" t="s">
        <v>39</v>
      </c>
      <c r="B42" t="s">
        <v>40</v>
      </c>
      <c r="C42" s="7"/>
    </row>
    <row r="43" spans="1:3" x14ac:dyDescent="0.35">
      <c r="C43" s="7"/>
    </row>
  </sheetData>
  <pageMargins left="0.7" right="0.7" top="0.75" bottom="0.75" header="0.3" footer="0.3"/>
  <pageSetup scale="79" orientation="landscape" horizontalDpi="4294967295" verticalDpi="4294967295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Foothill 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2024-06-29T00:40:48Z</dcterms:created>
  <dcterms:modified xsi:type="dcterms:W3CDTF">2024-06-29T14:29:50Z</dcterms:modified>
</cp:coreProperties>
</file>