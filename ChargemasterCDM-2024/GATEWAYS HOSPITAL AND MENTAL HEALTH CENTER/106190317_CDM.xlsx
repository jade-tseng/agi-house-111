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GW Charge Master\"/>
    </mc:Choice>
  </mc:AlternateContent>
  <xr:revisionPtr revIDLastSave="0" documentId="8_{D3392C5F-39DD-49B6-8326-4A01F28C22D4}" xr6:coauthVersionLast="47" xr6:coauthVersionMax="47" xr10:uidLastSave="{00000000-0000-0000-0000-000000000000}"/>
  <bookViews>
    <workbookView xWindow="-120" yWindow="-120" windowWidth="24240" windowHeight="13140" xr2:uid="{57BD52C5-957C-4B65-AA5C-4E9BAC507A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8" i="1" l="1"/>
  <c r="O138" i="1"/>
  <c r="S135" i="1"/>
  <c r="R135" i="1"/>
  <c r="P135" i="1"/>
  <c r="O135" i="1"/>
  <c r="S134" i="1"/>
  <c r="R134" i="1"/>
  <c r="P134" i="1"/>
  <c r="O134" i="1"/>
  <c r="P133" i="1"/>
  <c r="O133" i="1"/>
  <c r="P132" i="1"/>
  <c r="O132" i="1"/>
  <c r="S131" i="1"/>
  <c r="R131" i="1"/>
  <c r="P131" i="1"/>
  <c r="O131" i="1"/>
  <c r="P130" i="1"/>
  <c r="O130" i="1"/>
  <c r="S129" i="1"/>
  <c r="R129" i="1"/>
  <c r="P129" i="1"/>
  <c r="O129" i="1"/>
  <c r="P128" i="1"/>
  <c r="O128" i="1"/>
  <c r="Q127" i="1"/>
  <c r="P124" i="1"/>
  <c r="O124" i="1"/>
  <c r="P123" i="1"/>
  <c r="O123" i="1"/>
  <c r="P122" i="1"/>
  <c r="O122" i="1"/>
  <c r="Q121" i="1"/>
  <c r="S120" i="1"/>
  <c r="R120" i="1"/>
  <c r="P120" i="1"/>
  <c r="O120" i="1"/>
  <c r="O119" i="1"/>
  <c r="O118" i="1"/>
  <c r="P48" i="1"/>
  <c r="O48" i="1"/>
  <c r="O40" i="1"/>
  <c r="O34" i="1"/>
  <c r="O32" i="1"/>
  <c r="O31" i="1"/>
  <c r="O30" i="1"/>
  <c r="O24" i="1"/>
  <c r="O23" i="1"/>
  <c r="O21" i="1"/>
  <c r="O20" i="1"/>
  <c r="O13" i="1"/>
  <c r="O11" i="1"/>
  <c r="S8" i="1"/>
  <c r="R8" i="1"/>
  <c r="Q8" i="1"/>
  <c r="P8" i="1"/>
  <c r="O8" i="1"/>
  <c r="S7" i="1"/>
  <c r="R7" i="1"/>
  <c r="Q7" i="1"/>
  <c r="P7" i="1"/>
  <c r="O7" i="1"/>
  <c r="N138" i="1"/>
  <c r="L138" i="1"/>
  <c r="K138" i="1"/>
  <c r="J138" i="1"/>
  <c r="I138" i="1"/>
  <c r="H138" i="1"/>
  <c r="G138" i="1"/>
  <c r="F138" i="1"/>
  <c r="L136" i="1"/>
  <c r="K136" i="1"/>
  <c r="J136" i="1"/>
  <c r="G136" i="1"/>
  <c r="F136" i="1"/>
  <c r="N135" i="1"/>
  <c r="M135" i="1"/>
  <c r="L135" i="1"/>
  <c r="K135" i="1"/>
  <c r="J135" i="1"/>
  <c r="I135" i="1"/>
  <c r="H135" i="1"/>
  <c r="G135" i="1"/>
  <c r="F135" i="1"/>
  <c r="N134" i="1"/>
  <c r="M134" i="1"/>
  <c r="L134" i="1"/>
  <c r="K134" i="1"/>
  <c r="J134" i="1"/>
  <c r="I134" i="1"/>
  <c r="H134" i="1"/>
  <c r="G134" i="1"/>
  <c r="F134" i="1"/>
  <c r="N133" i="1"/>
  <c r="L133" i="1"/>
  <c r="K133" i="1"/>
  <c r="J133" i="1"/>
  <c r="I133" i="1"/>
  <c r="H133" i="1"/>
  <c r="G133" i="1"/>
  <c r="F133" i="1"/>
  <c r="N132" i="1"/>
  <c r="L132" i="1"/>
  <c r="K132" i="1"/>
  <c r="J132" i="1"/>
  <c r="I132" i="1"/>
  <c r="H132" i="1"/>
  <c r="G132" i="1"/>
  <c r="F132" i="1"/>
  <c r="N131" i="1"/>
  <c r="M131" i="1"/>
  <c r="L131" i="1"/>
  <c r="K131" i="1"/>
  <c r="J131" i="1"/>
  <c r="I131" i="1"/>
  <c r="H131" i="1"/>
  <c r="G131" i="1"/>
  <c r="F131" i="1"/>
  <c r="N130" i="1"/>
  <c r="L130" i="1"/>
  <c r="K130" i="1"/>
  <c r="J130" i="1"/>
  <c r="I130" i="1"/>
  <c r="H130" i="1"/>
  <c r="G130" i="1"/>
  <c r="F130" i="1"/>
  <c r="N129" i="1"/>
  <c r="M129" i="1"/>
  <c r="L129" i="1"/>
  <c r="K129" i="1"/>
  <c r="J129" i="1"/>
  <c r="I129" i="1"/>
  <c r="H129" i="1"/>
  <c r="G129" i="1"/>
  <c r="F129" i="1"/>
  <c r="N128" i="1"/>
  <c r="L128" i="1"/>
  <c r="K128" i="1"/>
  <c r="J128" i="1"/>
  <c r="I128" i="1"/>
  <c r="H128" i="1"/>
  <c r="G128" i="1"/>
  <c r="F128" i="1"/>
  <c r="M126" i="1"/>
  <c r="L126" i="1"/>
  <c r="K126" i="1"/>
  <c r="J126" i="1"/>
  <c r="I126" i="1"/>
  <c r="H126" i="1"/>
  <c r="G126" i="1"/>
  <c r="F126" i="1"/>
  <c r="L125" i="1"/>
  <c r="K125" i="1"/>
  <c r="J125" i="1"/>
  <c r="I125" i="1"/>
  <c r="H125" i="1"/>
  <c r="G125" i="1"/>
  <c r="F125" i="1"/>
  <c r="N124" i="1"/>
  <c r="L124" i="1"/>
  <c r="K124" i="1"/>
  <c r="J124" i="1"/>
  <c r="I124" i="1"/>
  <c r="H124" i="1"/>
  <c r="G124" i="1"/>
  <c r="F124" i="1"/>
  <c r="N123" i="1"/>
  <c r="L123" i="1"/>
  <c r="K123" i="1"/>
  <c r="J123" i="1"/>
  <c r="I123" i="1"/>
  <c r="G123" i="1"/>
  <c r="F123" i="1"/>
  <c r="N122" i="1"/>
  <c r="L122" i="1"/>
  <c r="K122" i="1"/>
  <c r="J122" i="1"/>
  <c r="I122" i="1"/>
  <c r="G122" i="1"/>
  <c r="F122" i="1"/>
  <c r="N120" i="1"/>
  <c r="M120" i="1"/>
  <c r="L120" i="1"/>
  <c r="K120" i="1"/>
  <c r="J120" i="1"/>
  <c r="I120" i="1"/>
  <c r="H120" i="1"/>
  <c r="G120" i="1"/>
  <c r="F120" i="1"/>
  <c r="N119" i="1"/>
  <c r="M119" i="1"/>
  <c r="K119" i="1"/>
  <c r="J119" i="1"/>
  <c r="I119" i="1"/>
  <c r="H119" i="1"/>
  <c r="G119" i="1"/>
  <c r="N118" i="1"/>
  <c r="K118" i="1"/>
  <c r="J118" i="1"/>
  <c r="I118" i="1"/>
  <c r="H118" i="1"/>
  <c r="G118" i="1"/>
  <c r="M117" i="1"/>
  <c r="M116" i="1"/>
  <c r="M115" i="1"/>
  <c r="N114" i="1"/>
  <c r="M114" i="1"/>
  <c r="L114" i="1"/>
  <c r="K114" i="1"/>
  <c r="J114" i="1"/>
  <c r="G114" i="1"/>
  <c r="F114" i="1"/>
  <c r="H113" i="1"/>
  <c r="N109" i="1"/>
  <c r="M109" i="1"/>
  <c r="K109" i="1"/>
  <c r="J109" i="1"/>
  <c r="G109" i="1"/>
  <c r="H108" i="1"/>
  <c r="N107" i="1"/>
  <c r="M107" i="1"/>
  <c r="K107" i="1"/>
  <c r="J107" i="1"/>
  <c r="G107" i="1"/>
  <c r="J100" i="1"/>
  <c r="I100" i="1"/>
  <c r="H100" i="1"/>
  <c r="G100" i="1"/>
  <c r="J73" i="1"/>
  <c r="I73" i="1"/>
  <c r="H73" i="1"/>
  <c r="G73" i="1"/>
  <c r="J69" i="1"/>
  <c r="H69" i="1"/>
  <c r="G69" i="1"/>
  <c r="J68" i="1"/>
  <c r="H68" i="1"/>
  <c r="G68" i="1"/>
  <c r="J67" i="1"/>
  <c r="I67" i="1"/>
  <c r="H67" i="1"/>
  <c r="G67" i="1"/>
  <c r="J66" i="1"/>
  <c r="I66" i="1"/>
  <c r="H66" i="1"/>
  <c r="G66" i="1"/>
  <c r="K61" i="1"/>
  <c r="J61" i="1"/>
  <c r="I61" i="1"/>
  <c r="H61" i="1"/>
  <c r="G61" i="1"/>
  <c r="K59" i="1"/>
  <c r="J59" i="1"/>
  <c r="I59" i="1"/>
  <c r="H59" i="1"/>
  <c r="G59" i="1"/>
  <c r="K58" i="1"/>
  <c r="J58" i="1"/>
  <c r="I58" i="1"/>
  <c r="H58" i="1"/>
  <c r="G58" i="1"/>
  <c r="K57" i="1"/>
  <c r="J57" i="1"/>
  <c r="I57" i="1"/>
  <c r="H57" i="1"/>
  <c r="G57" i="1"/>
  <c r="K56" i="1"/>
  <c r="J56" i="1"/>
  <c r="I56" i="1"/>
  <c r="H56" i="1"/>
  <c r="G56" i="1"/>
  <c r="K55" i="1"/>
  <c r="J55" i="1"/>
  <c r="I55" i="1"/>
  <c r="H55" i="1"/>
  <c r="G55" i="1"/>
  <c r="J54" i="1"/>
  <c r="I54" i="1"/>
  <c r="H54" i="1"/>
  <c r="G54" i="1"/>
  <c r="K52" i="1"/>
  <c r="J52" i="1"/>
  <c r="I52" i="1"/>
  <c r="H52" i="1"/>
  <c r="G52" i="1"/>
  <c r="J50" i="1"/>
  <c r="I50" i="1"/>
  <c r="H50" i="1"/>
  <c r="G50" i="1"/>
  <c r="N48" i="1"/>
  <c r="L48" i="1"/>
  <c r="K48" i="1"/>
  <c r="J48" i="1"/>
  <c r="I48" i="1"/>
  <c r="H48" i="1"/>
  <c r="G48" i="1"/>
  <c r="N47" i="1"/>
  <c r="J47" i="1"/>
  <c r="I47" i="1"/>
  <c r="H47" i="1"/>
  <c r="G47" i="1"/>
  <c r="N46" i="1"/>
  <c r="J46" i="1"/>
  <c r="H46" i="1"/>
  <c r="G46" i="1"/>
  <c r="N45" i="1"/>
  <c r="J45" i="1"/>
  <c r="H45" i="1"/>
  <c r="G45" i="1"/>
  <c r="N44" i="1"/>
  <c r="J44" i="1"/>
  <c r="G44" i="1"/>
  <c r="N43" i="1"/>
  <c r="J43" i="1"/>
  <c r="G43" i="1"/>
  <c r="N42" i="1"/>
  <c r="J42" i="1"/>
  <c r="G42" i="1"/>
  <c r="N41" i="1"/>
  <c r="J41" i="1"/>
  <c r="G41" i="1"/>
  <c r="N40" i="1"/>
  <c r="K40" i="1"/>
  <c r="J40" i="1"/>
  <c r="I40" i="1"/>
  <c r="H40" i="1"/>
  <c r="G40" i="1"/>
  <c r="N39" i="1"/>
  <c r="J39" i="1"/>
  <c r="G39" i="1"/>
  <c r="N38" i="1"/>
  <c r="K38" i="1"/>
  <c r="J38" i="1"/>
  <c r="G38" i="1"/>
  <c r="N37" i="1"/>
  <c r="K37" i="1"/>
  <c r="J37" i="1"/>
  <c r="G37" i="1"/>
  <c r="N36" i="1"/>
  <c r="J36" i="1"/>
  <c r="H36" i="1"/>
  <c r="G36" i="1"/>
  <c r="N35" i="1"/>
  <c r="J35" i="1"/>
  <c r="G35" i="1"/>
  <c r="N34" i="1"/>
  <c r="K34" i="1"/>
  <c r="J34" i="1"/>
  <c r="I34" i="1"/>
  <c r="H34" i="1"/>
  <c r="G34" i="1"/>
  <c r="N33" i="1"/>
  <c r="J33" i="1"/>
  <c r="G33" i="1"/>
  <c r="N32" i="1"/>
  <c r="J32" i="1"/>
  <c r="I32" i="1"/>
  <c r="H32" i="1"/>
  <c r="G32" i="1"/>
  <c r="N31" i="1"/>
  <c r="J31" i="1"/>
  <c r="I31" i="1"/>
  <c r="H31" i="1"/>
  <c r="G31" i="1"/>
  <c r="N30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N24" i="1"/>
  <c r="J24" i="1"/>
  <c r="I24" i="1"/>
  <c r="H24" i="1"/>
  <c r="G24" i="1"/>
  <c r="N23" i="1"/>
  <c r="J23" i="1"/>
  <c r="I23" i="1"/>
  <c r="H23" i="1"/>
  <c r="G23" i="1"/>
  <c r="N22" i="1"/>
  <c r="J22" i="1"/>
  <c r="H22" i="1"/>
  <c r="G22" i="1"/>
  <c r="N21" i="1"/>
  <c r="J21" i="1"/>
  <c r="I21" i="1"/>
  <c r="H21" i="1"/>
  <c r="G21" i="1"/>
  <c r="N20" i="1"/>
  <c r="J20" i="1"/>
  <c r="H20" i="1"/>
  <c r="G20" i="1"/>
  <c r="N19" i="1"/>
  <c r="J19" i="1"/>
  <c r="H19" i="1"/>
  <c r="G19" i="1"/>
  <c r="J18" i="1"/>
  <c r="G18" i="1"/>
  <c r="N17" i="1"/>
  <c r="J17" i="1"/>
  <c r="G17" i="1"/>
  <c r="J16" i="1"/>
  <c r="I16" i="1"/>
  <c r="H16" i="1"/>
  <c r="G16" i="1"/>
  <c r="N15" i="1"/>
  <c r="J15" i="1"/>
  <c r="I15" i="1"/>
  <c r="H15" i="1"/>
  <c r="G15" i="1"/>
  <c r="J14" i="1"/>
  <c r="H14" i="1"/>
  <c r="G14" i="1"/>
  <c r="N13" i="1"/>
  <c r="J13" i="1"/>
  <c r="H13" i="1"/>
  <c r="G13" i="1"/>
  <c r="J12" i="1"/>
  <c r="I12" i="1"/>
  <c r="H12" i="1"/>
  <c r="G12" i="1"/>
  <c r="N11" i="1"/>
  <c r="J11" i="1"/>
  <c r="I11" i="1"/>
  <c r="H11" i="1"/>
  <c r="G11" i="1"/>
  <c r="N8" i="1"/>
  <c r="M8" i="1"/>
  <c r="L8" i="1"/>
  <c r="K8" i="1"/>
  <c r="J8" i="1"/>
  <c r="I8" i="1"/>
  <c r="H8" i="1"/>
  <c r="G8" i="1"/>
  <c r="F8" i="1"/>
  <c r="N7" i="1"/>
  <c r="M7" i="1"/>
  <c r="L7" i="1"/>
  <c r="K7" i="1"/>
  <c r="J7" i="1"/>
  <c r="I7" i="1"/>
  <c r="H7" i="1"/>
  <c r="G7" i="1"/>
  <c r="F7" i="1"/>
</calcChain>
</file>

<file path=xl/sharedStrings.xml><?xml version="1.0" encoding="utf-8"?>
<sst xmlns="http://schemas.openxmlformats.org/spreadsheetml/2006/main" count="570" uniqueCount="386">
  <si>
    <t>CPT Codes</t>
  </si>
  <si>
    <t>200 **</t>
  </si>
  <si>
    <t>231 **</t>
  </si>
  <si>
    <t>6000 **</t>
  </si>
  <si>
    <t>90785*</t>
  </si>
  <si>
    <t>90791</t>
  </si>
  <si>
    <t>90792</t>
  </si>
  <si>
    <t>90832</t>
  </si>
  <si>
    <t>90833</t>
  </si>
  <si>
    <t>90834</t>
  </si>
  <si>
    <t>90836</t>
  </si>
  <si>
    <t>90837</t>
  </si>
  <si>
    <t>90838</t>
  </si>
  <si>
    <t>90839</t>
  </si>
  <si>
    <t>90840</t>
  </si>
  <si>
    <t>90845</t>
  </si>
  <si>
    <t>90847</t>
  </si>
  <si>
    <t>90849</t>
  </si>
  <si>
    <t>90853</t>
  </si>
  <si>
    <t>90865</t>
  </si>
  <si>
    <t>90867</t>
  </si>
  <si>
    <t>90868</t>
  </si>
  <si>
    <t>90869</t>
  </si>
  <si>
    <t>90870</t>
  </si>
  <si>
    <t>90880</t>
  </si>
  <si>
    <t>90885</t>
  </si>
  <si>
    <t>90887:CG*</t>
  </si>
  <si>
    <t>96105</t>
  </si>
  <si>
    <t>96110</t>
  </si>
  <si>
    <t>96112</t>
  </si>
  <si>
    <t>96113</t>
  </si>
  <si>
    <t>96116</t>
  </si>
  <si>
    <t>96121</t>
  </si>
  <si>
    <t>96125</t>
  </si>
  <si>
    <t>96127</t>
  </si>
  <si>
    <t>96130</t>
  </si>
  <si>
    <t>96131</t>
  </si>
  <si>
    <t>96132</t>
  </si>
  <si>
    <t>96133</t>
  </si>
  <si>
    <t>96136</t>
  </si>
  <si>
    <t>96137</t>
  </si>
  <si>
    <t>96146</t>
  </si>
  <si>
    <t>96161*</t>
  </si>
  <si>
    <t>96365</t>
  </si>
  <si>
    <t>96366</t>
  </si>
  <si>
    <t>96367</t>
  </si>
  <si>
    <t>96368</t>
  </si>
  <si>
    <t>96369</t>
  </si>
  <si>
    <t>96370</t>
  </si>
  <si>
    <t>96371</t>
  </si>
  <si>
    <t>96372</t>
  </si>
  <si>
    <t>96373</t>
  </si>
  <si>
    <t>96374</t>
  </si>
  <si>
    <t>96375</t>
  </si>
  <si>
    <t>96376</t>
  </si>
  <si>
    <t>96377</t>
  </si>
  <si>
    <t>98966</t>
  </si>
  <si>
    <t>98967</t>
  </si>
  <si>
    <t>98968</t>
  </si>
  <si>
    <t>99199:HX</t>
  </si>
  <si>
    <t>99202</t>
  </si>
  <si>
    <t>99203</t>
  </si>
  <si>
    <t>99204</t>
  </si>
  <si>
    <t>99205</t>
  </si>
  <si>
    <t>99212</t>
  </si>
  <si>
    <t>99213</t>
  </si>
  <si>
    <t>99214</t>
  </si>
  <si>
    <t>99215</t>
  </si>
  <si>
    <t>99221</t>
  </si>
  <si>
    <t>99222</t>
  </si>
  <si>
    <t>99223</t>
  </si>
  <si>
    <t>99231</t>
  </si>
  <si>
    <t>99232</t>
  </si>
  <si>
    <t>99233</t>
  </si>
  <si>
    <t>99234</t>
  </si>
  <si>
    <t>99235</t>
  </si>
  <si>
    <t>99236</t>
  </si>
  <si>
    <t>99242</t>
  </si>
  <si>
    <t>99243</t>
  </si>
  <si>
    <t>99244</t>
  </si>
  <si>
    <t>99245</t>
  </si>
  <si>
    <t>99252</t>
  </si>
  <si>
    <t>99253</t>
  </si>
  <si>
    <t>99254</t>
  </si>
  <si>
    <t>99255</t>
  </si>
  <si>
    <t>99304</t>
  </si>
  <si>
    <t>99305</t>
  </si>
  <si>
    <t>99306</t>
  </si>
  <si>
    <t>99307</t>
  </si>
  <si>
    <t>99308</t>
  </si>
  <si>
    <t>99309</t>
  </si>
  <si>
    <t>99310</t>
  </si>
  <si>
    <t>99341</t>
  </si>
  <si>
    <t>99342</t>
  </si>
  <si>
    <t>99343</t>
  </si>
  <si>
    <t>99344</t>
  </si>
  <si>
    <t>99345</t>
  </si>
  <si>
    <t>99347</t>
  </si>
  <si>
    <t>99348</t>
  </si>
  <si>
    <t>99349</t>
  </si>
  <si>
    <t>99350</t>
  </si>
  <si>
    <t>99366</t>
  </si>
  <si>
    <t>99367</t>
  </si>
  <si>
    <t>99368</t>
  </si>
  <si>
    <t>99441</t>
  </si>
  <si>
    <t>99442</t>
  </si>
  <si>
    <t>99443</t>
  </si>
  <si>
    <t>99451</t>
  </si>
  <si>
    <t>99484</t>
  </si>
  <si>
    <t>99605</t>
  </si>
  <si>
    <t>99606</t>
  </si>
  <si>
    <t>99607</t>
  </si>
  <si>
    <t>G2212*</t>
  </si>
  <si>
    <t>G2212:HQ*</t>
  </si>
  <si>
    <t>G9007</t>
  </si>
  <si>
    <t>H0025</t>
  </si>
  <si>
    <t>H0031</t>
  </si>
  <si>
    <t>H0032</t>
  </si>
  <si>
    <t>H0033</t>
  </si>
  <si>
    <t>H0034</t>
  </si>
  <si>
    <t>H0034:HQ</t>
  </si>
  <si>
    <t>H0038</t>
  </si>
  <si>
    <t>H2000</t>
  </si>
  <si>
    <t>H2011</t>
  </si>
  <si>
    <t>H2017</t>
  </si>
  <si>
    <t>H2017:HQ</t>
  </si>
  <si>
    <t>H2019</t>
  </si>
  <si>
    <t>H2021</t>
  </si>
  <si>
    <t>H2023</t>
  </si>
  <si>
    <t>S9986:HE:HX</t>
  </si>
  <si>
    <t>T1001</t>
  </si>
  <si>
    <t>T1013*</t>
  </si>
  <si>
    <t>T1017</t>
  </si>
  <si>
    <t>COS - Mental Health Promotion</t>
  </si>
  <si>
    <t>COS - Community Client Services</t>
  </si>
  <si>
    <t>Case Management Support</t>
  </si>
  <si>
    <t>Add On-Interactive Complex</t>
  </si>
  <si>
    <t>DIAGNOSTIC ASSESS</t>
  </si>
  <si>
    <t>DIAGNOSTIC ASSESS W/MED</t>
  </si>
  <si>
    <t>Indv Therapy 16-37 m</t>
  </si>
  <si>
    <t>Add On-Therapy for E&amp;M 16-37 m</t>
  </si>
  <si>
    <t>Indv Therapy 38-52 m</t>
  </si>
  <si>
    <t>Add On-Therapy for E&amp;M 38-52 m</t>
  </si>
  <si>
    <t>Indv Therapy 53-67 m</t>
  </si>
  <si>
    <t>Add On-Therapy for E&amp;M 53-67 m</t>
  </si>
  <si>
    <t>THERAPY for CRISIS 30-74 m</t>
  </si>
  <si>
    <t>Add On for 90839 each addtl 30 m</t>
  </si>
  <si>
    <t>Psychoanalysis</t>
  </si>
  <si>
    <t>Family therapy</t>
  </si>
  <si>
    <t>Multi-Family Therapy</t>
  </si>
  <si>
    <t>Group Therapy</t>
  </si>
  <si>
    <t>Narcosynthesis</t>
  </si>
  <si>
    <t>TMS/Initial</t>
  </si>
  <si>
    <t>TMS/Sub</t>
  </si>
  <si>
    <t>TMS/Sub/ReDterm</t>
  </si>
  <si>
    <t>ECT</t>
  </si>
  <si>
    <t>Hypnotherapy</t>
  </si>
  <si>
    <t>Record Review For Dx</t>
  </si>
  <si>
    <t>Add On-Explain Results to Parents/others</t>
  </si>
  <si>
    <t>PsychTest-Speech/Language</t>
  </si>
  <si>
    <t>Developmental Screen</t>
  </si>
  <si>
    <t>PsychTest-Developmental</t>
  </si>
  <si>
    <t>Add On for 96112 each addtl 30 m</t>
  </si>
  <si>
    <t>Neurobehavioral Exam 1st hr</t>
  </si>
  <si>
    <t>Add On for 96116 addtl 1 hr</t>
  </si>
  <si>
    <t>PsychTest-Cognitive 1st hr</t>
  </si>
  <si>
    <t>Screening Admin</t>
  </si>
  <si>
    <t>PsychTest-Evaluation 1st hr</t>
  </si>
  <si>
    <t>Add On for 96130 each addtl hr</t>
  </si>
  <si>
    <t>PsychTest-Neuropsych 1st hr</t>
  </si>
  <si>
    <t>Add On for 96132 addtl 1 hr</t>
  </si>
  <si>
    <t>PsychTest-Admin/Scoring</t>
  </si>
  <si>
    <t>Add On for 96136 each addtl 30 m</t>
  </si>
  <si>
    <t>PsychTest-Admin/Scoring (auto)</t>
  </si>
  <si>
    <t>Add On-Caregiver Assessment</t>
  </si>
  <si>
    <t>Intravenous Infusion 1-60 m</t>
  </si>
  <si>
    <t>Add On for 96365 each addtl 30-60 m</t>
  </si>
  <si>
    <t>Add On for 96365/96374</t>
  </si>
  <si>
    <t>Add On for 96365/96366</t>
  </si>
  <si>
    <t>Subcutaneous Infusion</t>
  </si>
  <si>
    <t>Add On for 96369 addtl 30-60 m</t>
  </si>
  <si>
    <t>Add On for 96369 addtl Pump 15 m</t>
  </si>
  <si>
    <t>Injection</t>
  </si>
  <si>
    <t>Arterial Injection</t>
  </si>
  <si>
    <t>Intravenous Injection</t>
  </si>
  <si>
    <t>Add On for 96365/96374 New</t>
  </si>
  <si>
    <t>Add On for 96365/96374 Same</t>
  </si>
  <si>
    <t>Application of Injector</t>
  </si>
  <si>
    <t>Telephone Eval 5-10 m</t>
  </si>
  <si>
    <t>Telephone Eval 11-20 m</t>
  </si>
  <si>
    <t>Telephone Eval 21-30 m</t>
  </si>
  <si>
    <t>Travel NON-MC</t>
  </si>
  <si>
    <t>E&amp;M OP, new clt, 15-29 m</t>
  </si>
  <si>
    <t>E&amp;M OP, new clt, 30-44 m</t>
  </si>
  <si>
    <t>E&amp;M OP, new clt, 45-59 m</t>
  </si>
  <si>
    <t>E&amp;M OP, new clt, 60-74 m</t>
  </si>
  <si>
    <t>E&amp;M OP, estab clt, 10-19 m</t>
  </si>
  <si>
    <t>E&amp;M OP, estab clt, 20-29 m</t>
  </si>
  <si>
    <t>E&amp;M OP, estab clt, 30-39 m</t>
  </si>
  <si>
    <t>E&amp;M OP, estab clt, 40-54 m</t>
  </si>
  <si>
    <t>E&amp;M IP, Initial, 20- 39 m</t>
  </si>
  <si>
    <t>E&amp;M IP, Initial, 40-59 m</t>
  </si>
  <si>
    <t>E&amp;M IP, Initial, 60-79 m</t>
  </si>
  <si>
    <t>E&amp;M IP, Subsequent, 6-19 m</t>
  </si>
  <si>
    <t>E&amp;M IP, Subsequent, 20- 29 m</t>
  </si>
  <si>
    <t>E&amp;M IP, Subsequent, 30-40 m</t>
  </si>
  <si>
    <t>E&amp;M IP Same Date 35-44 m</t>
  </si>
  <si>
    <t>E&amp;M IP Same Date 45-53 m</t>
  </si>
  <si>
    <t>E&amp;M IP Same Date 54-60 m</t>
  </si>
  <si>
    <t>E&amp;M Consult OP 21-34 m</t>
  </si>
  <si>
    <t>E&amp;M Consult OP 35-49 m</t>
  </si>
  <si>
    <t>E&amp;M Consult OP 50-70 m</t>
  </si>
  <si>
    <t>E&amp;M Consult OP 71-90 m</t>
  </si>
  <si>
    <t>E&amp;M Consult IP 30-49 m</t>
  </si>
  <si>
    <t>E&amp;M Consult IP 50-69 m</t>
  </si>
  <si>
    <t>E&amp;M Consult IP 70-90 m</t>
  </si>
  <si>
    <t>E&amp;M Consult IP 91-130 m</t>
  </si>
  <si>
    <t>E+M Nurs Fac, Initial 16-29 m</t>
  </si>
  <si>
    <t>E+M Nurs Fac, Initial 30-39 m</t>
  </si>
  <si>
    <t>E+M Nurs Fac, Initial 40-60 m</t>
  </si>
  <si>
    <t>E+M Nurs Fac, Subsquent 1-12 m</t>
  </si>
  <si>
    <t>E+M Nurs Fac, Subsquent 13-19 m</t>
  </si>
  <si>
    <t>E+M Nurs Fac, Subsquent 20-29 m</t>
  </si>
  <si>
    <t>E+M Nurs Fac, Subsquent 30-40 m</t>
  </si>
  <si>
    <t>E+M Home, New Clt 15-25 m</t>
  </si>
  <si>
    <t>E+M Home, New Clt 26-35 m</t>
  </si>
  <si>
    <t>E+M Home, New Clt 36-50 m</t>
  </si>
  <si>
    <t>E+M Home, New Clt 51-65 m</t>
  </si>
  <si>
    <t>E+M Home, New Clt 66-80 m</t>
  </si>
  <si>
    <t>E+M Home, Estab clt 10-20 m</t>
  </si>
  <si>
    <t>E+M Home, Estab clt 21-35 m</t>
  </si>
  <si>
    <t>E+M Home, Estab clt 36-50 m</t>
  </si>
  <si>
    <t>E+M Home, Estab clt 51-70 m</t>
  </si>
  <si>
    <t>MDT NonMD w/Clt or Fam 30 m+</t>
  </si>
  <si>
    <t>MDT MD w/o Clt or Fam 30 m+</t>
  </si>
  <si>
    <t>MDT NonMD w/o Clt or Fam 30 m+</t>
  </si>
  <si>
    <t>E+M ESTABCLT PHONE 5-10 m</t>
  </si>
  <si>
    <t>E+M ESTABCLT PHONE 11-20 m</t>
  </si>
  <si>
    <t>E+M ESTABCLT PHONE 21-30 m</t>
  </si>
  <si>
    <t>ITC Consultant 5-15 m</t>
  </si>
  <si>
    <t>CM Directed by MD 20 m+</t>
  </si>
  <si>
    <t>Meds Pharmacist New Clt</t>
  </si>
  <si>
    <t>Meds Pharmacist Estab Clt</t>
  </si>
  <si>
    <t>Add On for 99605/99606</t>
  </si>
  <si>
    <t>Prolong</t>
  </si>
  <si>
    <t>Prolong Group</t>
  </si>
  <si>
    <t>MAT - Case Conference Attendance</t>
  </si>
  <si>
    <t xml:space="preserve">Group Peer Support </t>
  </si>
  <si>
    <t>MH Assessment</t>
  </si>
  <si>
    <t>Plan Development</t>
  </si>
  <si>
    <t>Oral Medi Admin</t>
  </si>
  <si>
    <t>Meds Trng Suprt</t>
  </si>
  <si>
    <t>Meds Trng Suprt Group</t>
  </si>
  <si>
    <t>Individual Peer Support</t>
  </si>
  <si>
    <t>MTD Evaluation</t>
  </si>
  <si>
    <t>Crisis Intervention</t>
  </si>
  <si>
    <t>Rehabilitation</t>
  </si>
  <si>
    <t>Rehabilitation Group</t>
  </si>
  <si>
    <t>TBS</t>
  </si>
  <si>
    <t>Coordination of Care</t>
  </si>
  <si>
    <t>Supported Employment</t>
  </si>
  <si>
    <t>PEI - Outcome Measurement:Non-MC</t>
  </si>
  <si>
    <t>Nursing Assess</t>
  </si>
  <si>
    <t>Add On-Interpretation</t>
  </si>
  <si>
    <t>TCM</t>
  </si>
  <si>
    <t>Hourly Fee</t>
  </si>
  <si>
    <t>30-74</t>
  </si>
  <si>
    <t>per session</t>
  </si>
  <si>
    <t>1-60</t>
  </si>
  <si>
    <t>30-60</t>
  </si>
  <si>
    <t>15-60</t>
  </si>
  <si>
    <t>1-14</t>
  </si>
  <si>
    <t>5-10</t>
  </si>
  <si>
    <t>11-20</t>
  </si>
  <si>
    <t>21-30</t>
  </si>
  <si>
    <t>15-29</t>
  </si>
  <si>
    <t>30-44</t>
  </si>
  <si>
    <t>45-59</t>
  </si>
  <si>
    <t>60-74</t>
  </si>
  <si>
    <t>10-19</t>
  </si>
  <si>
    <t>20-29</t>
  </si>
  <si>
    <t>30-39</t>
  </si>
  <si>
    <t>40-54</t>
  </si>
  <si>
    <t>20-39</t>
  </si>
  <si>
    <t>40-59</t>
  </si>
  <si>
    <t>60-79</t>
  </si>
  <si>
    <t>6-19</t>
  </si>
  <si>
    <t>30-40</t>
  </si>
  <si>
    <t>35-44</t>
  </si>
  <si>
    <t>45-53</t>
  </si>
  <si>
    <t>54-60</t>
  </si>
  <si>
    <t>21-34</t>
  </si>
  <si>
    <t>35-49</t>
  </si>
  <si>
    <t>50-70</t>
  </si>
  <si>
    <t>71-90</t>
  </si>
  <si>
    <t>30-49</t>
  </si>
  <si>
    <t>50-69</t>
  </si>
  <si>
    <t>70-90</t>
  </si>
  <si>
    <t>91-130</t>
  </si>
  <si>
    <t>16-29</t>
  </si>
  <si>
    <t>40-60</t>
  </si>
  <si>
    <t>1-12</t>
  </si>
  <si>
    <t>13-19</t>
  </si>
  <si>
    <t>15-25</t>
  </si>
  <si>
    <t>26-35</t>
  </si>
  <si>
    <t>36-50</t>
  </si>
  <si>
    <t>51-65</t>
  </si>
  <si>
    <t>66-80</t>
  </si>
  <si>
    <t>10-20</t>
  </si>
  <si>
    <t>21-35</t>
  </si>
  <si>
    <t>51-70</t>
  </si>
  <si>
    <t>30 or more</t>
  </si>
  <si>
    <t>30 or More</t>
  </si>
  <si>
    <t>5-15</t>
  </si>
  <si>
    <t>At Least 20 Minutes</t>
  </si>
  <si>
    <t>N/A</t>
  </si>
  <si>
    <t>6</t>
  </si>
  <si>
    <t>19</t>
  </si>
  <si>
    <t>20</t>
  </si>
  <si>
    <t>29</t>
  </si>
  <si>
    <t>30</t>
  </si>
  <si>
    <t>40</t>
  </si>
  <si>
    <t>35</t>
  </si>
  <si>
    <t>44</t>
  </si>
  <si>
    <t>45</t>
  </si>
  <si>
    <t>53</t>
  </si>
  <si>
    <t>54</t>
  </si>
  <si>
    <t>60</t>
  </si>
  <si>
    <t>21</t>
  </si>
  <si>
    <t>34</t>
  </si>
  <si>
    <t>49</t>
  </si>
  <si>
    <t>50</t>
  </si>
  <si>
    <t>70</t>
  </si>
  <si>
    <t>71</t>
  </si>
  <si>
    <t>90</t>
  </si>
  <si>
    <t>69</t>
  </si>
  <si>
    <t>91</t>
  </si>
  <si>
    <t>130</t>
  </si>
  <si>
    <t>16</t>
  </si>
  <si>
    <t>39</t>
  </si>
  <si>
    <t>1</t>
  </si>
  <si>
    <t>12</t>
  </si>
  <si>
    <t>13</t>
  </si>
  <si>
    <t>15</t>
  </si>
  <si>
    <t>25</t>
  </si>
  <si>
    <t>26</t>
  </si>
  <si>
    <t>36</t>
  </si>
  <si>
    <t>51</t>
  </si>
  <si>
    <t>65</t>
  </si>
  <si>
    <t>66</t>
  </si>
  <si>
    <t>80</t>
  </si>
  <si>
    <t>10</t>
  </si>
  <si>
    <t>Certified Nurse Specialist</t>
  </si>
  <si>
    <t>Psychiatrist</t>
  </si>
  <si>
    <t>Physician’s Assistant</t>
  </si>
  <si>
    <t>Nurse Practitioner</t>
  </si>
  <si>
    <t>Pharmacist</t>
  </si>
  <si>
    <t>Psychologist / Pre-Licensed Psychologist</t>
  </si>
  <si>
    <t xml:space="preserve">Licensed Practitioner of the Healing Arts (MFT, LCSW, LPCC/intern or waivered) </t>
  </si>
  <si>
    <t>Peer Recovery Specialist</t>
  </si>
  <si>
    <t>Other Qualified Providers</t>
  </si>
  <si>
    <t>Mental Health Rehab Specialist</t>
  </si>
  <si>
    <t>LVN</t>
  </si>
  <si>
    <t>RN</t>
  </si>
  <si>
    <t>OT</t>
  </si>
  <si>
    <t>CPT Code Description</t>
  </si>
  <si>
    <t>Duration Per Unit</t>
  </si>
  <si>
    <t>Min</t>
  </si>
  <si>
    <t>Max</t>
  </si>
  <si>
    <t>LPT</t>
  </si>
  <si>
    <t>CalAIM Fee Discipline Procedure Codes FY 23/24</t>
  </si>
  <si>
    <t>Occupational therapy evaluation low complexity</t>
  </si>
  <si>
    <t>Occupational therapy evaluation moderate complexity</t>
  </si>
  <si>
    <t>Occupational therapy evaluation high complexity</t>
  </si>
  <si>
    <t>Occupational therapy re-evaluation</t>
  </si>
  <si>
    <t>OT Group 30 - 45 Min</t>
  </si>
  <si>
    <t>DCFSSCA</t>
  </si>
  <si>
    <t>MURPHY</t>
  </si>
  <si>
    <t>ISHA</t>
  </si>
  <si>
    <t>ODR</t>
  </si>
  <si>
    <t>Inpatient Room and Board</t>
  </si>
  <si>
    <t>Inpatient Admin Day</t>
  </si>
  <si>
    <t>Inpatient DCFS-SCA Day</t>
  </si>
  <si>
    <t>Inpatient MURPHY Day</t>
  </si>
  <si>
    <t>Inpatient ISHA Day</t>
  </si>
  <si>
    <t>Inpatient ODR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</si>
</sst>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b/>
      <sz val="16"/>
      <color theme="1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0">
    <xf numFmtId="0" fontId="0" fillId="0" borderId="0" xfId="0"/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49" fontId="3" fillId="0" borderId="1" xfId="0" applyNumberFormat="1" applyFont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 vertical="center" wrapText="1"/>
    </xf>
    <xf numFmtId="0" fontId="2" fillId="0" borderId="0" xfId="0" applyFont="1"/>
    <xf numFmtId="164" fontId="3" fillId="0" borderId="17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2" fillId="0" borderId="7" xfId="0" applyFont="1" applyBorder="1"/>
    <xf numFmtId="0" fontId="3" fillId="0" borderId="3" xfId="0" applyFont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8" fontId="3" fillId="2" borderId="10" xfId="0" applyNumberFormat="1" applyFont="1" applyFill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8" fontId="3" fillId="2" borderId="14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3" borderId="12" xfId="0" applyNumberFormat="1" applyFont="1" applyFill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164" fontId="2" fillId="3" borderId="10" xfId="0" applyNumberFormat="1" applyFont="1" applyFill="1" applyBorder="1" applyAlignment="1">
      <alignment horizontal="center" vertical="center"/>
    </xf>
    <xf numFmtId="49" fontId="2" fillId="0" borderId="5" xfId="0" applyNumberFormat="1" applyFont="1" applyBorder="1"/>
    <xf numFmtId="0" fontId="2" fillId="0" borderId="7" xfId="0" applyFont="1" applyBorder="1" applyAlignment="1">
      <alignment wrapText="1"/>
    </xf>
    <xf numFmtId="164" fontId="2" fillId="0" borderId="7" xfId="0" applyNumberFormat="1" applyFont="1" applyBorder="1"/>
    <xf numFmtId="164" fontId="2" fillId="3" borderId="7" xfId="0" applyNumberFormat="1" applyFont="1" applyFill="1" applyBorder="1"/>
    <xf numFmtId="164" fontId="2" fillId="3" borderId="12" xfId="0" applyNumberFormat="1" applyFont="1" applyFill="1" applyBorder="1"/>
    <xf numFmtId="164" fontId="2" fillId="3" borderId="8" xfId="0" applyNumberFormat="1" applyFont="1" applyFill="1" applyBorder="1" applyAlignment="1">
      <alignment horizontal="center" vertical="center"/>
    </xf>
    <xf numFmtId="164" fontId="2" fillId="3" borderId="13" xfId="0" applyNumberFormat="1" applyFont="1" applyFill="1" applyBorder="1" applyAlignment="1">
      <alignment horizontal="center" vertical="center"/>
    </xf>
    <xf numFmtId="164" fontId="2" fillId="3" borderId="14" xfId="0" applyNumberFormat="1" applyFont="1" applyFill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7" fontId="2" fillId="0" borderId="7" xfId="1" applyNumberFormat="1" applyFont="1" applyFill="1" applyBorder="1" applyAlignment="1">
      <alignment horizontal="center"/>
    </xf>
    <xf numFmtId="164" fontId="2" fillId="0" borderId="7" xfId="1" applyNumberFormat="1" applyFont="1" applyFill="1" applyBorder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2" fillId="2" borderId="0" xfId="0" applyFont="1" applyFill="1"/>
    <xf numFmtId="0" fontId="3" fillId="0" borderId="16" xfId="0" applyFont="1" applyBorder="1" applyAlignment="1">
      <alignment horizontal="center" vertical="center" wrapText="1"/>
    </xf>
    <xf numFmtId="0" fontId="6" fillId="0" borderId="0" xfId="0" applyFont="1"/>
    <xf numFmtId="49" fontId="2" fillId="0" borderId="5" xfId="0" applyNumberFormat="1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7" xfId="0" applyFont="1" applyBorder="1"/>
    <xf numFmtId="0" fontId="2" fillId="0" borderId="7" xfId="0" applyFont="1" applyBorder="1" applyAlignment="1">
      <alignment horizontal="left" vertical="center"/>
    </xf>
    <xf numFmtId="0" fontId="5" fillId="0" borderId="7" xfId="0" applyFont="1" applyFill="1" applyBorder="1"/>
    <xf numFmtId="0" fontId="7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/>
    </xf>
    <xf numFmtId="164" fontId="2" fillId="0" borderId="5" xfId="1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FE8E5-B66E-4A83-A8C3-0A69109BF167}">
  <dimension ref="A1:S150"/>
  <sheetViews>
    <sheetView tabSelected="1" zoomScale="80" zoomScaleNormal="80" workbookViewId="0">
      <selection activeCell="J143" sqref="J143"/>
    </sheetView>
  </sheetViews>
  <sheetFormatPr defaultRowHeight="15" x14ac:dyDescent="0.2"/>
  <cols>
    <col min="1" max="1" width="16.42578125" style="5" bestFit="1" customWidth="1"/>
    <col min="2" max="2" width="48.85546875" style="5" customWidth="1"/>
    <col min="3" max="3" width="21.28515625" style="5" bestFit="1" customWidth="1"/>
    <col min="4" max="4" width="5" style="5" bestFit="1" customWidth="1"/>
    <col min="5" max="5" width="6.42578125" style="5" bestFit="1" customWidth="1"/>
    <col min="6" max="6" width="13.140625" style="5" customWidth="1"/>
    <col min="7" max="7" width="18.28515625" style="5" hidden="1" customWidth="1"/>
    <col min="8" max="8" width="14.28515625" style="5" bestFit="1" customWidth="1"/>
    <col min="9" max="9" width="14" style="5" hidden="1" customWidth="1"/>
    <col min="10" max="10" width="14.140625" style="5" bestFit="1" customWidth="1"/>
    <col min="11" max="12" width="10.28515625" style="5" bestFit="1" customWidth="1"/>
    <col min="13" max="13" width="13.85546875" style="5" customWidth="1"/>
    <col min="14" max="14" width="26.7109375" style="5" bestFit="1" customWidth="1"/>
    <col min="15" max="15" width="47.42578125" style="5" bestFit="1" customWidth="1"/>
    <col min="16" max="16" width="10.28515625" style="5" bestFit="1" customWidth="1"/>
    <col min="17" max="17" width="17.7109375" style="5" bestFit="1" customWidth="1"/>
    <col min="18" max="18" width="18.28515625" style="5" bestFit="1" customWidth="1"/>
    <col min="19" max="19" width="20" style="5" bestFit="1" customWidth="1"/>
    <col min="20" max="16384" width="9.140625" style="5"/>
  </cols>
  <sheetData>
    <row r="1" spans="1:19" ht="30.75" customHeight="1" thickBot="1" x14ac:dyDescent="0.35">
      <c r="A1" s="57" t="s">
        <v>370</v>
      </c>
    </row>
    <row r="2" spans="1:19" ht="44.25" customHeight="1" x14ac:dyDescent="0.2">
      <c r="A2" s="3" t="s">
        <v>0</v>
      </c>
      <c r="B2" s="4" t="s">
        <v>365</v>
      </c>
      <c r="C2" s="56" t="s">
        <v>366</v>
      </c>
      <c r="D2" s="56" t="s">
        <v>367</v>
      </c>
      <c r="E2" s="56" t="s">
        <v>368</v>
      </c>
      <c r="F2" s="56" t="s">
        <v>369</v>
      </c>
      <c r="G2" s="6" t="s">
        <v>352</v>
      </c>
      <c r="H2" s="7" t="s">
        <v>353</v>
      </c>
      <c r="I2" s="7" t="s">
        <v>354</v>
      </c>
      <c r="J2" s="7" t="s">
        <v>355</v>
      </c>
      <c r="K2" s="7" t="s">
        <v>363</v>
      </c>
      <c r="L2" s="7" t="s">
        <v>362</v>
      </c>
      <c r="M2" s="7" t="s">
        <v>356</v>
      </c>
      <c r="N2" s="7" t="s">
        <v>357</v>
      </c>
      <c r="O2" s="7" t="s">
        <v>358</v>
      </c>
      <c r="P2" s="7" t="s">
        <v>364</v>
      </c>
      <c r="Q2" s="7" t="s">
        <v>359</v>
      </c>
      <c r="R2" s="7" t="s">
        <v>360</v>
      </c>
      <c r="S2" s="8" t="s">
        <v>361</v>
      </c>
    </row>
    <row r="3" spans="1:19" ht="15.75" x14ac:dyDescent="0.2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 ht="15.75" x14ac:dyDescent="0.2">
      <c r="A4" s="11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1:19" ht="15.75" x14ac:dyDescent="0.2">
      <c r="A5" s="11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1:19" ht="15.75" x14ac:dyDescent="0.2">
      <c r="A6" s="55"/>
      <c r="B6" s="12"/>
      <c r="C6" s="13" t="s">
        <v>265</v>
      </c>
      <c r="D6" s="14"/>
      <c r="E6" s="14"/>
      <c r="F6" s="15">
        <v>241.91</v>
      </c>
      <c r="G6" s="16">
        <v>657.61</v>
      </c>
      <c r="H6" s="15">
        <v>1322.44</v>
      </c>
      <c r="I6" s="15">
        <v>593.11</v>
      </c>
      <c r="J6" s="15">
        <v>657.61</v>
      </c>
      <c r="K6" s="15">
        <v>537.15</v>
      </c>
      <c r="L6" s="15">
        <v>282.18</v>
      </c>
      <c r="M6" s="15">
        <v>633.02</v>
      </c>
      <c r="N6" s="15">
        <v>531.84</v>
      </c>
      <c r="O6" s="15">
        <v>344.16</v>
      </c>
      <c r="P6" s="15">
        <v>458.14</v>
      </c>
      <c r="Q6" s="15">
        <v>271.88</v>
      </c>
      <c r="R6" s="15">
        <v>258.94</v>
      </c>
      <c r="S6" s="17">
        <v>258.94</v>
      </c>
    </row>
    <row r="7" spans="1:19" ht="15.75" x14ac:dyDescent="0.2">
      <c r="A7" s="18" t="s">
        <v>1</v>
      </c>
      <c r="B7" s="19" t="s">
        <v>133</v>
      </c>
      <c r="C7" s="20">
        <v>1</v>
      </c>
      <c r="D7" s="21">
        <v>1</v>
      </c>
      <c r="E7" s="21">
        <v>1440</v>
      </c>
      <c r="F7" s="22">
        <f>$F$6/60</f>
        <v>4.0318333333333332</v>
      </c>
      <c r="G7" s="22">
        <f>$G$6/60</f>
        <v>10.960166666666668</v>
      </c>
      <c r="H7" s="22">
        <f>$H$6/60</f>
        <v>22.040666666666667</v>
      </c>
      <c r="I7" s="22">
        <f>$I$6/60</f>
        <v>9.8851666666666667</v>
      </c>
      <c r="J7" s="22">
        <f>$J$6/60</f>
        <v>10.960166666666668</v>
      </c>
      <c r="K7" s="22">
        <f>$K$6/60</f>
        <v>8.9524999999999988</v>
      </c>
      <c r="L7" s="22">
        <f>$L$6/60</f>
        <v>4.7030000000000003</v>
      </c>
      <c r="M7" s="22">
        <f>$M$6/60</f>
        <v>10.550333333333333</v>
      </c>
      <c r="N7" s="22">
        <f>$N$6/60</f>
        <v>8.8640000000000008</v>
      </c>
      <c r="O7" s="22">
        <f>$O$6/60</f>
        <v>5.7360000000000007</v>
      </c>
      <c r="P7" s="22">
        <f>$P$6/60</f>
        <v>7.6356666666666664</v>
      </c>
      <c r="Q7" s="22">
        <f>$Q$6/60</f>
        <v>4.5313333333333334</v>
      </c>
      <c r="R7" s="22">
        <f>$R$6/60</f>
        <v>4.315666666666667</v>
      </c>
      <c r="S7" s="23">
        <f>$S$6/60</f>
        <v>4.315666666666667</v>
      </c>
    </row>
    <row r="8" spans="1:19" ht="15.75" x14ac:dyDescent="0.2">
      <c r="A8" s="18" t="s">
        <v>2</v>
      </c>
      <c r="B8" s="19" t="s">
        <v>134</v>
      </c>
      <c r="C8" s="20">
        <v>1</v>
      </c>
      <c r="D8" s="21">
        <v>1</v>
      </c>
      <c r="E8" s="21">
        <v>1440</v>
      </c>
      <c r="F8" s="22">
        <f>$F$6/60</f>
        <v>4.0318333333333332</v>
      </c>
      <c r="G8" s="22">
        <f>$G$6/60</f>
        <v>10.960166666666668</v>
      </c>
      <c r="H8" s="22">
        <f>$H$6/60</f>
        <v>22.040666666666667</v>
      </c>
      <c r="I8" s="22">
        <f>$I$6/60</f>
        <v>9.8851666666666667</v>
      </c>
      <c r="J8" s="22">
        <f>$J$6/60</f>
        <v>10.960166666666668</v>
      </c>
      <c r="K8" s="22">
        <f>$K$6/60</f>
        <v>8.9524999999999988</v>
      </c>
      <c r="L8" s="22">
        <f>$L$6/60</f>
        <v>4.7030000000000003</v>
      </c>
      <c r="M8" s="22">
        <f>$M$6/60</f>
        <v>10.550333333333333</v>
      </c>
      <c r="N8" s="22">
        <f>$N$6/60</f>
        <v>8.8640000000000008</v>
      </c>
      <c r="O8" s="22">
        <f>$O$6/60</f>
        <v>5.7360000000000007</v>
      </c>
      <c r="P8" s="22">
        <f>$P$6/60</f>
        <v>7.6356666666666664</v>
      </c>
      <c r="Q8" s="22">
        <f>$Q$6/60</f>
        <v>4.5313333333333334</v>
      </c>
      <c r="R8" s="22">
        <f>$R$6/60</f>
        <v>4.315666666666667</v>
      </c>
      <c r="S8" s="23">
        <f>$S$6/60</f>
        <v>4.315666666666667</v>
      </c>
    </row>
    <row r="9" spans="1:19" ht="15.75" x14ac:dyDescent="0.2">
      <c r="A9" s="18" t="s">
        <v>3</v>
      </c>
      <c r="B9" s="58" t="s">
        <v>135</v>
      </c>
      <c r="C9" s="59">
        <v>1</v>
      </c>
      <c r="D9" s="60">
        <v>1</v>
      </c>
      <c r="E9" s="60">
        <v>1440</v>
      </c>
      <c r="F9" s="22">
        <v>1.33</v>
      </c>
      <c r="G9" s="22">
        <v>1.33</v>
      </c>
      <c r="H9" s="22">
        <v>1.33</v>
      </c>
      <c r="I9" s="22">
        <v>1.33</v>
      </c>
      <c r="J9" s="22">
        <v>1.33</v>
      </c>
      <c r="K9" s="22">
        <v>1.33</v>
      </c>
      <c r="L9" s="22">
        <v>1.33</v>
      </c>
      <c r="M9" s="22">
        <v>1.33</v>
      </c>
      <c r="N9" s="22">
        <v>1.33</v>
      </c>
      <c r="O9" s="22">
        <v>1.33</v>
      </c>
      <c r="P9" s="22">
        <v>1.33</v>
      </c>
      <c r="Q9" s="24"/>
      <c r="R9" s="22">
        <v>1.33</v>
      </c>
      <c r="S9" s="23">
        <v>1.33</v>
      </c>
    </row>
    <row r="10" spans="1:19" ht="15.75" x14ac:dyDescent="0.25">
      <c r="A10" s="25" t="s">
        <v>4</v>
      </c>
      <c r="B10" s="19" t="s">
        <v>136</v>
      </c>
      <c r="C10" s="26">
        <v>15</v>
      </c>
      <c r="D10" s="21" t="s">
        <v>315</v>
      </c>
      <c r="E10" s="21" t="s">
        <v>315</v>
      </c>
      <c r="F10" s="24"/>
      <c r="G10" s="22">
        <v>13.86</v>
      </c>
      <c r="H10" s="22">
        <v>13.86</v>
      </c>
      <c r="I10" s="22">
        <v>13.86</v>
      </c>
      <c r="J10" s="22">
        <v>13.86</v>
      </c>
      <c r="K10" s="24"/>
      <c r="L10" s="24"/>
      <c r="M10" s="24"/>
      <c r="N10" s="22">
        <v>13.86</v>
      </c>
      <c r="O10" s="22">
        <v>13.86</v>
      </c>
      <c r="P10" s="24"/>
      <c r="Q10" s="24"/>
      <c r="R10" s="24"/>
      <c r="S10" s="27"/>
    </row>
    <row r="11" spans="1:19" ht="15.75" x14ac:dyDescent="0.25">
      <c r="A11" s="25" t="s">
        <v>5</v>
      </c>
      <c r="B11" s="19" t="s">
        <v>137</v>
      </c>
      <c r="C11" s="26">
        <v>15</v>
      </c>
      <c r="D11" s="21" t="s">
        <v>315</v>
      </c>
      <c r="E11" s="21" t="s">
        <v>315</v>
      </c>
      <c r="F11" s="24"/>
      <c r="G11" s="22">
        <f>$G$6/4</f>
        <v>164.4025</v>
      </c>
      <c r="H11" s="22">
        <f>$H$6/4</f>
        <v>330.61</v>
      </c>
      <c r="I11" s="22">
        <f>$I$6/4</f>
        <v>148.2775</v>
      </c>
      <c r="J11" s="22">
        <f>$J$6/4</f>
        <v>164.4025</v>
      </c>
      <c r="K11" s="24"/>
      <c r="L11" s="24"/>
      <c r="M11" s="24"/>
      <c r="N11" s="22">
        <f>$N$6/4</f>
        <v>132.96</v>
      </c>
      <c r="O11" s="22">
        <f>$O$6/4</f>
        <v>86.04</v>
      </c>
      <c r="P11" s="24"/>
      <c r="Q11" s="24"/>
      <c r="R11" s="24"/>
      <c r="S11" s="27"/>
    </row>
    <row r="12" spans="1:19" ht="15.75" x14ac:dyDescent="0.25">
      <c r="A12" s="25" t="s">
        <v>6</v>
      </c>
      <c r="B12" s="19" t="s">
        <v>138</v>
      </c>
      <c r="C12" s="26">
        <v>15</v>
      </c>
      <c r="D12" s="21" t="s">
        <v>315</v>
      </c>
      <c r="E12" s="21" t="s">
        <v>315</v>
      </c>
      <c r="F12" s="24"/>
      <c r="G12" s="22">
        <f>$G$6/4</f>
        <v>164.4025</v>
      </c>
      <c r="H12" s="22">
        <f>$H$6/4</f>
        <v>330.61</v>
      </c>
      <c r="I12" s="22">
        <f>$I$6/4</f>
        <v>148.2775</v>
      </c>
      <c r="J12" s="22">
        <f>$J$6/4</f>
        <v>164.4025</v>
      </c>
      <c r="K12" s="24"/>
      <c r="L12" s="24"/>
      <c r="M12" s="24"/>
      <c r="N12" s="24"/>
      <c r="O12" s="24"/>
      <c r="P12" s="24"/>
      <c r="Q12" s="24"/>
      <c r="R12" s="24"/>
      <c r="S12" s="27"/>
    </row>
    <row r="13" spans="1:19" ht="15.75" x14ac:dyDescent="0.2">
      <c r="A13" s="18" t="s">
        <v>7</v>
      </c>
      <c r="B13" s="19" t="s">
        <v>139</v>
      </c>
      <c r="C13" s="20">
        <v>30</v>
      </c>
      <c r="D13" s="21" t="s">
        <v>315</v>
      </c>
      <c r="E13" s="21" t="s">
        <v>315</v>
      </c>
      <c r="F13" s="24"/>
      <c r="G13" s="22">
        <f>$G$6/2</f>
        <v>328.80500000000001</v>
      </c>
      <c r="H13" s="22">
        <f>$H$6/2</f>
        <v>661.22</v>
      </c>
      <c r="I13" s="22">
        <v>296.56</v>
      </c>
      <c r="J13" s="22">
        <f>$J$6/2</f>
        <v>328.80500000000001</v>
      </c>
      <c r="K13" s="24"/>
      <c r="L13" s="24"/>
      <c r="M13" s="24"/>
      <c r="N13" s="22">
        <f>$N$6/2</f>
        <v>265.92</v>
      </c>
      <c r="O13" s="22">
        <f>$O$6/2</f>
        <v>172.08</v>
      </c>
      <c r="P13" s="24"/>
      <c r="Q13" s="24"/>
      <c r="R13" s="24"/>
      <c r="S13" s="27"/>
    </row>
    <row r="14" spans="1:19" ht="15.75" x14ac:dyDescent="0.2">
      <c r="A14" s="18" t="s">
        <v>8</v>
      </c>
      <c r="B14" s="19" t="s">
        <v>140</v>
      </c>
      <c r="C14" s="20">
        <v>30</v>
      </c>
      <c r="D14" s="21" t="s">
        <v>315</v>
      </c>
      <c r="E14" s="21" t="s">
        <v>315</v>
      </c>
      <c r="F14" s="24"/>
      <c r="G14" s="22">
        <f>$G$6/2</f>
        <v>328.80500000000001</v>
      </c>
      <c r="H14" s="22">
        <f>$H$6/2</f>
        <v>661.22</v>
      </c>
      <c r="I14" s="22">
        <v>296.56</v>
      </c>
      <c r="J14" s="22">
        <f>$J$6/2</f>
        <v>328.80500000000001</v>
      </c>
      <c r="K14" s="24"/>
      <c r="L14" s="24"/>
      <c r="M14" s="24"/>
      <c r="N14" s="24"/>
      <c r="O14" s="24"/>
      <c r="P14" s="24"/>
      <c r="Q14" s="24"/>
      <c r="R14" s="24"/>
      <c r="S14" s="27"/>
    </row>
    <row r="15" spans="1:19" ht="15.75" x14ac:dyDescent="0.2">
      <c r="A15" s="18" t="s">
        <v>9</v>
      </c>
      <c r="B15" s="19" t="s">
        <v>141</v>
      </c>
      <c r="C15" s="20">
        <v>45</v>
      </c>
      <c r="D15" s="21" t="s">
        <v>315</v>
      </c>
      <c r="E15" s="21" t="s">
        <v>315</v>
      </c>
      <c r="F15" s="24"/>
      <c r="G15" s="22">
        <f>$G$6*45/60</f>
        <v>493.20750000000004</v>
      </c>
      <c r="H15" s="22">
        <f>$H$6*45/60</f>
        <v>991.83</v>
      </c>
      <c r="I15" s="22">
        <f>$I$6*45/60</f>
        <v>444.83250000000004</v>
      </c>
      <c r="J15" s="22">
        <f>$J$6*45/60</f>
        <v>493.20750000000004</v>
      </c>
      <c r="K15" s="24"/>
      <c r="L15" s="24"/>
      <c r="M15" s="24"/>
      <c r="N15" s="22">
        <f>$N$6*45/60</f>
        <v>398.88000000000005</v>
      </c>
      <c r="O15" s="22">
        <v>258.13</v>
      </c>
      <c r="P15" s="24"/>
      <c r="Q15" s="24"/>
      <c r="R15" s="24"/>
      <c r="S15" s="27"/>
    </row>
    <row r="16" spans="1:19" ht="15.75" x14ac:dyDescent="0.2">
      <c r="A16" s="18" t="s">
        <v>10</v>
      </c>
      <c r="B16" s="19" t="s">
        <v>142</v>
      </c>
      <c r="C16" s="20">
        <v>45</v>
      </c>
      <c r="D16" s="21" t="s">
        <v>315</v>
      </c>
      <c r="E16" s="21" t="s">
        <v>315</v>
      </c>
      <c r="F16" s="24"/>
      <c r="G16" s="22">
        <f>$G$6*45/60</f>
        <v>493.20750000000004</v>
      </c>
      <c r="H16" s="28">
        <f>$H$6*45/60</f>
        <v>991.83</v>
      </c>
      <c r="I16" s="22">
        <f>$I$6*45/60</f>
        <v>444.83250000000004</v>
      </c>
      <c r="J16" s="22">
        <f>$J$6*45/60</f>
        <v>493.20750000000004</v>
      </c>
      <c r="K16" s="24"/>
      <c r="L16" s="24"/>
      <c r="M16" s="24"/>
      <c r="N16" s="24"/>
      <c r="O16" s="24"/>
      <c r="P16" s="24"/>
      <c r="Q16" s="24"/>
      <c r="R16" s="24"/>
      <c r="S16" s="27"/>
    </row>
    <row r="17" spans="1:19" ht="15.75" x14ac:dyDescent="0.2">
      <c r="A17" s="18" t="s">
        <v>11</v>
      </c>
      <c r="B17" s="19" t="s">
        <v>143</v>
      </c>
      <c r="C17" s="20">
        <v>60</v>
      </c>
      <c r="D17" s="21" t="s">
        <v>315</v>
      </c>
      <c r="E17" s="21" t="s">
        <v>315</v>
      </c>
      <c r="F17" s="24"/>
      <c r="G17" s="22">
        <f>$G$6</f>
        <v>657.61</v>
      </c>
      <c r="H17" s="29">
        <v>1322.44</v>
      </c>
      <c r="I17" s="29">
        <v>593.11</v>
      </c>
      <c r="J17" s="22">
        <f>$J$6</f>
        <v>657.61</v>
      </c>
      <c r="K17" s="24"/>
      <c r="L17" s="24"/>
      <c r="M17" s="24"/>
      <c r="N17" s="22">
        <f>$N$6</f>
        <v>531.84</v>
      </c>
      <c r="O17" s="1">
        <v>344.16</v>
      </c>
      <c r="P17" s="24"/>
      <c r="Q17" s="24"/>
      <c r="R17" s="24"/>
      <c r="S17" s="27"/>
    </row>
    <row r="18" spans="1:19" ht="15.75" x14ac:dyDescent="0.2">
      <c r="A18" s="18" t="s">
        <v>12</v>
      </c>
      <c r="B18" s="19" t="s">
        <v>144</v>
      </c>
      <c r="C18" s="20">
        <v>60</v>
      </c>
      <c r="D18" s="21" t="s">
        <v>315</v>
      </c>
      <c r="E18" s="21" t="s">
        <v>315</v>
      </c>
      <c r="F18" s="24"/>
      <c r="G18" s="22">
        <f>$G$6</f>
        <v>657.61</v>
      </c>
      <c r="H18" s="1">
        <v>1322.44</v>
      </c>
      <c r="I18" s="29">
        <v>593.11</v>
      </c>
      <c r="J18" s="22">
        <f>$J$6</f>
        <v>657.61</v>
      </c>
      <c r="K18" s="24"/>
      <c r="L18" s="24"/>
      <c r="M18" s="24"/>
      <c r="N18" s="24"/>
      <c r="O18" s="24"/>
      <c r="P18" s="24"/>
      <c r="Q18" s="24"/>
      <c r="R18" s="24"/>
      <c r="S18" s="27"/>
    </row>
    <row r="19" spans="1:19" ht="15.75" x14ac:dyDescent="0.2">
      <c r="A19" s="18" t="s">
        <v>13</v>
      </c>
      <c r="B19" s="19" t="s">
        <v>145</v>
      </c>
      <c r="C19" s="20" t="s">
        <v>266</v>
      </c>
      <c r="D19" s="21">
        <v>30</v>
      </c>
      <c r="E19" s="21">
        <v>74</v>
      </c>
      <c r="F19" s="24"/>
      <c r="G19" s="22">
        <f>$G$6/60*(30+74)/2</f>
        <v>569.92866666666669</v>
      </c>
      <c r="H19" s="28">
        <f>$H$6/60*(30+74)/2</f>
        <v>1146.1146666666666</v>
      </c>
      <c r="I19" s="29">
        <v>514.03</v>
      </c>
      <c r="J19" s="22">
        <f>$J$6/60*(30+74)/2</f>
        <v>569.92866666666669</v>
      </c>
      <c r="K19" s="24"/>
      <c r="L19" s="24"/>
      <c r="M19" s="24"/>
      <c r="N19" s="22">
        <f>$N$6/60*(30+74)/2</f>
        <v>460.92800000000005</v>
      </c>
      <c r="O19" s="1">
        <v>298.27999999999997</v>
      </c>
      <c r="P19" s="24"/>
      <c r="Q19" s="24"/>
      <c r="R19" s="24"/>
      <c r="S19" s="27"/>
    </row>
    <row r="20" spans="1:19" ht="15.75" x14ac:dyDescent="0.2">
      <c r="A20" s="18" t="s">
        <v>14</v>
      </c>
      <c r="B20" s="19" t="s">
        <v>146</v>
      </c>
      <c r="C20" s="20">
        <v>30</v>
      </c>
      <c r="D20" s="21" t="s">
        <v>315</v>
      </c>
      <c r="E20" s="21" t="s">
        <v>315</v>
      </c>
      <c r="F20" s="24"/>
      <c r="G20" s="22">
        <f>$G$6/2</f>
        <v>328.80500000000001</v>
      </c>
      <c r="H20" s="28">
        <f>$H$6/2</f>
        <v>661.22</v>
      </c>
      <c r="I20" s="29">
        <v>296.56</v>
      </c>
      <c r="J20" s="22">
        <f>$J$6/2</f>
        <v>328.80500000000001</v>
      </c>
      <c r="K20" s="24"/>
      <c r="L20" s="24"/>
      <c r="M20" s="24"/>
      <c r="N20" s="22">
        <f>$N$6/2</f>
        <v>265.92</v>
      </c>
      <c r="O20" s="22">
        <f>$O$6/2</f>
        <v>172.08</v>
      </c>
      <c r="P20" s="24"/>
      <c r="Q20" s="24"/>
      <c r="R20" s="24"/>
      <c r="S20" s="27"/>
    </row>
    <row r="21" spans="1:19" ht="15.75" x14ac:dyDescent="0.2">
      <c r="A21" s="18" t="s">
        <v>15</v>
      </c>
      <c r="B21" s="19" t="s">
        <v>147</v>
      </c>
      <c r="C21" s="20">
        <v>15</v>
      </c>
      <c r="D21" s="21" t="s">
        <v>315</v>
      </c>
      <c r="E21" s="21" t="s">
        <v>315</v>
      </c>
      <c r="F21" s="24"/>
      <c r="G21" s="22">
        <f>$G$6/4</f>
        <v>164.4025</v>
      </c>
      <c r="H21" s="22">
        <f>$H$6/4</f>
        <v>330.61</v>
      </c>
      <c r="I21" s="22">
        <f>$I$6/4</f>
        <v>148.2775</v>
      </c>
      <c r="J21" s="22">
        <f>$J$6/4</f>
        <v>164.4025</v>
      </c>
      <c r="K21" s="24"/>
      <c r="L21" s="24"/>
      <c r="M21" s="24"/>
      <c r="N21" s="22">
        <f>$N$6/4</f>
        <v>132.96</v>
      </c>
      <c r="O21" s="22">
        <f>$O$6/4</f>
        <v>86.04</v>
      </c>
      <c r="P21" s="24"/>
      <c r="Q21" s="24"/>
      <c r="R21" s="24"/>
      <c r="S21" s="27"/>
    </row>
    <row r="22" spans="1:19" ht="15.75" x14ac:dyDescent="0.2">
      <c r="A22" s="18" t="s">
        <v>16</v>
      </c>
      <c r="B22" s="19" t="s">
        <v>148</v>
      </c>
      <c r="C22" s="20">
        <v>50</v>
      </c>
      <c r="D22" s="21" t="s">
        <v>315</v>
      </c>
      <c r="E22" s="21" t="s">
        <v>315</v>
      </c>
      <c r="F22" s="24"/>
      <c r="G22" s="22">
        <f>$G$6*50/60</f>
        <v>548.00833333333333</v>
      </c>
      <c r="H22" s="22">
        <f>$H$6*50/60</f>
        <v>1102.0333333333333</v>
      </c>
      <c r="I22" s="1">
        <v>494.26</v>
      </c>
      <c r="J22" s="22">
        <f>$J$6*50/60</f>
        <v>548.00833333333333</v>
      </c>
      <c r="K22" s="24"/>
      <c r="L22" s="24"/>
      <c r="M22" s="24"/>
      <c r="N22" s="22">
        <f>$N$6*50/60</f>
        <v>443.2</v>
      </c>
      <c r="O22" s="1">
        <v>286.81</v>
      </c>
      <c r="P22" s="24"/>
      <c r="Q22" s="24"/>
      <c r="R22" s="24"/>
      <c r="S22" s="27"/>
    </row>
    <row r="23" spans="1:19" ht="15.75" x14ac:dyDescent="0.25">
      <c r="A23" s="25" t="s">
        <v>17</v>
      </c>
      <c r="B23" s="19" t="s">
        <v>149</v>
      </c>
      <c r="C23" s="26">
        <v>15</v>
      </c>
      <c r="D23" s="21" t="s">
        <v>315</v>
      </c>
      <c r="E23" s="21" t="s">
        <v>315</v>
      </c>
      <c r="F23" s="24"/>
      <c r="G23" s="22">
        <f>$G$6/4.5/4</f>
        <v>36.533888888888889</v>
      </c>
      <c r="H23" s="22">
        <f>$H$6/4.5/4</f>
        <v>73.468888888888898</v>
      </c>
      <c r="I23" s="22">
        <f>$I$6/4.5/4</f>
        <v>32.950555555555553</v>
      </c>
      <c r="J23" s="22">
        <f>$J$6/4.5/4</f>
        <v>36.533888888888889</v>
      </c>
      <c r="K23" s="24"/>
      <c r="L23" s="24"/>
      <c r="M23" s="24"/>
      <c r="N23" s="22">
        <f>$N$6/4.5/4</f>
        <v>29.546666666666667</v>
      </c>
      <c r="O23" s="22">
        <f>$O$6/4.5/4</f>
        <v>19.12</v>
      </c>
      <c r="P23" s="24"/>
      <c r="Q23" s="24"/>
      <c r="R23" s="24"/>
      <c r="S23" s="27"/>
    </row>
    <row r="24" spans="1:19" ht="15.75" x14ac:dyDescent="0.25">
      <c r="A24" s="25" t="s">
        <v>18</v>
      </c>
      <c r="B24" s="19" t="s">
        <v>150</v>
      </c>
      <c r="C24" s="26">
        <v>15</v>
      </c>
      <c r="D24" s="21" t="s">
        <v>315</v>
      </c>
      <c r="E24" s="21" t="s">
        <v>315</v>
      </c>
      <c r="F24" s="24"/>
      <c r="G24" s="22">
        <f>$G$6/4.5/4</f>
        <v>36.533888888888889</v>
      </c>
      <c r="H24" s="22">
        <f>$H$6/4.5/4</f>
        <v>73.468888888888898</v>
      </c>
      <c r="I24" s="22">
        <f>$I$6/4.5/4</f>
        <v>32.950555555555553</v>
      </c>
      <c r="J24" s="22">
        <f>$J$6/4.5/4</f>
        <v>36.533888888888889</v>
      </c>
      <c r="K24" s="24"/>
      <c r="L24" s="24"/>
      <c r="M24" s="24"/>
      <c r="N24" s="22">
        <f>$N$6/4.5/4</f>
        <v>29.546666666666667</v>
      </c>
      <c r="O24" s="22">
        <f>$O$6/4.5/4</f>
        <v>19.12</v>
      </c>
      <c r="P24" s="24"/>
      <c r="Q24" s="24"/>
      <c r="R24" s="24"/>
      <c r="S24" s="27"/>
    </row>
    <row r="25" spans="1:19" ht="15.75" x14ac:dyDescent="0.2">
      <c r="A25" s="18" t="s">
        <v>19</v>
      </c>
      <c r="B25" s="19" t="s">
        <v>151</v>
      </c>
      <c r="C25" s="20">
        <v>15</v>
      </c>
      <c r="D25" s="21" t="s">
        <v>315</v>
      </c>
      <c r="E25" s="21" t="s">
        <v>315</v>
      </c>
      <c r="F25" s="24"/>
      <c r="G25" s="22">
        <f t="shared" ref="G25:G32" si="0">$G$6/4</f>
        <v>164.4025</v>
      </c>
      <c r="H25" s="22">
        <f t="shared" ref="H25:H32" si="1">$H$6/4</f>
        <v>330.61</v>
      </c>
      <c r="I25" s="22">
        <f t="shared" ref="I25:I32" si="2">$I$6/4</f>
        <v>148.2775</v>
      </c>
      <c r="J25" s="22">
        <f t="shared" ref="J25:J32" si="3">$J$6/4</f>
        <v>164.4025</v>
      </c>
      <c r="K25" s="24"/>
      <c r="L25" s="24"/>
      <c r="M25" s="24"/>
      <c r="N25" s="24"/>
      <c r="O25" s="24"/>
      <c r="P25" s="24"/>
      <c r="Q25" s="24"/>
      <c r="R25" s="24"/>
      <c r="S25" s="27"/>
    </row>
    <row r="26" spans="1:19" ht="15.75" customHeight="1" x14ac:dyDescent="0.2">
      <c r="A26" s="18" t="s">
        <v>20</v>
      </c>
      <c r="B26" s="19" t="s">
        <v>152</v>
      </c>
      <c r="C26" s="20" t="s">
        <v>267</v>
      </c>
      <c r="D26" s="21" t="s">
        <v>315</v>
      </c>
      <c r="E26" s="21" t="s">
        <v>315</v>
      </c>
      <c r="F26" s="24"/>
      <c r="G26" s="22">
        <f t="shared" si="0"/>
        <v>164.4025</v>
      </c>
      <c r="H26" s="22">
        <f t="shared" si="1"/>
        <v>330.61</v>
      </c>
      <c r="I26" s="22">
        <f t="shared" si="2"/>
        <v>148.2775</v>
      </c>
      <c r="J26" s="22">
        <f t="shared" si="3"/>
        <v>164.4025</v>
      </c>
      <c r="K26" s="24"/>
      <c r="L26" s="24"/>
      <c r="M26" s="24"/>
      <c r="N26" s="24"/>
      <c r="O26" s="24"/>
      <c r="P26" s="24"/>
      <c r="Q26" s="24"/>
      <c r="R26" s="24"/>
      <c r="S26" s="27"/>
    </row>
    <row r="27" spans="1:19" ht="18.75" customHeight="1" x14ac:dyDescent="0.2">
      <c r="A27" s="18" t="s">
        <v>21</v>
      </c>
      <c r="B27" s="19" t="s">
        <v>153</v>
      </c>
      <c r="C27" s="20" t="s">
        <v>267</v>
      </c>
      <c r="D27" s="21" t="s">
        <v>315</v>
      </c>
      <c r="E27" s="21" t="s">
        <v>315</v>
      </c>
      <c r="F27" s="24"/>
      <c r="G27" s="22">
        <f t="shared" si="0"/>
        <v>164.4025</v>
      </c>
      <c r="H27" s="22">
        <f t="shared" si="1"/>
        <v>330.61</v>
      </c>
      <c r="I27" s="22">
        <f t="shared" si="2"/>
        <v>148.2775</v>
      </c>
      <c r="J27" s="22">
        <f t="shared" si="3"/>
        <v>164.4025</v>
      </c>
      <c r="K27" s="24"/>
      <c r="L27" s="24"/>
      <c r="M27" s="24"/>
      <c r="N27" s="24"/>
      <c r="O27" s="24"/>
      <c r="P27" s="24"/>
      <c r="Q27" s="24"/>
      <c r="R27" s="24"/>
      <c r="S27" s="27"/>
    </row>
    <row r="28" spans="1:19" ht="17.25" customHeight="1" x14ac:dyDescent="0.2">
      <c r="A28" s="18" t="s">
        <v>22</v>
      </c>
      <c r="B28" s="19" t="s">
        <v>154</v>
      </c>
      <c r="C28" s="20" t="s">
        <v>267</v>
      </c>
      <c r="D28" s="21" t="s">
        <v>315</v>
      </c>
      <c r="E28" s="21" t="s">
        <v>315</v>
      </c>
      <c r="F28" s="24"/>
      <c r="G28" s="22">
        <f t="shared" si="0"/>
        <v>164.4025</v>
      </c>
      <c r="H28" s="22">
        <f t="shared" si="1"/>
        <v>330.61</v>
      </c>
      <c r="I28" s="22">
        <f t="shared" si="2"/>
        <v>148.2775</v>
      </c>
      <c r="J28" s="22">
        <f t="shared" si="3"/>
        <v>164.4025</v>
      </c>
      <c r="K28" s="24"/>
      <c r="L28" s="24"/>
      <c r="M28" s="24"/>
      <c r="N28" s="24"/>
      <c r="O28" s="24"/>
      <c r="P28" s="24"/>
      <c r="Q28" s="24"/>
      <c r="R28" s="24"/>
      <c r="S28" s="27"/>
    </row>
    <row r="29" spans="1:19" ht="15.75" x14ac:dyDescent="0.2">
      <c r="A29" s="18" t="s">
        <v>23</v>
      </c>
      <c r="B29" s="19" t="s">
        <v>155</v>
      </c>
      <c r="C29" s="20">
        <v>15</v>
      </c>
      <c r="D29" s="21" t="s">
        <v>315</v>
      </c>
      <c r="E29" s="21" t="s">
        <v>315</v>
      </c>
      <c r="F29" s="24"/>
      <c r="G29" s="22">
        <f t="shared" si="0"/>
        <v>164.4025</v>
      </c>
      <c r="H29" s="22">
        <f t="shared" si="1"/>
        <v>330.61</v>
      </c>
      <c r="I29" s="22">
        <f t="shared" si="2"/>
        <v>148.2775</v>
      </c>
      <c r="J29" s="22">
        <f t="shared" si="3"/>
        <v>164.4025</v>
      </c>
      <c r="K29" s="24"/>
      <c r="L29" s="24"/>
      <c r="M29" s="24"/>
      <c r="N29" s="24"/>
      <c r="O29" s="24"/>
      <c r="P29" s="24"/>
      <c r="Q29" s="24"/>
      <c r="R29" s="24"/>
      <c r="S29" s="27"/>
    </row>
    <row r="30" spans="1:19" ht="15.75" x14ac:dyDescent="0.2">
      <c r="A30" s="18" t="s">
        <v>24</v>
      </c>
      <c r="B30" s="19" t="s">
        <v>156</v>
      </c>
      <c r="C30" s="20">
        <v>15</v>
      </c>
      <c r="D30" s="21" t="s">
        <v>315</v>
      </c>
      <c r="E30" s="21" t="s">
        <v>315</v>
      </c>
      <c r="F30" s="24"/>
      <c r="G30" s="22">
        <f t="shared" si="0"/>
        <v>164.4025</v>
      </c>
      <c r="H30" s="22">
        <f t="shared" si="1"/>
        <v>330.61</v>
      </c>
      <c r="I30" s="22">
        <f t="shared" si="2"/>
        <v>148.2775</v>
      </c>
      <c r="J30" s="22">
        <f t="shared" si="3"/>
        <v>164.4025</v>
      </c>
      <c r="K30" s="24"/>
      <c r="L30" s="24"/>
      <c r="M30" s="24"/>
      <c r="N30" s="22">
        <f>$N$6/4</f>
        <v>132.96</v>
      </c>
      <c r="O30" s="22">
        <f>$O$6/4</f>
        <v>86.04</v>
      </c>
      <c r="P30" s="24"/>
      <c r="Q30" s="24"/>
      <c r="R30" s="24"/>
      <c r="S30" s="27"/>
    </row>
    <row r="31" spans="1:19" ht="15.75" x14ac:dyDescent="0.2">
      <c r="A31" s="18" t="s">
        <v>25</v>
      </c>
      <c r="B31" s="19" t="s">
        <v>157</v>
      </c>
      <c r="C31" s="20">
        <v>15</v>
      </c>
      <c r="D31" s="21" t="s">
        <v>315</v>
      </c>
      <c r="E31" s="21" t="s">
        <v>315</v>
      </c>
      <c r="F31" s="24"/>
      <c r="G31" s="22">
        <f t="shared" si="0"/>
        <v>164.4025</v>
      </c>
      <c r="H31" s="22">
        <f t="shared" si="1"/>
        <v>330.61</v>
      </c>
      <c r="I31" s="22">
        <f t="shared" si="2"/>
        <v>148.2775</v>
      </c>
      <c r="J31" s="22">
        <f t="shared" si="3"/>
        <v>164.4025</v>
      </c>
      <c r="K31" s="24"/>
      <c r="L31" s="24"/>
      <c r="M31" s="24"/>
      <c r="N31" s="22">
        <f>$N$6/4</f>
        <v>132.96</v>
      </c>
      <c r="O31" s="22">
        <f>$O$6/4</f>
        <v>86.04</v>
      </c>
      <c r="P31" s="24"/>
      <c r="Q31" s="24"/>
      <c r="R31" s="24"/>
      <c r="S31" s="27"/>
    </row>
    <row r="32" spans="1:19" ht="15.75" x14ac:dyDescent="0.2">
      <c r="A32" s="18" t="s">
        <v>26</v>
      </c>
      <c r="B32" s="19" t="s">
        <v>158</v>
      </c>
      <c r="C32" s="20">
        <v>15</v>
      </c>
      <c r="D32" s="21" t="s">
        <v>315</v>
      </c>
      <c r="E32" s="21" t="s">
        <v>315</v>
      </c>
      <c r="F32" s="24"/>
      <c r="G32" s="22">
        <f t="shared" si="0"/>
        <v>164.4025</v>
      </c>
      <c r="H32" s="22">
        <f t="shared" si="1"/>
        <v>330.61</v>
      </c>
      <c r="I32" s="22">
        <f t="shared" si="2"/>
        <v>148.2775</v>
      </c>
      <c r="J32" s="22">
        <f t="shared" si="3"/>
        <v>164.4025</v>
      </c>
      <c r="K32" s="24"/>
      <c r="L32" s="24"/>
      <c r="M32" s="1">
        <v>158.26</v>
      </c>
      <c r="N32" s="22">
        <f>$N$6/4</f>
        <v>132.96</v>
      </c>
      <c r="O32" s="22">
        <f>$O$6/4</f>
        <v>86.04</v>
      </c>
      <c r="P32" s="24"/>
      <c r="Q32" s="24"/>
      <c r="R32" s="24"/>
      <c r="S32" s="27"/>
    </row>
    <row r="33" spans="1:19" ht="15.75" x14ac:dyDescent="0.2">
      <c r="A33" s="18" t="s">
        <v>27</v>
      </c>
      <c r="B33" s="19" t="s">
        <v>159</v>
      </c>
      <c r="C33" s="20">
        <v>60</v>
      </c>
      <c r="D33" s="21" t="s">
        <v>315</v>
      </c>
      <c r="E33" s="21" t="s">
        <v>315</v>
      </c>
      <c r="F33" s="24"/>
      <c r="G33" s="22">
        <f>$G$6</f>
        <v>657.61</v>
      </c>
      <c r="H33" s="1">
        <v>1322.44</v>
      </c>
      <c r="I33" s="29">
        <v>593.11</v>
      </c>
      <c r="J33" s="22">
        <f>$J$6</f>
        <v>657.61</v>
      </c>
      <c r="K33" s="24"/>
      <c r="L33" s="24"/>
      <c r="M33" s="24"/>
      <c r="N33" s="22">
        <f>$N$6</f>
        <v>531.84</v>
      </c>
      <c r="O33" s="24"/>
      <c r="P33" s="24"/>
      <c r="Q33" s="24"/>
      <c r="R33" s="24"/>
      <c r="S33" s="27"/>
    </row>
    <row r="34" spans="1:19" ht="15.75" x14ac:dyDescent="0.2">
      <c r="A34" s="18" t="s">
        <v>28</v>
      </c>
      <c r="B34" s="19" t="s">
        <v>160</v>
      </c>
      <c r="C34" s="20">
        <v>15</v>
      </c>
      <c r="D34" s="21" t="s">
        <v>315</v>
      </c>
      <c r="E34" s="21" t="s">
        <v>315</v>
      </c>
      <c r="F34" s="24"/>
      <c r="G34" s="22">
        <f>$G$6/4</f>
        <v>164.4025</v>
      </c>
      <c r="H34" s="22">
        <f>$H$6/4</f>
        <v>330.61</v>
      </c>
      <c r="I34" s="22">
        <f>$I$6/4</f>
        <v>148.2775</v>
      </c>
      <c r="J34" s="22">
        <f>$J$6/4</f>
        <v>164.4025</v>
      </c>
      <c r="K34" s="22">
        <f>$K$6/4</f>
        <v>134.28749999999999</v>
      </c>
      <c r="L34" s="24"/>
      <c r="M34" s="24"/>
      <c r="N34" s="22">
        <f>$N$6/4</f>
        <v>132.96</v>
      </c>
      <c r="O34" s="22">
        <f>$O$6/4</f>
        <v>86.04</v>
      </c>
      <c r="P34" s="24"/>
      <c r="Q34" s="24"/>
      <c r="R34" s="24"/>
      <c r="S34" s="27"/>
    </row>
    <row r="35" spans="1:19" ht="15.75" x14ac:dyDescent="0.2">
      <c r="A35" s="18" t="s">
        <v>29</v>
      </c>
      <c r="B35" s="19" t="s">
        <v>161</v>
      </c>
      <c r="C35" s="20">
        <v>60</v>
      </c>
      <c r="D35" s="21" t="s">
        <v>315</v>
      </c>
      <c r="E35" s="21" t="s">
        <v>315</v>
      </c>
      <c r="F35" s="24"/>
      <c r="G35" s="22">
        <f>$G$6</f>
        <v>657.61</v>
      </c>
      <c r="H35" s="29">
        <v>1322.44</v>
      </c>
      <c r="I35" s="29">
        <v>593.11</v>
      </c>
      <c r="J35" s="22">
        <f>$J$6</f>
        <v>657.61</v>
      </c>
      <c r="K35" s="24"/>
      <c r="L35" s="24"/>
      <c r="M35" s="24"/>
      <c r="N35" s="22">
        <f>$N$6</f>
        <v>531.84</v>
      </c>
      <c r="O35" s="24"/>
      <c r="P35" s="24"/>
      <c r="Q35" s="24"/>
      <c r="R35" s="24"/>
      <c r="S35" s="27"/>
    </row>
    <row r="36" spans="1:19" ht="15.75" x14ac:dyDescent="0.2">
      <c r="A36" s="18" t="s">
        <v>30</v>
      </c>
      <c r="B36" s="19" t="s">
        <v>162</v>
      </c>
      <c r="C36" s="20">
        <v>30</v>
      </c>
      <c r="D36" s="21" t="s">
        <v>315</v>
      </c>
      <c r="E36" s="21" t="s">
        <v>315</v>
      </c>
      <c r="F36" s="24"/>
      <c r="G36" s="22">
        <f>$G$6/2</f>
        <v>328.80500000000001</v>
      </c>
      <c r="H36" s="30">
        <f>$H$6/2</f>
        <v>661.22</v>
      </c>
      <c r="I36" s="29">
        <v>296.56</v>
      </c>
      <c r="J36" s="22">
        <f>$J$6/2</f>
        <v>328.80500000000001</v>
      </c>
      <c r="K36" s="24"/>
      <c r="L36" s="24"/>
      <c r="M36" s="24"/>
      <c r="N36" s="22">
        <f>$N$6/2</f>
        <v>265.92</v>
      </c>
      <c r="O36" s="24"/>
      <c r="P36" s="24"/>
      <c r="Q36" s="24"/>
      <c r="R36" s="24"/>
      <c r="S36" s="27"/>
    </row>
    <row r="37" spans="1:19" ht="15.75" x14ac:dyDescent="0.2">
      <c r="A37" s="18" t="s">
        <v>31</v>
      </c>
      <c r="B37" s="19" t="s">
        <v>163</v>
      </c>
      <c r="C37" s="20">
        <v>60</v>
      </c>
      <c r="D37" s="21" t="s">
        <v>315</v>
      </c>
      <c r="E37" s="21" t="s">
        <v>315</v>
      </c>
      <c r="F37" s="24"/>
      <c r="G37" s="22">
        <f>$G$6</f>
        <v>657.61</v>
      </c>
      <c r="H37" s="29">
        <v>1322.44</v>
      </c>
      <c r="I37" s="29">
        <v>593.11</v>
      </c>
      <c r="J37" s="22">
        <f>$J$6</f>
        <v>657.61</v>
      </c>
      <c r="K37" s="22">
        <f>$K$6</f>
        <v>537.15</v>
      </c>
      <c r="L37" s="24"/>
      <c r="M37" s="24"/>
      <c r="N37" s="22">
        <f>$N$6</f>
        <v>531.84</v>
      </c>
      <c r="O37" s="1">
        <v>344.16</v>
      </c>
      <c r="P37" s="24"/>
      <c r="Q37" s="24"/>
      <c r="R37" s="24"/>
      <c r="S37" s="27"/>
    </row>
    <row r="38" spans="1:19" ht="15.75" x14ac:dyDescent="0.2">
      <c r="A38" s="18" t="s">
        <v>32</v>
      </c>
      <c r="B38" s="19" t="s">
        <v>164</v>
      </c>
      <c r="C38" s="20">
        <v>60</v>
      </c>
      <c r="D38" s="21" t="s">
        <v>315</v>
      </c>
      <c r="E38" s="21" t="s">
        <v>315</v>
      </c>
      <c r="F38" s="24"/>
      <c r="G38" s="22">
        <f>$G$6</f>
        <v>657.61</v>
      </c>
      <c r="H38" s="29">
        <v>1322.44</v>
      </c>
      <c r="I38" s="29">
        <v>593.11</v>
      </c>
      <c r="J38" s="22">
        <f>$J$6</f>
        <v>657.61</v>
      </c>
      <c r="K38" s="22">
        <f>$K$6</f>
        <v>537.15</v>
      </c>
      <c r="L38" s="24"/>
      <c r="M38" s="24"/>
      <c r="N38" s="22">
        <f>$N$6</f>
        <v>531.84</v>
      </c>
      <c r="O38" s="1">
        <v>344.16</v>
      </c>
      <c r="P38" s="24"/>
      <c r="Q38" s="24"/>
      <c r="R38" s="24"/>
      <c r="S38" s="27"/>
    </row>
    <row r="39" spans="1:19" ht="15.75" x14ac:dyDescent="0.2">
      <c r="A39" s="18" t="s">
        <v>33</v>
      </c>
      <c r="B39" s="19" t="s">
        <v>165</v>
      </c>
      <c r="C39" s="20">
        <v>60</v>
      </c>
      <c r="D39" s="21" t="s">
        <v>315</v>
      </c>
      <c r="E39" s="21" t="s">
        <v>315</v>
      </c>
      <c r="F39" s="24"/>
      <c r="G39" s="22">
        <f>$G$6</f>
        <v>657.61</v>
      </c>
      <c r="H39" s="29">
        <v>1322.44</v>
      </c>
      <c r="I39" s="29">
        <v>593.11</v>
      </c>
      <c r="J39" s="22">
        <f>$J$6</f>
        <v>657.61</v>
      </c>
      <c r="K39" s="24">
        <v>537.15</v>
      </c>
      <c r="L39" s="24"/>
      <c r="M39" s="24"/>
      <c r="N39" s="22">
        <f>$N$6</f>
        <v>531.84</v>
      </c>
      <c r="O39" s="24">
        <v>344.16</v>
      </c>
      <c r="P39" s="24"/>
      <c r="Q39" s="24"/>
      <c r="R39" s="24"/>
      <c r="S39" s="27"/>
    </row>
    <row r="40" spans="1:19" ht="15.75" x14ac:dyDescent="0.2">
      <c r="A40" s="18" t="s">
        <v>34</v>
      </c>
      <c r="B40" s="19" t="s">
        <v>166</v>
      </c>
      <c r="C40" s="20">
        <v>15</v>
      </c>
      <c r="D40" s="21" t="s">
        <v>315</v>
      </c>
      <c r="E40" s="21" t="s">
        <v>315</v>
      </c>
      <c r="F40" s="24"/>
      <c r="G40" s="22">
        <f>$G$6/4</f>
        <v>164.4025</v>
      </c>
      <c r="H40" s="22">
        <f>$H$6/4</f>
        <v>330.61</v>
      </c>
      <c r="I40" s="22">
        <f>$I$6/4</f>
        <v>148.2775</v>
      </c>
      <c r="J40" s="22">
        <f>$J$6/4</f>
        <v>164.4025</v>
      </c>
      <c r="K40" s="22">
        <f>$K$6/4</f>
        <v>134.28749999999999</v>
      </c>
      <c r="L40" s="24"/>
      <c r="M40" s="24"/>
      <c r="N40" s="22">
        <f>$N$6/4</f>
        <v>132.96</v>
      </c>
      <c r="O40" s="22">
        <f>$O$6/4</f>
        <v>86.04</v>
      </c>
      <c r="P40" s="24"/>
      <c r="Q40" s="24"/>
      <c r="R40" s="24"/>
      <c r="S40" s="27"/>
    </row>
    <row r="41" spans="1:19" ht="15.75" x14ac:dyDescent="0.25">
      <c r="A41" s="25" t="s">
        <v>35</v>
      </c>
      <c r="B41" s="19" t="s">
        <v>167</v>
      </c>
      <c r="C41" s="26">
        <v>60</v>
      </c>
      <c r="D41" s="21" t="s">
        <v>315</v>
      </c>
      <c r="E41" s="21" t="s">
        <v>315</v>
      </c>
      <c r="F41" s="24"/>
      <c r="G41" s="22">
        <f>$G$6</f>
        <v>657.61</v>
      </c>
      <c r="H41" s="29">
        <v>1322.44</v>
      </c>
      <c r="I41" s="29">
        <v>593.11</v>
      </c>
      <c r="J41" s="22">
        <f>$J$6</f>
        <v>657.61</v>
      </c>
      <c r="K41" s="24"/>
      <c r="L41" s="24"/>
      <c r="M41" s="24"/>
      <c r="N41" s="22">
        <f>$N$6</f>
        <v>531.84</v>
      </c>
      <c r="O41" s="24"/>
      <c r="P41" s="24"/>
      <c r="Q41" s="24"/>
      <c r="R41" s="24"/>
      <c r="S41" s="27"/>
    </row>
    <row r="42" spans="1:19" ht="15.75" x14ac:dyDescent="0.25">
      <c r="A42" s="25" t="s">
        <v>36</v>
      </c>
      <c r="B42" s="19" t="s">
        <v>168</v>
      </c>
      <c r="C42" s="26">
        <v>60</v>
      </c>
      <c r="D42" s="21" t="s">
        <v>315</v>
      </c>
      <c r="E42" s="21" t="s">
        <v>315</v>
      </c>
      <c r="F42" s="24"/>
      <c r="G42" s="22">
        <f>$G$6</f>
        <v>657.61</v>
      </c>
      <c r="H42" s="29">
        <v>1322.443</v>
      </c>
      <c r="I42" s="29">
        <v>593.11</v>
      </c>
      <c r="J42" s="22">
        <f>$J$6</f>
        <v>657.61</v>
      </c>
      <c r="K42" s="24"/>
      <c r="L42" s="24"/>
      <c r="M42" s="24"/>
      <c r="N42" s="22">
        <f>$N$6</f>
        <v>531.84</v>
      </c>
      <c r="O42" s="24"/>
      <c r="P42" s="24"/>
      <c r="Q42" s="24"/>
      <c r="R42" s="24"/>
      <c r="S42" s="27"/>
    </row>
    <row r="43" spans="1:19" ht="15.75" x14ac:dyDescent="0.2">
      <c r="A43" s="18" t="s">
        <v>37</v>
      </c>
      <c r="B43" s="19" t="s">
        <v>169</v>
      </c>
      <c r="C43" s="20">
        <v>60</v>
      </c>
      <c r="D43" s="21" t="s">
        <v>315</v>
      </c>
      <c r="E43" s="21" t="s">
        <v>315</v>
      </c>
      <c r="F43" s="24">
        <v>241.91</v>
      </c>
      <c r="G43" s="22">
        <f>$G$6</f>
        <v>657.61</v>
      </c>
      <c r="H43" s="29">
        <v>1322.44</v>
      </c>
      <c r="I43" s="29">
        <v>593.11</v>
      </c>
      <c r="J43" s="22">
        <f>$J$6</f>
        <v>657.61</v>
      </c>
      <c r="K43" s="24">
        <v>537.15</v>
      </c>
      <c r="L43" s="24">
        <v>282.18</v>
      </c>
      <c r="M43" s="24">
        <v>633.02</v>
      </c>
      <c r="N43" s="22">
        <f>$N$6</f>
        <v>531.84</v>
      </c>
      <c r="O43" s="24"/>
      <c r="P43" s="24"/>
      <c r="Q43" s="24"/>
      <c r="R43" s="24"/>
      <c r="S43" s="27"/>
    </row>
    <row r="44" spans="1:19" ht="15.75" x14ac:dyDescent="0.2">
      <c r="A44" s="18" t="s">
        <v>38</v>
      </c>
      <c r="B44" s="19" t="s">
        <v>170</v>
      </c>
      <c r="C44" s="20">
        <v>60</v>
      </c>
      <c r="D44" s="21" t="s">
        <v>315</v>
      </c>
      <c r="E44" s="21" t="s">
        <v>315</v>
      </c>
      <c r="F44" s="24">
        <v>241.91</v>
      </c>
      <c r="G44" s="22">
        <f>$G$6</f>
        <v>657.61</v>
      </c>
      <c r="H44" s="29">
        <v>1322.44</v>
      </c>
      <c r="I44" s="29">
        <v>593.11</v>
      </c>
      <c r="J44" s="22">
        <f>$J$6</f>
        <v>657.61</v>
      </c>
      <c r="K44" s="24">
        <v>537.15</v>
      </c>
      <c r="L44" s="24">
        <v>282.18</v>
      </c>
      <c r="M44" s="24">
        <v>633.02</v>
      </c>
      <c r="N44" s="22">
        <f>$N$6</f>
        <v>531.84</v>
      </c>
      <c r="O44" s="24"/>
      <c r="P44" s="24"/>
      <c r="Q44" s="24"/>
      <c r="R44" s="24"/>
      <c r="S44" s="27"/>
    </row>
    <row r="45" spans="1:19" ht="15.75" x14ac:dyDescent="0.2">
      <c r="A45" s="18" t="s">
        <v>39</v>
      </c>
      <c r="B45" s="19" t="s">
        <v>171</v>
      </c>
      <c r="C45" s="20">
        <v>30</v>
      </c>
      <c r="D45" s="21" t="s">
        <v>315</v>
      </c>
      <c r="E45" s="21" t="s">
        <v>315</v>
      </c>
      <c r="F45" s="24">
        <v>241.91</v>
      </c>
      <c r="G45" s="22">
        <f>$G$6/2</f>
        <v>328.80500000000001</v>
      </c>
      <c r="H45" s="22">
        <f>$H$6/2</f>
        <v>661.22</v>
      </c>
      <c r="I45" s="29">
        <v>296.56</v>
      </c>
      <c r="J45" s="22">
        <f>$J$6/2</f>
        <v>328.80500000000001</v>
      </c>
      <c r="K45" s="24">
        <v>537.15</v>
      </c>
      <c r="L45" s="24">
        <v>282.18</v>
      </c>
      <c r="M45" s="24">
        <v>633.02</v>
      </c>
      <c r="N45" s="22">
        <f>$N$6/2</f>
        <v>265.92</v>
      </c>
      <c r="O45" s="24"/>
      <c r="P45" s="24"/>
      <c r="Q45" s="24"/>
      <c r="R45" s="24"/>
      <c r="S45" s="27"/>
    </row>
    <row r="46" spans="1:19" ht="15.75" x14ac:dyDescent="0.2">
      <c r="A46" s="18" t="s">
        <v>40</v>
      </c>
      <c r="B46" s="19" t="s">
        <v>172</v>
      </c>
      <c r="C46" s="20">
        <v>30</v>
      </c>
      <c r="D46" s="21" t="s">
        <v>315</v>
      </c>
      <c r="E46" s="21" t="s">
        <v>315</v>
      </c>
      <c r="F46" s="24">
        <v>241.91</v>
      </c>
      <c r="G46" s="22">
        <f>$G$6/2</f>
        <v>328.80500000000001</v>
      </c>
      <c r="H46" s="22">
        <f>$H$6/2</f>
        <v>661.22</v>
      </c>
      <c r="I46" s="29">
        <v>296.56</v>
      </c>
      <c r="J46" s="22">
        <f>$J$6/2</f>
        <v>328.80500000000001</v>
      </c>
      <c r="K46" s="24">
        <v>537.15</v>
      </c>
      <c r="L46" s="24">
        <v>282.18</v>
      </c>
      <c r="M46" s="24">
        <v>633.02</v>
      </c>
      <c r="N46" s="22">
        <f>$N$6/2</f>
        <v>265.92</v>
      </c>
      <c r="O46" s="24"/>
      <c r="P46" s="24"/>
      <c r="Q46" s="24"/>
      <c r="R46" s="24"/>
      <c r="S46" s="27"/>
    </row>
    <row r="47" spans="1:19" ht="15.75" x14ac:dyDescent="0.2">
      <c r="A47" s="18" t="s">
        <v>41</v>
      </c>
      <c r="B47" s="19" t="s">
        <v>173</v>
      </c>
      <c r="C47" s="20">
        <v>15</v>
      </c>
      <c r="D47" s="21" t="s">
        <v>315</v>
      </c>
      <c r="E47" s="21" t="s">
        <v>315</v>
      </c>
      <c r="F47" s="24"/>
      <c r="G47" s="22">
        <f>$G$6/4</f>
        <v>164.4025</v>
      </c>
      <c r="H47" s="22">
        <f>$H$6/4</f>
        <v>330.61</v>
      </c>
      <c r="I47" s="22">
        <f>$I$6/4</f>
        <v>148.2775</v>
      </c>
      <c r="J47" s="22">
        <f>$J$6/4</f>
        <v>164.4025</v>
      </c>
      <c r="K47" s="24"/>
      <c r="L47" s="24"/>
      <c r="M47" s="24"/>
      <c r="N47" s="22">
        <f>$N$6/4</f>
        <v>132.96</v>
      </c>
      <c r="O47" s="24"/>
      <c r="P47" s="24"/>
      <c r="Q47" s="24"/>
      <c r="R47" s="24"/>
      <c r="S47" s="27"/>
    </row>
    <row r="48" spans="1:19" ht="15.75" x14ac:dyDescent="0.2">
      <c r="A48" s="18" t="s">
        <v>42</v>
      </c>
      <c r="B48" s="19" t="s">
        <v>174</v>
      </c>
      <c r="C48" s="20">
        <v>15</v>
      </c>
      <c r="D48" s="21" t="s">
        <v>315</v>
      </c>
      <c r="E48" s="21" t="s">
        <v>315</v>
      </c>
      <c r="F48" s="24"/>
      <c r="G48" s="22">
        <f>$G$6/4</f>
        <v>164.4025</v>
      </c>
      <c r="H48" s="22">
        <f>$H$6/4</f>
        <v>330.61</v>
      </c>
      <c r="I48" s="22">
        <f>$I$6/4</f>
        <v>148.2775</v>
      </c>
      <c r="J48" s="22">
        <f>$J$6/4</f>
        <v>164.4025</v>
      </c>
      <c r="K48" s="22">
        <f>$K$6/4</f>
        <v>134.28749999999999</v>
      </c>
      <c r="L48" s="22">
        <f>$L$6/4</f>
        <v>70.545000000000002</v>
      </c>
      <c r="M48" s="1">
        <v>158.26</v>
      </c>
      <c r="N48" s="22">
        <f>$N$6/4</f>
        <v>132.96</v>
      </c>
      <c r="O48" s="22">
        <f>$O$6/4</f>
        <v>86.04</v>
      </c>
      <c r="P48" s="22">
        <f>$P$6/4</f>
        <v>114.535</v>
      </c>
      <c r="Q48" s="24"/>
      <c r="R48" s="24"/>
      <c r="S48" s="27"/>
    </row>
    <row r="49" spans="1:19" ht="15.75" x14ac:dyDescent="0.2">
      <c r="A49" s="18" t="s">
        <v>43</v>
      </c>
      <c r="B49" s="19" t="s">
        <v>175</v>
      </c>
      <c r="C49" s="20" t="s">
        <v>268</v>
      </c>
      <c r="D49" s="21">
        <v>1</v>
      </c>
      <c r="E49" s="21">
        <v>60</v>
      </c>
      <c r="F49" s="24"/>
      <c r="G49" s="29">
        <v>339.77</v>
      </c>
      <c r="H49" s="29">
        <v>683.26</v>
      </c>
      <c r="I49" s="29">
        <v>306.44</v>
      </c>
      <c r="J49" s="29">
        <v>339.77</v>
      </c>
      <c r="K49" s="29">
        <v>277.52999999999997</v>
      </c>
      <c r="L49" s="24"/>
      <c r="M49" s="24"/>
      <c r="N49" s="24"/>
      <c r="O49" s="24"/>
      <c r="P49" s="24"/>
      <c r="Q49" s="24"/>
      <c r="R49" s="24"/>
      <c r="S49" s="27"/>
    </row>
    <row r="50" spans="1:19" ht="15.75" x14ac:dyDescent="0.2">
      <c r="A50" s="18" t="s">
        <v>44</v>
      </c>
      <c r="B50" s="19" t="s">
        <v>176</v>
      </c>
      <c r="C50" s="20" t="s">
        <v>269</v>
      </c>
      <c r="D50" s="21">
        <v>30</v>
      </c>
      <c r="E50" s="21">
        <v>60</v>
      </c>
      <c r="F50" s="24"/>
      <c r="G50" s="22">
        <f>$G$6/60*(30+60)/2</f>
        <v>493.20750000000004</v>
      </c>
      <c r="H50" s="22">
        <f>$H$6/60*(30+60)/2</f>
        <v>991.83</v>
      </c>
      <c r="I50" s="22">
        <f>$I$6/60*(30+60)/2</f>
        <v>444.83249999999998</v>
      </c>
      <c r="J50" s="22">
        <f>$J$6/60*(30+60)/2</f>
        <v>493.20750000000004</v>
      </c>
      <c r="K50" s="29">
        <v>402.87</v>
      </c>
      <c r="L50" s="24"/>
      <c r="M50" s="24"/>
      <c r="N50" s="24"/>
      <c r="O50" s="24"/>
      <c r="P50" s="24"/>
      <c r="Q50" s="24"/>
      <c r="R50" s="24"/>
      <c r="S50" s="27"/>
    </row>
    <row r="51" spans="1:19" ht="15.75" x14ac:dyDescent="0.2">
      <c r="A51" s="18" t="s">
        <v>45</v>
      </c>
      <c r="B51" s="19" t="s">
        <v>177</v>
      </c>
      <c r="C51" s="31" t="s">
        <v>268</v>
      </c>
      <c r="D51" s="21">
        <v>1</v>
      </c>
      <c r="E51" s="21">
        <v>60</v>
      </c>
      <c r="F51" s="24"/>
      <c r="G51" s="29">
        <v>339.77</v>
      </c>
      <c r="H51" s="29">
        <v>683.26</v>
      </c>
      <c r="I51" s="29">
        <v>306.44</v>
      </c>
      <c r="J51" s="29">
        <v>339.77</v>
      </c>
      <c r="K51" s="29">
        <v>277.52999999999997</v>
      </c>
      <c r="L51" s="24"/>
      <c r="M51" s="24"/>
      <c r="N51" s="24"/>
      <c r="O51" s="24"/>
      <c r="P51" s="24"/>
      <c r="Q51" s="24"/>
      <c r="R51" s="24"/>
      <c r="S51" s="27"/>
    </row>
    <row r="52" spans="1:19" ht="15.75" x14ac:dyDescent="0.2">
      <c r="A52" s="18" t="s">
        <v>46</v>
      </c>
      <c r="B52" s="19" t="s">
        <v>178</v>
      </c>
      <c r="C52" s="20">
        <v>15</v>
      </c>
      <c r="D52" s="21" t="s">
        <v>315</v>
      </c>
      <c r="E52" s="21" t="s">
        <v>315</v>
      </c>
      <c r="F52" s="24"/>
      <c r="G52" s="22">
        <f>$G$6/4</f>
        <v>164.4025</v>
      </c>
      <c r="H52" s="22">
        <f>$H$6/4</f>
        <v>330.61</v>
      </c>
      <c r="I52" s="22">
        <f>$I$6/4</f>
        <v>148.2775</v>
      </c>
      <c r="J52" s="22">
        <f>$J$6/4</f>
        <v>164.4025</v>
      </c>
      <c r="K52" s="22">
        <f>$K$6/4</f>
        <v>134.28749999999999</v>
      </c>
      <c r="L52" s="24"/>
      <c r="M52" s="24"/>
      <c r="N52" s="24"/>
      <c r="O52" s="24"/>
      <c r="P52" s="24"/>
      <c r="Q52" s="24"/>
      <c r="R52" s="24"/>
      <c r="S52" s="27"/>
    </row>
    <row r="53" spans="1:19" ht="15.75" x14ac:dyDescent="0.2">
      <c r="A53" s="18" t="s">
        <v>47</v>
      </c>
      <c r="B53" s="19" t="s">
        <v>179</v>
      </c>
      <c r="C53" s="20" t="s">
        <v>270</v>
      </c>
      <c r="D53" s="21">
        <v>15</v>
      </c>
      <c r="E53" s="21">
        <v>60</v>
      </c>
      <c r="F53" s="24"/>
      <c r="G53" s="29">
        <v>416.49</v>
      </c>
      <c r="H53" s="29">
        <v>837.54</v>
      </c>
      <c r="I53" s="29">
        <v>375.63</v>
      </c>
      <c r="J53" s="29">
        <v>416.49</v>
      </c>
      <c r="K53" s="29">
        <v>340.2</v>
      </c>
      <c r="L53" s="24"/>
      <c r="M53" s="24"/>
      <c r="N53" s="24"/>
      <c r="O53" s="24"/>
      <c r="P53" s="24"/>
      <c r="Q53" s="24"/>
      <c r="R53" s="24"/>
      <c r="S53" s="27"/>
    </row>
    <row r="54" spans="1:19" ht="15.75" x14ac:dyDescent="0.2">
      <c r="A54" s="18" t="s">
        <v>48</v>
      </c>
      <c r="B54" s="19" t="s">
        <v>180</v>
      </c>
      <c r="C54" s="20" t="s">
        <v>269</v>
      </c>
      <c r="D54" s="21">
        <v>30</v>
      </c>
      <c r="E54" s="21">
        <v>60</v>
      </c>
      <c r="F54" s="24"/>
      <c r="G54" s="22">
        <f>$G$6/60*(30+60)/2</f>
        <v>493.20750000000004</v>
      </c>
      <c r="H54" s="22">
        <f>$H$6/60*(30+60)/2</f>
        <v>991.83</v>
      </c>
      <c r="I54" s="22">
        <f>$I$6/60*(30+60)/2</f>
        <v>444.83249999999998</v>
      </c>
      <c r="J54" s="22">
        <f>$J$6/60*(30+60)/2</f>
        <v>493.20750000000004</v>
      </c>
      <c r="K54" s="29">
        <v>402.87</v>
      </c>
      <c r="L54" s="24"/>
      <c r="M54" s="24"/>
      <c r="N54" s="24"/>
      <c r="O54" s="24"/>
      <c r="P54" s="24"/>
      <c r="Q54" s="24"/>
      <c r="R54" s="24"/>
      <c r="S54" s="27"/>
    </row>
    <row r="55" spans="1:19" ht="15.75" x14ac:dyDescent="0.2">
      <c r="A55" s="18" t="s">
        <v>49</v>
      </c>
      <c r="B55" s="19" t="s">
        <v>181</v>
      </c>
      <c r="C55" s="20">
        <v>15</v>
      </c>
      <c r="D55" s="21" t="s">
        <v>315</v>
      </c>
      <c r="E55" s="21" t="s">
        <v>315</v>
      </c>
      <c r="F55" s="24"/>
      <c r="G55" s="22">
        <f>$G$6/4</f>
        <v>164.4025</v>
      </c>
      <c r="H55" s="22">
        <f>$H$6/4</f>
        <v>330.61</v>
      </c>
      <c r="I55" s="22">
        <f>$I$6/4</f>
        <v>148.2775</v>
      </c>
      <c r="J55" s="22">
        <f>$J$6/4</f>
        <v>164.4025</v>
      </c>
      <c r="K55" s="22">
        <f>$K$6/4</f>
        <v>134.28749999999999</v>
      </c>
      <c r="L55" s="24"/>
      <c r="M55" s="24"/>
      <c r="N55" s="24"/>
      <c r="O55" s="24"/>
      <c r="P55" s="24"/>
      <c r="Q55" s="24"/>
      <c r="R55" s="24"/>
      <c r="S55" s="27"/>
    </row>
    <row r="56" spans="1:19" ht="15.75" x14ac:dyDescent="0.2">
      <c r="A56" s="18" t="s">
        <v>50</v>
      </c>
      <c r="B56" s="19" t="s">
        <v>182</v>
      </c>
      <c r="C56" s="20">
        <v>15</v>
      </c>
      <c r="D56" s="21" t="s">
        <v>315</v>
      </c>
      <c r="E56" s="21" t="s">
        <v>315</v>
      </c>
      <c r="F56" s="24"/>
      <c r="G56" s="22">
        <f>$G$6/4</f>
        <v>164.4025</v>
      </c>
      <c r="H56" s="22">
        <f>$H$6/4</f>
        <v>330.61</v>
      </c>
      <c r="I56" s="22">
        <f>$I$6/4</f>
        <v>148.2775</v>
      </c>
      <c r="J56" s="22">
        <f>$J$6/4</f>
        <v>164.4025</v>
      </c>
      <c r="K56" s="22">
        <f>$K$6/4</f>
        <v>134.28749999999999</v>
      </c>
      <c r="L56" s="24"/>
      <c r="M56" s="24"/>
      <c r="N56" s="24"/>
      <c r="O56" s="24"/>
      <c r="P56" s="24"/>
      <c r="Q56" s="24"/>
      <c r="R56" s="24"/>
      <c r="S56" s="27"/>
    </row>
    <row r="57" spans="1:19" ht="15.75" x14ac:dyDescent="0.2">
      <c r="A57" s="18" t="s">
        <v>51</v>
      </c>
      <c r="B57" s="19" t="s">
        <v>183</v>
      </c>
      <c r="C57" s="20">
        <v>15</v>
      </c>
      <c r="D57" s="21" t="s">
        <v>315</v>
      </c>
      <c r="E57" s="21" t="s">
        <v>315</v>
      </c>
      <c r="F57" s="24"/>
      <c r="G57" s="22">
        <f>$G$6/4</f>
        <v>164.4025</v>
      </c>
      <c r="H57" s="22">
        <f>$H$6/4</f>
        <v>330.61</v>
      </c>
      <c r="I57" s="22">
        <f>$I$6/4</f>
        <v>148.2775</v>
      </c>
      <c r="J57" s="22">
        <f>$J$6/4</f>
        <v>164.4025</v>
      </c>
      <c r="K57" s="22">
        <f>$K$6/4</f>
        <v>134.28749999999999</v>
      </c>
      <c r="L57" s="24"/>
      <c r="M57" s="24"/>
      <c r="N57" s="24"/>
      <c r="O57" s="24"/>
      <c r="P57" s="24"/>
      <c r="Q57" s="24"/>
      <c r="R57" s="24"/>
      <c r="S57" s="27"/>
    </row>
    <row r="58" spans="1:19" ht="15.75" x14ac:dyDescent="0.2">
      <c r="A58" s="18" t="s">
        <v>52</v>
      </c>
      <c r="B58" s="19" t="s">
        <v>184</v>
      </c>
      <c r="C58" s="20">
        <v>15</v>
      </c>
      <c r="D58" s="21" t="s">
        <v>315</v>
      </c>
      <c r="E58" s="21" t="s">
        <v>315</v>
      </c>
      <c r="F58" s="24"/>
      <c r="G58" s="22">
        <f>$G$6/4</f>
        <v>164.4025</v>
      </c>
      <c r="H58" s="22">
        <f>$H$6/4</f>
        <v>330.61</v>
      </c>
      <c r="I58" s="22">
        <f>$I$6/4</f>
        <v>148.2775</v>
      </c>
      <c r="J58" s="22">
        <f>$J$6/4</f>
        <v>164.4025</v>
      </c>
      <c r="K58" s="22">
        <f>$K$6/4</f>
        <v>134.28749999999999</v>
      </c>
      <c r="L58" s="24"/>
      <c r="M58" s="24"/>
      <c r="N58" s="24"/>
      <c r="O58" s="24"/>
      <c r="P58" s="24"/>
      <c r="Q58" s="24"/>
      <c r="R58" s="24"/>
      <c r="S58" s="27"/>
    </row>
    <row r="59" spans="1:19" ht="15.75" x14ac:dyDescent="0.2">
      <c r="A59" s="18" t="s">
        <v>53</v>
      </c>
      <c r="B59" s="19" t="s">
        <v>185</v>
      </c>
      <c r="C59" s="20">
        <v>15</v>
      </c>
      <c r="D59" s="21" t="s">
        <v>315</v>
      </c>
      <c r="E59" s="21" t="s">
        <v>315</v>
      </c>
      <c r="F59" s="24"/>
      <c r="G59" s="22">
        <f>$G$6/4</f>
        <v>164.4025</v>
      </c>
      <c r="H59" s="22">
        <f>$H$6/4</f>
        <v>330.61</v>
      </c>
      <c r="I59" s="22">
        <f>$I$6/4</f>
        <v>148.2775</v>
      </c>
      <c r="J59" s="22">
        <f>$J$6/4</f>
        <v>164.4025</v>
      </c>
      <c r="K59" s="22">
        <f>$K$6/4</f>
        <v>134.28749999999999</v>
      </c>
      <c r="L59" s="24"/>
      <c r="M59" s="24"/>
      <c r="N59" s="24"/>
      <c r="O59" s="24"/>
      <c r="P59" s="24"/>
      <c r="Q59" s="24"/>
      <c r="R59" s="24"/>
      <c r="S59" s="27"/>
    </row>
    <row r="60" spans="1:19" ht="15.75" x14ac:dyDescent="0.2">
      <c r="A60" s="18" t="s">
        <v>54</v>
      </c>
      <c r="B60" s="19" t="s">
        <v>186</v>
      </c>
      <c r="C60" s="20" t="s">
        <v>271</v>
      </c>
      <c r="D60" s="21">
        <v>1</v>
      </c>
      <c r="E60" s="21">
        <v>14</v>
      </c>
      <c r="F60" s="24"/>
      <c r="G60" s="29">
        <v>87.68</v>
      </c>
      <c r="H60" s="29">
        <v>176.32</v>
      </c>
      <c r="I60" s="29">
        <v>79.08</v>
      </c>
      <c r="J60" s="29">
        <v>87.68</v>
      </c>
      <c r="K60" s="29">
        <v>71.62</v>
      </c>
      <c r="L60" s="24"/>
      <c r="M60" s="24"/>
      <c r="N60" s="24"/>
      <c r="O60" s="24"/>
      <c r="P60" s="24"/>
      <c r="Q60" s="24"/>
      <c r="R60" s="24"/>
      <c r="S60" s="27"/>
    </row>
    <row r="61" spans="1:19" ht="15.75" x14ac:dyDescent="0.2">
      <c r="A61" s="18" t="s">
        <v>55</v>
      </c>
      <c r="B61" s="19" t="s">
        <v>187</v>
      </c>
      <c r="C61" s="20">
        <v>15</v>
      </c>
      <c r="D61" s="21" t="s">
        <v>315</v>
      </c>
      <c r="E61" s="21" t="s">
        <v>315</v>
      </c>
      <c r="F61" s="24"/>
      <c r="G61" s="22">
        <f>$G$6/4</f>
        <v>164.4025</v>
      </c>
      <c r="H61" s="22">
        <f>$H$6/4</f>
        <v>330.61</v>
      </c>
      <c r="I61" s="22">
        <f>$I$6/4</f>
        <v>148.2775</v>
      </c>
      <c r="J61" s="22">
        <f>$J$6/4</f>
        <v>164.4025</v>
      </c>
      <c r="K61" s="22">
        <f>$K$6/4</f>
        <v>134.28749999999999</v>
      </c>
      <c r="L61" s="24"/>
      <c r="M61" s="24"/>
      <c r="N61" s="24"/>
      <c r="O61" s="24"/>
      <c r="P61" s="24"/>
      <c r="Q61" s="24"/>
      <c r="R61" s="24"/>
      <c r="S61" s="27"/>
    </row>
    <row r="62" spans="1:19" ht="15.75" x14ac:dyDescent="0.2">
      <c r="A62" s="18" t="s">
        <v>56</v>
      </c>
      <c r="B62" s="19" t="s">
        <v>188</v>
      </c>
      <c r="C62" s="20" t="s">
        <v>272</v>
      </c>
      <c r="D62" s="21">
        <v>5</v>
      </c>
      <c r="E62" s="21">
        <v>10</v>
      </c>
      <c r="F62" s="24"/>
      <c r="G62" s="29">
        <v>87.68</v>
      </c>
      <c r="H62" s="24"/>
      <c r="I62" s="29">
        <v>79.08</v>
      </c>
      <c r="J62" s="29">
        <v>87.68</v>
      </c>
      <c r="K62" s="24"/>
      <c r="L62" s="24"/>
      <c r="M62" s="24"/>
      <c r="N62" s="29">
        <v>70.91</v>
      </c>
      <c r="O62" s="29">
        <v>45.89</v>
      </c>
      <c r="P62" s="24"/>
      <c r="Q62" s="24"/>
      <c r="R62" s="24"/>
      <c r="S62" s="27"/>
    </row>
    <row r="63" spans="1:19" ht="15.75" x14ac:dyDescent="0.2">
      <c r="A63" s="18" t="s">
        <v>57</v>
      </c>
      <c r="B63" s="19" t="s">
        <v>189</v>
      </c>
      <c r="C63" s="20" t="s">
        <v>273</v>
      </c>
      <c r="D63" s="21">
        <v>11</v>
      </c>
      <c r="E63" s="21">
        <v>20</v>
      </c>
      <c r="F63" s="24"/>
      <c r="G63" s="29">
        <v>175.36</v>
      </c>
      <c r="H63" s="24"/>
      <c r="I63" s="29">
        <v>158.16</v>
      </c>
      <c r="J63" s="29">
        <v>175.36</v>
      </c>
      <c r="K63" s="24"/>
      <c r="L63" s="24"/>
      <c r="M63" s="24"/>
      <c r="N63" s="29">
        <v>141.82</v>
      </c>
      <c r="O63" s="29">
        <v>91.78</v>
      </c>
      <c r="P63" s="24"/>
      <c r="Q63" s="24"/>
      <c r="R63" s="24"/>
      <c r="S63" s="27"/>
    </row>
    <row r="64" spans="1:19" ht="15.75" x14ac:dyDescent="0.2">
      <c r="A64" s="18" t="s">
        <v>58</v>
      </c>
      <c r="B64" s="19" t="s">
        <v>190</v>
      </c>
      <c r="C64" s="20" t="s">
        <v>274</v>
      </c>
      <c r="D64" s="21">
        <v>21</v>
      </c>
      <c r="E64" s="21">
        <v>30</v>
      </c>
      <c r="F64" s="24"/>
      <c r="G64" s="29">
        <v>284.97000000000003</v>
      </c>
      <c r="H64" s="24"/>
      <c r="I64" s="29">
        <v>257.01</v>
      </c>
      <c r="J64" s="29">
        <v>284.97000000000003</v>
      </c>
      <c r="K64" s="24"/>
      <c r="L64" s="24"/>
      <c r="M64" s="24"/>
      <c r="N64" s="29">
        <v>230.46</v>
      </c>
      <c r="O64" s="29">
        <v>149.13999999999999</v>
      </c>
      <c r="P64" s="24"/>
      <c r="Q64" s="24"/>
      <c r="R64" s="24"/>
      <c r="S64" s="27"/>
    </row>
    <row r="65" spans="1:19" ht="15.75" x14ac:dyDescent="0.2">
      <c r="A65" s="18" t="s">
        <v>59</v>
      </c>
      <c r="B65" s="19" t="s">
        <v>191</v>
      </c>
      <c r="C65" s="20">
        <v>15</v>
      </c>
      <c r="D65" s="21" t="s">
        <v>315</v>
      </c>
      <c r="E65" s="21" t="s">
        <v>315</v>
      </c>
      <c r="F65" s="22">
        <v>8.9700000000000006</v>
      </c>
      <c r="G65" s="22">
        <v>8.9700000000000006</v>
      </c>
      <c r="H65" s="22">
        <v>8.9700000000000006</v>
      </c>
      <c r="I65" s="22">
        <v>8.9700000000000006</v>
      </c>
      <c r="J65" s="22">
        <v>8.9700000000000006</v>
      </c>
      <c r="K65" s="22">
        <v>8.9700000000000006</v>
      </c>
      <c r="L65" s="22">
        <v>8.9700000000000006</v>
      </c>
      <c r="M65" s="22">
        <v>8.9700000000000006</v>
      </c>
      <c r="N65" s="22">
        <v>8.9700000000000006</v>
      </c>
      <c r="O65" s="22">
        <v>8.9700000000000006</v>
      </c>
      <c r="P65" s="22">
        <v>8.9700000000000006</v>
      </c>
      <c r="Q65" s="22">
        <v>8.9700000000000006</v>
      </c>
      <c r="R65" s="22">
        <v>8.9700000000000006</v>
      </c>
      <c r="S65" s="23">
        <v>8.9700000000000006</v>
      </c>
    </row>
    <row r="66" spans="1:19" ht="15.75" x14ac:dyDescent="0.2">
      <c r="A66" s="18" t="s">
        <v>60</v>
      </c>
      <c r="B66" s="19" t="s">
        <v>192</v>
      </c>
      <c r="C66" s="20" t="s">
        <v>275</v>
      </c>
      <c r="D66" s="21">
        <v>15</v>
      </c>
      <c r="E66" s="21">
        <v>29</v>
      </c>
      <c r="F66" s="24"/>
      <c r="G66" s="22">
        <f>$G$6/60*(15+29)/2</f>
        <v>241.12366666666668</v>
      </c>
      <c r="H66" s="22">
        <f>$H$6/60*(15+29)/2</f>
        <v>484.89466666666669</v>
      </c>
      <c r="I66" s="22">
        <f>$I$6/60*(15+29)/2</f>
        <v>217.47366666666667</v>
      </c>
      <c r="J66" s="22">
        <f>$J$6/60*(15+29)/2</f>
        <v>241.12366666666668</v>
      </c>
      <c r="K66" s="24"/>
      <c r="L66" s="24"/>
      <c r="M66" s="24"/>
      <c r="N66" s="24"/>
      <c r="O66" s="24"/>
      <c r="P66" s="24"/>
      <c r="Q66" s="24"/>
      <c r="R66" s="24"/>
      <c r="S66" s="27"/>
    </row>
    <row r="67" spans="1:19" ht="15.75" x14ac:dyDescent="0.2">
      <c r="A67" s="18" t="s">
        <v>61</v>
      </c>
      <c r="B67" s="19" t="s">
        <v>193</v>
      </c>
      <c r="C67" s="20" t="s">
        <v>276</v>
      </c>
      <c r="D67" s="21">
        <v>30</v>
      </c>
      <c r="E67" s="21">
        <v>44</v>
      </c>
      <c r="F67" s="24"/>
      <c r="G67" s="22">
        <f>$G$6/60*(30+44)/2</f>
        <v>405.52616666666671</v>
      </c>
      <c r="H67" s="22">
        <f>$H$6/60*(30+44)/2</f>
        <v>815.50466666666671</v>
      </c>
      <c r="I67" s="32">
        <f>$I$6/60*(30+44)/2</f>
        <v>365.75116666666668</v>
      </c>
      <c r="J67" s="22">
        <f>$J$6/60*(30+44)/2</f>
        <v>405.52616666666671</v>
      </c>
      <c r="K67" s="24"/>
      <c r="L67" s="24"/>
      <c r="M67" s="24"/>
      <c r="N67" s="24"/>
      <c r="O67" s="24"/>
      <c r="P67" s="24"/>
      <c r="Q67" s="24"/>
      <c r="R67" s="24"/>
      <c r="S67" s="27"/>
    </row>
    <row r="68" spans="1:19" ht="15.75" x14ac:dyDescent="0.2">
      <c r="A68" s="18" t="s">
        <v>62</v>
      </c>
      <c r="B68" s="19" t="s">
        <v>194</v>
      </c>
      <c r="C68" s="20" t="s">
        <v>277</v>
      </c>
      <c r="D68" s="21">
        <v>45</v>
      </c>
      <c r="E68" s="21">
        <v>59</v>
      </c>
      <c r="F68" s="24"/>
      <c r="G68" s="22">
        <f>$G$6/60*(45+59)/2</f>
        <v>569.92866666666669</v>
      </c>
      <c r="H68" s="22">
        <f>$H$6/60*(45+59)/2</f>
        <v>1146.1146666666666</v>
      </c>
      <c r="I68" s="29">
        <v>514.02</v>
      </c>
      <c r="J68" s="22">
        <f>$J$6/60*(45+59)/2</f>
        <v>569.92866666666669</v>
      </c>
      <c r="K68" s="24"/>
      <c r="L68" s="24"/>
      <c r="M68" s="24"/>
      <c r="N68" s="24"/>
      <c r="O68" s="24"/>
      <c r="P68" s="24"/>
      <c r="Q68" s="24"/>
      <c r="R68" s="24"/>
      <c r="S68" s="27"/>
    </row>
    <row r="69" spans="1:19" ht="15.75" x14ac:dyDescent="0.2">
      <c r="A69" s="18" t="s">
        <v>63</v>
      </c>
      <c r="B69" s="19" t="s">
        <v>195</v>
      </c>
      <c r="C69" s="20" t="s">
        <v>278</v>
      </c>
      <c r="D69" s="21">
        <v>60</v>
      </c>
      <c r="E69" s="21">
        <v>74</v>
      </c>
      <c r="F69" s="24"/>
      <c r="G69" s="32">
        <f>$G$6/60*(60+74)/2</f>
        <v>734.33116666666672</v>
      </c>
      <c r="H69" s="32">
        <f>$H$6/60*(60+74)/2</f>
        <v>1476.7246666666667</v>
      </c>
      <c r="I69" s="29">
        <v>662.3</v>
      </c>
      <c r="J69" s="32">
        <f>$J$6/60*(60+74)/2</f>
        <v>734.33116666666672</v>
      </c>
      <c r="K69" s="24"/>
      <c r="L69" s="24"/>
      <c r="M69" s="24"/>
      <c r="N69" s="24"/>
      <c r="O69" s="24"/>
      <c r="P69" s="24"/>
      <c r="Q69" s="24"/>
      <c r="R69" s="24"/>
      <c r="S69" s="27"/>
    </row>
    <row r="70" spans="1:19" ht="15.75" x14ac:dyDescent="0.2">
      <c r="A70" s="18" t="s">
        <v>64</v>
      </c>
      <c r="B70" s="19" t="s">
        <v>196</v>
      </c>
      <c r="C70" s="20" t="s">
        <v>279</v>
      </c>
      <c r="D70" s="21">
        <v>10</v>
      </c>
      <c r="E70" s="21">
        <v>19</v>
      </c>
      <c r="F70" s="24"/>
      <c r="G70" s="29">
        <v>164.4</v>
      </c>
      <c r="H70" s="29">
        <v>330.61</v>
      </c>
      <c r="I70" s="29">
        <v>148.28</v>
      </c>
      <c r="J70" s="29">
        <v>164.4</v>
      </c>
      <c r="K70" s="24"/>
      <c r="L70" s="24"/>
      <c r="M70" s="24"/>
      <c r="N70" s="24"/>
      <c r="O70" s="24"/>
      <c r="P70" s="24"/>
      <c r="Q70" s="24"/>
      <c r="R70" s="24"/>
      <c r="S70" s="27"/>
    </row>
    <row r="71" spans="1:19" ht="15.75" x14ac:dyDescent="0.2">
      <c r="A71" s="18" t="s">
        <v>65</v>
      </c>
      <c r="B71" s="19" t="s">
        <v>197</v>
      </c>
      <c r="C71" s="20" t="s">
        <v>280</v>
      </c>
      <c r="D71" s="21">
        <v>20</v>
      </c>
      <c r="E71" s="21">
        <v>29</v>
      </c>
      <c r="F71" s="24"/>
      <c r="G71" s="29">
        <v>274.01</v>
      </c>
      <c r="H71" s="29">
        <v>551.01</v>
      </c>
      <c r="I71" s="29">
        <v>247.13</v>
      </c>
      <c r="J71" s="29">
        <v>274.01</v>
      </c>
      <c r="K71" s="24"/>
      <c r="L71" s="24"/>
      <c r="M71" s="24"/>
      <c r="N71" s="24"/>
      <c r="O71" s="24"/>
      <c r="P71" s="24"/>
      <c r="Q71" s="24"/>
      <c r="R71" s="24"/>
      <c r="S71" s="27"/>
    </row>
    <row r="72" spans="1:19" ht="15.75" x14ac:dyDescent="0.2">
      <c r="A72" s="18" t="s">
        <v>66</v>
      </c>
      <c r="B72" s="19" t="s">
        <v>198</v>
      </c>
      <c r="C72" s="20" t="s">
        <v>281</v>
      </c>
      <c r="D72" s="21">
        <v>30</v>
      </c>
      <c r="E72" s="21">
        <v>39</v>
      </c>
      <c r="F72" s="24"/>
      <c r="G72" s="29">
        <v>383.61</v>
      </c>
      <c r="H72" s="29">
        <v>771.42</v>
      </c>
      <c r="I72" s="29">
        <v>345.98</v>
      </c>
      <c r="J72" s="29">
        <v>383.61</v>
      </c>
      <c r="K72" s="24"/>
      <c r="L72" s="24"/>
      <c r="M72" s="24"/>
      <c r="N72" s="24"/>
      <c r="O72" s="24"/>
      <c r="P72" s="24"/>
      <c r="Q72" s="24"/>
      <c r="R72" s="24"/>
      <c r="S72" s="27"/>
    </row>
    <row r="73" spans="1:19" ht="15.75" x14ac:dyDescent="0.2">
      <c r="A73" s="18" t="s">
        <v>67</v>
      </c>
      <c r="B73" s="19" t="s">
        <v>199</v>
      </c>
      <c r="C73" s="20" t="s">
        <v>282</v>
      </c>
      <c r="D73" s="21">
        <v>40</v>
      </c>
      <c r="E73" s="21">
        <v>54</v>
      </c>
      <c r="F73" s="24"/>
      <c r="G73" s="30">
        <f>$G$6/60*(40+54)/2</f>
        <v>515.12783333333334</v>
      </c>
      <c r="H73" s="30">
        <f>$H$6/60*(40+54)/2</f>
        <v>1035.9113333333332</v>
      </c>
      <c r="I73" s="30">
        <f>$I$6/60*(40+54)/2</f>
        <v>464.60283333333331</v>
      </c>
      <c r="J73" s="30">
        <f>$J$6/60*(40+54)/2</f>
        <v>515.12783333333334</v>
      </c>
      <c r="K73" s="24"/>
      <c r="L73" s="24"/>
      <c r="M73" s="24"/>
      <c r="N73" s="24"/>
      <c r="O73" s="24"/>
      <c r="P73" s="24"/>
      <c r="Q73" s="24"/>
      <c r="R73" s="24"/>
      <c r="S73" s="27"/>
    </row>
    <row r="74" spans="1:19" ht="15.75" x14ac:dyDescent="0.2">
      <c r="A74" s="18" t="s">
        <v>68</v>
      </c>
      <c r="B74" s="19" t="s">
        <v>200</v>
      </c>
      <c r="C74" s="33" t="s">
        <v>283</v>
      </c>
      <c r="D74" s="21">
        <v>20</v>
      </c>
      <c r="E74" s="21">
        <v>39</v>
      </c>
      <c r="F74" s="24"/>
      <c r="G74" s="29">
        <v>328.81</v>
      </c>
      <c r="H74" s="29">
        <v>661.22</v>
      </c>
      <c r="I74" s="29">
        <v>296.56</v>
      </c>
      <c r="J74" s="29">
        <v>328.81</v>
      </c>
      <c r="K74" s="24"/>
      <c r="L74" s="24"/>
      <c r="M74" s="24"/>
      <c r="N74" s="24"/>
      <c r="O74" s="24"/>
      <c r="P74" s="24"/>
      <c r="Q74" s="24"/>
      <c r="R74" s="24"/>
      <c r="S74" s="27"/>
    </row>
    <row r="75" spans="1:19" ht="15.75" x14ac:dyDescent="0.2">
      <c r="A75" s="18" t="s">
        <v>69</v>
      </c>
      <c r="B75" s="19" t="s">
        <v>201</v>
      </c>
      <c r="C75" s="33" t="s">
        <v>284</v>
      </c>
      <c r="D75" s="21">
        <v>40</v>
      </c>
      <c r="E75" s="21">
        <v>59</v>
      </c>
      <c r="F75" s="24"/>
      <c r="G75" s="29">
        <v>548.01</v>
      </c>
      <c r="H75" s="29">
        <v>1102.03</v>
      </c>
      <c r="I75" s="29">
        <v>494.26</v>
      </c>
      <c r="J75" s="29">
        <v>548.01</v>
      </c>
      <c r="K75" s="24"/>
      <c r="L75" s="24"/>
      <c r="M75" s="24"/>
      <c r="N75" s="24"/>
      <c r="O75" s="24"/>
      <c r="P75" s="24"/>
      <c r="Q75" s="24"/>
      <c r="R75" s="24"/>
      <c r="S75" s="27"/>
    </row>
    <row r="76" spans="1:19" ht="15.75" x14ac:dyDescent="0.2">
      <c r="A76" s="18" t="s">
        <v>70</v>
      </c>
      <c r="B76" s="19" t="s">
        <v>202</v>
      </c>
      <c r="C76" s="34" t="s">
        <v>285</v>
      </c>
      <c r="D76" s="21">
        <v>60</v>
      </c>
      <c r="E76" s="21">
        <v>79</v>
      </c>
      <c r="F76" s="24"/>
      <c r="G76" s="29">
        <v>767.21</v>
      </c>
      <c r="H76" s="29">
        <v>1542.85</v>
      </c>
      <c r="I76" s="29">
        <v>691.96</v>
      </c>
      <c r="J76" s="29">
        <v>767.21</v>
      </c>
      <c r="K76" s="24"/>
      <c r="L76" s="24"/>
      <c r="M76" s="24"/>
      <c r="N76" s="24"/>
      <c r="O76" s="24"/>
      <c r="P76" s="24"/>
      <c r="Q76" s="24"/>
      <c r="R76" s="24"/>
      <c r="S76" s="27"/>
    </row>
    <row r="77" spans="1:19" ht="15.75" x14ac:dyDescent="0.2">
      <c r="A77" s="18" t="s">
        <v>71</v>
      </c>
      <c r="B77" s="19" t="s">
        <v>203</v>
      </c>
      <c r="C77" s="34" t="s">
        <v>286</v>
      </c>
      <c r="D77" s="35" t="s">
        <v>316</v>
      </c>
      <c r="E77" s="35" t="s">
        <v>317</v>
      </c>
      <c r="F77" s="24"/>
      <c r="G77" s="29">
        <v>142.47999999999999</v>
      </c>
      <c r="H77" s="29">
        <v>286.52999999999997</v>
      </c>
      <c r="I77" s="29">
        <v>128.51</v>
      </c>
      <c r="J77" s="29">
        <v>142.47999999999999</v>
      </c>
      <c r="K77" s="24"/>
      <c r="L77" s="24"/>
      <c r="M77" s="24"/>
      <c r="N77" s="24"/>
      <c r="O77" s="24"/>
      <c r="P77" s="24"/>
      <c r="Q77" s="24"/>
      <c r="R77" s="24"/>
      <c r="S77" s="27"/>
    </row>
    <row r="78" spans="1:19" ht="15.75" x14ac:dyDescent="0.2">
      <c r="A78" s="18" t="s">
        <v>72</v>
      </c>
      <c r="B78" s="19" t="s">
        <v>204</v>
      </c>
      <c r="C78" s="34" t="s">
        <v>280</v>
      </c>
      <c r="D78" s="35" t="s">
        <v>318</v>
      </c>
      <c r="E78" s="35" t="s">
        <v>319</v>
      </c>
      <c r="F78" s="24"/>
      <c r="G78" s="29">
        <v>274</v>
      </c>
      <c r="H78" s="29">
        <v>551.02</v>
      </c>
      <c r="I78" s="29">
        <v>247.13</v>
      </c>
      <c r="J78" s="29">
        <v>274</v>
      </c>
      <c r="K78" s="24"/>
      <c r="L78" s="24"/>
      <c r="M78" s="24"/>
      <c r="N78" s="24"/>
      <c r="O78" s="24"/>
      <c r="P78" s="24"/>
      <c r="Q78" s="24"/>
      <c r="R78" s="24"/>
      <c r="S78" s="27"/>
    </row>
    <row r="79" spans="1:19" ht="15.75" x14ac:dyDescent="0.2">
      <c r="A79" s="18" t="s">
        <v>73</v>
      </c>
      <c r="B79" s="19" t="s">
        <v>205</v>
      </c>
      <c r="C79" s="34" t="s">
        <v>287</v>
      </c>
      <c r="D79" s="35" t="s">
        <v>320</v>
      </c>
      <c r="E79" s="35" t="s">
        <v>321</v>
      </c>
      <c r="F79" s="24"/>
      <c r="G79" s="29">
        <v>383.61</v>
      </c>
      <c r="H79" s="29">
        <v>771.42</v>
      </c>
      <c r="I79" s="29">
        <v>345.98</v>
      </c>
      <c r="J79" s="29">
        <v>383.61</v>
      </c>
      <c r="K79" s="24"/>
      <c r="L79" s="24"/>
      <c r="M79" s="24"/>
      <c r="N79" s="24"/>
      <c r="O79" s="24"/>
      <c r="P79" s="24"/>
      <c r="Q79" s="24"/>
      <c r="R79" s="24"/>
      <c r="S79" s="27"/>
    </row>
    <row r="80" spans="1:19" ht="15.75" x14ac:dyDescent="0.2">
      <c r="A80" s="18" t="s">
        <v>74</v>
      </c>
      <c r="B80" s="19" t="s">
        <v>206</v>
      </c>
      <c r="C80" s="34" t="s">
        <v>288</v>
      </c>
      <c r="D80" s="35" t="s">
        <v>322</v>
      </c>
      <c r="E80" s="35" t="s">
        <v>323</v>
      </c>
      <c r="F80" s="24"/>
      <c r="G80" s="29">
        <v>438.41</v>
      </c>
      <c r="H80" s="29">
        <v>881.63</v>
      </c>
      <c r="I80" s="29">
        <v>395.41</v>
      </c>
      <c r="J80" s="29">
        <v>438.41</v>
      </c>
      <c r="K80" s="24"/>
      <c r="L80" s="24"/>
      <c r="M80" s="24"/>
      <c r="N80" s="24"/>
      <c r="O80" s="24"/>
      <c r="P80" s="24"/>
      <c r="Q80" s="24"/>
      <c r="R80" s="24"/>
      <c r="S80" s="27"/>
    </row>
    <row r="81" spans="1:19" ht="15.75" x14ac:dyDescent="0.2">
      <c r="A81" s="18" t="s">
        <v>75</v>
      </c>
      <c r="B81" s="19" t="s">
        <v>207</v>
      </c>
      <c r="C81" s="34" t="s">
        <v>289</v>
      </c>
      <c r="D81" s="35" t="s">
        <v>324</v>
      </c>
      <c r="E81" s="35" t="s">
        <v>325</v>
      </c>
      <c r="F81" s="24"/>
      <c r="G81" s="29">
        <v>537.04999999999995</v>
      </c>
      <c r="H81" s="29">
        <v>1079.99</v>
      </c>
      <c r="I81" s="29">
        <v>484.37</v>
      </c>
      <c r="J81" s="29">
        <v>537.04999999999995</v>
      </c>
      <c r="K81" s="24"/>
      <c r="L81" s="24"/>
      <c r="M81" s="24"/>
      <c r="N81" s="24"/>
      <c r="O81" s="24"/>
      <c r="P81" s="24"/>
      <c r="Q81" s="24"/>
      <c r="R81" s="24"/>
      <c r="S81" s="27"/>
    </row>
    <row r="82" spans="1:19" ht="15.75" x14ac:dyDescent="0.2">
      <c r="A82" s="18" t="s">
        <v>76</v>
      </c>
      <c r="B82" s="19" t="s">
        <v>208</v>
      </c>
      <c r="C82" s="34" t="s">
        <v>290</v>
      </c>
      <c r="D82" s="35" t="s">
        <v>326</v>
      </c>
      <c r="E82" s="35" t="s">
        <v>327</v>
      </c>
      <c r="F82" s="24"/>
      <c r="G82" s="29">
        <v>624.73</v>
      </c>
      <c r="H82" s="29">
        <v>1256.32</v>
      </c>
      <c r="I82" s="29">
        <v>563.46</v>
      </c>
      <c r="J82" s="29">
        <v>624.73</v>
      </c>
      <c r="K82" s="24"/>
      <c r="L82" s="24"/>
      <c r="M82" s="24"/>
      <c r="N82" s="24"/>
      <c r="O82" s="24"/>
      <c r="P82" s="24"/>
      <c r="Q82" s="24"/>
      <c r="R82" s="24"/>
      <c r="S82" s="27"/>
    </row>
    <row r="83" spans="1:19" ht="15.75" x14ac:dyDescent="0.2">
      <c r="A83" s="18" t="s">
        <v>77</v>
      </c>
      <c r="B83" s="19" t="s">
        <v>209</v>
      </c>
      <c r="C83" s="34" t="s">
        <v>291</v>
      </c>
      <c r="D83" s="35" t="s">
        <v>328</v>
      </c>
      <c r="E83" s="35" t="s">
        <v>329</v>
      </c>
      <c r="F83" s="24"/>
      <c r="G83" s="29">
        <v>306.89</v>
      </c>
      <c r="H83" s="29">
        <v>617.14</v>
      </c>
      <c r="I83" s="29">
        <v>276.79000000000002</v>
      </c>
      <c r="J83" s="29">
        <v>306.89</v>
      </c>
      <c r="K83" s="24"/>
      <c r="L83" s="24"/>
      <c r="M83" s="24"/>
      <c r="N83" s="24"/>
      <c r="O83" s="24"/>
      <c r="P83" s="24"/>
      <c r="Q83" s="24"/>
      <c r="R83" s="24"/>
      <c r="S83" s="27"/>
    </row>
    <row r="84" spans="1:19" ht="15.75" x14ac:dyDescent="0.2">
      <c r="A84" s="18" t="s">
        <v>78</v>
      </c>
      <c r="B84" s="19" t="s">
        <v>210</v>
      </c>
      <c r="C84" s="34" t="s">
        <v>292</v>
      </c>
      <c r="D84" s="35" t="s">
        <v>322</v>
      </c>
      <c r="E84" s="35" t="s">
        <v>330</v>
      </c>
      <c r="F84" s="24"/>
      <c r="G84" s="29">
        <v>460.33</v>
      </c>
      <c r="H84" s="29">
        <v>925.71</v>
      </c>
      <c r="I84" s="29">
        <v>415.18</v>
      </c>
      <c r="J84" s="29">
        <v>460.33</v>
      </c>
      <c r="K84" s="24"/>
      <c r="L84" s="24"/>
      <c r="M84" s="24"/>
      <c r="N84" s="24"/>
      <c r="O84" s="24"/>
      <c r="P84" s="24"/>
      <c r="Q84" s="24"/>
      <c r="R84" s="24"/>
      <c r="S84" s="27"/>
    </row>
    <row r="85" spans="1:19" ht="15.75" x14ac:dyDescent="0.2">
      <c r="A85" s="18" t="s">
        <v>79</v>
      </c>
      <c r="B85" s="19" t="s">
        <v>211</v>
      </c>
      <c r="C85" s="34" t="s">
        <v>293</v>
      </c>
      <c r="D85" s="35" t="s">
        <v>331</v>
      </c>
      <c r="E85" s="35" t="s">
        <v>332</v>
      </c>
      <c r="F85" s="24"/>
      <c r="G85" s="29">
        <v>657.61</v>
      </c>
      <c r="H85" s="29">
        <v>1322.44</v>
      </c>
      <c r="I85" s="29">
        <v>593.11</v>
      </c>
      <c r="J85" s="29">
        <v>657.61</v>
      </c>
      <c r="K85" s="24"/>
      <c r="L85" s="24"/>
      <c r="M85" s="24"/>
      <c r="N85" s="24"/>
      <c r="O85" s="24"/>
      <c r="P85" s="24"/>
      <c r="Q85" s="24"/>
      <c r="R85" s="24"/>
      <c r="S85" s="27"/>
    </row>
    <row r="86" spans="1:19" ht="15.75" x14ac:dyDescent="0.2">
      <c r="A86" s="18" t="s">
        <v>80</v>
      </c>
      <c r="B86" s="19" t="s">
        <v>212</v>
      </c>
      <c r="C86" s="34" t="s">
        <v>294</v>
      </c>
      <c r="D86" s="35" t="s">
        <v>333</v>
      </c>
      <c r="E86" s="35" t="s">
        <v>334</v>
      </c>
      <c r="F86" s="24"/>
      <c r="G86" s="29">
        <v>887.77</v>
      </c>
      <c r="H86" s="29">
        <v>1785.29</v>
      </c>
      <c r="I86" s="29">
        <v>800.7</v>
      </c>
      <c r="J86" s="29">
        <v>887.77</v>
      </c>
      <c r="K86" s="24"/>
      <c r="L86" s="24"/>
      <c r="M86" s="24"/>
      <c r="N86" s="24"/>
      <c r="O86" s="24"/>
      <c r="P86" s="24"/>
      <c r="Q86" s="24"/>
      <c r="R86" s="24"/>
      <c r="S86" s="27"/>
    </row>
    <row r="87" spans="1:19" ht="15.75" x14ac:dyDescent="0.2">
      <c r="A87" s="18" t="s">
        <v>81</v>
      </c>
      <c r="B87" s="19" t="s">
        <v>213</v>
      </c>
      <c r="C87" s="34" t="s">
        <v>295</v>
      </c>
      <c r="D87" s="35" t="s">
        <v>320</v>
      </c>
      <c r="E87" s="35" t="s">
        <v>330</v>
      </c>
      <c r="F87" s="24"/>
      <c r="G87" s="29">
        <v>438.41</v>
      </c>
      <c r="H87" s="29">
        <v>881.63</v>
      </c>
      <c r="I87" s="29">
        <v>395.41</v>
      </c>
      <c r="J87" s="29">
        <v>438.41</v>
      </c>
      <c r="K87" s="24"/>
      <c r="L87" s="24"/>
      <c r="M87" s="24"/>
      <c r="N87" s="24"/>
      <c r="O87" s="24"/>
      <c r="P87" s="24"/>
      <c r="Q87" s="24"/>
      <c r="R87" s="24"/>
      <c r="S87" s="27"/>
    </row>
    <row r="88" spans="1:19" ht="15.75" x14ac:dyDescent="0.2">
      <c r="A88" s="18" t="s">
        <v>82</v>
      </c>
      <c r="B88" s="19" t="s">
        <v>214</v>
      </c>
      <c r="C88" s="34" t="s">
        <v>296</v>
      </c>
      <c r="D88" s="35" t="s">
        <v>331</v>
      </c>
      <c r="E88" s="35" t="s">
        <v>335</v>
      </c>
      <c r="F88" s="24"/>
      <c r="G88" s="29">
        <v>657.61</v>
      </c>
      <c r="H88" s="29">
        <v>1322.44</v>
      </c>
      <c r="I88" s="29">
        <v>593.11</v>
      </c>
      <c r="J88" s="29">
        <v>657.61</v>
      </c>
      <c r="K88" s="24"/>
      <c r="L88" s="24"/>
      <c r="M88" s="24"/>
      <c r="N88" s="24"/>
      <c r="O88" s="24"/>
      <c r="P88" s="24"/>
      <c r="Q88" s="24"/>
      <c r="R88" s="24"/>
      <c r="S88" s="27"/>
    </row>
    <row r="89" spans="1:19" ht="15.75" x14ac:dyDescent="0.2">
      <c r="A89" s="18" t="s">
        <v>83</v>
      </c>
      <c r="B89" s="19" t="s">
        <v>215</v>
      </c>
      <c r="C89" s="34" t="s">
        <v>297</v>
      </c>
      <c r="D89" s="35" t="s">
        <v>332</v>
      </c>
      <c r="E89" s="35" t="s">
        <v>334</v>
      </c>
      <c r="F89" s="24"/>
      <c r="G89" s="29">
        <v>876.81</v>
      </c>
      <c r="H89" s="29">
        <v>1763.25</v>
      </c>
      <c r="I89" s="29">
        <v>790.81</v>
      </c>
      <c r="J89" s="29">
        <v>876.81</v>
      </c>
      <c r="K89" s="24"/>
      <c r="L89" s="24"/>
      <c r="M89" s="24"/>
      <c r="N89" s="24"/>
      <c r="O89" s="24"/>
      <c r="P89" s="24"/>
      <c r="Q89" s="24"/>
      <c r="R89" s="24"/>
      <c r="S89" s="27"/>
    </row>
    <row r="90" spans="1:19" ht="15.75" x14ac:dyDescent="0.2">
      <c r="A90" s="18" t="s">
        <v>84</v>
      </c>
      <c r="B90" s="19" t="s">
        <v>216</v>
      </c>
      <c r="C90" s="34" t="s">
        <v>298</v>
      </c>
      <c r="D90" s="35" t="s">
        <v>336</v>
      </c>
      <c r="E90" s="35" t="s">
        <v>337</v>
      </c>
      <c r="F90" s="24"/>
      <c r="G90" s="29">
        <v>1216.58</v>
      </c>
      <c r="H90" s="29">
        <v>2446.5100000000002</v>
      </c>
      <c r="I90" s="29">
        <v>1097.25</v>
      </c>
      <c r="J90" s="29">
        <v>1216.58</v>
      </c>
      <c r="K90" s="24"/>
      <c r="L90" s="24"/>
      <c r="M90" s="24"/>
      <c r="N90" s="24"/>
      <c r="O90" s="24"/>
      <c r="P90" s="24"/>
      <c r="Q90" s="24"/>
      <c r="R90" s="24"/>
      <c r="S90" s="27"/>
    </row>
    <row r="91" spans="1:19" ht="15.75" x14ac:dyDescent="0.2">
      <c r="A91" s="18" t="s">
        <v>85</v>
      </c>
      <c r="B91" s="19" t="s">
        <v>217</v>
      </c>
      <c r="C91" s="34" t="s">
        <v>299</v>
      </c>
      <c r="D91" s="35" t="s">
        <v>338</v>
      </c>
      <c r="E91" s="35" t="s">
        <v>319</v>
      </c>
      <c r="F91" s="24"/>
      <c r="G91" s="29">
        <v>252.08</v>
      </c>
      <c r="H91" s="29">
        <v>506.94</v>
      </c>
      <c r="I91" s="29">
        <v>227.36</v>
      </c>
      <c r="J91" s="29">
        <v>252.08</v>
      </c>
      <c r="K91" s="24"/>
      <c r="L91" s="24"/>
      <c r="M91" s="24"/>
      <c r="N91" s="24"/>
      <c r="O91" s="24"/>
      <c r="P91" s="24"/>
      <c r="Q91" s="24"/>
      <c r="R91" s="24"/>
      <c r="S91" s="27"/>
    </row>
    <row r="92" spans="1:19" ht="15.75" x14ac:dyDescent="0.2">
      <c r="A92" s="18" t="s">
        <v>86</v>
      </c>
      <c r="B92" s="19" t="s">
        <v>218</v>
      </c>
      <c r="C92" s="34" t="s">
        <v>281</v>
      </c>
      <c r="D92" s="35" t="s">
        <v>320</v>
      </c>
      <c r="E92" s="35" t="s">
        <v>339</v>
      </c>
      <c r="F92" s="24"/>
      <c r="G92" s="29">
        <v>383.61</v>
      </c>
      <c r="H92" s="29">
        <v>771.42</v>
      </c>
      <c r="I92" s="29">
        <v>345.98</v>
      </c>
      <c r="J92" s="29">
        <v>383.61</v>
      </c>
      <c r="K92" s="24"/>
      <c r="L92" s="24"/>
      <c r="M92" s="24"/>
      <c r="N92" s="24"/>
      <c r="O92" s="24"/>
      <c r="P92" s="24"/>
      <c r="Q92" s="24"/>
      <c r="R92" s="24"/>
      <c r="S92" s="27"/>
    </row>
    <row r="93" spans="1:19" ht="15.75" x14ac:dyDescent="0.2">
      <c r="A93" s="18" t="s">
        <v>87</v>
      </c>
      <c r="B93" s="19" t="s">
        <v>219</v>
      </c>
      <c r="C93" s="34" t="s">
        <v>300</v>
      </c>
      <c r="D93" s="35" t="s">
        <v>321</v>
      </c>
      <c r="E93" s="35" t="s">
        <v>327</v>
      </c>
      <c r="F93" s="24"/>
      <c r="G93" s="29">
        <v>548.01</v>
      </c>
      <c r="H93" s="29">
        <v>1102.03</v>
      </c>
      <c r="I93" s="29">
        <v>494.26</v>
      </c>
      <c r="J93" s="29">
        <v>548.01</v>
      </c>
      <c r="K93" s="24"/>
      <c r="L93" s="24"/>
      <c r="M93" s="24"/>
      <c r="N93" s="24"/>
      <c r="O93" s="24"/>
      <c r="P93" s="24"/>
      <c r="Q93" s="24"/>
      <c r="R93" s="24"/>
      <c r="S93" s="27"/>
    </row>
    <row r="94" spans="1:19" ht="15.75" x14ac:dyDescent="0.2">
      <c r="A94" s="18" t="s">
        <v>88</v>
      </c>
      <c r="B94" s="19" t="s">
        <v>220</v>
      </c>
      <c r="C94" s="34" t="s">
        <v>301</v>
      </c>
      <c r="D94" s="35" t="s">
        <v>340</v>
      </c>
      <c r="E94" s="35" t="s">
        <v>341</v>
      </c>
      <c r="F94" s="24"/>
      <c r="G94" s="29">
        <v>76.72</v>
      </c>
      <c r="H94" s="29">
        <v>154.29</v>
      </c>
      <c r="I94" s="29">
        <v>69.2</v>
      </c>
      <c r="J94" s="29">
        <v>76.72</v>
      </c>
      <c r="K94" s="24"/>
      <c r="L94" s="24"/>
      <c r="M94" s="24"/>
      <c r="N94" s="24"/>
      <c r="O94" s="24"/>
      <c r="P94" s="24"/>
      <c r="Q94" s="24"/>
      <c r="R94" s="24"/>
      <c r="S94" s="27"/>
    </row>
    <row r="95" spans="1:19" ht="15.75" x14ac:dyDescent="0.2">
      <c r="A95" s="18" t="s">
        <v>89</v>
      </c>
      <c r="B95" s="19" t="s">
        <v>221</v>
      </c>
      <c r="C95" s="34" t="s">
        <v>302</v>
      </c>
      <c r="D95" s="35" t="s">
        <v>342</v>
      </c>
      <c r="E95" s="35" t="s">
        <v>317</v>
      </c>
      <c r="F95" s="24"/>
      <c r="G95" s="29">
        <v>175.36</v>
      </c>
      <c r="H95" s="29">
        <v>352.65</v>
      </c>
      <c r="I95" s="29">
        <v>158.16</v>
      </c>
      <c r="J95" s="29">
        <v>175.36</v>
      </c>
      <c r="K95" s="24"/>
      <c r="L95" s="24"/>
      <c r="M95" s="24"/>
      <c r="N95" s="24"/>
      <c r="O95" s="24"/>
      <c r="P95" s="24"/>
      <c r="Q95" s="24"/>
      <c r="R95" s="24"/>
      <c r="S95" s="27"/>
    </row>
    <row r="96" spans="1:19" ht="15.75" x14ac:dyDescent="0.2">
      <c r="A96" s="18" t="s">
        <v>90</v>
      </c>
      <c r="B96" s="19" t="s">
        <v>222</v>
      </c>
      <c r="C96" s="34" t="s">
        <v>280</v>
      </c>
      <c r="D96" s="35" t="s">
        <v>318</v>
      </c>
      <c r="E96" s="35" t="s">
        <v>319</v>
      </c>
      <c r="F96" s="24"/>
      <c r="G96" s="29">
        <v>274</v>
      </c>
      <c r="H96" s="29">
        <v>551.02</v>
      </c>
      <c r="I96" s="29">
        <v>247.13</v>
      </c>
      <c r="J96" s="29">
        <v>274</v>
      </c>
      <c r="K96" s="24"/>
      <c r="L96" s="24"/>
      <c r="M96" s="24"/>
      <c r="N96" s="24"/>
      <c r="O96" s="24"/>
      <c r="P96" s="24"/>
      <c r="Q96" s="24"/>
      <c r="R96" s="24"/>
      <c r="S96" s="27"/>
    </row>
    <row r="97" spans="1:19" ht="15.75" x14ac:dyDescent="0.2">
      <c r="A97" s="18" t="s">
        <v>91</v>
      </c>
      <c r="B97" s="19" t="s">
        <v>223</v>
      </c>
      <c r="C97" s="34" t="s">
        <v>287</v>
      </c>
      <c r="D97" s="35" t="s">
        <v>320</v>
      </c>
      <c r="E97" s="35" t="s">
        <v>321</v>
      </c>
      <c r="F97" s="24"/>
      <c r="G97" s="29">
        <v>383.61</v>
      </c>
      <c r="H97" s="29">
        <v>771.42</v>
      </c>
      <c r="I97" s="29">
        <v>345.98</v>
      </c>
      <c r="J97" s="29">
        <v>383.61</v>
      </c>
      <c r="K97" s="24"/>
      <c r="L97" s="24"/>
      <c r="M97" s="24"/>
      <c r="N97" s="24"/>
      <c r="O97" s="24"/>
      <c r="P97" s="24"/>
      <c r="Q97" s="24"/>
      <c r="R97" s="24"/>
      <c r="S97" s="27"/>
    </row>
    <row r="98" spans="1:19" ht="15.75" x14ac:dyDescent="0.2">
      <c r="A98" s="18" t="s">
        <v>92</v>
      </c>
      <c r="B98" s="19" t="s">
        <v>224</v>
      </c>
      <c r="C98" s="34" t="s">
        <v>303</v>
      </c>
      <c r="D98" s="35" t="s">
        <v>343</v>
      </c>
      <c r="E98" s="35" t="s">
        <v>344</v>
      </c>
      <c r="F98" s="24"/>
      <c r="G98" s="29">
        <v>219.2</v>
      </c>
      <c r="H98" s="29">
        <v>440.81</v>
      </c>
      <c r="I98" s="29">
        <v>197.7</v>
      </c>
      <c r="J98" s="29">
        <v>219.2</v>
      </c>
      <c r="K98" s="24"/>
      <c r="L98" s="24"/>
      <c r="M98" s="24"/>
      <c r="N98" s="24"/>
      <c r="O98" s="24"/>
      <c r="P98" s="24"/>
      <c r="Q98" s="24"/>
      <c r="R98" s="24"/>
      <c r="S98" s="27"/>
    </row>
    <row r="99" spans="1:19" ht="15.75" x14ac:dyDescent="0.2">
      <c r="A99" s="18" t="s">
        <v>93</v>
      </c>
      <c r="B99" s="19" t="s">
        <v>225</v>
      </c>
      <c r="C99" s="34" t="s">
        <v>304</v>
      </c>
      <c r="D99" s="35" t="s">
        <v>345</v>
      </c>
      <c r="E99" s="35" t="s">
        <v>322</v>
      </c>
      <c r="F99" s="24"/>
      <c r="G99" s="29">
        <v>339.77</v>
      </c>
      <c r="H99" s="29">
        <v>683.26</v>
      </c>
      <c r="I99" s="29">
        <v>306.44</v>
      </c>
      <c r="J99" s="29">
        <v>339.77</v>
      </c>
      <c r="K99" s="24"/>
      <c r="L99" s="24"/>
      <c r="M99" s="24"/>
      <c r="N99" s="24"/>
      <c r="O99" s="24"/>
      <c r="P99" s="24"/>
      <c r="Q99" s="24"/>
      <c r="R99" s="24"/>
      <c r="S99" s="27"/>
    </row>
    <row r="100" spans="1:19" ht="15.75" x14ac:dyDescent="0.2">
      <c r="A100" s="18" t="s">
        <v>94</v>
      </c>
      <c r="B100" s="19" t="s">
        <v>226</v>
      </c>
      <c r="C100" s="34" t="s">
        <v>305</v>
      </c>
      <c r="D100" s="35" t="s">
        <v>346</v>
      </c>
      <c r="E100" s="35" t="s">
        <v>331</v>
      </c>
      <c r="F100" s="24"/>
      <c r="G100" s="22">
        <f>$G$6/60*(36+50)/2</f>
        <v>471.28716666666674</v>
      </c>
      <c r="H100" s="22">
        <f>$H$6/60*(36+50)/2</f>
        <v>947.74866666666662</v>
      </c>
      <c r="I100" s="22">
        <f>$I$6/60*(36+50)/2</f>
        <v>425.06216666666666</v>
      </c>
      <c r="J100" s="22">
        <f>$J$6/60*(36+50)/2</f>
        <v>471.28716666666674</v>
      </c>
      <c r="K100" s="24"/>
      <c r="L100" s="24"/>
      <c r="M100" s="24"/>
      <c r="N100" s="24"/>
      <c r="O100" s="24"/>
      <c r="P100" s="24"/>
      <c r="Q100" s="24"/>
      <c r="R100" s="24"/>
      <c r="S100" s="27"/>
    </row>
    <row r="101" spans="1:19" ht="15.75" x14ac:dyDescent="0.2">
      <c r="A101" s="18" t="s">
        <v>95</v>
      </c>
      <c r="B101" s="19" t="s">
        <v>227</v>
      </c>
      <c r="C101" s="34" t="s">
        <v>306</v>
      </c>
      <c r="D101" s="35" t="s">
        <v>347</v>
      </c>
      <c r="E101" s="35" t="s">
        <v>348</v>
      </c>
      <c r="F101" s="24"/>
      <c r="G101" s="29">
        <v>635.69000000000005</v>
      </c>
      <c r="H101" s="29">
        <v>1278.3599999999999</v>
      </c>
      <c r="I101" s="29">
        <v>573.34</v>
      </c>
      <c r="J101" s="29">
        <v>635.69000000000005</v>
      </c>
      <c r="K101" s="24"/>
      <c r="L101" s="24"/>
      <c r="M101" s="24"/>
      <c r="N101" s="24"/>
      <c r="O101" s="24"/>
      <c r="P101" s="24"/>
      <c r="Q101" s="24"/>
      <c r="R101" s="24"/>
      <c r="S101" s="27"/>
    </row>
    <row r="102" spans="1:19" ht="15.75" x14ac:dyDescent="0.2">
      <c r="A102" s="18" t="s">
        <v>96</v>
      </c>
      <c r="B102" s="19" t="s">
        <v>228</v>
      </c>
      <c r="C102" s="34" t="s">
        <v>307</v>
      </c>
      <c r="D102" s="35" t="s">
        <v>349</v>
      </c>
      <c r="E102" s="35" t="s">
        <v>350</v>
      </c>
      <c r="F102" s="24"/>
      <c r="G102" s="29">
        <v>800.09</v>
      </c>
      <c r="H102" s="29">
        <v>1608.97</v>
      </c>
      <c r="I102" s="29">
        <v>721.62</v>
      </c>
      <c r="J102" s="29">
        <v>800.09</v>
      </c>
      <c r="K102" s="24"/>
      <c r="L102" s="24"/>
      <c r="M102" s="24"/>
      <c r="N102" s="24"/>
      <c r="O102" s="24"/>
      <c r="P102" s="24"/>
      <c r="Q102" s="24"/>
      <c r="R102" s="24"/>
      <c r="S102" s="27"/>
    </row>
    <row r="103" spans="1:19" ht="15.75" x14ac:dyDescent="0.2">
      <c r="A103" s="18" t="s">
        <v>97</v>
      </c>
      <c r="B103" s="19" t="s">
        <v>229</v>
      </c>
      <c r="C103" s="34" t="s">
        <v>308</v>
      </c>
      <c r="D103" s="35" t="s">
        <v>351</v>
      </c>
      <c r="E103" s="35" t="s">
        <v>318</v>
      </c>
      <c r="F103" s="24"/>
      <c r="G103" s="29">
        <v>164.4</v>
      </c>
      <c r="H103" s="29">
        <v>330.61</v>
      </c>
      <c r="I103" s="29">
        <v>148.28</v>
      </c>
      <c r="J103" s="29">
        <v>164.4</v>
      </c>
      <c r="K103" s="24"/>
      <c r="L103" s="24"/>
      <c r="M103" s="24"/>
      <c r="N103" s="24"/>
      <c r="O103" s="24"/>
      <c r="P103" s="24"/>
      <c r="Q103" s="24"/>
      <c r="R103" s="24"/>
      <c r="S103" s="27"/>
    </row>
    <row r="104" spans="1:19" ht="15.75" x14ac:dyDescent="0.2">
      <c r="A104" s="18" t="s">
        <v>98</v>
      </c>
      <c r="B104" s="19" t="s">
        <v>230</v>
      </c>
      <c r="C104" s="34" t="s">
        <v>309</v>
      </c>
      <c r="D104" s="35" t="s">
        <v>328</v>
      </c>
      <c r="E104" s="35" t="s">
        <v>322</v>
      </c>
      <c r="F104" s="24"/>
      <c r="G104" s="29">
        <v>306.89</v>
      </c>
      <c r="H104" s="29">
        <v>617.14</v>
      </c>
      <c r="I104" s="29">
        <v>276.79000000000002</v>
      </c>
      <c r="J104" s="29">
        <v>306.89</v>
      </c>
      <c r="K104" s="24"/>
      <c r="L104" s="24"/>
      <c r="M104" s="24"/>
      <c r="N104" s="24"/>
      <c r="O104" s="24"/>
      <c r="P104" s="24"/>
      <c r="Q104" s="24"/>
      <c r="R104" s="24"/>
      <c r="S104" s="27"/>
    </row>
    <row r="105" spans="1:19" ht="15.75" x14ac:dyDescent="0.2">
      <c r="A105" s="18" t="s">
        <v>99</v>
      </c>
      <c r="B105" s="19" t="s">
        <v>231</v>
      </c>
      <c r="C105" s="34" t="s">
        <v>305</v>
      </c>
      <c r="D105" s="35" t="s">
        <v>346</v>
      </c>
      <c r="E105" s="35" t="s">
        <v>331</v>
      </c>
      <c r="F105" s="24"/>
      <c r="G105" s="29">
        <v>471.29</v>
      </c>
      <c r="H105" s="29">
        <v>947.75</v>
      </c>
      <c r="I105" s="29">
        <v>425.06</v>
      </c>
      <c r="J105" s="29">
        <v>471.29</v>
      </c>
      <c r="K105" s="24"/>
      <c r="L105" s="24"/>
      <c r="M105" s="24"/>
      <c r="N105" s="24"/>
      <c r="O105" s="24"/>
      <c r="P105" s="24"/>
      <c r="Q105" s="24"/>
      <c r="R105" s="24"/>
      <c r="S105" s="27"/>
    </row>
    <row r="106" spans="1:19" ht="15.75" x14ac:dyDescent="0.2">
      <c r="A106" s="18" t="s">
        <v>100</v>
      </c>
      <c r="B106" s="19" t="s">
        <v>232</v>
      </c>
      <c r="C106" s="34" t="s">
        <v>310</v>
      </c>
      <c r="D106" s="35" t="s">
        <v>347</v>
      </c>
      <c r="E106" s="35" t="s">
        <v>332</v>
      </c>
      <c r="F106" s="24"/>
      <c r="G106" s="29">
        <v>668.57</v>
      </c>
      <c r="H106" s="29">
        <v>1344.48</v>
      </c>
      <c r="I106" s="29">
        <v>603</v>
      </c>
      <c r="J106" s="29">
        <v>668.57</v>
      </c>
      <c r="K106" s="24"/>
      <c r="L106" s="24"/>
      <c r="M106" s="24"/>
      <c r="N106" s="24"/>
      <c r="O106" s="24"/>
      <c r="P106" s="24"/>
      <c r="Q106" s="24"/>
      <c r="R106" s="24"/>
      <c r="S106" s="27"/>
    </row>
    <row r="107" spans="1:19" ht="15.75" x14ac:dyDescent="0.2">
      <c r="A107" s="18" t="s">
        <v>101</v>
      </c>
      <c r="B107" s="19" t="s">
        <v>233</v>
      </c>
      <c r="C107" s="20" t="s">
        <v>311</v>
      </c>
      <c r="D107" s="21" t="s">
        <v>315</v>
      </c>
      <c r="E107" s="21" t="s">
        <v>315</v>
      </c>
      <c r="F107" s="24"/>
      <c r="G107" s="30">
        <f>$G$6</f>
        <v>657.61</v>
      </c>
      <c r="H107" s="36"/>
      <c r="I107" s="29">
        <v>593.11</v>
      </c>
      <c r="J107" s="30">
        <f>$J$6</f>
        <v>657.61</v>
      </c>
      <c r="K107" s="22">
        <f>$K$6</f>
        <v>537.15</v>
      </c>
      <c r="L107" s="24"/>
      <c r="M107" s="22">
        <f>$M$6</f>
        <v>633.02</v>
      </c>
      <c r="N107" s="22">
        <f>$N$6</f>
        <v>531.84</v>
      </c>
      <c r="O107" s="1">
        <v>344.17</v>
      </c>
      <c r="P107" s="24"/>
      <c r="Q107" s="24"/>
      <c r="R107" s="24"/>
      <c r="S107" s="27"/>
    </row>
    <row r="108" spans="1:19" ht="15.75" x14ac:dyDescent="0.2">
      <c r="A108" s="18" t="s">
        <v>102</v>
      </c>
      <c r="B108" s="19" t="s">
        <v>234</v>
      </c>
      <c r="C108" s="20" t="s">
        <v>312</v>
      </c>
      <c r="D108" s="21" t="s">
        <v>315</v>
      </c>
      <c r="E108" s="21" t="s">
        <v>315</v>
      </c>
      <c r="F108" s="24"/>
      <c r="G108" s="24"/>
      <c r="H108" s="22">
        <f>$H$6</f>
        <v>1322.44</v>
      </c>
      <c r="I108" s="36"/>
      <c r="J108" s="24"/>
      <c r="K108" s="24"/>
      <c r="L108" s="24"/>
      <c r="M108" s="24"/>
      <c r="N108" s="24"/>
      <c r="O108" s="24"/>
      <c r="P108" s="24"/>
      <c r="Q108" s="24"/>
      <c r="R108" s="24"/>
      <c r="S108" s="27"/>
    </row>
    <row r="109" spans="1:19" ht="15.75" x14ac:dyDescent="0.2">
      <c r="A109" s="18" t="s">
        <v>103</v>
      </c>
      <c r="B109" s="19" t="s">
        <v>235</v>
      </c>
      <c r="C109" s="20" t="s">
        <v>311</v>
      </c>
      <c r="D109" s="21" t="s">
        <v>315</v>
      </c>
      <c r="E109" s="21" t="s">
        <v>315</v>
      </c>
      <c r="F109" s="24"/>
      <c r="G109" s="22">
        <f>$G$6</f>
        <v>657.61</v>
      </c>
      <c r="H109" s="24"/>
      <c r="I109" s="29">
        <v>593.11</v>
      </c>
      <c r="J109" s="22">
        <f>$J$6</f>
        <v>657.61</v>
      </c>
      <c r="K109" s="22">
        <f>$K$6</f>
        <v>537.15</v>
      </c>
      <c r="L109" s="24"/>
      <c r="M109" s="22">
        <f>$M$6</f>
        <v>633.02</v>
      </c>
      <c r="N109" s="22">
        <f>$N$6</f>
        <v>531.84</v>
      </c>
      <c r="O109" s="1">
        <v>344.17</v>
      </c>
      <c r="P109" s="24"/>
      <c r="Q109" s="24"/>
      <c r="R109" s="24"/>
      <c r="S109" s="27"/>
    </row>
    <row r="110" spans="1:19" ht="15.75" x14ac:dyDescent="0.2">
      <c r="A110" s="18" t="s">
        <v>104</v>
      </c>
      <c r="B110" s="19" t="s">
        <v>236</v>
      </c>
      <c r="C110" s="20" t="s">
        <v>272</v>
      </c>
      <c r="D110" s="21">
        <v>5</v>
      </c>
      <c r="E110" s="21">
        <v>10</v>
      </c>
      <c r="F110" s="24"/>
      <c r="G110" s="29">
        <v>87.68</v>
      </c>
      <c r="H110" s="29">
        <v>176.32</v>
      </c>
      <c r="I110" s="29">
        <v>79.08</v>
      </c>
      <c r="J110" s="29">
        <v>87.68</v>
      </c>
      <c r="K110" s="24"/>
      <c r="L110" s="24"/>
      <c r="M110" s="24"/>
      <c r="N110" s="24"/>
      <c r="O110" s="24"/>
      <c r="P110" s="24"/>
      <c r="Q110" s="24"/>
      <c r="R110" s="24"/>
      <c r="S110" s="27"/>
    </row>
    <row r="111" spans="1:19" ht="15.75" x14ac:dyDescent="0.2">
      <c r="A111" s="18" t="s">
        <v>105</v>
      </c>
      <c r="B111" s="19" t="s">
        <v>237</v>
      </c>
      <c r="C111" s="20" t="s">
        <v>273</v>
      </c>
      <c r="D111" s="21">
        <v>11</v>
      </c>
      <c r="E111" s="21">
        <v>20</v>
      </c>
      <c r="F111" s="24"/>
      <c r="G111" s="29">
        <v>175.36</v>
      </c>
      <c r="H111" s="29">
        <v>352.65</v>
      </c>
      <c r="I111" s="29">
        <v>158.16</v>
      </c>
      <c r="J111" s="29">
        <v>175.36</v>
      </c>
      <c r="K111" s="24"/>
      <c r="L111" s="24"/>
      <c r="M111" s="24"/>
      <c r="N111" s="24"/>
      <c r="O111" s="24"/>
      <c r="P111" s="24"/>
      <c r="Q111" s="24"/>
      <c r="R111" s="24"/>
      <c r="S111" s="27"/>
    </row>
    <row r="112" spans="1:19" ht="15.75" x14ac:dyDescent="0.2">
      <c r="A112" s="18" t="s">
        <v>106</v>
      </c>
      <c r="B112" s="19" t="s">
        <v>238</v>
      </c>
      <c r="C112" s="20" t="s">
        <v>274</v>
      </c>
      <c r="D112" s="21">
        <v>21</v>
      </c>
      <c r="E112" s="21">
        <v>30</v>
      </c>
      <c r="F112" s="24"/>
      <c r="G112" s="29">
        <v>284.97000000000003</v>
      </c>
      <c r="H112" s="29">
        <v>573.04999999999995</v>
      </c>
      <c r="I112" s="29">
        <v>257.01</v>
      </c>
      <c r="J112" s="29">
        <v>284.97000000000003</v>
      </c>
      <c r="K112" s="24"/>
      <c r="L112" s="24"/>
      <c r="M112" s="24"/>
      <c r="N112" s="24"/>
      <c r="O112" s="24"/>
      <c r="P112" s="24"/>
      <c r="Q112" s="24"/>
      <c r="R112" s="24"/>
      <c r="S112" s="27"/>
    </row>
    <row r="113" spans="1:19" ht="15.75" x14ac:dyDescent="0.2">
      <c r="A113" s="18" t="s">
        <v>107</v>
      </c>
      <c r="B113" s="19" t="s">
        <v>239</v>
      </c>
      <c r="C113" s="31" t="s">
        <v>313</v>
      </c>
      <c r="D113" s="21">
        <v>5</v>
      </c>
      <c r="E113" s="21">
        <v>15</v>
      </c>
      <c r="F113" s="24"/>
      <c r="G113" s="24"/>
      <c r="H113" s="22">
        <f>$H$6/60*(5+15)/2</f>
        <v>220.40666666666667</v>
      </c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7"/>
    </row>
    <row r="114" spans="1:19" ht="16.5" customHeight="1" x14ac:dyDescent="0.25">
      <c r="A114" s="25" t="s">
        <v>108</v>
      </c>
      <c r="B114" s="37" t="s">
        <v>240</v>
      </c>
      <c r="C114" s="38" t="s">
        <v>314</v>
      </c>
      <c r="D114" s="10" t="s">
        <v>315</v>
      </c>
      <c r="E114" s="10" t="s">
        <v>315</v>
      </c>
      <c r="F114" s="39">
        <f>$F$6</f>
        <v>241.91</v>
      </c>
      <c r="G114" s="39">
        <f>$G$6</f>
        <v>657.61</v>
      </c>
      <c r="H114" s="2">
        <v>1322.44</v>
      </c>
      <c r="I114" s="2">
        <v>593.11</v>
      </c>
      <c r="J114" s="39">
        <f>$J$6</f>
        <v>657.61</v>
      </c>
      <c r="K114" s="39">
        <f>$K$6</f>
        <v>537.15</v>
      </c>
      <c r="L114" s="39">
        <f>$L$6</f>
        <v>282.18</v>
      </c>
      <c r="M114" s="39">
        <f>$M$6</f>
        <v>633.02</v>
      </c>
      <c r="N114" s="39">
        <f>$N$6</f>
        <v>531.84</v>
      </c>
      <c r="O114" s="2">
        <v>344.17</v>
      </c>
      <c r="P114" s="40"/>
      <c r="Q114" s="40"/>
      <c r="R114" s="40"/>
      <c r="S114" s="41"/>
    </row>
    <row r="115" spans="1:19" ht="15.75" x14ac:dyDescent="0.2">
      <c r="A115" s="18" t="s">
        <v>109</v>
      </c>
      <c r="B115" s="19" t="s">
        <v>241</v>
      </c>
      <c r="C115" s="20">
        <v>15</v>
      </c>
      <c r="D115" s="21" t="s">
        <v>315</v>
      </c>
      <c r="E115" s="21" t="s">
        <v>315</v>
      </c>
      <c r="F115" s="24"/>
      <c r="G115" s="24"/>
      <c r="H115" s="24"/>
      <c r="I115" s="24"/>
      <c r="J115" s="24"/>
      <c r="K115" s="24"/>
      <c r="L115" s="24"/>
      <c r="M115" s="22">
        <f>$M$6/4</f>
        <v>158.255</v>
      </c>
      <c r="N115" s="24"/>
      <c r="O115" s="24"/>
      <c r="P115" s="24"/>
      <c r="Q115" s="24"/>
      <c r="R115" s="24"/>
      <c r="S115" s="27"/>
    </row>
    <row r="116" spans="1:19" ht="15.75" x14ac:dyDescent="0.2">
      <c r="A116" s="18" t="s">
        <v>110</v>
      </c>
      <c r="B116" s="19" t="s">
        <v>242</v>
      </c>
      <c r="C116" s="20">
        <v>15</v>
      </c>
      <c r="D116" s="21" t="s">
        <v>315</v>
      </c>
      <c r="E116" s="21" t="s">
        <v>315</v>
      </c>
      <c r="F116" s="24"/>
      <c r="G116" s="24"/>
      <c r="H116" s="24"/>
      <c r="I116" s="24"/>
      <c r="J116" s="24"/>
      <c r="K116" s="24"/>
      <c r="L116" s="24"/>
      <c r="M116" s="22">
        <f>$M$6/4</f>
        <v>158.255</v>
      </c>
      <c r="N116" s="24"/>
      <c r="O116" s="24"/>
      <c r="P116" s="24"/>
      <c r="Q116" s="24"/>
      <c r="R116" s="24"/>
      <c r="S116" s="27"/>
    </row>
    <row r="117" spans="1:19" ht="15.75" x14ac:dyDescent="0.2">
      <c r="A117" s="18" t="s">
        <v>111</v>
      </c>
      <c r="B117" s="19" t="s">
        <v>243</v>
      </c>
      <c r="C117" s="20">
        <v>15</v>
      </c>
      <c r="D117" s="21" t="s">
        <v>315</v>
      </c>
      <c r="E117" s="21" t="s">
        <v>315</v>
      </c>
      <c r="F117" s="24"/>
      <c r="G117" s="24"/>
      <c r="H117" s="24"/>
      <c r="I117" s="24"/>
      <c r="J117" s="24"/>
      <c r="K117" s="24"/>
      <c r="L117" s="24"/>
      <c r="M117" s="22">
        <f>$M$6/4</f>
        <v>158.255</v>
      </c>
      <c r="N117" s="24"/>
      <c r="O117" s="24"/>
      <c r="P117" s="24"/>
      <c r="Q117" s="24"/>
      <c r="R117" s="24"/>
      <c r="S117" s="27"/>
    </row>
    <row r="118" spans="1:19" ht="15.75" x14ac:dyDescent="0.25">
      <c r="A118" s="25" t="s">
        <v>112</v>
      </c>
      <c r="B118" s="19" t="s">
        <v>244</v>
      </c>
      <c r="C118" s="26">
        <v>15</v>
      </c>
      <c r="D118" s="21" t="s">
        <v>315</v>
      </c>
      <c r="E118" s="21" t="s">
        <v>315</v>
      </c>
      <c r="F118" s="24"/>
      <c r="G118" s="22">
        <f>$G$6/4</f>
        <v>164.4025</v>
      </c>
      <c r="H118" s="22">
        <f>$H$6/4</f>
        <v>330.61</v>
      </c>
      <c r="I118" s="22">
        <f>$I$6/4</f>
        <v>148.2775</v>
      </c>
      <c r="J118" s="22">
        <f>$J$6/4</f>
        <v>164.4025</v>
      </c>
      <c r="K118" s="22">
        <f>$K$6/4</f>
        <v>134.28749999999999</v>
      </c>
      <c r="L118" s="24"/>
      <c r="M118" s="29">
        <v>158.26</v>
      </c>
      <c r="N118" s="22">
        <f>$N$6/4</f>
        <v>132.96</v>
      </c>
      <c r="O118" s="22">
        <f>$O$6/4</f>
        <v>86.04</v>
      </c>
      <c r="P118" s="24"/>
      <c r="Q118" s="24"/>
      <c r="R118" s="24"/>
      <c r="S118" s="27"/>
    </row>
    <row r="119" spans="1:19" ht="15.75" x14ac:dyDescent="0.25">
      <c r="A119" s="25" t="s">
        <v>113</v>
      </c>
      <c r="B119" s="19" t="s">
        <v>245</v>
      </c>
      <c r="C119" s="26">
        <v>15</v>
      </c>
      <c r="D119" s="21" t="s">
        <v>315</v>
      </c>
      <c r="E119" s="21" t="s">
        <v>315</v>
      </c>
      <c r="F119" s="24"/>
      <c r="G119" s="22">
        <f>$G$6/4/4.5</f>
        <v>36.533888888888889</v>
      </c>
      <c r="H119" s="22">
        <f>$H$6/4/4.5</f>
        <v>73.468888888888898</v>
      </c>
      <c r="I119" s="22">
        <f>$I$6/4/4.5</f>
        <v>32.950555555555553</v>
      </c>
      <c r="J119" s="22">
        <f>$J$6/4/4.5</f>
        <v>36.533888888888889</v>
      </c>
      <c r="K119" s="22">
        <f>$K$6/4/4.5</f>
        <v>29.841666666666665</v>
      </c>
      <c r="L119" s="24"/>
      <c r="M119" s="22">
        <f>$M$6/4/4.5</f>
        <v>35.167777777777779</v>
      </c>
      <c r="N119" s="22">
        <f>$N$6/4/4.5</f>
        <v>29.546666666666667</v>
      </c>
      <c r="O119" s="22">
        <f>$O$6/4/4.5</f>
        <v>19.12</v>
      </c>
      <c r="P119" s="24"/>
      <c r="Q119" s="24"/>
      <c r="R119" s="24"/>
      <c r="S119" s="27"/>
    </row>
    <row r="120" spans="1:19" ht="15.75" x14ac:dyDescent="0.2">
      <c r="A120" s="18" t="s">
        <v>114</v>
      </c>
      <c r="B120" s="19" t="s">
        <v>246</v>
      </c>
      <c r="C120" s="20">
        <v>15</v>
      </c>
      <c r="D120" s="21" t="s">
        <v>315</v>
      </c>
      <c r="E120" s="21" t="s">
        <v>315</v>
      </c>
      <c r="F120" s="22">
        <f>$F$6/4</f>
        <v>60.477499999999999</v>
      </c>
      <c r="G120" s="22">
        <f>$G$6/4</f>
        <v>164.4025</v>
      </c>
      <c r="H120" s="22">
        <f>$H$6/4</f>
        <v>330.61</v>
      </c>
      <c r="I120" s="22">
        <f>$I$6/4</f>
        <v>148.2775</v>
      </c>
      <c r="J120" s="22">
        <f>$J$6/4</f>
        <v>164.4025</v>
      </c>
      <c r="K120" s="22">
        <f>$K$6/4</f>
        <v>134.28749999999999</v>
      </c>
      <c r="L120" s="22">
        <f>$L$6/4</f>
        <v>70.545000000000002</v>
      </c>
      <c r="M120" s="22">
        <f>$M$6/4</f>
        <v>158.255</v>
      </c>
      <c r="N120" s="22">
        <f>$N$6/4</f>
        <v>132.96</v>
      </c>
      <c r="O120" s="22">
        <f>$O$6/4</f>
        <v>86.04</v>
      </c>
      <c r="P120" s="22">
        <f>$P$6/4</f>
        <v>114.535</v>
      </c>
      <c r="Q120" s="24"/>
      <c r="R120" s="22">
        <f>$R$6/4</f>
        <v>64.734999999999999</v>
      </c>
      <c r="S120" s="23">
        <f>$S$6/4</f>
        <v>64.734999999999999</v>
      </c>
    </row>
    <row r="121" spans="1:19" ht="15.75" x14ac:dyDescent="0.2">
      <c r="A121" s="18" t="s">
        <v>115</v>
      </c>
      <c r="B121" s="19" t="s">
        <v>247</v>
      </c>
      <c r="C121" s="20">
        <v>15</v>
      </c>
      <c r="D121" s="21" t="s">
        <v>315</v>
      </c>
      <c r="E121" s="21" t="s">
        <v>315</v>
      </c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2">
        <f>$Q$6/4/4.5</f>
        <v>15.104444444444445</v>
      </c>
      <c r="R121" s="42"/>
      <c r="S121" s="43"/>
    </row>
    <row r="122" spans="1:19" ht="15.75" x14ac:dyDescent="0.2">
      <c r="A122" s="18" t="s">
        <v>116</v>
      </c>
      <c r="B122" s="19" t="s">
        <v>248</v>
      </c>
      <c r="C122" s="20">
        <v>15</v>
      </c>
      <c r="D122" s="21" t="s">
        <v>315</v>
      </c>
      <c r="E122" s="21" t="s">
        <v>315</v>
      </c>
      <c r="F122" s="22">
        <f>$F$6/4</f>
        <v>60.477499999999999</v>
      </c>
      <c r="G122" s="22">
        <f>$G$6/4</f>
        <v>164.4025</v>
      </c>
      <c r="H122" s="24"/>
      <c r="I122" s="22">
        <f>$I$6/4</f>
        <v>148.2775</v>
      </c>
      <c r="J122" s="22">
        <f>$J$6/4</f>
        <v>164.4025</v>
      </c>
      <c r="K122" s="22">
        <f>$K$6/4</f>
        <v>134.28749999999999</v>
      </c>
      <c r="L122" s="22">
        <f>$L$6/4</f>
        <v>70.545000000000002</v>
      </c>
      <c r="M122" s="29">
        <v>158.26</v>
      </c>
      <c r="N122" s="22">
        <f>$N$6/4</f>
        <v>132.96</v>
      </c>
      <c r="O122" s="22">
        <f>$O$6/4</f>
        <v>86.04</v>
      </c>
      <c r="P122" s="22">
        <f>$P$6/4</f>
        <v>114.535</v>
      </c>
      <c r="Q122" s="24"/>
      <c r="R122" s="26">
        <v>64.739999999999995</v>
      </c>
      <c r="S122" s="26">
        <v>64.739999999999995</v>
      </c>
    </row>
    <row r="123" spans="1:19" ht="15.75" x14ac:dyDescent="0.2">
      <c r="A123" s="18" t="s">
        <v>117</v>
      </c>
      <c r="B123" s="19" t="s">
        <v>249</v>
      </c>
      <c r="C123" s="20">
        <v>15</v>
      </c>
      <c r="D123" s="21" t="s">
        <v>315</v>
      </c>
      <c r="E123" s="21" t="s">
        <v>315</v>
      </c>
      <c r="F123" s="22">
        <f>$F$6/4</f>
        <v>60.477499999999999</v>
      </c>
      <c r="G123" s="22">
        <f>$G$6/4</f>
        <v>164.4025</v>
      </c>
      <c r="H123" s="24"/>
      <c r="I123" s="22">
        <f>$I$6/4</f>
        <v>148.2775</v>
      </c>
      <c r="J123" s="22">
        <f>$J$6/4</f>
        <v>164.4025</v>
      </c>
      <c r="K123" s="22">
        <f>$K$6/4</f>
        <v>134.28749999999999</v>
      </c>
      <c r="L123" s="22">
        <f>$L$6/4</f>
        <v>70.545000000000002</v>
      </c>
      <c r="M123" s="29">
        <v>158.26</v>
      </c>
      <c r="N123" s="22">
        <f>$N$6/4</f>
        <v>132.96</v>
      </c>
      <c r="O123" s="22">
        <f>$O$6/4</f>
        <v>86.04</v>
      </c>
      <c r="P123" s="22">
        <f>$P$6/4</f>
        <v>114.535</v>
      </c>
      <c r="Q123" s="24"/>
      <c r="R123" s="26">
        <v>64.739999999999995</v>
      </c>
      <c r="S123" s="26">
        <v>64.739999999999995</v>
      </c>
    </row>
    <row r="124" spans="1:19" ht="15.75" x14ac:dyDescent="0.2">
      <c r="A124" s="18" t="s">
        <v>118</v>
      </c>
      <c r="B124" s="19" t="s">
        <v>250</v>
      </c>
      <c r="C124" s="20">
        <v>15</v>
      </c>
      <c r="D124" s="21" t="s">
        <v>315</v>
      </c>
      <c r="E124" s="21" t="s">
        <v>315</v>
      </c>
      <c r="F124" s="22">
        <f>$F$6/4</f>
        <v>60.477499999999999</v>
      </c>
      <c r="G124" s="22">
        <f>$G$6/4</f>
        <v>164.4025</v>
      </c>
      <c r="H124" s="22">
        <f>$H$6/4</f>
        <v>330.61</v>
      </c>
      <c r="I124" s="22">
        <f>$I$6/4</f>
        <v>148.2775</v>
      </c>
      <c r="J124" s="22">
        <f>$J$6/4</f>
        <v>164.4025</v>
      </c>
      <c r="K124" s="22">
        <f>$K$6/4</f>
        <v>134.28749999999999</v>
      </c>
      <c r="L124" s="22">
        <f>$L$6/4</f>
        <v>70.545000000000002</v>
      </c>
      <c r="M124" s="29">
        <v>158.26</v>
      </c>
      <c r="N124" s="22">
        <f>$N$6/4</f>
        <v>132.96</v>
      </c>
      <c r="O124" s="22">
        <f>$O$6/4</f>
        <v>86.04</v>
      </c>
      <c r="P124" s="22">
        <f>$P$6/4</f>
        <v>114.535</v>
      </c>
      <c r="Q124" s="24"/>
      <c r="R124" s="26">
        <v>64.739999999999995</v>
      </c>
      <c r="S124" s="26">
        <v>64.739999999999995</v>
      </c>
    </row>
    <row r="125" spans="1:19" ht="15.75" x14ac:dyDescent="0.2">
      <c r="A125" s="18" t="s">
        <v>119</v>
      </c>
      <c r="B125" s="19" t="s">
        <v>251</v>
      </c>
      <c r="C125" s="20">
        <v>15</v>
      </c>
      <c r="D125" s="21" t="s">
        <v>315</v>
      </c>
      <c r="E125" s="21" t="s">
        <v>315</v>
      </c>
      <c r="F125" s="22">
        <f>$F$6/4</f>
        <v>60.477499999999999</v>
      </c>
      <c r="G125" s="22">
        <f>$G$6/4</f>
        <v>164.4025</v>
      </c>
      <c r="H125" s="22">
        <f>$H$6/4</f>
        <v>330.61</v>
      </c>
      <c r="I125" s="22">
        <f>$I$6/4</f>
        <v>148.2775</v>
      </c>
      <c r="J125" s="22">
        <f>$J$6/4</f>
        <v>164.4025</v>
      </c>
      <c r="K125" s="22">
        <f>$K$6/4</f>
        <v>134.28749999999999</v>
      </c>
      <c r="L125" s="22">
        <f>$L$6/4</f>
        <v>70.545000000000002</v>
      </c>
      <c r="M125" s="29">
        <v>158.26</v>
      </c>
      <c r="N125" s="24"/>
      <c r="O125" s="24"/>
      <c r="P125" s="24"/>
      <c r="Q125" s="24"/>
      <c r="R125" s="36"/>
      <c r="S125" s="44"/>
    </row>
    <row r="126" spans="1:19" ht="15.75" x14ac:dyDescent="0.2">
      <c r="A126" s="18" t="s">
        <v>120</v>
      </c>
      <c r="B126" s="19" t="s">
        <v>252</v>
      </c>
      <c r="C126" s="20">
        <v>15</v>
      </c>
      <c r="D126" s="21" t="s">
        <v>315</v>
      </c>
      <c r="E126" s="21" t="s">
        <v>315</v>
      </c>
      <c r="F126" s="22">
        <f>$F$6/4/4.5</f>
        <v>13.439444444444444</v>
      </c>
      <c r="G126" s="22">
        <f>$G$6/4/4.5</f>
        <v>36.533888888888889</v>
      </c>
      <c r="H126" s="22">
        <f>$H$6/4/4.5</f>
        <v>73.468888888888898</v>
      </c>
      <c r="I126" s="22">
        <f>$I$6/4/4.5</f>
        <v>32.950555555555553</v>
      </c>
      <c r="J126" s="22">
        <f>$J$6/4/4.5</f>
        <v>36.533888888888889</v>
      </c>
      <c r="K126" s="22">
        <f>$K$6/4/4.5</f>
        <v>29.841666666666665</v>
      </c>
      <c r="L126" s="22">
        <f>$L$6/4/4.5</f>
        <v>15.676666666666668</v>
      </c>
      <c r="M126" s="22">
        <f>$M$6/4/4.5</f>
        <v>35.167777777777779</v>
      </c>
      <c r="N126" s="24"/>
      <c r="O126" s="24"/>
      <c r="P126" s="24"/>
      <c r="Q126" s="24"/>
      <c r="R126" s="24"/>
      <c r="S126" s="27"/>
    </row>
    <row r="127" spans="1:19" ht="15.75" x14ac:dyDescent="0.2">
      <c r="A127" s="18" t="s">
        <v>121</v>
      </c>
      <c r="B127" s="19" t="s">
        <v>253</v>
      </c>
      <c r="C127" s="20">
        <v>15</v>
      </c>
      <c r="D127" s="21" t="s">
        <v>315</v>
      </c>
      <c r="E127" s="21" t="s">
        <v>315</v>
      </c>
      <c r="F127" s="24"/>
      <c r="G127" s="24"/>
      <c r="H127" s="24"/>
      <c r="I127" s="24"/>
      <c r="J127" s="24"/>
      <c r="K127" s="24"/>
      <c r="L127" s="24"/>
      <c r="M127" s="42"/>
      <c r="N127" s="24"/>
      <c r="O127" s="24"/>
      <c r="P127" s="24"/>
      <c r="Q127" s="22">
        <f>$Q$6/4</f>
        <v>67.97</v>
      </c>
      <c r="R127" s="42"/>
      <c r="S127" s="43"/>
    </row>
    <row r="128" spans="1:19" ht="15.75" x14ac:dyDescent="0.2">
      <c r="A128" s="18" t="s">
        <v>122</v>
      </c>
      <c r="B128" s="19" t="s">
        <v>254</v>
      </c>
      <c r="C128" s="20">
        <v>15</v>
      </c>
      <c r="D128" s="21" t="s">
        <v>315</v>
      </c>
      <c r="E128" s="21" t="s">
        <v>315</v>
      </c>
      <c r="F128" s="22">
        <f>$F$6/4</f>
        <v>60.477499999999999</v>
      </c>
      <c r="G128" s="22">
        <f>$G$6/4</f>
        <v>164.4025</v>
      </c>
      <c r="H128" s="22">
        <f>$H$6/4</f>
        <v>330.61</v>
      </c>
      <c r="I128" s="22">
        <f>$I$6/4</f>
        <v>148.2775</v>
      </c>
      <c r="J128" s="22">
        <f>$J$6/4</f>
        <v>164.4025</v>
      </c>
      <c r="K128" s="22">
        <f>$K$6/4</f>
        <v>134.28749999999999</v>
      </c>
      <c r="L128" s="22">
        <f>$L$6/4</f>
        <v>70.545000000000002</v>
      </c>
      <c r="M128" s="29">
        <v>158.26</v>
      </c>
      <c r="N128" s="22">
        <f>$N$6/4</f>
        <v>132.96</v>
      </c>
      <c r="O128" s="22">
        <f>$O$6/4</f>
        <v>86.04</v>
      </c>
      <c r="P128" s="22">
        <f>$P$6/4</f>
        <v>114.535</v>
      </c>
      <c r="Q128" s="24"/>
      <c r="R128" s="26">
        <v>64.739999999999995</v>
      </c>
      <c r="S128" s="26">
        <v>64.739999999999995</v>
      </c>
    </row>
    <row r="129" spans="1:19" ht="15.75" x14ac:dyDescent="0.2">
      <c r="A129" s="18" t="s">
        <v>123</v>
      </c>
      <c r="B129" s="19" t="s">
        <v>255</v>
      </c>
      <c r="C129" s="20">
        <v>15</v>
      </c>
      <c r="D129" s="21" t="s">
        <v>315</v>
      </c>
      <c r="E129" s="21" t="s">
        <v>315</v>
      </c>
      <c r="F129" s="22">
        <f>$F$6/4</f>
        <v>60.477499999999999</v>
      </c>
      <c r="G129" s="22">
        <f>$G$6/4</f>
        <v>164.4025</v>
      </c>
      <c r="H129" s="22">
        <f>$H$6/4</f>
        <v>330.61</v>
      </c>
      <c r="I129" s="22">
        <f>$I$6/4</f>
        <v>148.2775</v>
      </c>
      <c r="J129" s="22">
        <f>$J$6/4</f>
        <v>164.4025</v>
      </c>
      <c r="K129" s="22">
        <f>$K$6/4</f>
        <v>134.28749999999999</v>
      </c>
      <c r="L129" s="22">
        <f>$L$6/4</f>
        <v>70.545000000000002</v>
      </c>
      <c r="M129" s="45">
        <f>$M$6/4</f>
        <v>158.255</v>
      </c>
      <c r="N129" s="22">
        <f>$N$6/4</f>
        <v>132.96</v>
      </c>
      <c r="O129" s="22">
        <f>$O$6/4</f>
        <v>86.04</v>
      </c>
      <c r="P129" s="22">
        <f>$P$6/4</f>
        <v>114.535</v>
      </c>
      <c r="Q129" s="24"/>
      <c r="R129" s="45">
        <f>$R$6/4</f>
        <v>64.734999999999999</v>
      </c>
      <c r="S129" s="46">
        <f>$S$6/4</f>
        <v>64.734999999999999</v>
      </c>
    </row>
    <row r="130" spans="1:19" ht="15.75" x14ac:dyDescent="0.2">
      <c r="A130" s="18" t="s">
        <v>124</v>
      </c>
      <c r="B130" s="19" t="s">
        <v>256</v>
      </c>
      <c r="C130" s="20">
        <v>15</v>
      </c>
      <c r="D130" s="21" t="s">
        <v>315</v>
      </c>
      <c r="E130" s="21" t="s">
        <v>315</v>
      </c>
      <c r="F130" s="22">
        <f>$F$6/4</f>
        <v>60.477499999999999</v>
      </c>
      <c r="G130" s="22">
        <f>$G$6/4</f>
        <v>164.4025</v>
      </c>
      <c r="H130" s="22">
        <f>$H$6/4</f>
        <v>330.61</v>
      </c>
      <c r="I130" s="22">
        <f>$I$6/4</f>
        <v>148.2775</v>
      </c>
      <c r="J130" s="22">
        <f>$J$6/4</f>
        <v>164.4025</v>
      </c>
      <c r="K130" s="22">
        <f>$K$6/4</f>
        <v>134.28749999999999</v>
      </c>
      <c r="L130" s="22">
        <f>$L$6/4</f>
        <v>70.545000000000002</v>
      </c>
      <c r="M130" s="29">
        <v>158.26</v>
      </c>
      <c r="N130" s="22">
        <f>$N$6/4</f>
        <v>132.96</v>
      </c>
      <c r="O130" s="22">
        <f>$O$6/4</f>
        <v>86.04</v>
      </c>
      <c r="P130" s="22">
        <f>$P$6/4</f>
        <v>114.535</v>
      </c>
      <c r="Q130" s="24"/>
      <c r="R130" s="26">
        <v>64.739999999999995</v>
      </c>
      <c r="S130" s="26">
        <v>64.739999999999995</v>
      </c>
    </row>
    <row r="131" spans="1:19" ht="15.75" x14ac:dyDescent="0.2">
      <c r="A131" s="47" t="s">
        <v>125</v>
      </c>
      <c r="B131" s="48" t="s">
        <v>257</v>
      </c>
      <c r="C131" s="49">
        <v>15</v>
      </c>
      <c r="D131" s="50" t="s">
        <v>315</v>
      </c>
      <c r="E131" s="50" t="s">
        <v>315</v>
      </c>
      <c r="F131" s="32">
        <f>$F$6/4/4.5</f>
        <v>13.439444444444444</v>
      </c>
      <c r="G131" s="32">
        <f>$G$6/4/4.5</f>
        <v>36.533888888888889</v>
      </c>
      <c r="H131" s="32">
        <f>$H$6/4/4.5</f>
        <v>73.468888888888898</v>
      </c>
      <c r="I131" s="32">
        <f>$I$6/4/4.5</f>
        <v>32.950555555555553</v>
      </c>
      <c r="J131" s="32">
        <f>$J$6/4/4.5</f>
        <v>36.533888888888889</v>
      </c>
      <c r="K131" s="32">
        <f>$K$6/4/4.5</f>
        <v>29.841666666666665</v>
      </c>
      <c r="L131" s="32">
        <f>$L$6/4/4.5</f>
        <v>15.676666666666668</v>
      </c>
      <c r="M131" s="45">
        <f>$M$6/4/4.5</f>
        <v>35.167777777777779</v>
      </c>
      <c r="N131" s="32">
        <f>$N$6/4/4.5</f>
        <v>29.546666666666667</v>
      </c>
      <c r="O131" s="32">
        <f>$O$6/4/4.5</f>
        <v>19.12</v>
      </c>
      <c r="P131" s="32">
        <f>$P$6/4/4.5</f>
        <v>25.452222222222222</v>
      </c>
      <c r="Q131" s="42"/>
      <c r="R131" s="45">
        <f>$R$6/4/4.5</f>
        <v>14.385555555555555</v>
      </c>
      <c r="S131" s="46">
        <f>$S$6/4/4.5</f>
        <v>14.385555555555555</v>
      </c>
    </row>
    <row r="132" spans="1:19" ht="15.75" x14ac:dyDescent="0.2">
      <c r="A132" s="18" t="s">
        <v>126</v>
      </c>
      <c r="B132" s="19" t="s">
        <v>258</v>
      </c>
      <c r="C132" s="20">
        <v>15</v>
      </c>
      <c r="D132" s="21" t="s">
        <v>315</v>
      </c>
      <c r="E132" s="21" t="s">
        <v>315</v>
      </c>
      <c r="F132" s="22">
        <f>$F$6/4</f>
        <v>60.477499999999999</v>
      </c>
      <c r="G132" s="22">
        <f>$G$6/4</f>
        <v>164.4025</v>
      </c>
      <c r="H132" s="22">
        <f>$H$6/4</f>
        <v>330.61</v>
      </c>
      <c r="I132" s="22">
        <f>$I$6/4</f>
        <v>148.2775</v>
      </c>
      <c r="J132" s="22">
        <f>$J$6/4</f>
        <v>164.4025</v>
      </c>
      <c r="K132" s="22">
        <f>$K$6/4</f>
        <v>134.28749999999999</v>
      </c>
      <c r="L132" s="22">
        <f>$L$6/4</f>
        <v>70.545000000000002</v>
      </c>
      <c r="M132" s="29">
        <v>158.26</v>
      </c>
      <c r="N132" s="22">
        <f>$N$6/4</f>
        <v>132.96</v>
      </c>
      <c r="O132" s="22">
        <f>$O$6/4</f>
        <v>86.04</v>
      </c>
      <c r="P132" s="22">
        <f>$P$6/4</f>
        <v>114.535</v>
      </c>
      <c r="Q132" s="24"/>
      <c r="R132" s="26">
        <v>64.739999999999995</v>
      </c>
      <c r="S132" s="26">
        <v>64.739999999999995</v>
      </c>
    </row>
    <row r="133" spans="1:19" ht="15.75" x14ac:dyDescent="0.2">
      <c r="A133" s="18" t="s">
        <v>127</v>
      </c>
      <c r="B133" s="19" t="s">
        <v>259</v>
      </c>
      <c r="C133" s="20">
        <v>15</v>
      </c>
      <c r="D133" s="21" t="s">
        <v>315</v>
      </c>
      <c r="E133" s="21" t="s">
        <v>315</v>
      </c>
      <c r="F133" s="22">
        <f>$F$6/4</f>
        <v>60.477499999999999</v>
      </c>
      <c r="G133" s="22">
        <f>$G$6/4</f>
        <v>164.4025</v>
      </c>
      <c r="H133" s="22">
        <f>$H$6/4</f>
        <v>330.61</v>
      </c>
      <c r="I133" s="22">
        <f>$I$6/4</f>
        <v>148.2775</v>
      </c>
      <c r="J133" s="22">
        <f>$J$6/4</f>
        <v>164.4025</v>
      </c>
      <c r="K133" s="22">
        <f>$K$6/4</f>
        <v>134.28749999999999</v>
      </c>
      <c r="L133" s="22">
        <f>$L$6/4</f>
        <v>70.545000000000002</v>
      </c>
      <c r="M133" s="29">
        <v>158.26</v>
      </c>
      <c r="N133" s="22">
        <f>$N$6/4</f>
        <v>132.96</v>
      </c>
      <c r="O133" s="22">
        <f>$O$6/4</f>
        <v>86.04</v>
      </c>
      <c r="P133" s="22">
        <f>$P$6/4</f>
        <v>114.535</v>
      </c>
      <c r="Q133" s="24"/>
      <c r="R133" s="26">
        <v>64.739999999999995</v>
      </c>
      <c r="S133" s="26">
        <v>64.739999999999995</v>
      </c>
    </row>
    <row r="134" spans="1:19" ht="15.75" x14ac:dyDescent="0.2">
      <c r="A134" s="18" t="s">
        <v>128</v>
      </c>
      <c r="B134" s="19" t="s">
        <v>260</v>
      </c>
      <c r="C134" s="20">
        <v>15</v>
      </c>
      <c r="D134" s="21" t="s">
        <v>315</v>
      </c>
      <c r="E134" s="21" t="s">
        <v>315</v>
      </c>
      <c r="F134" s="22">
        <f>$F$6/4</f>
        <v>60.477499999999999</v>
      </c>
      <c r="G134" s="22">
        <f>$G$6/4</f>
        <v>164.4025</v>
      </c>
      <c r="H134" s="22">
        <f>$H$6/4</f>
        <v>330.61</v>
      </c>
      <c r="I134" s="22">
        <f>$I$6/4</f>
        <v>148.2775</v>
      </c>
      <c r="J134" s="22">
        <f>$J$6/4</f>
        <v>164.4025</v>
      </c>
      <c r="K134" s="22">
        <f>$K$6/4</f>
        <v>134.28749999999999</v>
      </c>
      <c r="L134" s="22">
        <f>$L$6/4</f>
        <v>70.545000000000002</v>
      </c>
      <c r="M134" s="30">
        <f>$M$6/4</f>
        <v>158.255</v>
      </c>
      <c r="N134" s="22">
        <f>$N$6/4</f>
        <v>132.96</v>
      </c>
      <c r="O134" s="22">
        <f>$O$6/4</f>
        <v>86.04</v>
      </c>
      <c r="P134" s="22">
        <f>$P$6/4</f>
        <v>114.535</v>
      </c>
      <c r="Q134" s="24"/>
      <c r="R134" s="30">
        <f>$R$6/4</f>
        <v>64.734999999999999</v>
      </c>
      <c r="S134" s="51">
        <f>$S$6/4</f>
        <v>64.734999999999999</v>
      </c>
    </row>
    <row r="135" spans="1:19" ht="15.75" x14ac:dyDescent="0.2">
      <c r="A135" s="18" t="s">
        <v>129</v>
      </c>
      <c r="B135" s="19" t="s">
        <v>261</v>
      </c>
      <c r="C135" s="20">
        <v>15</v>
      </c>
      <c r="D135" s="21" t="s">
        <v>315</v>
      </c>
      <c r="E135" s="21" t="s">
        <v>315</v>
      </c>
      <c r="F135" s="22">
        <f>$F$6/4</f>
        <v>60.477499999999999</v>
      </c>
      <c r="G135" s="22">
        <f>$G$6/4</f>
        <v>164.4025</v>
      </c>
      <c r="H135" s="22">
        <f>$H$6/4</f>
        <v>330.61</v>
      </c>
      <c r="I135" s="22">
        <f>$I$6/4</f>
        <v>148.2775</v>
      </c>
      <c r="J135" s="22">
        <f>$J$6/4</f>
        <v>164.4025</v>
      </c>
      <c r="K135" s="22">
        <f>$K$6/4</f>
        <v>134.28749999999999</v>
      </c>
      <c r="L135" s="22">
        <f>$L$6/4</f>
        <v>70.545000000000002</v>
      </c>
      <c r="M135" s="22">
        <f>$M$6/4</f>
        <v>158.255</v>
      </c>
      <c r="N135" s="22">
        <f>$N$6/4</f>
        <v>132.96</v>
      </c>
      <c r="O135" s="22">
        <f>$O$6/4</f>
        <v>86.04</v>
      </c>
      <c r="P135" s="22">
        <f>$P$6/4</f>
        <v>114.535</v>
      </c>
      <c r="Q135" s="24"/>
      <c r="R135" s="22">
        <f>$R$6/4</f>
        <v>64.734999999999999</v>
      </c>
      <c r="S135" s="23">
        <f>$S$6/4</f>
        <v>64.734999999999999</v>
      </c>
    </row>
    <row r="136" spans="1:19" ht="15.75" x14ac:dyDescent="0.2">
      <c r="A136" s="18" t="s">
        <v>130</v>
      </c>
      <c r="B136" s="19" t="s">
        <v>262</v>
      </c>
      <c r="C136" s="20">
        <v>15</v>
      </c>
      <c r="D136" s="21" t="s">
        <v>315</v>
      </c>
      <c r="E136" s="21" t="s">
        <v>315</v>
      </c>
      <c r="F136" s="22">
        <f>$F$6/4</f>
        <v>60.477499999999999</v>
      </c>
      <c r="G136" s="22">
        <f>$G$6/4</f>
        <v>164.4025</v>
      </c>
      <c r="H136" s="24"/>
      <c r="I136" s="24"/>
      <c r="J136" s="22">
        <f>$J$6/4</f>
        <v>164.4025</v>
      </c>
      <c r="K136" s="22">
        <f>$K$6/4</f>
        <v>134.28749999999999</v>
      </c>
      <c r="L136" s="22">
        <f>$L$6/4</f>
        <v>70.545000000000002</v>
      </c>
      <c r="M136" s="24"/>
      <c r="N136" s="24"/>
      <c r="O136" s="24"/>
      <c r="P136" s="24"/>
      <c r="Q136" s="24"/>
      <c r="R136" s="24"/>
      <c r="S136" s="24"/>
    </row>
    <row r="137" spans="1:19" ht="15.75" x14ac:dyDescent="0.25">
      <c r="A137" s="25" t="s">
        <v>131</v>
      </c>
      <c r="B137" s="19" t="s">
        <v>263</v>
      </c>
      <c r="C137" s="26">
        <v>15</v>
      </c>
      <c r="D137" s="21" t="s">
        <v>315</v>
      </c>
      <c r="E137" s="21" t="s">
        <v>315</v>
      </c>
      <c r="F137" s="52">
        <v>25.2</v>
      </c>
      <c r="G137" s="53">
        <v>25.2</v>
      </c>
      <c r="H137" s="53">
        <v>25.2</v>
      </c>
      <c r="I137" s="53">
        <v>25.2</v>
      </c>
      <c r="J137" s="53">
        <v>25.2</v>
      </c>
      <c r="K137" s="53">
        <v>25.2</v>
      </c>
      <c r="L137" s="53">
        <v>25.2</v>
      </c>
      <c r="M137" s="53">
        <v>25.2</v>
      </c>
      <c r="N137" s="53">
        <v>25.2</v>
      </c>
      <c r="O137" s="53">
        <v>25.2</v>
      </c>
      <c r="P137" s="53">
        <v>25.2</v>
      </c>
      <c r="Q137" s="24"/>
      <c r="R137" s="54">
        <v>25.2</v>
      </c>
      <c r="S137" s="69">
        <v>25.2</v>
      </c>
    </row>
    <row r="138" spans="1:19" ht="15.75" x14ac:dyDescent="0.2">
      <c r="A138" s="47" t="s">
        <v>132</v>
      </c>
      <c r="B138" s="48" t="s">
        <v>264</v>
      </c>
      <c r="C138" s="49">
        <v>15</v>
      </c>
      <c r="D138" s="50" t="s">
        <v>315</v>
      </c>
      <c r="E138" s="50" t="s">
        <v>315</v>
      </c>
      <c r="F138" s="32">
        <f>$F$6/4</f>
        <v>60.477499999999999</v>
      </c>
      <c r="G138" s="32">
        <f>$G$6/4</f>
        <v>164.4025</v>
      </c>
      <c r="H138" s="32">
        <f>$H$6/4</f>
        <v>330.61</v>
      </c>
      <c r="I138" s="32">
        <f>$I$6/4</f>
        <v>148.2775</v>
      </c>
      <c r="J138" s="32">
        <f>$J$6/4</f>
        <v>164.4025</v>
      </c>
      <c r="K138" s="32">
        <f>$K$6/4</f>
        <v>134.28749999999999</v>
      </c>
      <c r="L138" s="32">
        <f>$L$6/4</f>
        <v>70.545000000000002</v>
      </c>
      <c r="M138" s="61">
        <v>158.26</v>
      </c>
      <c r="N138" s="32">
        <f>$N$6/4</f>
        <v>132.96</v>
      </c>
      <c r="O138" s="32">
        <f>$O$6/4</f>
        <v>86.04</v>
      </c>
      <c r="P138" s="32">
        <f>$P$6/4</f>
        <v>114.535</v>
      </c>
      <c r="Q138" s="42"/>
      <c r="R138" s="62">
        <v>64.739999999999995</v>
      </c>
      <c r="S138" s="62">
        <v>64.739999999999995</v>
      </c>
    </row>
    <row r="139" spans="1:19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 spans="1:19" ht="15.75" x14ac:dyDescent="0.25">
      <c r="A140" s="66">
        <v>100</v>
      </c>
      <c r="B140" s="63" t="s">
        <v>380</v>
      </c>
      <c r="C140" s="29">
        <v>1109.52</v>
      </c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 spans="1:19" ht="15.75" x14ac:dyDescent="0.25">
      <c r="A141" s="66">
        <v>101</v>
      </c>
      <c r="B141" s="63" t="s">
        <v>381</v>
      </c>
      <c r="C141" s="29">
        <v>817.64</v>
      </c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</row>
    <row r="142" spans="1:19" ht="15.75" x14ac:dyDescent="0.25">
      <c r="A142" s="66" t="s">
        <v>376</v>
      </c>
      <c r="B142" s="63" t="s">
        <v>382</v>
      </c>
      <c r="C142" s="29">
        <v>1200</v>
      </c>
      <c r="D142" s="10"/>
      <c r="E142" s="10"/>
      <c r="F142" s="10"/>
      <c r="G142" s="10"/>
      <c r="H142" s="10"/>
      <c r="I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 spans="1:19" ht="15.75" x14ac:dyDescent="0.2">
      <c r="A143" s="67" t="s">
        <v>377</v>
      </c>
      <c r="B143" s="64" t="s">
        <v>383</v>
      </c>
      <c r="C143" s="29">
        <v>1750</v>
      </c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 spans="1:19" ht="15.75" x14ac:dyDescent="0.2">
      <c r="A144" s="67" t="s">
        <v>378</v>
      </c>
      <c r="B144" s="64" t="s">
        <v>384</v>
      </c>
      <c r="C144" s="29">
        <v>1750</v>
      </c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 spans="1:19" ht="15.75" x14ac:dyDescent="0.2">
      <c r="A145" s="67" t="s">
        <v>379</v>
      </c>
      <c r="B145" s="64" t="s">
        <v>385</v>
      </c>
      <c r="C145" s="29">
        <v>1400</v>
      </c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 spans="1:19" ht="15.75" x14ac:dyDescent="0.25">
      <c r="A146" s="68">
        <v>97165</v>
      </c>
      <c r="B146" s="65" t="s">
        <v>371</v>
      </c>
      <c r="C146" s="29">
        <v>450</v>
      </c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</row>
    <row r="147" spans="1:19" ht="15.75" x14ac:dyDescent="0.25">
      <c r="A147" s="68">
        <v>97166</v>
      </c>
      <c r="B147" s="65" t="s">
        <v>372</v>
      </c>
      <c r="C147" s="29">
        <v>450</v>
      </c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 spans="1:19" ht="15.75" x14ac:dyDescent="0.25">
      <c r="A148" s="68">
        <v>97167</v>
      </c>
      <c r="B148" s="65" t="s">
        <v>373</v>
      </c>
      <c r="C148" s="29">
        <v>450</v>
      </c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</row>
    <row r="149" spans="1:19" ht="15.75" x14ac:dyDescent="0.25">
      <c r="A149" s="68">
        <v>97168</v>
      </c>
      <c r="B149" s="65" t="s">
        <v>374</v>
      </c>
      <c r="C149" s="29">
        <v>450</v>
      </c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</row>
    <row r="150" spans="1:19" ht="15.75" x14ac:dyDescent="0.25">
      <c r="A150" s="68">
        <v>97150</v>
      </c>
      <c r="B150" s="65" t="s">
        <v>375</v>
      </c>
      <c r="C150" s="29">
        <v>150</v>
      </c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Hernandez</dc:creator>
  <cp:lastModifiedBy>Nancy Hernandez</cp:lastModifiedBy>
  <dcterms:created xsi:type="dcterms:W3CDTF">2024-06-26T01:44:26Z</dcterms:created>
  <dcterms:modified xsi:type="dcterms:W3CDTF">2024-06-26T23:13:22Z</dcterms:modified>
</cp:coreProperties>
</file>