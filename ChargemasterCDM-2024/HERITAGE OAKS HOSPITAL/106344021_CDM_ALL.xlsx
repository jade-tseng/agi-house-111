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5" documentId="13_ncr:1_{948E6598-FAFE-42E3-BDCB-5B8D3B752DB8}" xr6:coauthVersionLast="47" xr6:coauthVersionMax="47" xr10:uidLastSave="{D0720207-0181-458C-B0FE-A6EF39F8AC77}"/>
  <bookViews>
    <workbookView xWindow="-28920" yWindow="-75" windowWidth="29040" windowHeight="15720" firstSheet="1" activeTab="1" xr2:uid="{00000000-000D-0000-FFFF-FFFF00000000}"/>
  </bookViews>
  <sheets>
    <sheet name="Top 50 List" sheetId="1" state="hidden" r:id="rId1"/>
    <sheet name="AB 1045 Form" sheetId="5" r:id="rId2"/>
    <sheet name="PHZL045 " sheetId="8" r:id="rId3"/>
    <sheet name="Change calculation" sheetId="6" r:id="rId4"/>
  </sheets>
  <definedNames>
    <definedName name="ExternalData_1" localSheetId="2" hidden="1">'PHZL045 '!$A$1:$A$82</definedName>
    <definedName name="_xlnm.Print_Area" localSheetId="1">'AB 1045 Form'!$A$1:$C$98</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3" i="6" l="1"/>
  <c r="H13" i="6" s="1"/>
  <c r="F13" i="6"/>
  <c r="G12" i="6"/>
  <c r="H12" i="6" s="1"/>
  <c r="H15" i="6" s="1"/>
  <c r="H16" i="6" s="1"/>
  <c r="F12" i="6"/>
  <c r="F15" i="6" s="1"/>
  <c r="H8" i="6"/>
  <c r="H7" i="6"/>
  <c r="C87" i="5"/>
  <c r="G1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B9636C-F8C1-412E-AEF4-E5587AE05B84}" keepAlive="1" name="Query - PHZL045" description="Connection to the 'PHZL045' query in the workbook." type="5" refreshedVersion="8" background="1" saveData="1">
    <dbPr connection="Provider=Microsoft.Mashup.OleDb.1;Data Source=$Workbook$;Location=PHZL045;Extended Properties=&quot;&quot;" command="SELECT * FROM [PHZL045]"/>
  </connection>
  <connection id="2" xr16:uid="{0B9506A7-E274-4A45-A3ED-FDF1C9796A88}" keepAlive="1" name="Query - PHZL045 (2)" description="Connection to the 'PHZL045 (2)' query in the workbook." type="5" refreshedVersion="8" background="1" saveData="1">
    <dbPr connection="Provider=Microsoft.Mashup.OleDb.1;Data Source=$Workbook$;Location=&quot;PHZL045 (2)&quot;;Extended Properties=&quot;&quot;" command="SELECT * FROM [PHZL045 (2)]"/>
  </connection>
</connections>
</file>

<file path=xl/sharedStrings.xml><?xml version="1.0" encoding="utf-8"?>
<sst xmlns="http://schemas.openxmlformats.org/spreadsheetml/2006/main" count="508" uniqueCount="318">
  <si>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</si>
  <si>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</si>
  <si>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</si>
  <si>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</si>
  <si>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</si>
  <si>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</si>
  <si>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</si>
  <si>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</si>
  <si>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</si>
  <si>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</si>
  <si>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</si>
  <si>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</si>
  <si>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</si>
  <si>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</si>
  <si>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</si>
  <si>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</si>
  <si>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</si>
  <si>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</si>
  <si>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</si>
  <si>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</si>
  <si>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</si>
  <si>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</si>
  <si>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</si>
  <si>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</si>
  <si>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</si>
  <si>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</si>
  <si>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</si>
  <si>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</si>
  <si>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</si>
  <si>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</si>
  <si>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</si>
  <si>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</si>
  <si>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</si>
  <si>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</si>
  <si>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</si>
  <si>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</si>
  <si>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</si>
  <si>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</si>
  <si>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</si>
  <si>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</si>
  <si>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</si>
  <si>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</si>
  <si>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</si>
  <si>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</si>
  <si>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</si>
  <si>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</si>
  <si>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</si>
  <si>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</si>
  <si>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</si>
  <si>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</si>
  <si>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</si>
  <si>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</si>
  <si>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</si>
  <si>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</si>
  <si>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</si>
  <si>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</si>
  <si>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</si>
  <si>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</si>
  <si>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</si>
  <si>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</si>
  <si>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</si>
  <si>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</si>
  <si>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</si>
  <si>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</si>
  <si>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</si>
  <si>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</si>
  <si>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</si>
  <si>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</si>
  <si>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</si>
  <si>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</si>
  <si>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</si>
  <si>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</si>
  <si>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</si>
  <si>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</si>
  <si>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</si>
  <si>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</si>
  <si>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</si>
  <si>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</si>
  <si>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</si>
  <si>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</si>
  <si>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</si>
  <si>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</si>
  <si>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</si>
  <si>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</si>
  <si>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</si>
  <si>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</si>
  <si>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</si>
  <si>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</si>
  <si>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</si>
  <si>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</si>
  <si>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</si>
  <si>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</si>
  <si>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</si>
  <si>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</si>
  <si>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</si>
  <si>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</si>
  <si>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</si>
  <si>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</si>
  <si>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</si>
  <si>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</si>
  <si>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</si>
  <si>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</si>
  <si>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</si>
  <si>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</si>
  <si>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</si>
  <si>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</si>
  <si>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</si>
  <si>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</si>
  <si>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</si>
  <si>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</si>
  <si>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</si>
  <si>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</si>
  <si>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</si>
  <si>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</si>
  <si>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</si>
  <si>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</si>
  <si>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</si>
  <si>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</si>
  <si>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</si>
  <si>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</si>
  <si>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</si>
  <si>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</si>
  <si>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Auburn ADOL PHP</t>
  </si>
  <si>
    <t>Auburn Adult PHP</t>
  </si>
  <si>
    <t xml:space="preserve">Group Therapy Auburn </t>
  </si>
  <si>
    <t xml:space="preserve">Group Therapy Roseville </t>
  </si>
  <si>
    <t xml:space="preserve">Group Therapy West Sac </t>
  </si>
  <si>
    <t xml:space="preserve">West Sac ADOL Partial </t>
  </si>
  <si>
    <t xml:space="preserve">West Sac Adult Partial </t>
  </si>
  <si>
    <t>Roseville Adult Partial</t>
  </si>
  <si>
    <t xml:space="preserve">Roseville ADOL Partial </t>
  </si>
  <si>
    <t xml:space="preserve">Auburn Intensive oupatient </t>
  </si>
  <si>
    <t>Group Therapy Auburn IOP</t>
  </si>
  <si>
    <t>Auburn CD IOP</t>
  </si>
  <si>
    <t xml:space="preserve">G0410 </t>
  </si>
  <si>
    <t>Group Therapy Roseville IOP</t>
  </si>
  <si>
    <t>Group Therapy West Sac  IOP</t>
  </si>
  <si>
    <t>Group Therapy Tricare CD-IOP</t>
  </si>
  <si>
    <t>H0015</t>
  </si>
  <si>
    <t>Group Therapy CDIOP Auburn G</t>
  </si>
  <si>
    <t>Group Therapy CDIOP Roseville</t>
  </si>
  <si>
    <t xml:space="preserve">Group Therapy CDIOP West Sac </t>
  </si>
  <si>
    <t>Roseville Intensive Outpt</t>
  </si>
  <si>
    <t xml:space="preserve">West Sac Intensive Outpt </t>
  </si>
  <si>
    <t xml:space="preserve">ECT </t>
  </si>
  <si>
    <t>Hospital Name:  Heritage Oaks Hospital</t>
  </si>
  <si>
    <t>HCAI Facility No: 106344021</t>
  </si>
  <si>
    <t>Column1</t>
  </si>
  <si>
    <t>HERITAGE</t>
  </si>
  <si>
    <t>OAKS HOSP         540</t>
  </si>
  <si>
    <t>SACRAMENT</t>
  </si>
  <si>
    <t>O            CA</t>
  </si>
  <si>
    <t>B</t>
  </si>
  <si>
    <t>FOR</t>
  </si>
  <si>
    <t>DEPARTMENT</t>
  </si>
  <si>
    <t>RUN DATE</t>
  </si>
  <si>
    <t>ROOM &amp; BE</t>
  </si>
  <si>
    <t>D</t>
  </si>
  <si>
    <t>---------</t>
  </si>
  <si>
    <t>--------------------------</t>
  </si>
  <si>
    <t>-----------</t>
  </si>
  <si>
    <t>---------------</t>
  </si>
  <si>
    <t>------------------</t>
  </si>
  <si>
    <t>-------</t>
  </si>
  <si>
    <t>CHARGE</t>
  </si>
  <si>
    <t>UNIT</t>
  </si>
  <si>
    <t>SERVICE</t>
  </si>
  <si>
    <t>PROF</t>
  </si>
  <si>
    <t>INPATIENT</t>
  </si>
  <si>
    <t>OUTPATIENT</t>
  </si>
  <si>
    <t>REV</t>
  </si>
  <si>
    <t>NUMBER</t>
  </si>
  <si>
    <t>DESCRIPTION</t>
  </si>
  <si>
    <t>PRICE</t>
  </si>
  <si>
    <t>FEE</t>
  </si>
  <si>
    <t>PCT</t>
  </si>
  <si>
    <t>AMT</t>
  </si>
  <si>
    <t>GL #</t>
  </si>
  <si>
    <t>CNTR</t>
  </si>
  <si>
    <t>001400-1</t>
  </si>
  <si>
    <t>ADOLESCENT PSYCH R&amp;B</t>
  </si>
  <si>
    <t>A</t>
  </si>
  <si>
    <t>002400-0</t>
  </si>
  <si>
    <t>003400-9</t>
  </si>
  <si>
    <t>004400-8</t>
  </si>
  <si>
    <t>005400-7</t>
  </si>
  <si>
    <t>006400-6</t>
  </si>
  <si>
    <t>007400-5</t>
  </si>
  <si>
    <t>001100-7</t>
  </si>
  <si>
    <t>ADULT PSYCH R&amp;B</t>
  </si>
  <si>
    <t>001300-3</t>
  </si>
  <si>
    <t>002100-6</t>
  </si>
  <si>
    <t>002200-4</t>
  </si>
  <si>
    <t>002300-2</t>
  </si>
  <si>
    <t>002600-5</t>
  </si>
  <si>
    <t>003100-5</t>
  </si>
  <si>
    <t>003200-3</t>
  </si>
  <si>
    <t>003300-1</t>
  </si>
  <si>
    <t>003600-4</t>
  </si>
  <si>
    <t>004100-4</t>
  </si>
  <si>
    <t>004200-2</t>
  </si>
  <si>
    <t>004300-0</t>
  </si>
  <si>
    <t>004600-3</t>
  </si>
  <si>
    <t>005100-3</t>
  </si>
  <si>
    <t>005200-1</t>
  </si>
  <si>
    <t>005300-9</t>
  </si>
  <si>
    <t>005600-2</t>
  </si>
  <si>
    <t>006100-2</t>
  </si>
  <si>
    <t>006200-0</t>
  </si>
  <si>
    <t>006300-8</t>
  </si>
  <si>
    <t>006600-1</t>
  </si>
  <si>
    <t>007100-1</t>
  </si>
  <si>
    <t>007200-9</t>
  </si>
  <si>
    <t>007300-7</t>
  </si>
  <si>
    <t>007600-0</t>
  </si>
  <si>
    <t>007700-8</t>
  </si>
  <si>
    <t>002500-7</t>
  </si>
  <si>
    <t>DUAL DIAGNOSIS</t>
  </si>
  <si>
    <t>003500-6</t>
  </si>
  <si>
    <t>004500-5</t>
  </si>
  <si>
    <t>006500-3</t>
  </si>
  <si>
    <t>007500-2</t>
  </si>
  <si>
    <t>005500-4</t>
  </si>
  <si>
    <t>DUAL DIAGNOSIS R&amp;B</t>
  </si>
  <si>
    <t>001700-4</t>
  </si>
  <si>
    <t>GERIATRIC PSYCH R&amp;B</t>
  </si>
  <si>
    <t>002700-3</t>
  </si>
  <si>
    <t>003700-2</t>
  </si>
  <si>
    <t>004700-1</t>
  </si>
  <si>
    <t>005700-0</t>
  </si>
  <si>
    <t>006700-9</t>
  </si>
  <si>
    <t>001600-6</t>
  </si>
  <si>
    <t>IAL-STAT UNIT</t>
  </si>
  <si>
    <t>890002-9</t>
  </si>
  <si>
    <t>ECT INPATIENT</t>
  </si>
  <si>
    <t>890003-0</t>
  </si>
  <si>
    <t>ECT OUTPATIENT INITIAL V</t>
  </si>
  <si>
    <t>890003-1</t>
  </si>
  <si>
    <t>ECT OUTPATIENT MULTIPLE</t>
  </si>
  <si>
    <t>911004-0</t>
  </si>
  <si>
    <t>AUBURN ADOL PHP</t>
  </si>
  <si>
    <t>911001-6</t>
  </si>
  <si>
    <t>AUBURN ADULT PARTIAL</t>
  </si>
  <si>
    <t>911003-2</t>
  </si>
  <si>
    <t>GROUP THERAPY AUBURN</t>
  </si>
  <si>
    <t>913003-0</t>
  </si>
  <si>
    <t>GROUP THERAPY ROSEVILLE</t>
  </si>
  <si>
    <t>912003-1</t>
  </si>
  <si>
    <t>GROUP THERAPY WEST SAC</t>
  </si>
  <si>
    <t>913002-2</t>
  </si>
  <si>
    <t>ROSEVILLE ADOL PARTIAL</t>
  </si>
  <si>
    <t>913001-4</t>
  </si>
  <si>
    <t>ROSEVILLE ADULT PARTIAL</t>
  </si>
  <si>
    <t>912002-3</t>
  </si>
  <si>
    <t>WEST SAC ADOL PARTIAL</t>
  </si>
  <si>
    <t>912001-5</t>
  </si>
  <si>
    <t>WEST SAC ADULT PARTIAL</t>
  </si>
  <si>
    <t>941003-6</t>
  </si>
  <si>
    <t>AUBURN CD-IOP</t>
  </si>
  <si>
    <t>941001-0</t>
  </si>
  <si>
    <t>AUBURN INTENSIVE OUTPATI</t>
  </si>
  <si>
    <t>941002-8</t>
  </si>
  <si>
    <t>GROUP THERAPY AUBURN IOP</t>
  </si>
  <si>
    <t>941004-4</t>
  </si>
  <si>
    <t>GROUP THERAPY CDIOP AUBU</t>
  </si>
  <si>
    <t>943004-2</t>
  </si>
  <si>
    <t>GROUP THERAPY CDIOP ROSE</t>
  </si>
  <si>
    <t>942004-3</t>
  </si>
  <si>
    <t>GROUP THERAPY CDIOP WEST</t>
  </si>
  <si>
    <t>943002-6</t>
  </si>
  <si>
    <t>942002-7</t>
  </si>
  <si>
    <t>GROUP THERAPY WST SAC IO</t>
  </si>
  <si>
    <t>943003-4</t>
  </si>
  <si>
    <t>ROSEVILLE CD-IOP</t>
  </si>
  <si>
    <t>943001-8</t>
  </si>
  <si>
    <t>ROSEVILLE INTENSIVE OUTP</t>
  </si>
  <si>
    <t>942003-5</t>
  </si>
  <si>
    <t>WEST SAC CD-IOP</t>
  </si>
  <si>
    <t>942001-9</t>
  </si>
  <si>
    <t>WEST SAC INTENSIVE OUTPT</t>
  </si>
  <si>
    <t>Column2</t>
  </si>
  <si>
    <t>Column3</t>
  </si>
  <si>
    <t>Column4</t>
  </si>
  <si>
    <t>Column5</t>
  </si>
  <si>
    <t>Column6</t>
  </si>
  <si>
    <t>Column7</t>
  </si>
  <si>
    <t>Column8</t>
  </si>
  <si>
    <t>Column9</t>
  </si>
  <si>
    <t>Column10</t>
  </si>
  <si>
    <t>CHARGE M</t>
  </si>
  <si>
    <t>ASTER LIST</t>
  </si>
  <si>
    <t>PAGE    1</t>
  </si>
  <si>
    <t>Y CHARGE</t>
  </si>
  <si>
    <t>PHZL045</t>
  </si>
  <si>
    <t>NUMBERS</t>
  </si>
  <si>
    <t>BETWEEN 00 AND</t>
  </si>
  <si>
    <t>--------------</t>
  </si>
  <si>
    <t>CPT      S</t>
  </si>
  <si>
    <t>CODE     T</t>
  </si>
  <si>
    <t>G0410       A</t>
  </si>
  <si>
    <t>90853       A</t>
  </si>
  <si>
    <t>HERITAGE OAKS HOSPITAL</t>
  </si>
  <si>
    <t>CALCULATION OF PERCENTAGE CHANGE IN GROSS REVENUE</t>
  </si>
  <si>
    <t>Increase in Chargemaster Prices for:</t>
  </si>
  <si>
    <t>Old</t>
  </si>
  <si>
    <t>New</t>
  </si>
  <si>
    <t>Change</t>
  </si>
  <si>
    <t>NONE</t>
  </si>
  <si>
    <t>Expected Increase in Gross Revenue:</t>
  </si>
  <si>
    <t>Budgeted Volume</t>
  </si>
  <si>
    <t>N/A</t>
  </si>
  <si>
    <t>PERCENTAGE CHANGE</t>
  </si>
  <si>
    <t>NOTE: Ancillary Price changes are immaterial.</t>
  </si>
  <si>
    <t>for the calendar year 2024</t>
  </si>
  <si>
    <t>2024 CPT Code</t>
  </si>
  <si>
    <t>We are a free-standing Psych hospital and the only services we provide are ECT, partial hospitalization and intensive outpatient.</t>
  </si>
  <si>
    <t>Effective date of charges: June 1, 2024</t>
  </si>
  <si>
    <t>There were no changes in percentage increase since last years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</si>
</sst>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_(* #,##0_);_(* \(#,##0\);_(* &quot;-&quot;??_);_(@_)"/>
    <numFmt numFmtId="166" formatCode="_(&quot;$&quot;* #,##0_);_(&quot;$&quot;* \(#,##0\);_(&quot;$&quot;* &quot;-&quot;??_);_(@_)"/>
    <numFmt numFmtId="167" formatCode="0.0%"/>
  </numFmts>
  <fonts count="18"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8"/>
      <name val="Arial"/>
      <family val="2"/>
    </font>
    <font>
      <sz val="9"/>
      <name val="Arial"/>
      <family val="2"/>
    </font>
    <font>
      <sz val="12"/>
      <name val="Arial"/>
      <family val="2"/>
    </font>
    <font>
      <b/>
      <u/>
      <sz val="11"/>
      <color rgb="FF1F4E79"/>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cellStyleXfs>
  <cellXfs count="8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4" fillId="5" borderId="14" xfId="0" applyNumberFormat="1" applyFont="1" applyFill="1" applyBorder="1" applyAlignment="1">
      <alignment horizontal="left" indent="1"/>
    </xf>
    <xf numFmtId="0" fontId="4" fillId="5" borderId="14" xfId="0" applyFont="1" applyFill="1" applyBorder="1" applyAlignment="1">
      <alignment horizontal="left" indent="1"/>
    </xf>
    <xf numFmtId="17" fontId="4" fillId="5" borderId="13" xfId="0" applyNumberFormat="1" applyFont="1" applyFill="1" applyBorder="1" applyAlignment="1">
      <alignment horizontal="left" indent="1"/>
    </xf>
    <xf numFmtId="0" fontId="4" fillId="0" borderId="17" xfId="0" applyFont="1" applyBorder="1" applyAlignment="1">
      <alignment horizontal="left" indent="1"/>
    </xf>
    <xf numFmtId="0" fontId="15" fillId="0" borderId="0" xfId="0" applyFont="1"/>
    <xf numFmtId="0" fontId="12" fillId="0" borderId="0" xfId="0" applyFont="1" applyAlignment="1">
      <alignment horizontal="left"/>
    </xf>
    <xf numFmtId="44" fontId="0" fillId="0" borderId="0" xfId="2" applyFont="1"/>
    <xf numFmtId="0" fontId="12" fillId="0" borderId="0" xfId="0" applyFont="1" applyAlignment="1">
      <alignment horizontal="center"/>
    </xf>
    <xf numFmtId="0" fontId="12" fillId="0" borderId="0" xfId="0" applyFont="1"/>
    <xf numFmtId="0" fontId="12" fillId="0" borderId="0" xfId="0" applyFont="1" applyAlignment="1">
      <alignment horizontal="center" wrapText="1"/>
    </xf>
    <xf numFmtId="165" fontId="0" fillId="0" borderId="0" xfId="1" applyNumberFormat="1" applyFont="1"/>
    <xf numFmtId="166" fontId="0" fillId="0" borderId="0" xfId="2" applyNumberFormat="1" applyFont="1"/>
    <xf numFmtId="167" fontId="12" fillId="0" borderId="0" xfId="3" applyNumberFormat="1" applyFont="1"/>
    <xf numFmtId="0" fontId="4" fillId="0" borderId="0" xfId="0" applyFont="1" applyAlignment="1">
      <alignment horizontal="center" vertical="center" wrapText="1"/>
    </xf>
    <xf numFmtId="0" fontId="17" fillId="0" borderId="0" xfId="0" applyFont="1" applyAlignment="1">
      <alignmen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4">
    <cellStyle name="Comma" xfId="1" builtinId="3"/>
    <cellStyle name="Currency" xfId="2" builtinId="4"/>
    <cellStyle name="Normal" xfId="0" builtinId="0"/>
    <cellStyle name="Percent" xfId="3" builtinId="5"/>
  </cellStyles>
  <dxfs count="12">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numFmt numFmtId="0" formatCode="General"/>
    </dxf>
    <dxf>
      <font>
        <strike val="0"/>
        <outline val="0"/>
        <shadow val="0"/>
        <u val="none"/>
        <vertAlign val="baseline"/>
        <sz val="9"/>
        <color auto="1"/>
        <name val="Arial"/>
        <scheme val="none"/>
      </font>
    </dxf>
    <dxf>
      <font>
        <strike val="0"/>
        <outline val="0"/>
        <shadow val="0"/>
        <u val="none"/>
        <vertAlign val="baseline"/>
        <sz val="9"/>
        <color auto="1"/>
        <name val="Arial"/>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5A1C0D7-0679-4BF3-BEF8-C19ED4DBEED5}" autoFormatId="16" applyNumberFormats="0" applyBorderFormats="0" applyFontFormats="0" applyPatternFormats="0" applyAlignmentFormats="0" applyWidthHeightFormats="0">
  <queryTableRefresh nextId="11" unboundColumnsRight="9">
    <queryTableFields count="10">
      <queryTableField id="1" name="Column1" tableColumnId="1"/>
      <queryTableField id="2" dataBound="0"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F369D-8A76-4BE7-AE0A-678C31DFBA1B}" name="PHZL045__2" displayName="PHZL045__2" ref="A1:J82" tableType="queryTable" totalsRowShown="0" headerRowDxfId="11" dataDxfId="10">
  <autoFilter ref="A1:J82" xr:uid="{A7DF369D-8A76-4BE7-AE0A-678C31DFBA1B}"/>
  <tableColumns count="10">
    <tableColumn id="1" xr3:uid="{D472246D-2BDC-43C4-BABD-FBDD3A99AA7B}" uniqueName="1" name="Column1" queryTableFieldId="1" dataDxfId="9"/>
    <tableColumn id="2" xr3:uid="{4A9AE647-0E1E-4C03-A6D0-84E8C55405E7}" uniqueName="2" name="Column2" queryTableFieldId="2" dataDxfId="8"/>
    <tableColumn id="3" xr3:uid="{543EC2A8-AF1F-4009-B853-6BAC784F6487}" uniqueName="3" name="Column3" queryTableFieldId="3" dataDxfId="7"/>
    <tableColumn id="4" xr3:uid="{B651E20F-2BC9-4870-8DC3-F4622145B472}" uniqueName="4" name="Column4" queryTableFieldId="4" dataDxfId="6"/>
    <tableColumn id="5" xr3:uid="{5D3C88EE-891B-44DA-9DE2-240CC0E39F9F}" uniqueName="5" name="Column5" queryTableFieldId="5" dataDxfId="5"/>
    <tableColumn id="6" xr3:uid="{23848631-ACE9-412F-BEC1-ADD3A3A71A95}" uniqueName="6" name="Column6" queryTableFieldId="6" dataDxfId="4"/>
    <tableColumn id="7" xr3:uid="{69D06F09-2B08-4C95-B517-654D426DC4D9}" uniqueName="7" name="Column7" queryTableFieldId="7" dataDxfId="3"/>
    <tableColumn id="8" xr3:uid="{2FD14D8E-5AD2-4E52-8CAE-CF9D1563778E}" uniqueName="8" name="Column8" queryTableFieldId="8" dataDxfId="2"/>
    <tableColumn id="9" xr3:uid="{B53902A7-F721-40E7-B233-F9C687106823}" uniqueName="9" name="Column9" queryTableFieldId="9" dataDxfId="1"/>
    <tableColumn id="10" xr3:uid="{AF26C212-D739-4E85-82E7-AB467E0731BB}" uniqueName="10" name="Column10"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2</v>
      </c>
      <c r="B1" s="13" t="s">
        <v>3</v>
      </c>
      <c r="C1" s="13" t="s">
        <v>4</v>
      </c>
    </row>
    <row r="2" spans="1:3" x14ac:dyDescent="0.25">
      <c r="A2" s="10">
        <v>210</v>
      </c>
      <c r="B2" s="2" t="s">
        <v>42</v>
      </c>
      <c r="C2" s="2" t="s">
        <v>41</v>
      </c>
    </row>
    <row r="3" spans="1:3" x14ac:dyDescent="0.25">
      <c r="A3" s="12">
        <v>201</v>
      </c>
      <c r="B3" s="2" t="s">
        <v>21</v>
      </c>
      <c r="C3" s="2" t="s">
        <v>20</v>
      </c>
    </row>
    <row r="4" spans="1:3" x14ac:dyDescent="0.25">
      <c r="A4" s="10">
        <v>167</v>
      </c>
      <c r="B4" s="1" t="s">
        <v>10</v>
      </c>
      <c r="C4" s="1" t="s">
        <v>6</v>
      </c>
    </row>
    <row r="5" spans="1:3" x14ac:dyDescent="0.25">
      <c r="A5" s="10">
        <v>148</v>
      </c>
      <c r="B5" s="1" t="s">
        <v>9</v>
      </c>
      <c r="C5" s="1" t="s">
        <v>6</v>
      </c>
    </row>
    <row r="6" spans="1:3" x14ac:dyDescent="0.25">
      <c r="A6" s="10">
        <v>142</v>
      </c>
      <c r="B6" s="1" t="s">
        <v>5</v>
      </c>
      <c r="C6" s="1" t="s">
        <v>6</v>
      </c>
    </row>
    <row r="7" spans="1:3" x14ac:dyDescent="0.25">
      <c r="A7" s="10">
        <v>134</v>
      </c>
      <c r="B7" s="2" t="s">
        <v>40</v>
      </c>
      <c r="C7" s="2" t="s">
        <v>41</v>
      </c>
    </row>
    <row r="8" spans="1:3" x14ac:dyDescent="0.25">
      <c r="A8" s="10">
        <v>127</v>
      </c>
      <c r="B8" s="3" t="s">
        <v>14</v>
      </c>
      <c r="C8" s="1" t="s">
        <v>6</v>
      </c>
    </row>
    <row r="9" spans="1:3" x14ac:dyDescent="0.25">
      <c r="A9" s="10">
        <v>127</v>
      </c>
      <c r="B9" s="1" t="s">
        <v>25</v>
      </c>
      <c r="C9" s="1" t="s">
        <v>23</v>
      </c>
    </row>
    <row r="10" spans="1:3" x14ac:dyDescent="0.25">
      <c r="A10" s="10">
        <v>121</v>
      </c>
      <c r="B10" s="2" t="s">
        <v>30</v>
      </c>
      <c r="C10" s="2" t="s">
        <v>29</v>
      </c>
    </row>
    <row r="11" spans="1:3" x14ac:dyDescent="0.25">
      <c r="A11" s="10">
        <v>119</v>
      </c>
      <c r="B11" s="2" t="s">
        <v>48</v>
      </c>
      <c r="C11" s="2" t="s">
        <v>44</v>
      </c>
    </row>
    <row r="12" spans="1:3" x14ac:dyDescent="0.25">
      <c r="A12" s="10">
        <v>116</v>
      </c>
      <c r="B12" s="2" t="s">
        <v>34</v>
      </c>
      <c r="C12" s="2" t="s">
        <v>32</v>
      </c>
    </row>
    <row r="13" spans="1:3" x14ac:dyDescent="0.25">
      <c r="A13" s="10">
        <v>114</v>
      </c>
      <c r="B13" s="1" t="s">
        <v>16</v>
      </c>
      <c r="C13" s="1" t="s">
        <v>6</v>
      </c>
    </row>
    <row r="14" spans="1:3" x14ac:dyDescent="0.25">
      <c r="A14" s="10">
        <v>103</v>
      </c>
      <c r="B14" s="1" t="s">
        <v>51</v>
      </c>
      <c r="C14" s="2" t="s">
        <v>44</v>
      </c>
    </row>
    <row r="15" spans="1:3" x14ac:dyDescent="0.25">
      <c r="A15" s="10">
        <v>96</v>
      </c>
      <c r="B15" s="1" t="s">
        <v>37</v>
      </c>
      <c r="C15" s="2" t="s">
        <v>38</v>
      </c>
    </row>
    <row r="16" spans="1:3" x14ac:dyDescent="0.25">
      <c r="A16" s="10">
        <v>96</v>
      </c>
      <c r="B16" s="2" t="s">
        <v>66</v>
      </c>
      <c r="C16" s="2" t="s">
        <v>44</v>
      </c>
    </row>
    <row r="17" spans="1:3" x14ac:dyDescent="0.25">
      <c r="A17" s="10">
        <v>90</v>
      </c>
      <c r="B17" s="3" t="s">
        <v>49</v>
      </c>
      <c r="C17" s="2" t="s">
        <v>44</v>
      </c>
    </row>
    <row r="18" spans="1:3" x14ac:dyDescent="0.25">
      <c r="A18" s="10">
        <v>89</v>
      </c>
      <c r="B18" s="2" t="s">
        <v>43</v>
      </c>
      <c r="C18" s="2" t="s">
        <v>44</v>
      </c>
    </row>
    <row r="19" spans="1:3" x14ac:dyDescent="0.25">
      <c r="A19" s="10">
        <v>80</v>
      </c>
      <c r="B19" s="2" t="s">
        <v>53</v>
      </c>
      <c r="C19" s="2" t="s">
        <v>44</v>
      </c>
    </row>
    <row r="20" spans="1:3" x14ac:dyDescent="0.25">
      <c r="A20" s="10">
        <v>79</v>
      </c>
      <c r="B20" s="1" t="s">
        <v>8</v>
      </c>
      <c r="C20" s="1" t="s">
        <v>6</v>
      </c>
    </row>
    <row r="21" spans="1:3" x14ac:dyDescent="0.25">
      <c r="A21" s="12">
        <v>71</v>
      </c>
      <c r="B21" s="5" t="s">
        <v>50</v>
      </c>
      <c r="C21" s="2" t="s">
        <v>44</v>
      </c>
    </row>
    <row r="22" spans="1:3" x14ac:dyDescent="0.25">
      <c r="A22" s="10">
        <v>69</v>
      </c>
      <c r="B22" s="1" t="s">
        <v>12</v>
      </c>
      <c r="C22" s="1" t="s">
        <v>6</v>
      </c>
    </row>
    <row r="23" spans="1:3" x14ac:dyDescent="0.25">
      <c r="A23" s="10">
        <v>69</v>
      </c>
      <c r="B23" s="2" t="s">
        <v>28</v>
      </c>
      <c r="C23" s="2" t="s">
        <v>29</v>
      </c>
    </row>
    <row r="24" spans="1:3" x14ac:dyDescent="0.25">
      <c r="A24" s="10">
        <v>67</v>
      </c>
      <c r="B24" s="2" t="s">
        <v>18</v>
      </c>
      <c r="C24" s="2" t="s">
        <v>19</v>
      </c>
    </row>
    <row r="25" spans="1:3" x14ac:dyDescent="0.25">
      <c r="A25" s="10">
        <v>65</v>
      </c>
      <c r="B25" s="2" t="s">
        <v>63</v>
      </c>
      <c r="C25" s="2" t="s">
        <v>20</v>
      </c>
    </row>
    <row r="26" spans="1:3" x14ac:dyDescent="0.25">
      <c r="A26" s="12">
        <v>65</v>
      </c>
      <c r="B26" s="1" t="s">
        <v>24</v>
      </c>
      <c r="C26" s="1" t="s">
        <v>23</v>
      </c>
    </row>
    <row r="27" spans="1:3" x14ac:dyDescent="0.25">
      <c r="A27" s="10">
        <v>64</v>
      </c>
      <c r="B27" s="2" t="s">
        <v>45</v>
      </c>
      <c r="C27" s="2" t="s">
        <v>44</v>
      </c>
    </row>
    <row r="28" spans="1:3" x14ac:dyDescent="0.25">
      <c r="A28" s="10">
        <v>62</v>
      </c>
      <c r="B28" s="1" t="s">
        <v>26</v>
      </c>
      <c r="C28" s="1" t="s">
        <v>27</v>
      </c>
    </row>
    <row r="29" spans="1:3" x14ac:dyDescent="0.25">
      <c r="A29" s="10">
        <v>62</v>
      </c>
      <c r="B29" s="2" t="s">
        <v>64</v>
      </c>
      <c r="C29" s="2" t="s">
        <v>44</v>
      </c>
    </row>
    <row r="30" spans="1:3" x14ac:dyDescent="0.25">
      <c r="A30" s="10">
        <v>59</v>
      </c>
      <c r="B30" s="2" t="s">
        <v>11</v>
      </c>
      <c r="C30" s="1" t="s">
        <v>6</v>
      </c>
    </row>
    <row r="31" spans="1:3" x14ac:dyDescent="0.25">
      <c r="A31" s="10">
        <v>59</v>
      </c>
      <c r="B31" s="4" t="s">
        <v>15</v>
      </c>
      <c r="C31" s="1" t="s">
        <v>6</v>
      </c>
    </row>
    <row r="32" spans="1:3" x14ac:dyDescent="0.25">
      <c r="A32" s="10">
        <v>56</v>
      </c>
      <c r="B32" s="2" t="s">
        <v>7</v>
      </c>
      <c r="C32" s="1" t="s">
        <v>6</v>
      </c>
    </row>
    <row r="33" spans="1:3" x14ac:dyDescent="0.25">
      <c r="A33" s="10">
        <v>51</v>
      </c>
      <c r="B33" s="1" t="s">
        <v>31</v>
      </c>
      <c r="C33" s="2" t="s">
        <v>32</v>
      </c>
    </row>
    <row r="34" spans="1:3" x14ac:dyDescent="0.25">
      <c r="A34" s="10">
        <v>50</v>
      </c>
      <c r="B34" s="1" t="s">
        <v>35</v>
      </c>
      <c r="C34" s="2" t="s">
        <v>36</v>
      </c>
    </row>
    <row r="35" spans="1:3" x14ac:dyDescent="0.25">
      <c r="A35" s="10">
        <v>50</v>
      </c>
      <c r="B35" s="3" t="s">
        <v>52</v>
      </c>
      <c r="C35" s="2" t="s">
        <v>44</v>
      </c>
    </row>
    <row r="36" spans="1:3" x14ac:dyDescent="0.25">
      <c r="A36" s="10">
        <v>49</v>
      </c>
      <c r="B36" s="1" t="s">
        <v>13</v>
      </c>
      <c r="C36" s="1" t="s">
        <v>6</v>
      </c>
    </row>
    <row r="37" spans="1:3" x14ac:dyDescent="0.25">
      <c r="A37" s="12">
        <v>47</v>
      </c>
      <c r="B37" s="2" t="s">
        <v>17</v>
      </c>
      <c r="C37" s="1" t="s">
        <v>6</v>
      </c>
    </row>
    <row r="38" spans="1:3" x14ac:dyDescent="0.25">
      <c r="A38" s="10">
        <v>47</v>
      </c>
      <c r="B38" s="1" t="s">
        <v>61</v>
      </c>
      <c r="C38" s="2" t="s">
        <v>38</v>
      </c>
    </row>
    <row r="39" spans="1:3" x14ac:dyDescent="0.25">
      <c r="A39" s="10">
        <v>47</v>
      </c>
      <c r="B39" s="1" t="s">
        <v>56</v>
      </c>
      <c r="C39" s="2" t="s">
        <v>44</v>
      </c>
    </row>
    <row r="40" spans="1:3" x14ac:dyDescent="0.25">
      <c r="A40" s="10">
        <v>46</v>
      </c>
      <c r="B40" s="1" t="s">
        <v>60</v>
      </c>
      <c r="C40" s="1" t="s">
        <v>6</v>
      </c>
    </row>
    <row r="41" spans="1:3" x14ac:dyDescent="0.25">
      <c r="A41" s="10">
        <v>42</v>
      </c>
      <c r="B41" s="2" t="s">
        <v>33</v>
      </c>
      <c r="C41" s="2" t="s">
        <v>32</v>
      </c>
    </row>
    <row r="42" spans="1:3" x14ac:dyDescent="0.25">
      <c r="A42" s="10">
        <v>42</v>
      </c>
      <c r="B42" s="2" t="s">
        <v>54</v>
      </c>
      <c r="C42" s="2" t="s">
        <v>44</v>
      </c>
    </row>
    <row r="43" spans="1:3" x14ac:dyDescent="0.25">
      <c r="A43" s="10">
        <v>41</v>
      </c>
      <c r="B43" s="1" t="s">
        <v>39</v>
      </c>
      <c r="C43" s="2" t="s">
        <v>38</v>
      </c>
    </row>
    <row r="44" spans="1:3" x14ac:dyDescent="0.25">
      <c r="A44" s="10">
        <v>41</v>
      </c>
      <c r="B44" s="3" t="s">
        <v>46</v>
      </c>
      <c r="C44" s="2" t="s">
        <v>44</v>
      </c>
    </row>
    <row r="45" spans="1:3" x14ac:dyDescent="0.25">
      <c r="A45" s="10">
        <v>41</v>
      </c>
      <c r="B45" s="2" t="s">
        <v>57</v>
      </c>
      <c r="C45" s="2" t="s">
        <v>44</v>
      </c>
    </row>
    <row r="46" spans="1:3" x14ac:dyDescent="0.25">
      <c r="A46" s="12">
        <v>39</v>
      </c>
      <c r="B46" s="2" t="s">
        <v>59</v>
      </c>
      <c r="C46" s="1" t="s">
        <v>6</v>
      </c>
    </row>
    <row r="47" spans="1:3" x14ac:dyDescent="0.25">
      <c r="A47" s="10">
        <v>39</v>
      </c>
      <c r="B47" s="3" t="s">
        <v>47</v>
      </c>
      <c r="C47" s="2" t="s">
        <v>44</v>
      </c>
    </row>
    <row r="48" spans="1:3" x14ac:dyDescent="0.25">
      <c r="A48" s="10">
        <v>37</v>
      </c>
      <c r="B48" s="2" t="s">
        <v>55</v>
      </c>
      <c r="C48" s="2" t="s">
        <v>44</v>
      </c>
    </row>
    <row r="49" spans="1:3" x14ac:dyDescent="0.25">
      <c r="A49" s="10">
        <v>36</v>
      </c>
      <c r="B49" s="1" t="s">
        <v>22</v>
      </c>
      <c r="C49" s="1" t="s">
        <v>23</v>
      </c>
    </row>
    <row r="50" spans="1:3" x14ac:dyDescent="0.25">
      <c r="A50" s="10">
        <v>35</v>
      </c>
      <c r="B50" s="2" t="s">
        <v>70</v>
      </c>
      <c r="C50" s="2" t="s">
        <v>44</v>
      </c>
    </row>
    <row r="51" spans="1:3" x14ac:dyDescent="0.25">
      <c r="A51" s="10">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
  <sheetViews>
    <sheetView showGridLines="0" tabSelected="1" zoomScaleNormal="10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145</v>
      </c>
      <c r="B1" s="15"/>
      <c r="C1" s="16"/>
    </row>
    <row r="2" spans="1:4" ht="15" customHeight="1" x14ac:dyDescent="0.25">
      <c r="A2" s="17" t="s">
        <v>146</v>
      </c>
      <c r="C2" s="18"/>
    </row>
    <row r="3" spans="1:4" ht="15" customHeight="1" x14ac:dyDescent="0.25">
      <c r="A3" s="17" t="s">
        <v>316</v>
      </c>
      <c r="C3" s="18"/>
    </row>
    <row r="4" spans="1:4" x14ac:dyDescent="0.25">
      <c r="A4" s="47"/>
      <c r="B4" s="23"/>
      <c r="C4" s="24"/>
    </row>
    <row r="5" spans="1:4" ht="73.5" customHeight="1" x14ac:dyDescent="0.25">
      <c r="A5" s="83" t="s">
        <v>119</v>
      </c>
      <c r="B5" s="84"/>
      <c r="C5" s="85"/>
    </row>
    <row r="6" spans="1:4" ht="15" customHeight="1" x14ac:dyDescent="0.25">
      <c r="A6" s="32" t="s">
        <v>92</v>
      </c>
      <c r="B6" s="60" t="s">
        <v>314</v>
      </c>
      <c r="C6" s="31" t="s">
        <v>58</v>
      </c>
      <c r="D6" s="39"/>
    </row>
    <row r="7" spans="1:4" ht="15" customHeight="1" x14ac:dyDescent="0.25">
      <c r="A7" s="25" t="s">
        <v>115</v>
      </c>
      <c r="B7" s="63">
        <v>99282</v>
      </c>
      <c r="C7" s="19"/>
    </row>
    <row r="8" spans="1:4" ht="15" customHeight="1" x14ac:dyDescent="0.25">
      <c r="A8" s="26" t="s">
        <v>116</v>
      </c>
      <c r="B8" s="64">
        <v>99283</v>
      </c>
      <c r="C8" s="20"/>
    </row>
    <row r="9" spans="1:4" ht="15" customHeight="1" x14ac:dyDescent="0.25">
      <c r="A9" s="61" t="s">
        <v>117</v>
      </c>
      <c r="B9" s="64">
        <v>99284</v>
      </c>
      <c r="C9" s="20"/>
    </row>
    <row r="10" spans="1:4" ht="15" customHeight="1" x14ac:dyDescent="0.25">
      <c r="A10" s="61" t="s">
        <v>118</v>
      </c>
      <c r="B10" s="64">
        <v>99285</v>
      </c>
      <c r="C10" s="20"/>
    </row>
    <row r="11" spans="1:4" ht="15" customHeight="1" x14ac:dyDescent="0.25">
      <c r="A11" s="26" t="s">
        <v>93</v>
      </c>
      <c r="B11" s="64">
        <v>99213</v>
      </c>
      <c r="C11" s="20"/>
    </row>
    <row r="12" spans="1:4" ht="15" customHeight="1" x14ac:dyDescent="0.25">
      <c r="A12" s="32" t="s">
        <v>106</v>
      </c>
      <c r="B12" s="60" t="s">
        <v>314</v>
      </c>
      <c r="C12" s="31" t="s">
        <v>58</v>
      </c>
      <c r="D12" s="39"/>
    </row>
    <row r="13" spans="1:4" ht="15" customHeight="1" x14ac:dyDescent="0.25">
      <c r="A13" s="70" t="s">
        <v>5</v>
      </c>
      <c r="B13" s="63">
        <v>80048</v>
      </c>
      <c r="C13" s="19"/>
    </row>
    <row r="14" spans="1:4" ht="15" customHeight="1" x14ac:dyDescent="0.25">
      <c r="A14" s="27" t="s">
        <v>75</v>
      </c>
      <c r="B14" s="64">
        <v>82805</v>
      </c>
      <c r="C14" s="20"/>
    </row>
    <row r="15" spans="1:4" ht="15" customHeight="1" x14ac:dyDescent="0.25">
      <c r="A15" s="26" t="s">
        <v>76</v>
      </c>
      <c r="B15" s="64">
        <v>85027</v>
      </c>
      <c r="C15" s="20"/>
    </row>
    <row r="16" spans="1:4" ht="15" customHeight="1" x14ac:dyDescent="0.25">
      <c r="A16" s="68" t="s">
        <v>77</v>
      </c>
      <c r="B16" s="64">
        <v>85025</v>
      </c>
      <c r="C16" s="20"/>
    </row>
    <row r="17" spans="1:4" ht="15" customHeight="1" x14ac:dyDescent="0.25">
      <c r="A17" s="26" t="s">
        <v>10</v>
      </c>
      <c r="B17" s="64">
        <v>80053</v>
      </c>
      <c r="C17" s="20"/>
    </row>
    <row r="18" spans="1:4" ht="15" customHeight="1" x14ac:dyDescent="0.25">
      <c r="A18" s="27" t="s">
        <v>11</v>
      </c>
      <c r="B18" s="64">
        <v>82550</v>
      </c>
      <c r="C18" s="20"/>
    </row>
    <row r="19" spans="1:4" ht="15" customHeight="1" x14ac:dyDescent="0.25">
      <c r="A19" s="68" t="s">
        <v>12</v>
      </c>
      <c r="B19" s="64">
        <v>80061</v>
      </c>
      <c r="C19" s="20"/>
    </row>
    <row r="20" spans="1:4" ht="15" customHeight="1" x14ac:dyDescent="0.25">
      <c r="A20" s="26" t="s">
        <v>13</v>
      </c>
      <c r="B20" s="64">
        <v>85730</v>
      </c>
      <c r="C20" s="20"/>
    </row>
    <row r="21" spans="1:4" ht="15" customHeight="1" x14ac:dyDescent="0.25">
      <c r="A21" s="27" t="s">
        <v>14</v>
      </c>
      <c r="B21" s="64">
        <v>85610</v>
      </c>
      <c r="C21" s="20"/>
    </row>
    <row r="22" spans="1:4" ht="15" customHeight="1" x14ac:dyDescent="0.25">
      <c r="A22" s="28" t="s">
        <v>15</v>
      </c>
      <c r="B22" s="64">
        <v>84443</v>
      </c>
      <c r="C22" s="20"/>
    </row>
    <row r="23" spans="1:4" ht="15" customHeight="1" x14ac:dyDescent="0.25">
      <c r="A23" s="26" t="s">
        <v>60</v>
      </c>
      <c r="B23" s="64">
        <v>84484</v>
      </c>
      <c r="C23" s="20"/>
    </row>
    <row r="24" spans="1:4" ht="15" customHeight="1" x14ac:dyDescent="0.25">
      <c r="A24" s="68" t="s">
        <v>78</v>
      </c>
      <c r="B24" s="65" t="s">
        <v>0</v>
      </c>
      <c r="C24" s="20"/>
    </row>
    <row r="25" spans="1:4" ht="15" customHeight="1" x14ac:dyDescent="0.25">
      <c r="A25" s="69" t="s">
        <v>17</v>
      </c>
      <c r="B25" s="65" t="s">
        <v>1</v>
      </c>
      <c r="C25" s="20"/>
    </row>
    <row r="26" spans="1:4" ht="15" customHeight="1" x14ac:dyDescent="0.25">
      <c r="A26" s="33" t="s">
        <v>89</v>
      </c>
      <c r="B26" s="60" t="s">
        <v>314</v>
      </c>
      <c r="C26" s="31" t="s">
        <v>58</v>
      </c>
      <c r="D26" s="39"/>
    </row>
    <row r="27" spans="1:4" ht="15" customHeight="1" x14ac:dyDescent="0.25">
      <c r="A27" s="25" t="s">
        <v>31</v>
      </c>
      <c r="B27" s="63">
        <v>74160</v>
      </c>
      <c r="C27" s="19"/>
    </row>
    <row r="28" spans="1:4" ht="15" customHeight="1" x14ac:dyDescent="0.25">
      <c r="A28" s="27" t="s">
        <v>34</v>
      </c>
      <c r="B28" s="64">
        <v>70450</v>
      </c>
      <c r="C28" s="20"/>
    </row>
    <row r="29" spans="1:4" ht="15" customHeight="1" x14ac:dyDescent="0.25">
      <c r="A29" s="27" t="s">
        <v>74</v>
      </c>
      <c r="B29" s="64">
        <v>72193</v>
      </c>
      <c r="C29" s="20"/>
    </row>
    <row r="30" spans="1:4" ht="15" customHeight="1" x14ac:dyDescent="0.25">
      <c r="A30" s="62" t="s">
        <v>30</v>
      </c>
      <c r="B30" s="64">
        <v>77067</v>
      </c>
      <c r="C30" s="20"/>
    </row>
    <row r="31" spans="1:4" ht="15" customHeight="1" x14ac:dyDescent="0.25">
      <c r="A31" s="61" t="s">
        <v>111</v>
      </c>
      <c r="B31" s="64">
        <v>70553</v>
      </c>
      <c r="C31" s="20"/>
    </row>
    <row r="32" spans="1:4" ht="15" customHeight="1" x14ac:dyDescent="0.25">
      <c r="A32" s="26" t="s">
        <v>62</v>
      </c>
      <c r="B32" s="64">
        <v>76700</v>
      </c>
      <c r="C32" s="20"/>
    </row>
    <row r="33" spans="1:6" ht="15" customHeight="1" x14ac:dyDescent="0.25">
      <c r="A33" s="44" t="s">
        <v>95</v>
      </c>
      <c r="B33" s="64">
        <v>76805</v>
      </c>
      <c r="C33" s="20"/>
    </row>
    <row r="34" spans="1:6" ht="15" customHeight="1" x14ac:dyDescent="0.25">
      <c r="A34" s="62" t="s">
        <v>112</v>
      </c>
      <c r="B34" s="64">
        <v>72110</v>
      </c>
      <c r="C34" s="20"/>
      <c r="E34"/>
      <c r="F34"/>
    </row>
    <row r="35" spans="1:6" ht="15" customHeight="1" x14ac:dyDescent="0.25">
      <c r="A35" s="27" t="s">
        <v>42</v>
      </c>
      <c r="B35" s="64">
        <v>71046</v>
      </c>
      <c r="C35" s="20"/>
    </row>
    <row r="36" spans="1:6" ht="15" customHeight="1" x14ac:dyDescent="0.25">
      <c r="A36" s="32" t="s">
        <v>103</v>
      </c>
      <c r="B36" s="60" t="s">
        <v>314</v>
      </c>
      <c r="C36" s="58" t="s">
        <v>58</v>
      </c>
      <c r="D36" s="39"/>
    </row>
    <row r="37" spans="1:6" ht="15" customHeight="1" x14ac:dyDescent="0.25">
      <c r="A37" s="29" t="s">
        <v>79</v>
      </c>
      <c r="B37" s="63">
        <v>93452</v>
      </c>
      <c r="C37" s="19"/>
    </row>
    <row r="38" spans="1:6" ht="15" customHeight="1" x14ac:dyDescent="0.25">
      <c r="A38" s="62" t="s">
        <v>114</v>
      </c>
      <c r="B38" s="64">
        <v>93307</v>
      </c>
      <c r="C38" s="20"/>
    </row>
    <row r="39" spans="1:6" ht="15" customHeight="1" x14ac:dyDescent="0.25">
      <c r="A39" s="27" t="s">
        <v>96</v>
      </c>
      <c r="B39" s="64">
        <v>93000</v>
      </c>
      <c r="C39" s="20"/>
    </row>
    <row r="40" spans="1:6" ht="15" customHeight="1" x14ac:dyDescent="0.25">
      <c r="A40" s="26" t="s">
        <v>90</v>
      </c>
      <c r="B40" s="64">
        <v>94640</v>
      </c>
      <c r="C40" s="20"/>
    </row>
    <row r="41" spans="1:6" ht="15" customHeight="1" x14ac:dyDescent="0.25">
      <c r="A41" s="61" t="s">
        <v>67</v>
      </c>
      <c r="B41" s="64" t="s">
        <v>109</v>
      </c>
      <c r="C41" s="20"/>
    </row>
    <row r="42" spans="1:6" ht="15" customHeight="1" x14ac:dyDescent="0.25">
      <c r="A42" s="26" t="s">
        <v>68</v>
      </c>
      <c r="B42" s="64">
        <v>97116</v>
      </c>
      <c r="C42" s="20"/>
    </row>
    <row r="43" spans="1:6" ht="15" customHeight="1" x14ac:dyDescent="0.25">
      <c r="A43" s="45" t="s">
        <v>69</v>
      </c>
      <c r="B43" s="66">
        <v>97110</v>
      </c>
      <c r="C43" s="46"/>
    </row>
    <row r="44" spans="1:6" ht="15" customHeight="1" x14ac:dyDescent="0.25">
      <c r="A44" s="32" t="s">
        <v>91</v>
      </c>
      <c r="B44" s="30" t="s">
        <v>314</v>
      </c>
      <c r="C44" s="31" t="s">
        <v>58</v>
      </c>
      <c r="D44" s="39"/>
    </row>
    <row r="45" spans="1:6" ht="15" customHeight="1" x14ac:dyDescent="0.25">
      <c r="A45" s="29" t="s">
        <v>80</v>
      </c>
      <c r="B45" s="67">
        <v>29881</v>
      </c>
      <c r="C45" s="19"/>
    </row>
    <row r="46" spans="1:6" ht="15" customHeight="1" x14ac:dyDescent="0.25">
      <c r="A46" s="27" t="s">
        <v>81</v>
      </c>
      <c r="B46" s="65">
        <v>29826</v>
      </c>
      <c r="C46" s="20"/>
    </row>
    <row r="47" spans="1:6" ht="15" customHeight="1" x14ac:dyDescent="0.25">
      <c r="A47" s="27" t="s">
        <v>45</v>
      </c>
      <c r="B47" s="65">
        <v>64721</v>
      </c>
      <c r="C47" s="20"/>
    </row>
    <row r="48" spans="1:6" ht="15" customHeight="1" x14ac:dyDescent="0.25">
      <c r="A48" s="27" t="s">
        <v>47</v>
      </c>
      <c r="B48" s="65">
        <v>66984</v>
      </c>
      <c r="C48" s="20"/>
    </row>
    <row r="49" spans="1:3" ht="15" customHeight="1" x14ac:dyDescent="0.25">
      <c r="A49" s="27" t="s">
        <v>82</v>
      </c>
      <c r="B49" s="65">
        <v>45378</v>
      </c>
      <c r="C49" s="20"/>
    </row>
    <row r="50" spans="1:3" ht="15" customHeight="1" x14ac:dyDescent="0.25">
      <c r="A50" s="27" t="s">
        <v>65</v>
      </c>
      <c r="B50" s="65">
        <v>45380</v>
      </c>
      <c r="C50" s="20"/>
    </row>
    <row r="51" spans="1:3" ht="15" customHeight="1" x14ac:dyDescent="0.25">
      <c r="A51" s="27" t="s">
        <v>83</v>
      </c>
      <c r="B51" s="65">
        <v>45385</v>
      </c>
      <c r="C51" s="20"/>
    </row>
    <row r="52" spans="1:3" ht="15" customHeight="1" x14ac:dyDescent="0.25">
      <c r="A52" s="27" t="s">
        <v>84</v>
      </c>
      <c r="B52" s="65">
        <v>66821</v>
      </c>
      <c r="C52" s="20"/>
    </row>
    <row r="53" spans="1:3" ht="15" customHeight="1" x14ac:dyDescent="0.25">
      <c r="A53" s="26" t="s">
        <v>51</v>
      </c>
      <c r="B53" s="65">
        <v>43239</v>
      </c>
      <c r="C53" s="20"/>
    </row>
    <row r="54" spans="1:3" ht="15" customHeight="1" x14ac:dyDescent="0.25">
      <c r="A54" s="26" t="s">
        <v>85</v>
      </c>
      <c r="B54" s="65">
        <v>43235</v>
      </c>
      <c r="C54" s="20"/>
    </row>
    <row r="55" spans="1:3" ht="15" customHeight="1" x14ac:dyDescent="0.25">
      <c r="A55" s="62" t="s">
        <v>113</v>
      </c>
      <c r="B55" s="65">
        <v>19120</v>
      </c>
      <c r="C55" s="20"/>
    </row>
    <row r="56" spans="1:3" ht="15" customHeight="1" x14ac:dyDescent="0.25">
      <c r="A56" s="27" t="s">
        <v>86</v>
      </c>
      <c r="B56" s="65">
        <v>49505</v>
      </c>
      <c r="C56" s="20"/>
    </row>
    <row r="57" spans="1:3" ht="15" customHeight="1" x14ac:dyDescent="0.25">
      <c r="A57" s="62" t="s">
        <v>107</v>
      </c>
      <c r="B57" s="65" t="s">
        <v>110</v>
      </c>
      <c r="C57" s="20"/>
    </row>
    <row r="58" spans="1:3" ht="15" customHeight="1" x14ac:dyDescent="0.25">
      <c r="A58" s="27" t="s">
        <v>108</v>
      </c>
      <c r="B58" s="65">
        <v>64483</v>
      </c>
      <c r="C58" s="20"/>
    </row>
    <row r="59" spans="1:3" ht="15" customHeight="1" x14ac:dyDescent="0.25">
      <c r="A59" s="27" t="s">
        <v>66</v>
      </c>
      <c r="B59" s="65">
        <v>47562</v>
      </c>
      <c r="C59" s="20"/>
    </row>
    <row r="60" spans="1:3" ht="15" customHeight="1" x14ac:dyDescent="0.25">
      <c r="A60" s="27" t="s">
        <v>72</v>
      </c>
      <c r="B60" s="65">
        <v>69436</v>
      </c>
      <c r="C60" s="20"/>
    </row>
    <row r="61" spans="1:3" ht="15" customHeight="1" x14ac:dyDescent="0.25">
      <c r="A61" s="27" t="s">
        <v>87</v>
      </c>
      <c r="B61" s="65">
        <v>42820</v>
      </c>
      <c r="C61" s="20"/>
    </row>
    <row r="62" spans="1:3" ht="29.25" customHeight="1" x14ac:dyDescent="0.25">
      <c r="A62" s="32" t="s">
        <v>88</v>
      </c>
      <c r="B62" s="59" t="s">
        <v>314</v>
      </c>
      <c r="C62" s="31" t="s">
        <v>58</v>
      </c>
    </row>
    <row r="63" spans="1:3" ht="15" customHeight="1" x14ac:dyDescent="0.25">
      <c r="A63" s="29" t="s">
        <v>122</v>
      </c>
      <c r="B63" s="36">
        <v>90853</v>
      </c>
      <c r="C63" s="40">
        <v>1400</v>
      </c>
    </row>
    <row r="64" spans="1:3" ht="15" customHeight="1" x14ac:dyDescent="0.25">
      <c r="A64" s="27" t="s">
        <v>123</v>
      </c>
      <c r="B64" s="34">
        <v>90853</v>
      </c>
      <c r="C64" s="41">
        <v>1400</v>
      </c>
    </row>
    <row r="65" spans="1:3" ht="15" customHeight="1" x14ac:dyDescent="0.25">
      <c r="A65" s="27" t="s">
        <v>124</v>
      </c>
      <c r="B65" s="34" t="s">
        <v>134</v>
      </c>
      <c r="C65" s="41">
        <v>266.66000000000003</v>
      </c>
    </row>
    <row r="66" spans="1:3" ht="15" customHeight="1" x14ac:dyDescent="0.25">
      <c r="A66" s="27" t="s">
        <v>125</v>
      </c>
      <c r="B66" s="34" t="s">
        <v>134</v>
      </c>
      <c r="C66" s="41">
        <v>266.66000000000003</v>
      </c>
    </row>
    <row r="67" spans="1:3" ht="15" customHeight="1" x14ac:dyDescent="0.25">
      <c r="A67" s="27" t="s">
        <v>126</v>
      </c>
      <c r="B67" s="34" t="s">
        <v>134</v>
      </c>
      <c r="C67" s="41">
        <v>266.66000000000003</v>
      </c>
    </row>
    <row r="68" spans="1:3" ht="15" customHeight="1" x14ac:dyDescent="0.25">
      <c r="A68" s="27" t="s">
        <v>130</v>
      </c>
      <c r="B68" s="34">
        <v>90853</v>
      </c>
      <c r="C68" s="41">
        <v>1400</v>
      </c>
    </row>
    <row r="69" spans="1:3" ht="15" customHeight="1" x14ac:dyDescent="0.25">
      <c r="A69" s="27" t="s">
        <v>129</v>
      </c>
      <c r="B69" s="34">
        <v>90853</v>
      </c>
      <c r="C69" s="41">
        <v>1400</v>
      </c>
    </row>
    <row r="70" spans="1:3" ht="15" customHeight="1" x14ac:dyDescent="0.25">
      <c r="A70" s="27" t="s">
        <v>127</v>
      </c>
      <c r="B70" s="34">
        <v>90853</v>
      </c>
      <c r="C70" s="41">
        <v>1400</v>
      </c>
    </row>
    <row r="71" spans="1:3" ht="15" customHeight="1" x14ac:dyDescent="0.25">
      <c r="A71" s="27" t="s">
        <v>128</v>
      </c>
      <c r="B71" s="34">
        <v>90853</v>
      </c>
      <c r="C71" s="41">
        <v>1400</v>
      </c>
    </row>
    <row r="72" spans="1:3" ht="15" customHeight="1" x14ac:dyDescent="0.25">
      <c r="A72" s="27" t="s">
        <v>131</v>
      </c>
      <c r="B72" s="34">
        <v>90853</v>
      </c>
      <c r="C72" s="41">
        <v>800</v>
      </c>
    </row>
    <row r="73" spans="1:3" ht="15" customHeight="1" x14ac:dyDescent="0.25">
      <c r="A73" s="27" t="s">
        <v>133</v>
      </c>
      <c r="B73" s="34">
        <v>90853</v>
      </c>
      <c r="C73" s="41">
        <v>800</v>
      </c>
    </row>
    <row r="74" spans="1:3" ht="15" customHeight="1" x14ac:dyDescent="0.25">
      <c r="A74" s="27" t="s">
        <v>132</v>
      </c>
      <c r="B74" s="34">
        <v>90853</v>
      </c>
      <c r="C74" s="41">
        <v>266.66000000000003</v>
      </c>
    </row>
    <row r="75" spans="1:3" ht="15" customHeight="1" x14ac:dyDescent="0.25">
      <c r="A75" s="27" t="s">
        <v>135</v>
      </c>
      <c r="B75" s="34">
        <v>90853</v>
      </c>
      <c r="C75" s="41">
        <v>266.66000000000003</v>
      </c>
    </row>
    <row r="76" spans="1:3" ht="15" customHeight="1" x14ac:dyDescent="0.25">
      <c r="A76" s="27" t="s">
        <v>136</v>
      </c>
      <c r="B76" s="34">
        <v>90853</v>
      </c>
      <c r="C76" s="41">
        <v>266.66000000000003</v>
      </c>
    </row>
    <row r="77" spans="1:3" ht="15" customHeight="1" x14ac:dyDescent="0.25">
      <c r="A77" s="27" t="s">
        <v>137</v>
      </c>
      <c r="B77" s="34" t="s">
        <v>138</v>
      </c>
      <c r="C77" s="41">
        <v>266.66000000000003</v>
      </c>
    </row>
    <row r="78" spans="1:3" ht="15" customHeight="1" x14ac:dyDescent="0.25">
      <c r="A78" s="27" t="s">
        <v>139</v>
      </c>
      <c r="B78" s="34">
        <v>90853</v>
      </c>
      <c r="C78" s="41">
        <v>266.66000000000003</v>
      </c>
    </row>
    <row r="79" spans="1:3" ht="15" customHeight="1" x14ac:dyDescent="0.25">
      <c r="A79" s="27" t="s">
        <v>140</v>
      </c>
      <c r="B79" s="34">
        <v>90853</v>
      </c>
      <c r="C79" s="41">
        <v>266.66000000000003</v>
      </c>
    </row>
    <row r="80" spans="1:3" ht="15" customHeight="1" x14ac:dyDescent="0.25">
      <c r="A80" s="27" t="s">
        <v>141</v>
      </c>
      <c r="B80" s="34">
        <v>90853</v>
      </c>
      <c r="C80" s="41">
        <v>266.66000000000003</v>
      </c>
    </row>
    <row r="81" spans="1:4" ht="15" customHeight="1" x14ac:dyDescent="0.25">
      <c r="A81" s="27" t="s">
        <v>142</v>
      </c>
      <c r="B81" s="34">
        <v>90853</v>
      </c>
      <c r="C81" s="41">
        <v>800</v>
      </c>
    </row>
    <row r="82" spans="1:4" ht="15" customHeight="1" x14ac:dyDescent="0.25">
      <c r="A82" s="27" t="s">
        <v>143</v>
      </c>
      <c r="B82" s="34">
        <v>90853</v>
      </c>
      <c r="C82" s="41">
        <v>800</v>
      </c>
    </row>
    <row r="83" spans="1:4" ht="15" customHeight="1" x14ac:dyDescent="0.25">
      <c r="A83" s="71" t="s">
        <v>144</v>
      </c>
      <c r="B83" s="35">
        <v>90870</v>
      </c>
      <c r="C83" s="42">
        <v>2500</v>
      </c>
    </row>
    <row r="84" spans="1:4" ht="6" customHeight="1" x14ac:dyDescent="0.25">
      <c r="A84" s="71"/>
      <c r="B84" s="35"/>
      <c r="C84" s="42"/>
    </row>
    <row r="85" spans="1:4" hidden="1" x14ac:dyDescent="0.25">
      <c r="A85" s="43"/>
      <c r="B85" s="35"/>
      <c r="C85" s="42"/>
    </row>
    <row r="86" spans="1:4" ht="14.4" x14ac:dyDescent="0.25">
      <c r="A86" s="82" t="s">
        <v>315</v>
      </c>
      <c r="B86" s="81"/>
      <c r="C86" s="42"/>
    </row>
    <row r="87" spans="1:4" ht="21" customHeight="1" thickBot="1" x14ac:dyDescent="0.3">
      <c r="A87" s="21" t="s">
        <v>94</v>
      </c>
      <c r="B87" s="7"/>
      <c r="C87" s="22">
        <f>COUNTA(C7:C11,C13:C25,C27:C35,C37:C43,C45:C61,C63:C85)</f>
        <v>21</v>
      </c>
      <c r="D87" s="39"/>
    </row>
    <row r="88" spans="1:4" ht="15" customHeight="1" thickTop="1" x14ac:dyDescent="0.25">
      <c r="A88" s="37" t="s">
        <v>73</v>
      </c>
      <c r="B88" s="38"/>
      <c r="C88" s="48"/>
    </row>
    <row r="89" spans="1:4" ht="15" customHeight="1" x14ac:dyDescent="0.25">
      <c r="A89" s="49" t="s">
        <v>121</v>
      </c>
      <c r="B89" s="50"/>
      <c r="C89" s="51"/>
    </row>
    <row r="90" spans="1:4" ht="15" customHeight="1" x14ac:dyDescent="0.25">
      <c r="A90" s="49" t="s">
        <v>98</v>
      </c>
      <c r="B90" s="52"/>
      <c r="C90" s="53"/>
    </row>
    <row r="91" spans="1:4" ht="15" customHeight="1" x14ac:dyDescent="0.25">
      <c r="A91" s="49" t="s">
        <v>102</v>
      </c>
      <c r="B91" s="52"/>
      <c r="C91" s="53"/>
    </row>
    <row r="92" spans="1:4" ht="15" customHeight="1" x14ac:dyDescent="0.25">
      <c r="A92" s="49" t="s">
        <v>104</v>
      </c>
      <c r="B92" s="52"/>
      <c r="C92" s="53"/>
    </row>
    <row r="93" spans="1:4" ht="15" customHeight="1" x14ac:dyDescent="0.25">
      <c r="A93" s="49" t="s">
        <v>105</v>
      </c>
      <c r="B93" s="52"/>
      <c r="C93" s="53"/>
    </row>
    <row r="94" spans="1:4" ht="15" customHeight="1" x14ac:dyDescent="0.25">
      <c r="A94" s="49" t="s">
        <v>99</v>
      </c>
      <c r="B94" s="52"/>
      <c r="C94" s="53"/>
    </row>
    <row r="95" spans="1:4" ht="15" customHeight="1" x14ac:dyDescent="0.25">
      <c r="A95" s="49" t="s">
        <v>100</v>
      </c>
      <c r="B95" s="52"/>
      <c r="C95" s="54"/>
      <c r="D95" s="8"/>
    </row>
    <row r="96" spans="1:4" ht="15" customHeight="1" x14ac:dyDescent="0.25">
      <c r="A96" s="49" t="s">
        <v>97</v>
      </c>
      <c r="B96" s="52"/>
      <c r="C96" s="53"/>
    </row>
    <row r="97" spans="1:3" ht="15" customHeight="1" x14ac:dyDescent="0.25">
      <c r="A97" s="49" t="s">
        <v>101</v>
      </c>
      <c r="B97" s="52"/>
      <c r="C97" s="53"/>
    </row>
    <row r="98" spans="1:3" ht="15" customHeight="1" x14ac:dyDescent="0.25">
      <c r="A98" s="55" t="s">
        <v>120</v>
      </c>
      <c r="B98" s="56"/>
      <c r="C98" s="57"/>
    </row>
    <row r="99" spans="1:3" ht="15" customHeight="1" x14ac:dyDescent="0.25"/>
    <row r="100" spans="1:3" ht="15" customHeight="1" x14ac:dyDescent="0.25">
      <c r="B100" s="6"/>
    </row>
    <row r="101" spans="1:3" x14ac:dyDescent="0.25">
      <c r="B101" s="6"/>
    </row>
    <row r="102" spans="1:3" x14ac:dyDescent="0.25">
      <c r="B102" s="6"/>
    </row>
    <row r="103" spans="1:3" x14ac:dyDescent="0.25">
      <c r="B103" s="6"/>
    </row>
    <row r="104" spans="1:3" x14ac:dyDescent="0.25">
      <c r="B104" s="6"/>
    </row>
    <row r="105" spans="1:3" x14ac:dyDescent="0.25">
      <c r="B105"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47E5-5C1C-46A7-AE17-D0BFB6E099C0}">
  <dimension ref="A1:J82"/>
  <sheetViews>
    <sheetView workbookViewId="0">
      <selection activeCell="F18" sqref="F18"/>
    </sheetView>
  </sheetViews>
  <sheetFormatPr defaultColWidth="8.90625" defaultRowHeight="11.4" x14ac:dyDescent="0.2"/>
  <cols>
    <col min="1" max="1" width="7.81640625" style="72" customWidth="1"/>
    <col min="2" max="2" width="19.453125" style="72" customWidth="1"/>
    <col min="3" max="16384" width="8.90625" style="72"/>
  </cols>
  <sheetData>
    <row r="1" spans="1:10" x14ac:dyDescent="0.2">
      <c r="A1" s="72" t="s">
        <v>147</v>
      </c>
      <c r="B1" s="72" t="s">
        <v>280</v>
      </c>
      <c r="C1" s="72" t="s">
        <v>281</v>
      </c>
      <c r="D1" s="72" t="s">
        <v>282</v>
      </c>
      <c r="E1" s="72" t="s">
        <v>283</v>
      </c>
      <c r="F1" s="72" t="s">
        <v>284</v>
      </c>
      <c r="G1" s="72" t="s">
        <v>285</v>
      </c>
      <c r="H1" s="72" t="s">
        <v>286</v>
      </c>
      <c r="I1" s="72" t="s">
        <v>287</v>
      </c>
      <c r="J1" s="72" t="s">
        <v>288</v>
      </c>
    </row>
    <row r="4" spans="1:10" x14ac:dyDescent="0.2">
      <c r="A4" s="72" t="s">
        <v>148</v>
      </c>
      <c r="B4" s="72" t="s">
        <v>149</v>
      </c>
      <c r="E4" s="72" t="s">
        <v>289</v>
      </c>
      <c r="F4" s="72" t="s">
        <v>290</v>
      </c>
      <c r="J4" s="72" t="s">
        <v>291</v>
      </c>
    </row>
    <row r="5" spans="1:10" x14ac:dyDescent="0.2">
      <c r="A5" s="72" t="s">
        <v>150</v>
      </c>
      <c r="B5" s="72" t="s">
        <v>151</v>
      </c>
      <c r="D5" s="72" t="s">
        <v>152</v>
      </c>
      <c r="E5" s="72" t="s">
        <v>292</v>
      </c>
      <c r="F5" s="72" t="s">
        <v>172</v>
      </c>
      <c r="J5" s="72" t="s">
        <v>293</v>
      </c>
    </row>
    <row r="6" spans="1:10" x14ac:dyDescent="0.2">
      <c r="C6" s="72" t="s">
        <v>153</v>
      </c>
      <c r="D6" s="72" t="s">
        <v>154</v>
      </c>
      <c r="E6" s="72" t="s">
        <v>294</v>
      </c>
      <c r="F6" s="72" t="s">
        <v>295</v>
      </c>
      <c r="G6" s="72">
        <v>99</v>
      </c>
    </row>
    <row r="7" spans="1:10" x14ac:dyDescent="0.2">
      <c r="E7" s="72" t="s">
        <v>155</v>
      </c>
      <c r="F7" s="72">
        <v>45133</v>
      </c>
    </row>
    <row r="8" spans="1:10" x14ac:dyDescent="0.2">
      <c r="A8" s="72" t="s">
        <v>156</v>
      </c>
      <c r="B8" s="72" t="s">
        <v>157</v>
      </c>
    </row>
    <row r="9" spans="1:10" x14ac:dyDescent="0.2">
      <c r="A9" s="72" t="s">
        <v>158</v>
      </c>
      <c r="B9" s="72" t="s">
        <v>159</v>
      </c>
      <c r="C9" s="72" t="s">
        <v>158</v>
      </c>
      <c r="D9" s="72" t="s">
        <v>160</v>
      </c>
      <c r="E9" s="72" t="s">
        <v>158</v>
      </c>
      <c r="F9" s="72" t="s">
        <v>296</v>
      </c>
      <c r="G9" s="72" t="s">
        <v>161</v>
      </c>
      <c r="H9" s="72" t="s">
        <v>162</v>
      </c>
      <c r="I9" s="72" t="s">
        <v>163</v>
      </c>
      <c r="J9" s="72" t="s">
        <v>296</v>
      </c>
    </row>
    <row r="10" spans="1:10" x14ac:dyDescent="0.2">
      <c r="A10" s="72" t="s">
        <v>164</v>
      </c>
      <c r="B10" s="72" t="s">
        <v>164</v>
      </c>
      <c r="C10" s="72" t="s">
        <v>165</v>
      </c>
      <c r="D10" s="72" t="s">
        <v>166</v>
      </c>
      <c r="E10" s="72" t="s">
        <v>167</v>
      </c>
      <c r="F10" s="72" t="s">
        <v>167</v>
      </c>
      <c r="G10" s="72" t="s">
        <v>168</v>
      </c>
      <c r="H10" s="72" t="s">
        <v>169</v>
      </c>
      <c r="I10" s="72" t="s">
        <v>170</v>
      </c>
      <c r="J10" s="72" t="s">
        <v>297</v>
      </c>
    </row>
    <row r="11" spans="1:10" x14ac:dyDescent="0.2">
      <c r="A11" s="72" t="s">
        <v>171</v>
      </c>
      <c r="B11" s="72" t="s">
        <v>172</v>
      </c>
      <c r="C11" s="72" t="s">
        <v>173</v>
      </c>
      <c r="D11" s="72" t="s">
        <v>174</v>
      </c>
      <c r="E11" s="72" t="s">
        <v>175</v>
      </c>
      <c r="F11" s="72" t="s">
        <v>176</v>
      </c>
      <c r="G11" s="72" t="s">
        <v>177</v>
      </c>
      <c r="H11" s="72" t="s">
        <v>177</v>
      </c>
      <c r="I11" s="72" t="s">
        <v>178</v>
      </c>
      <c r="J11" s="72" t="s">
        <v>298</v>
      </c>
    </row>
    <row r="12" spans="1:10" x14ac:dyDescent="0.2">
      <c r="A12" s="72" t="s">
        <v>179</v>
      </c>
      <c r="B12" s="72" t="s">
        <v>180</v>
      </c>
      <c r="C12" s="72">
        <v>0</v>
      </c>
      <c r="D12" s="72">
        <v>2000</v>
      </c>
      <c r="E12" s="72">
        <v>0</v>
      </c>
      <c r="F12" s="72">
        <v>0</v>
      </c>
      <c r="G12" s="72">
        <v>40701.410000000003</v>
      </c>
      <c r="H12" s="72">
        <v>40701.410000000003</v>
      </c>
      <c r="I12" s="72">
        <v>124</v>
      </c>
      <c r="J12" s="72" t="s">
        <v>181</v>
      </c>
    </row>
    <row r="13" spans="1:10" x14ac:dyDescent="0.2">
      <c r="A13" s="72" t="s">
        <v>182</v>
      </c>
      <c r="B13" s="72" t="s">
        <v>180</v>
      </c>
      <c r="C13" s="72">
        <v>0</v>
      </c>
      <c r="D13" s="72">
        <v>2000</v>
      </c>
      <c r="E13" s="72">
        <v>0</v>
      </c>
      <c r="F13" s="72">
        <v>0</v>
      </c>
      <c r="G13" s="72">
        <v>40701.410000000003</v>
      </c>
      <c r="H13" s="72">
        <v>40701.410000000003</v>
      </c>
      <c r="I13" s="72">
        <v>124</v>
      </c>
      <c r="J13" s="72" t="s">
        <v>181</v>
      </c>
    </row>
    <row r="14" spans="1:10" x14ac:dyDescent="0.2">
      <c r="A14" s="72" t="s">
        <v>183</v>
      </c>
      <c r="B14" s="72" t="s">
        <v>180</v>
      </c>
      <c r="C14" s="72">
        <v>0</v>
      </c>
      <c r="D14" s="72">
        <v>2000</v>
      </c>
      <c r="E14" s="72">
        <v>0</v>
      </c>
      <c r="F14" s="72">
        <v>0</v>
      </c>
      <c r="G14" s="72">
        <v>40701.410000000003</v>
      </c>
      <c r="H14" s="72">
        <v>40701.410000000003</v>
      </c>
      <c r="I14" s="72">
        <v>124</v>
      </c>
      <c r="J14" s="72" t="s">
        <v>181</v>
      </c>
    </row>
    <row r="15" spans="1:10" x14ac:dyDescent="0.2">
      <c r="A15" s="72" t="s">
        <v>184</v>
      </c>
      <c r="B15" s="72" t="s">
        <v>180</v>
      </c>
      <c r="C15" s="72">
        <v>0</v>
      </c>
      <c r="D15" s="72">
        <v>2000</v>
      </c>
      <c r="E15" s="72">
        <v>0</v>
      </c>
      <c r="F15" s="72">
        <v>0</v>
      </c>
      <c r="G15" s="72">
        <v>40701.410000000003</v>
      </c>
      <c r="H15" s="72">
        <v>40701.410000000003</v>
      </c>
      <c r="I15" s="72">
        <v>124</v>
      </c>
      <c r="J15" s="72" t="s">
        <v>181</v>
      </c>
    </row>
    <row r="16" spans="1:10" x14ac:dyDescent="0.2">
      <c r="A16" s="72" t="s">
        <v>185</v>
      </c>
      <c r="B16" s="72" t="s">
        <v>180</v>
      </c>
      <c r="C16" s="72">
        <v>0</v>
      </c>
      <c r="D16" s="72">
        <v>2000</v>
      </c>
      <c r="E16" s="72">
        <v>0</v>
      </c>
      <c r="F16" s="72">
        <v>0</v>
      </c>
      <c r="G16" s="72">
        <v>40701.410000000003</v>
      </c>
      <c r="H16" s="72">
        <v>40701.410000000003</v>
      </c>
      <c r="I16" s="72">
        <v>124</v>
      </c>
      <c r="J16" s="72" t="s">
        <v>181</v>
      </c>
    </row>
    <row r="17" spans="1:10" x14ac:dyDescent="0.2">
      <c r="A17" s="72" t="s">
        <v>186</v>
      </c>
      <c r="B17" s="72" t="s">
        <v>180</v>
      </c>
      <c r="C17" s="72">
        <v>0</v>
      </c>
      <c r="D17" s="72">
        <v>2000</v>
      </c>
      <c r="E17" s="72">
        <v>0</v>
      </c>
      <c r="F17" s="72">
        <v>0</v>
      </c>
      <c r="G17" s="72">
        <v>40701.410000000003</v>
      </c>
      <c r="H17" s="72">
        <v>40701.410000000003</v>
      </c>
      <c r="I17" s="72">
        <v>124</v>
      </c>
      <c r="J17" s="72" t="s">
        <v>181</v>
      </c>
    </row>
    <row r="18" spans="1:10" x14ac:dyDescent="0.2">
      <c r="A18" s="72" t="s">
        <v>187</v>
      </c>
      <c r="B18" s="72" t="s">
        <v>180</v>
      </c>
      <c r="C18" s="72">
        <v>0</v>
      </c>
      <c r="D18" s="72">
        <v>2000</v>
      </c>
      <c r="E18" s="72">
        <v>0</v>
      </c>
      <c r="F18" s="72">
        <v>0</v>
      </c>
      <c r="G18" s="72">
        <v>40701.410000000003</v>
      </c>
      <c r="H18" s="72">
        <v>40701.410000000003</v>
      </c>
      <c r="I18" s="72">
        <v>124</v>
      </c>
      <c r="J18" s="72" t="s">
        <v>181</v>
      </c>
    </row>
    <row r="19" spans="1:10" x14ac:dyDescent="0.2">
      <c r="A19" s="72" t="s">
        <v>188</v>
      </c>
      <c r="B19" s="72" t="s">
        <v>189</v>
      </c>
      <c r="C19" s="72">
        <v>0</v>
      </c>
      <c r="D19" s="72">
        <v>2000</v>
      </c>
      <c r="E19" s="72">
        <v>0</v>
      </c>
      <c r="F19" s="72">
        <v>0</v>
      </c>
      <c r="G19" s="72">
        <v>40901.410000000003</v>
      </c>
      <c r="H19" s="72">
        <v>40901.410000000003</v>
      </c>
      <c r="I19" s="72">
        <v>124</v>
      </c>
      <c r="J19" s="72" t="s">
        <v>181</v>
      </c>
    </row>
    <row r="20" spans="1:10" x14ac:dyDescent="0.2">
      <c r="A20" s="72" t="s">
        <v>190</v>
      </c>
      <c r="B20" s="72" t="s">
        <v>189</v>
      </c>
      <c r="C20" s="72">
        <v>0</v>
      </c>
      <c r="D20" s="72">
        <v>2000</v>
      </c>
      <c r="E20" s="72">
        <v>0</v>
      </c>
      <c r="F20" s="72">
        <v>0</v>
      </c>
      <c r="G20" s="72">
        <v>40903.410000000003</v>
      </c>
      <c r="H20" s="72">
        <v>40903.410000000003</v>
      </c>
      <c r="I20" s="72">
        <v>124</v>
      </c>
      <c r="J20" s="72" t="s">
        <v>181</v>
      </c>
    </row>
    <row r="21" spans="1:10" x14ac:dyDescent="0.2">
      <c r="A21" s="72" t="s">
        <v>191</v>
      </c>
      <c r="B21" s="72" t="s">
        <v>189</v>
      </c>
      <c r="C21" s="72">
        <v>0</v>
      </c>
      <c r="D21" s="72">
        <v>2000</v>
      </c>
      <c r="E21" s="72">
        <v>0</v>
      </c>
      <c r="F21" s="72">
        <v>0</v>
      </c>
      <c r="G21" s="72">
        <v>40901.410000000003</v>
      </c>
      <c r="H21" s="72">
        <v>40901.410000000003</v>
      </c>
      <c r="I21" s="72">
        <v>124</v>
      </c>
      <c r="J21" s="72" t="s">
        <v>181</v>
      </c>
    </row>
    <row r="22" spans="1:10" x14ac:dyDescent="0.2">
      <c r="A22" s="72" t="s">
        <v>192</v>
      </c>
      <c r="B22" s="72" t="s">
        <v>189</v>
      </c>
      <c r="C22" s="72">
        <v>0</v>
      </c>
      <c r="D22" s="72">
        <v>2000</v>
      </c>
      <c r="E22" s="72">
        <v>0</v>
      </c>
      <c r="F22" s="72">
        <v>0</v>
      </c>
      <c r="G22" s="72">
        <v>40902.410000000003</v>
      </c>
      <c r="H22" s="72">
        <v>40902.410000000003</v>
      </c>
      <c r="I22" s="72">
        <v>124</v>
      </c>
      <c r="J22" s="72" t="s">
        <v>181</v>
      </c>
    </row>
    <row r="23" spans="1:10" x14ac:dyDescent="0.2">
      <c r="A23" s="72" t="s">
        <v>193</v>
      </c>
      <c r="B23" s="72" t="s">
        <v>189</v>
      </c>
      <c r="C23" s="72">
        <v>0</v>
      </c>
      <c r="D23" s="72">
        <v>2000</v>
      </c>
      <c r="E23" s="72">
        <v>0</v>
      </c>
      <c r="F23" s="72">
        <v>0</v>
      </c>
      <c r="G23" s="72">
        <v>40903.410000000003</v>
      </c>
      <c r="H23" s="72">
        <v>40903.410000000003</v>
      </c>
      <c r="I23" s="72">
        <v>124</v>
      </c>
      <c r="J23" s="72" t="s">
        <v>181</v>
      </c>
    </row>
    <row r="24" spans="1:10" x14ac:dyDescent="0.2">
      <c r="A24" s="72" t="s">
        <v>194</v>
      </c>
      <c r="B24" s="72" t="s">
        <v>189</v>
      </c>
      <c r="C24" s="72">
        <v>0</v>
      </c>
      <c r="D24" s="72">
        <v>2000</v>
      </c>
      <c r="E24" s="72">
        <v>0</v>
      </c>
      <c r="F24" s="72">
        <v>0</v>
      </c>
      <c r="G24" s="72">
        <v>42401.41</v>
      </c>
      <c r="H24" s="72">
        <v>42401.41</v>
      </c>
      <c r="I24" s="72">
        <v>124</v>
      </c>
      <c r="J24" s="72" t="s">
        <v>181</v>
      </c>
    </row>
    <row r="25" spans="1:10" x14ac:dyDescent="0.2">
      <c r="A25" s="72" t="s">
        <v>195</v>
      </c>
      <c r="B25" s="72" t="s">
        <v>189</v>
      </c>
      <c r="C25" s="72">
        <v>0</v>
      </c>
      <c r="D25" s="72">
        <v>2000</v>
      </c>
      <c r="E25" s="72">
        <v>0</v>
      </c>
      <c r="F25" s="72">
        <v>0</v>
      </c>
      <c r="G25" s="72">
        <v>40901.410000000003</v>
      </c>
      <c r="H25" s="72">
        <v>40901.410000000003</v>
      </c>
      <c r="I25" s="72">
        <v>124</v>
      </c>
      <c r="J25" s="72" t="s">
        <v>181</v>
      </c>
    </row>
    <row r="26" spans="1:10" x14ac:dyDescent="0.2">
      <c r="A26" s="72" t="s">
        <v>196</v>
      </c>
      <c r="B26" s="72" t="s">
        <v>189</v>
      </c>
      <c r="C26" s="72">
        <v>0</v>
      </c>
      <c r="D26" s="72">
        <v>2000</v>
      </c>
      <c r="E26" s="72">
        <v>0</v>
      </c>
      <c r="F26" s="72">
        <v>0</v>
      </c>
      <c r="G26" s="72">
        <v>40902.410000000003</v>
      </c>
      <c r="H26" s="72">
        <v>40902.410000000003</v>
      </c>
      <c r="I26" s="72">
        <v>124</v>
      </c>
      <c r="J26" s="72" t="s">
        <v>181</v>
      </c>
    </row>
    <row r="27" spans="1:10" x14ac:dyDescent="0.2">
      <c r="A27" s="72" t="s">
        <v>197</v>
      </c>
      <c r="B27" s="72" t="s">
        <v>189</v>
      </c>
      <c r="C27" s="72">
        <v>0</v>
      </c>
      <c r="D27" s="72">
        <v>2000</v>
      </c>
      <c r="E27" s="72">
        <v>0</v>
      </c>
      <c r="F27" s="72">
        <v>0</v>
      </c>
      <c r="G27" s="72">
        <v>40903.410000000003</v>
      </c>
      <c r="H27" s="72">
        <v>40903.410000000003</v>
      </c>
      <c r="I27" s="72">
        <v>124</v>
      </c>
      <c r="J27" s="72" t="s">
        <v>181</v>
      </c>
    </row>
    <row r="28" spans="1:10" x14ac:dyDescent="0.2">
      <c r="A28" s="72" t="s">
        <v>198</v>
      </c>
      <c r="B28" s="72" t="s">
        <v>189</v>
      </c>
      <c r="C28" s="72">
        <v>0</v>
      </c>
      <c r="D28" s="72">
        <v>2000</v>
      </c>
      <c r="E28" s="72">
        <v>0</v>
      </c>
      <c r="F28" s="72">
        <v>0</v>
      </c>
      <c r="G28" s="72">
        <v>42401.41</v>
      </c>
      <c r="H28" s="72">
        <v>42401.41</v>
      </c>
      <c r="I28" s="72">
        <v>124</v>
      </c>
      <c r="J28" s="72" t="s">
        <v>181</v>
      </c>
    </row>
    <row r="29" spans="1:10" x14ac:dyDescent="0.2">
      <c r="A29" s="72" t="s">
        <v>199</v>
      </c>
      <c r="B29" s="72" t="s">
        <v>189</v>
      </c>
      <c r="C29" s="72">
        <v>0</v>
      </c>
      <c r="D29" s="72">
        <v>2000</v>
      </c>
      <c r="E29" s="72">
        <v>0</v>
      </c>
      <c r="F29" s="72">
        <v>0</v>
      </c>
      <c r="G29" s="72">
        <v>40901.410000000003</v>
      </c>
      <c r="H29" s="72">
        <v>40901.410000000003</v>
      </c>
      <c r="I29" s="72">
        <v>124</v>
      </c>
      <c r="J29" s="72" t="s">
        <v>181</v>
      </c>
    </row>
    <row r="30" spans="1:10" x14ac:dyDescent="0.2">
      <c r="A30" s="72" t="s">
        <v>200</v>
      </c>
      <c r="B30" s="72" t="s">
        <v>189</v>
      </c>
      <c r="C30" s="72">
        <v>0</v>
      </c>
      <c r="D30" s="72">
        <v>2000</v>
      </c>
      <c r="E30" s="72">
        <v>0</v>
      </c>
      <c r="F30" s="72">
        <v>0</v>
      </c>
      <c r="G30" s="72">
        <v>40902.410000000003</v>
      </c>
      <c r="H30" s="72">
        <v>40902.410000000003</v>
      </c>
      <c r="I30" s="72">
        <v>124</v>
      </c>
      <c r="J30" s="72" t="s">
        <v>181</v>
      </c>
    </row>
    <row r="31" spans="1:10" x14ac:dyDescent="0.2">
      <c r="A31" s="72" t="s">
        <v>201</v>
      </c>
      <c r="B31" s="72" t="s">
        <v>189</v>
      </c>
      <c r="C31" s="72">
        <v>0</v>
      </c>
      <c r="D31" s="72">
        <v>2000</v>
      </c>
      <c r="E31" s="72">
        <v>0</v>
      </c>
      <c r="F31" s="72">
        <v>0</v>
      </c>
      <c r="G31" s="72">
        <v>40903.410000000003</v>
      </c>
      <c r="H31" s="72">
        <v>40903.410000000003</v>
      </c>
      <c r="I31" s="72">
        <v>124</v>
      </c>
      <c r="J31" s="72" t="s">
        <v>181</v>
      </c>
    </row>
    <row r="32" spans="1:10" x14ac:dyDescent="0.2">
      <c r="A32" s="72" t="s">
        <v>202</v>
      </c>
      <c r="B32" s="72" t="s">
        <v>189</v>
      </c>
      <c r="C32" s="72">
        <v>0</v>
      </c>
      <c r="D32" s="72">
        <v>2000</v>
      </c>
      <c r="E32" s="72">
        <v>0</v>
      </c>
      <c r="F32" s="72">
        <v>0</v>
      </c>
      <c r="G32" s="72">
        <v>42401.41</v>
      </c>
      <c r="H32" s="72">
        <v>42401.41</v>
      </c>
      <c r="I32" s="72">
        <v>124</v>
      </c>
      <c r="J32" s="72" t="s">
        <v>181</v>
      </c>
    </row>
    <row r="33" spans="1:10" x14ac:dyDescent="0.2">
      <c r="A33" s="72" t="s">
        <v>203</v>
      </c>
      <c r="B33" s="72" t="s">
        <v>189</v>
      </c>
      <c r="C33" s="72">
        <v>0</v>
      </c>
      <c r="D33" s="72">
        <v>2000</v>
      </c>
      <c r="E33" s="72">
        <v>0</v>
      </c>
      <c r="F33" s="72">
        <v>0</v>
      </c>
      <c r="G33" s="72">
        <v>40901.410000000003</v>
      </c>
      <c r="H33" s="72">
        <v>40901.410000000003</v>
      </c>
      <c r="I33" s="72">
        <v>124</v>
      </c>
      <c r="J33" s="72" t="s">
        <v>181</v>
      </c>
    </row>
    <row r="34" spans="1:10" x14ac:dyDescent="0.2">
      <c r="A34" s="72" t="s">
        <v>204</v>
      </c>
      <c r="B34" s="72" t="s">
        <v>189</v>
      </c>
      <c r="C34" s="72">
        <v>0</v>
      </c>
      <c r="D34" s="72">
        <v>2000</v>
      </c>
      <c r="E34" s="72">
        <v>0</v>
      </c>
      <c r="F34" s="72">
        <v>0</v>
      </c>
      <c r="G34" s="72">
        <v>40902.410000000003</v>
      </c>
      <c r="H34" s="72">
        <v>40902.410000000003</v>
      </c>
      <c r="I34" s="72">
        <v>124</v>
      </c>
      <c r="J34" s="72" t="s">
        <v>181</v>
      </c>
    </row>
    <row r="35" spans="1:10" x14ac:dyDescent="0.2">
      <c r="A35" s="72" t="s">
        <v>205</v>
      </c>
      <c r="B35" s="72" t="s">
        <v>189</v>
      </c>
      <c r="C35" s="72">
        <v>0</v>
      </c>
      <c r="D35" s="72">
        <v>2000</v>
      </c>
      <c r="E35" s="72">
        <v>0</v>
      </c>
      <c r="F35" s="72">
        <v>0</v>
      </c>
      <c r="G35" s="72">
        <v>40903.410000000003</v>
      </c>
      <c r="H35" s="72">
        <v>40903.410000000003</v>
      </c>
      <c r="I35" s="72">
        <v>124</v>
      </c>
      <c r="J35" s="72" t="s">
        <v>181</v>
      </c>
    </row>
    <row r="36" spans="1:10" x14ac:dyDescent="0.2">
      <c r="A36" s="72" t="s">
        <v>206</v>
      </c>
      <c r="B36" s="72" t="s">
        <v>189</v>
      </c>
      <c r="C36" s="72">
        <v>0</v>
      </c>
      <c r="D36" s="72">
        <v>2000</v>
      </c>
      <c r="E36" s="72">
        <v>0</v>
      </c>
      <c r="F36" s="72">
        <v>0</v>
      </c>
      <c r="G36" s="72">
        <v>42401.41</v>
      </c>
      <c r="H36" s="72">
        <v>42401.41</v>
      </c>
      <c r="I36" s="72">
        <v>124</v>
      </c>
      <c r="J36" s="72" t="s">
        <v>181</v>
      </c>
    </row>
    <row r="37" spans="1:10" x14ac:dyDescent="0.2">
      <c r="A37" s="72" t="s">
        <v>207</v>
      </c>
      <c r="B37" s="72" t="s">
        <v>189</v>
      </c>
      <c r="C37" s="72">
        <v>0</v>
      </c>
      <c r="D37" s="72">
        <v>2000</v>
      </c>
      <c r="E37" s="72">
        <v>0</v>
      </c>
      <c r="F37" s="72">
        <v>0</v>
      </c>
      <c r="G37" s="72">
        <v>40901.410000000003</v>
      </c>
      <c r="H37" s="72">
        <v>40901.410000000003</v>
      </c>
      <c r="I37" s="72">
        <v>124</v>
      </c>
      <c r="J37" s="72" t="s">
        <v>181</v>
      </c>
    </row>
    <row r="38" spans="1:10" x14ac:dyDescent="0.2">
      <c r="A38" s="72" t="s">
        <v>208</v>
      </c>
      <c r="B38" s="72" t="s">
        <v>189</v>
      </c>
      <c r="C38" s="72">
        <v>0</v>
      </c>
      <c r="D38" s="72">
        <v>2000</v>
      </c>
      <c r="E38" s="72">
        <v>0</v>
      </c>
      <c r="F38" s="72">
        <v>0</v>
      </c>
      <c r="G38" s="72">
        <v>40902.410000000003</v>
      </c>
      <c r="H38" s="72">
        <v>40902.410000000003</v>
      </c>
      <c r="I38" s="72">
        <v>124</v>
      </c>
      <c r="J38" s="72" t="s">
        <v>181</v>
      </c>
    </row>
    <row r="39" spans="1:10" x14ac:dyDescent="0.2">
      <c r="A39" s="72" t="s">
        <v>209</v>
      </c>
      <c r="B39" s="72" t="s">
        <v>189</v>
      </c>
      <c r="C39" s="72">
        <v>0</v>
      </c>
      <c r="D39" s="72">
        <v>2000</v>
      </c>
      <c r="E39" s="72">
        <v>0</v>
      </c>
      <c r="F39" s="72">
        <v>0</v>
      </c>
      <c r="G39" s="72">
        <v>40903.410000000003</v>
      </c>
      <c r="H39" s="72">
        <v>40903.410000000003</v>
      </c>
      <c r="I39" s="72">
        <v>124</v>
      </c>
      <c r="J39" s="72" t="s">
        <v>181</v>
      </c>
    </row>
    <row r="40" spans="1:10" x14ac:dyDescent="0.2">
      <c r="A40" s="72" t="s">
        <v>210</v>
      </c>
      <c r="B40" s="72" t="s">
        <v>189</v>
      </c>
      <c r="C40" s="72">
        <v>0</v>
      </c>
      <c r="D40" s="72">
        <v>2000</v>
      </c>
      <c r="E40" s="72">
        <v>0</v>
      </c>
      <c r="F40" s="72">
        <v>0</v>
      </c>
      <c r="G40" s="72">
        <v>42401.41</v>
      </c>
      <c r="H40" s="72">
        <v>42401.41</v>
      </c>
      <c r="I40" s="72">
        <v>124</v>
      </c>
      <c r="J40" s="72" t="s">
        <v>181</v>
      </c>
    </row>
    <row r="41" spans="1:10" x14ac:dyDescent="0.2">
      <c r="A41" s="72" t="s">
        <v>211</v>
      </c>
      <c r="B41" s="72" t="s">
        <v>189</v>
      </c>
      <c r="C41" s="72">
        <v>0</v>
      </c>
      <c r="D41" s="72">
        <v>2000</v>
      </c>
      <c r="E41" s="72">
        <v>0</v>
      </c>
      <c r="F41" s="72">
        <v>0</v>
      </c>
      <c r="G41" s="72">
        <v>40901.410000000003</v>
      </c>
      <c r="H41" s="72">
        <v>40901.410000000003</v>
      </c>
      <c r="I41" s="72">
        <v>124</v>
      </c>
      <c r="J41" s="72" t="s">
        <v>181</v>
      </c>
    </row>
    <row r="42" spans="1:10" x14ac:dyDescent="0.2">
      <c r="A42" s="72" t="s">
        <v>212</v>
      </c>
      <c r="B42" s="72" t="s">
        <v>189</v>
      </c>
      <c r="C42" s="72">
        <v>0</v>
      </c>
      <c r="D42" s="72">
        <v>2000</v>
      </c>
      <c r="E42" s="72">
        <v>0</v>
      </c>
      <c r="F42" s="72">
        <v>0</v>
      </c>
      <c r="G42" s="72">
        <v>40902.410000000003</v>
      </c>
      <c r="H42" s="72">
        <v>40902.410000000003</v>
      </c>
      <c r="I42" s="72">
        <v>124</v>
      </c>
      <c r="J42" s="72" t="s">
        <v>181</v>
      </c>
    </row>
    <row r="43" spans="1:10" x14ac:dyDescent="0.2">
      <c r="A43" s="72" t="s">
        <v>213</v>
      </c>
      <c r="B43" s="72" t="s">
        <v>189</v>
      </c>
      <c r="C43" s="72">
        <v>0</v>
      </c>
      <c r="D43" s="72">
        <v>2000</v>
      </c>
      <c r="E43" s="72">
        <v>0</v>
      </c>
      <c r="F43" s="72">
        <v>0</v>
      </c>
      <c r="G43" s="72">
        <v>40903.410000000003</v>
      </c>
      <c r="H43" s="72">
        <v>40903.410000000003</v>
      </c>
      <c r="I43" s="72">
        <v>124</v>
      </c>
      <c r="J43" s="72" t="s">
        <v>181</v>
      </c>
    </row>
    <row r="44" spans="1:10" x14ac:dyDescent="0.2">
      <c r="A44" s="72" t="s">
        <v>214</v>
      </c>
      <c r="B44" s="72" t="s">
        <v>189</v>
      </c>
      <c r="C44" s="72">
        <v>0</v>
      </c>
      <c r="D44" s="72">
        <v>2000</v>
      </c>
      <c r="E44" s="72">
        <v>0</v>
      </c>
      <c r="F44" s="72">
        <v>0</v>
      </c>
      <c r="G44" s="72">
        <v>42401.41</v>
      </c>
      <c r="H44" s="72">
        <v>42401.41</v>
      </c>
      <c r="I44" s="72">
        <v>124</v>
      </c>
      <c r="J44" s="72" t="s">
        <v>181</v>
      </c>
    </row>
    <row r="45" spans="1:10" x14ac:dyDescent="0.2">
      <c r="A45" s="72" t="s">
        <v>215</v>
      </c>
      <c r="B45" s="72" t="s">
        <v>189</v>
      </c>
      <c r="C45" s="72">
        <v>0</v>
      </c>
      <c r="D45" s="72">
        <v>2000</v>
      </c>
      <c r="E45" s="72">
        <v>0</v>
      </c>
      <c r="F45" s="72">
        <v>0</v>
      </c>
      <c r="G45" s="72">
        <v>41101.410000000003</v>
      </c>
      <c r="H45" s="72">
        <v>41101.410000000003</v>
      </c>
      <c r="I45" s="72">
        <v>124</v>
      </c>
      <c r="J45" s="72" t="s">
        <v>181</v>
      </c>
    </row>
    <row r="46" spans="1:10" x14ac:dyDescent="0.2">
      <c r="A46" s="72" t="s">
        <v>216</v>
      </c>
      <c r="B46" s="72" t="s">
        <v>217</v>
      </c>
      <c r="C46" s="72">
        <v>0</v>
      </c>
      <c r="D46" s="72">
        <v>2000</v>
      </c>
      <c r="E46" s="72">
        <v>0</v>
      </c>
      <c r="F46" s="72">
        <v>0</v>
      </c>
      <c r="G46" s="72">
        <v>41701.410000000003</v>
      </c>
      <c r="H46" s="72">
        <v>41701.410000000003</v>
      </c>
      <c r="I46" s="72">
        <v>124</v>
      </c>
      <c r="J46" s="72" t="s">
        <v>181</v>
      </c>
    </row>
    <row r="47" spans="1:10" x14ac:dyDescent="0.2">
      <c r="A47" s="72" t="s">
        <v>218</v>
      </c>
      <c r="B47" s="72" t="s">
        <v>217</v>
      </c>
      <c r="C47" s="72">
        <v>0</v>
      </c>
      <c r="D47" s="72">
        <v>2000</v>
      </c>
      <c r="E47" s="72">
        <v>0</v>
      </c>
      <c r="F47" s="72">
        <v>0</v>
      </c>
      <c r="G47" s="72">
        <v>41701.410000000003</v>
      </c>
      <c r="H47" s="72">
        <v>41701.410000000003</v>
      </c>
      <c r="I47" s="72">
        <v>124</v>
      </c>
      <c r="J47" s="72" t="s">
        <v>181</v>
      </c>
    </row>
    <row r="48" spans="1:10" x14ac:dyDescent="0.2">
      <c r="A48" s="72" t="s">
        <v>219</v>
      </c>
      <c r="B48" s="72" t="s">
        <v>217</v>
      </c>
      <c r="C48" s="72">
        <v>0</v>
      </c>
      <c r="D48" s="72">
        <v>2000</v>
      </c>
      <c r="E48" s="72">
        <v>0</v>
      </c>
      <c r="F48" s="72">
        <v>0</v>
      </c>
      <c r="G48" s="72">
        <v>41701.410000000003</v>
      </c>
      <c r="H48" s="72">
        <v>41701.410000000003</v>
      </c>
      <c r="I48" s="72">
        <v>124</v>
      </c>
      <c r="J48" s="72" t="s">
        <v>181</v>
      </c>
    </row>
    <row r="49" spans="1:10" x14ac:dyDescent="0.2">
      <c r="A49" s="72" t="s">
        <v>220</v>
      </c>
      <c r="B49" s="72" t="s">
        <v>217</v>
      </c>
      <c r="C49" s="72">
        <v>0</v>
      </c>
      <c r="D49" s="72">
        <v>2000</v>
      </c>
      <c r="E49" s="72">
        <v>0</v>
      </c>
      <c r="F49" s="72">
        <v>0</v>
      </c>
      <c r="G49" s="72">
        <v>41701.410000000003</v>
      </c>
      <c r="H49" s="72">
        <v>41701.410000000003</v>
      </c>
      <c r="I49" s="72">
        <v>124</v>
      </c>
      <c r="J49" s="72" t="s">
        <v>181</v>
      </c>
    </row>
    <row r="50" spans="1:10" x14ac:dyDescent="0.2">
      <c r="A50" s="72" t="s">
        <v>221</v>
      </c>
      <c r="B50" s="72" t="s">
        <v>217</v>
      </c>
      <c r="C50" s="72">
        <v>0</v>
      </c>
      <c r="D50" s="72">
        <v>2000</v>
      </c>
      <c r="E50" s="72">
        <v>0</v>
      </c>
      <c r="F50" s="72">
        <v>0</v>
      </c>
      <c r="G50" s="72">
        <v>41701.410000000003</v>
      </c>
      <c r="H50" s="72">
        <v>41701.410000000003</v>
      </c>
      <c r="I50" s="72">
        <v>124</v>
      </c>
      <c r="J50" s="72" t="s">
        <v>181</v>
      </c>
    </row>
    <row r="51" spans="1:10" x14ac:dyDescent="0.2">
      <c r="A51" s="72" t="s">
        <v>222</v>
      </c>
      <c r="B51" s="72" t="s">
        <v>223</v>
      </c>
      <c r="C51" s="72">
        <v>0</v>
      </c>
      <c r="D51" s="72">
        <v>2000</v>
      </c>
      <c r="E51" s="72">
        <v>0</v>
      </c>
      <c r="F51" s="72">
        <v>0</v>
      </c>
      <c r="G51" s="72">
        <v>41701.410000000003</v>
      </c>
      <c r="H51" s="72">
        <v>41701.410000000003</v>
      </c>
      <c r="I51" s="72">
        <v>124</v>
      </c>
      <c r="J51" s="72" t="s">
        <v>181</v>
      </c>
    </row>
    <row r="52" spans="1:10" x14ac:dyDescent="0.2">
      <c r="A52" s="72" t="s">
        <v>224</v>
      </c>
      <c r="B52" s="72" t="s">
        <v>225</v>
      </c>
      <c r="C52" s="72">
        <v>0</v>
      </c>
      <c r="D52" s="72">
        <v>2000</v>
      </c>
      <c r="E52" s="72">
        <v>0</v>
      </c>
      <c r="F52" s="72">
        <v>0</v>
      </c>
      <c r="G52" s="72">
        <v>41101.410000000003</v>
      </c>
      <c r="H52" s="72">
        <v>41101.410000000003</v>
      </c>
      <c r="I52" s="72">
        <v>124</v>
      </c>
      <c r="J52" s="72" t="s">
        <v>181</v>
      </c>
    </row>
    <row r="53" spans="1:10" x14ac:dyDescent="0.2">
      <c r="A53" s="72" t="s">
        <v>226</v>
      </c>
      <c r="B53" s="72" t="s">
        <v>225</v>
      </c>
      <c r="C53" s="72">
        <v>0</v>
      </c>
      <c r="D53" s="72">
        <v>2000</v>
      </c>
      <c r="E53" s="72">
        <v>0</v>
      </c>
      <c r="F53" s="72">
        <v>0</v>
      </c>
      <c r="G53" s="72">
        <v>41101.410000000003</v>
      </c>
      <c r="H53" s="72">
        <v>41101.410000000003</v>
      </c>
      <c r="I53" s="72">
        <v>124</v>
      </c>
      <c r="J53" s="72" t="s">
        <v>181</v>
      </c>
    </row>
    <row r="54" spans="1:10" x14ac:dyDescent="0.2">
      <c r="A54" s="72" t="s">
        <v>227</v>
      </c>
      <c r="B54" s="72" t="s">
        <v>225</v>
      </c>
      <c r="C54" s="72">
        <v>0</v>
      </c>
      <c r="D54" s="72">
        <v>2000</v>
      </c>
      <c r="E54" s="72">
        <v>0</v>
      </c>
      <c r="F54" s="72">
        <v>0</v>
      </c>
      <c r="G54" s="72">
        <v>41101.410000000003</v>
      </c>
      <c r="H54" s="72">
        <v>41101.410000000003</v>
      </c>
      <c r="I54" s="72">
        <v>124</v>
      </c>
      <c r="J54" s="72" t="s">
        <v>181</v>
      </c>
    </row>
    <row r="55" spans="1:10" x14ac:dyDescent="0.2">
      <c r="A55" s="72" t="s">
        <v>228</v>
      </c>
      <c r="B55" s="72" t="s">
        <v>225</v>
      </c>
      <c r="C55" s="72">
        <v>0</v>
      </c>
      <c r="D55" s="72">
        <v>2000</v>
      </c>
      <c r="E55" s="72">
        <v>0</v>
      </c>
      <c r="F55" s="72">
        <v>0</v>
      </c>
      <c r="G55" s="72">
        <v>41101.410000000003</v>
      </c>
      <c r="H55" s="72">
        <v>41101.410000000003</v>
      </c>
      <c r="I55" s="72">
        <v>124</v>
      </c>
      <c r="J55" s="72" t="s">
        <v>181</v>
      </c>
    </row>
    <row r="56" spans="1:10" x14ac:dyDescent="0.2">
      <c r="A56" s="72" t="s">
        <v>229</v>
      </c>
      <c r="B56" s="72" t="s">
        <v>225</v>
      </c>
      <c r="C56" s="72">
        <v>0</v>
      </c>
      <c r="D56" s="72">
        <v>2000</v>
      </c>
      <c r="E56" s="72">
        <v>0</v>
      </c>
      <c r="F56" s="72">
        <v>0</v>
      </c>
      <c r="G56" s="72">
        <v>41101.410000000003</v>
      </c>
      <c r="H56" s="72">
        <v>41101.410000000003</v>
      </c>
      <c r="I56" s="72">
        <v>124</v>
      </c>
      <c r="J56" s="72" t="s">
        <v>181</v>
      </c>
    </row>
    <row r="57" spans="1:10" x14ac:dyDescent="0.2">
      <c r="A57" s="72" t="s">
        <v>230</v>
      </c>
      <c r="B57" s="72" t="s">
        <v>225</v>
      </c>
      <c r="C57" s="72">
        <v>0</v>
      </c>
      <c r="D57" s="72">
        <v>2000</v>
      </c>
      <c r="E57" s="72">
        <v>0</v>
      </c>
      <c r="F57" s="72">
        <v>0</v>
      </c>
      <c r="G57" s="72">
        <v>41101.410000000003</v>
      </c>
      <c r="H57" s="72">
        <v>41101.410000000003</v>
      </c>
      <c r="I57" s="72">
        <v>124</v>
      </c>
      <c r="J57" s="72" t="s">
        <v>181</v>
      </c>
    </row>
    <row r="58" spans="1:10" x14ac:dyDescent="0.2">
      <c r="A58" s="72" t="s">
        <v>231</v>
      </c>
      <c r="B58" s="72" t="s">
        <v>232</v>
      </c>
      <c r="C58" s="72">
        <v>0</v>
      </c>
      <c r="D58" s="72">
        <v>2000</v>
      </c>
      <c r="E58" s="72">
        <v>0</v>
      </c>
      <c r="F58" s="72">
        <v>0</v>
      </c>
      <c r="G58" s="72">
        <v>41101.410000000003</v>
      </c>
      <c r="H58" s="72">
        <v>41101.410000000003</v>
      </c>
      <c r="I58" s="72">
        <v>124</v>
      </c>
      <c r="J58" s="72" t="s">
        <v>181</v>
      </c>
    </row>
    <row r="59" spans="1:10" x14ac:dyDescent="0.2">
      <c r="A59" s="72" t="s">
        <v>233</v>
      </c>
      <c r="B59" s="72" t="s">
        <v>234</v>
      </c>
      <c r="C59" s="72">
        <v>2500</v>
      </c>
      <c r="D59" s="72">
        <v>0</v>
      </c>
      <c r="E59" s="72">
        <v>0</v>
      </c>
      <c r="F59" s="72">
        <v>0</v>
      </c>
      <c r="G59" s="72">
        <v>76100.41</v>
      </c>
      <c r="H59" s="72">
        <v>76100.41</v>
      </c>
      <c r="I59" s="72">
        <v>901</v>
      </c>
      <c r="J59" s="72" t="s">
        <v>181</v>
      </c>
    </row>
    <row r="60" spans="1:10" x14ac:dyDescent="0.2">
      <c r="A60" s="72" t="s">
        <v>235</v>
      </c>
      <c r="B60" s="72" t="s">
        <v>236</v>
      </c>
      <c r="C60" s="72">
        <v>2500</v>
      </c>
      <c r="D60" s="72">
        <v>0</v>
      </c>
      <c r="E60" s="72">
        <v>0</v>
      </c>
      <c r="F60" s="72">
        <v>0</v>
      </c>
      <c r="G60" s="72">
        <v>76100.45</v>
      </c>
      <c r="H60" s="72">
        <v>76100.45</v>
      </c>
      <c r="I60" s="72">
        <v>901</v>
      </c>
      <c r="J60" s="72" t="s">
        <v>181</v>
      </c>
    </row>
    <row r="61" spans="1:10" x14ac:dyDescent="0.2">
      <c r="A61" s="72" t="s">
        <v>237</v>
      </c>
      <c r="B61" s="72" t="s">
        <v>238</v>
      </c>
      <c r="C61" s="72">
        <v>2500</v>
      </c>
      <c r="D61" s="72">
        <v>0</v>
      </c>
      <c r="E61" s="72">
        <v>0</v>
      </c>
      <c r="F61" s="72">
        <v>0</v>
      </c>
      <c r="G61" s="72">
        <v>76100.45</v>
      </c>
      <c r="H61" s="72">
        <v>76100.45</v>
      </c>
      <c r="I61" s="72">
        <v>901</v>
      </c>
      <c r="J61" s="72" t="s">
        <v>181</v>
      </c>
    </row>
    <row r="62" spans="1:10" x14ac:dyDescent="0.2">
      <c r="A62" s="72" t="s">
        <v>239</v>
      </c>
      <c r="B62" s="72" t="s">
        <v>240</v>
      </c>
      <c r="C62" s="72">
        <v>1400</v>
      </c>
      <c r="D62" s="72">
        <v>0</v>
      </c>
      <c r="E62" s="72">
        <v>0</v>
      </c>
      <c r="F62" s="72">
        <v>0</v>
      </c>
      <c r="G62" s="72">
        <v>44410.43</v>
      </c>
      <c r="H62" s="72">
        <v>44410.43</v>
      </c>
      <c r="J62" s="72" t="s">
        <v>181</v>
      </c>
    </row>
    <row r="63" spans="1:10" x14ac:dyDescent="0.2">
      <c r="A63" s="72" t="s">
        <v>241</v>
      </c>
      <c r="B63" s="72" t="s">
        <v>242</v>
      </c>
      <c r="C63" s="72">
        <v>1400</v>
      </c>
      <c r="D63" s="72">
        <v>0</v>
      </c>
      <c r="E63" s="72">
        <v>0</v>
      </c>
      <c r="F63" s="72">
        <v>0</v>
      </c>
      <c r="G63" s="72">
        <v>44401.43</v>
      </c>
      <c r="H63" s="72">
        <v>44401.43</v>
      </c>
      <c r="I63" s="72">
        <v>913</v>
      </c>
      <c r="J63" s="72" t="s">
        <v>181</v>
      </c>
    </row>
    <row r="64" spans="1:10" x14ac:dyDescent="0.2">
      <c r="A64" s="72" t="s">
        <v>243</v>
      </c>
      <c r="B64" s="72" t="s">
        <v>244</v>
      </c>
      <c r="C64" s="72">
        <v>280</v>
      </c>
      <c r="D64" s="72">
        <v>0</v>
      </c>
      <c r="E64" s="72">
        <v>0</v>
      </c>
      <c r="F64" s="72">
        <v>0</v>
      </c>
      <c r="G64" s="72">
        <v>44401.43</v>
      </c>
      <c r="H64" s="72">
        <v>44401.43</v>
      </c>
      <c r="I64" s="72">
        <v>915</v>
      </c>
      <c r="J64" s="72" t="s">
        <v>181</v>
      </c>
    </row>
    <row r="65" spans="1:10" x14ac:dyDescent="0.2">
      <c r="A65" s="72" t="s">
        <v>245</v>
      </c>
      <c r="B65" s="72" t="s">
        <v>246</v>
      </c>
      <c r="C65" s="72">
        <v>280</v>
      </c>
      <c r="D65" s="72">
        <v>0</v>
      </c>
      <c r="E65" s="72">
        <v>0</v>
      </c>
      <c r="F65" s="72">
        <v>0</v>
      </c>
      <c r="G65" s="72">
        <v>45902.43</v>
      </c>
      <c r="H65" s="72">
        <v>45902.43</v>
      </c>
      <c r="I65" s="72">
        <v>915</v>
      </c>
      <c r="J65" s="72" t="s">
        <v>181</v>
      </c>
    </row>
    <row r="66" spans="1:10" x14ac:dyDescent="0.2">
      <c r="A66" s="72" t="s">
        <v>247</v>
      </c>
      <c r="B66" s="72" t="s">
        <v>248</v>
      </c>
      <c r="C66" s="72">
        <v>280</v>
      </c>
      <c r="D66" s="72">
        <v>0</v>
      </c>
      <c r="E66" s="72">
        <v>0</v>
      </c>
      <c r="F66" s="72">
        <v>0</v>
      </c>
      <c r="G66" s="72">
        <v>45901.43</v>
      </c>
      <c r="H66" s="72">
        <v>45901.43</v>
      </c>
      <c r="I66" s="72">
        <v>915</v>
      </c>
      <c r="J66" s="72" t="s">
        <v>299</v>
      </c>
    </row>
    <row r="67" spans="1:10" x14ac:dyDescent="0.2">
      <c r="A67" s="72" t="s">
        <v>249</v>
      </c>
      <c r="B67" s="72" t="s">
        <v>250</v>
      </c>
      <c r="C67" s="72">
        <v>1400</v>
      </c>
      <c r="D67" s="72">
        <v>0</v>
      </c>
      <c r="E67" s="72">
        <v>0</v>
      </c>
      <c r="F67" s="72">
        <v>0</v>
      </c>
      <c r="G67" s="72">
        <v>44401.43</v>
      </c>
      <c r="H67" s="72">
        <v>44401.43</v>
      </c>
      <c r="J67" s="72" t="s">
        <v>181</v>
      </c>
    </row>
    <row r="68" spans="1:10" x14ac:dyDescent="0.2">
      <c r="A68" s="72" t="s">
        <v>251</v>
      </c>
      <c r="B68" s="72" t="s">
        <v>252</v>
      </c>
      <c r="C68" s="72">
        <v>1400</v>
      </c>
      <c r="D68" s="72">
        <v>0</v>
      </c>
      <c r="E68" s="72">
        <v>0</v>
      </c>
      <c r="F68" s="72">
        <v>0</v>
      </c>
      <c r="G68" s="72">
        <v>45902.43</v>
      </c>
      <c r="H68" s="72">
        <v>45902.43</v>
      </c>
      <c r="I68" s="72">
        <v>913</v>
      </c>
      <c r="J68" s="72" t="s">
        <v>181</v>
      </c>
    </row>
    <row r="69" spans="1:10" x14ac:dyDescent="0.2">
      <c r="A69" s="72" t="s">
        <v>253</v>
      </c>
      <c r="B69" s="72" t="s">
        <v>254</v>
      </c>
      <c r="C69" s="72">
        <v>1400</v>
      </c>
      <c r="D69" s="72">
        <v>0</v>
      </c>
      <c r="E69" s="72">
        <v>0</v>
      </c>
      <c r="F69" s="72">
        <v>0</v>
      </c>
      <c r="G69" s="72">
        <v>44410.43</v>
      </c>
      <c r="H69" s="72">
        <v>44410.43</v>
      </c>
      <c r="J69" s="72" t="s">
        <v>181</v>
      </c>
    </row>
    <row r="70" spans="1:10" x14ac:dyDescent="0.2">
      <c r="A70" s="72" t="s">
        <v>255</v>
      </c>
      <c r="B70" s="72" t="s">
        <v>256</v>
      </c>
      <c r="C70" s="72">
        <v>1400</v>
      </c>
      <c r="D70" s="72">
        <v>0</v>
      </c>
      <c r="E70" s="72">
        <v>0</v>
      </c>
      <c r="F70" s="72">
        <v>0</v>
      </c>
      <c r="G70" s="72">
        <v>45901.43</v>
      </c>
      <c r="H70" s="72">
        <v>45901.43</v>
      </c>
      <c r="I70" s="72">
        <v>913</v>
      </c>
      <c r="J70" s="72" t="s">
        <v>300</v>
      </c>
    </row>
    <row r="71" spans="1:10" x14ac:dyDescent="0.2">
      <c r="A71" s="72" t="s">
        <v>257</v>
      </c>
      <c r="B71" s="72" t="s">
        <v>258</v>
      </c>
      <c r="C71" s="72">
        <v>800</v>
      </c>
      <c r="D71" s="72">
        <v>0</v>
      </c>
      <c r="E71" s="72">
        <v>0</v>
      </c>
      <c r="F71" s="72">
        <v>0</v>
      </c>
      <c r="G71" s="72">
        <v>47401.45</v>
      </c>
      <c r="H71" s="72">
        <v>47401.45</v>
      </c>
      <c r="I71" s="72">
        <v>94906</v>
      </c>
      <c r="J71" s="72" t="s">
        <v>181</v>
      </c>
    </row>
    <row r="72" spans="1:10" x14ac:dyDescent="0.2">
      <c r="A72" s="72" t="s">
        <v>259</v>
      </c>
      <c r="B72" s="72" t="s">
        <v>260</v>
      </c>
      <c r="C72" s="72">
        <v>800</v>
      </c>
      <c r="D72" s="72">
        <v>0</v>
      </c>
      <c r="E72" s="72">
        <v>0</v>
      </c>
      <c r="F72" s="72">
        <v>0</v>
      </c>
      <c r="G72" s="72">
        <v>47401.45</v>
      </c>
      <c r="H72" s="72">
        <v>47401.45</v>
      </c>
      <c r="I72" s="72">
        <v>905</v>
      </c>
      <c r="J72" s="72" t="s">
        <v>181</v>
      </c>
    </row>
    <row r="73" spans="1:10" x14ac:dyDescent="0.2">
      <c r="A73" s="72" t="s">
        <v>261</v>
      </c>
      <c r="B73" s="72" t="s">
        <v>262</v>
      </c>
      <c r="C73" s="72">
        <v>266.66000000000003</v>
      </c>
      <c r="D73" s="72">
        <v>0</v>
      </c>
      <c r="E73" s="72">
        <v>0</v>
      </c>
      <c r="F73" s="72">
        <v>0</v>
      </c>
      <c r="G73" s="72">
        <v>47401.45</v>
      </c>
      <c r="H73" s="72">
        <v>47401.45</v>
      </c>
      <c r="I73" s="72">
        <v>915</v>
      </c>
      <c r="J73" s="72" t="s">
        <v>181</v>
      </c>
    </row>
    <row r="74" spans="1:10" x14ac:dyDescent="0.2">
      <c r="A74" s="72" t="s">
        <v>263</v>
      </c>
      <c r="B74" s="72" t="s">
        <v>264</v>
      </c>
      <c r="C74" s="72">
        <v>266.66000000000003</v>
      </c>
      <c r="D74" s="72">
        <v>0</v>
      </c>
      <c r="E74" s="72">
        <v>0</v>
      </c>
      <c r="F74" s="72">
        <v>0</v>
      </c>
      <c r="G74" s="72">
        <v>47401.45</v>
      </c>
      <c r="H74" s="72">
        <v>47401.45</v>
      </c>
      <c r="J74" s="72" t="s">
        <v>181</v>
      </c>
    </row>
    <row r="75" spans="1:10" x14ac:dyDescent="0.2">
      <c r="A75" s="72" t="s">
        <v>265</v>
      </c>
      <c r="B75" s="72" t="s">
        <v>266</v>
      </c>
      <c r="C75" s="72">
        <v>266.66000000000003</v>
      </c>
      <c r="D75" s="72">
        <v>0</v>
      </c>
      <c r="E75" s="72">
        <v>0</v>
      </c>
      <c r="F75" s="72">
        <v>0</v>
      </c>
      <c r="G75" s="72">
        <v>47401.45</v>
      </c>
      <c r="H75" s="72">
        <v>47401.45</v>
      </c>
      <c r="J75" s="72" t="s">
        <v>181</v>
      </c>
    </row>
    <row r="76" spans="1:10" x14ac:dyDescent="0.2">
      <c r="A76" s="72" t="s">
        <v>267</v>
      </c>
      <c r="B76" s="72" t="s">
        <v>268</v>
      </c>
      <c r="C76" s="72">
        <v>160</v>
      </c>
      <c r="D76" s="72">
        <v>0</v>
      </c>
      <c r="E76" s="72">
        <v>0</v>
      </c>
      <c r="F76" s="72">
        <v>0</v>
      </c>
      <c r="G76" s="72">
        <v>47401.45</v>
      </c>
      <c r="H76" s="72">
        <v>47401.45</v>
      </c>
      <c r="J76" s="72" t="s">
        <v>181</v>
      </c>
    </row>
    <row r="77" spans="1:10" x14ac:dyDescent="0.2">
      <c r="A77" s="72" t="s">
        <v>269</v>
      </c>
      <c r="B77" s="72" t="s">
        <v>246</v>
      </c>
      <c r="C77" s="72">
        <v>266.66000000000003</v>
      </c>
      <c r="D77" s="72">
        <v>0</v>
      </c>
      <c r="E77" s="72">
        <v>0</v>
      </c>
      <c r="F77" s="72">
        <v>0</v>
      </c>
      <c r="G77" s="72">
        <v>48502.45</v>
      </c>
      <c r="H77" s="72">
        <v>48502.45</v>
      </c>
      <c r="I77" s="72">
        <v>915</v>
      </c>
      <c r="J77" s="72" t="s">
        <v>181</v>
      </c>
    </row>
    <row r="78" spans="1:10" x14ac:dyDescent="0.2">
      <c r="A78" s="72" t="s">
        <v>270</v>
      </c>
      <c r="B78" s="72" t="s">
        <v>271</v>
      </c>
      <c r="C78" s="72">
        <v>266.66000000000003</v>
      </c>
      <c r="D78" s="72">
        <v>0</v>
      </c>
      <c r="E78" s="72">
        <v>0</v>
      </c>
      <c r="F78" s="72">
        <v>0</v>
      </c>
      <c r="G78" s="72">
        <v>48501.45</v>
      </c>
      <c r="H78" s="72">
        <v>48501.45</v>
      </c>
      <c r="I78" s="72">
        <v>915</v>
      </c>
      <c r="J78" s="72" t="s">
        <v>181</v>
      </c>
    </row>
    <row r="79" spans="1:10" x14ac:dyDescent="0.2">
      <c r="A79" s="72" t="s">
        <v>272</v>
      </c>
      <c r="B79" s="72" t="s">
        <v>273</v>
      </c>
      <c r="C79" s="72">
        <v>800</v>
      </c>
      <c r="D79" s="72">
        <v>0</v>
      </c>
      <c r="E79" s="72">
        <v>0</v>
      </c>
      <c r="F79" s="72">
        <v>0</v>
      </c>
      <c r="G79" s="72">
        <v>47401.45</v>
      </c>
      <c r="H79" s="72">
        <v>47401.45</v>
      </c>
      <c r="J79" s="72" t="s">
        <v>181</v>
      </c>
    </row>
    <row r="80" spans="1:10" x14ac:dyDescent="0.2">
      <c r="A80" s="72" t="s">
        <v>274</v>
      </c>
      <c r="B80" s="72" t="s">
        <v>275</v>
      </c>
      <c r="C80" s="72">
        <v>800</v>
      </c>
      <c r="D80" s="72">
        <v>0</v>
      </c>
      <c r="E80" s="72">
        <v>0</v>
      </c>
      <c r="F80" s="72">
        <v>0</v>
      </c>
      <c r="G80" s="72">
        <v>48502.45</v>
      </c>
      <c r="H80" s="72">
        <v>48502.45</v>
      </c>
      <c r="I80" s="72">
        <v>905</v>
      </c>
      <c r="J80" s="72" t="s">
        <v>181</v>
      </c>
    </row>
    <row r="81" spans="1:10" x14ac:dyDescent="0.2">
      <c r="A81" s="72" t="s">
        <v>276</v>
      </c>
      <c r="B81" s="72" t="s">
        <v>277</v>
      </c>
      <c r="C81" s="72">
        <v>800</v>
      </c>
      <c r="D81" s="72">
        <v>0</v>
      </c>
      <c r="E81" s="72">
        <v>0</v>
      </c>
      <c r="F81" s="72">
        <v>0</v>
      </c>
      <c r="G81" s="72">
        <v>47401.45</v>
      </c>
      <c r="H81" s="72">
        <v>47401.45</v>
      </c>
      <c r="J81" s="72" t="s">
        <v>181</v>
      </c>
    </row>
    <row r="82" spans="1:10" x14ac:dyDescent="0.2">
      <c r="A82" s="72" t="s">
        <v>278</v>
      </c>
      <c r="B82" s="72" t="s">
        <v>279</v>
      </c>
      <c r="C82" s="72">
        <v>800</v>
      </c>
      <c r="D82" s="72">
        <v>0</v>
      </c>
      <c r="E82" s="72">
        <v>0</v>
      </c>
      <c r="F82" s="72">
        <v>0</v>
      </c>
      <c r="G82" s="72">
        <v>48501.45</v>
      </c>
      <c r="H82" s="72">
        <v>48501.45</v>
      </c>
      <c r="I82" s="72">
        <v>905</v>
      </c>
      <c r="J82" s="72" t="s">
        <v>181</v>
      </c>
    </row>
  </sheetData>
  <phoneticPr fontId="1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DA69-CC2C-4FA0-B4BF-572D4C319BB5}">
  <dimension ref="A1:H20"/>
  <sheetViews>
    <sheetView workbookViewId="0">
      <selection activeCell="F25" sqref="F25"/>
    </sheetView>
  </sheetViews>
  <sheetFormatPr defaultRowHeight="15" x14ac:dyDescent="0.25"/>
  <sheetData>
    <row r="1" spans="1:8" x14ac:dyDescent="0.25">
      <c r="A1" s="73" t="s">
        <v>301</v>
      </c>
      <c r="C1" s="74"/>
    </row>
    <row r="2" spans="1:8" x14ac:dyDescent="0.25">
      <c r="A2" s="73" t="s">
        <v>302</v>
      </c>
      <c r="C2" s="74"/>
    </row>
    <row r="3" spans="1:8" x14ac:dyDescent="0.25">
      <c r="A3" s="73" t="s">
        <v>313</v>
      </c>
      <c r="C3" s="74"/>
    </row>
    <row r="5" spans="1:8" x14ac:dyDescent="0.25">
      <c r="A5" s="73" t="s">
        <v>303</v>
      </c>
    </row>
    <row r="6" spans="1:8" x14ac:dyDescent="0.25">
      <c r="F6" s="75" t="s">
        <v>304</v>
      </c>
      <c r="G6" s="75" t="s">
        <v>305</v>
      </c>
      <c r="H6" s="75" t="s">
        <v>306</v>
      </c>
    </row>
    <row r="7" spans="1:8" x14ac:dyDescent="0.25">
      <c r="B7" t="s">
        <v>307</v>
      </c>
      <c r="F7" s="74">
        <v>0</v>
      </c>
      <c r="G7" s="74">
        <v>0</v>
      </c>
      <c r="H7" s="74">
        <f>G7-F7</f>
        <v>0</v>
      </c>
    </row>
    <row r="8" spans="1:8" x14ac:dyDescent="0.25">
      <c r="B8" t="s">
        <v>307</v>
      </c>
      <c r="F8" s="74">
        <v>0</v>
      </c>
      <c r="G8" s="74">
        <v>0</v>
      </c>
      <c r="H8" s="74">
        <f>G8-F8</f>
        <v>0</v>
      </c>
    </row>
    <row r="10" spans="1:8" x14ac:dyDescent="0.25">
      <c r="A10" s="76" t="s">
        <v>308</v>
      </c>
    </row>
    <row r="11" spans="1:8" ht="26.4" x14ac:dyDescent="0.25">
      <c r="A11" s="76"/>
      <c r="E11" s="77" t="s">
        <v>309</v>
      </c>
      <c r="F11" s="75" t="s">
        <v>304</v>
      </c>
      <c r="G11" s="75" t="s">
        <v>305</v>
      </c>
      <c r="H11" s="75" t="s">
        <v>306</v>
      </c>
    </row>
    <row r="12" spans="1:8" x14ac:dyDescent="0.25">
      <c r="B12" t="s">
        <v>310</v>
      </c>
      <c r="E12" s="78">
        <v>0</v>
      </c>
      <c r="F12" s="79">
        <f>E12*F7</f>
        <v>0</v>
      </c>
      <c r="G12" s="79">
        <f>E12*G7</f>
        <v>0</v>
      </c>
      <c r="H12" s="79">
        <f>G12-F12</f>
        <v>0</v>
      </c>
    </row>
    <row r="13" spans="1:8" x14ac:dyDescent="0.25">
      <c r="B13" t="s">
        <v>310</v>
      </c>
      <c r="E13" s="78">
        <v>0</v>
      </c>
      <c r="F13" s="79">
        <f>E13*F8</f>
        <v>0</v>
      </c>
      <c r="G13" s="79">
        <f>E13*G8</f>
        <v>0</v>
      </c>
      <c r="H13" s="79">
        <f>G13-F13</f>
        <v>0</v>
      </c>
    </row>
    <row r="14" spans="1:8" x14ac:dyDescent="0.25">
      <c r="E14" s="78"/>
      <c r="F14" s="79"/>
      <c r="G14" s="79"/>
      <c r="H14" s="79"/>
    </row>
    <row r="15" spans="1:8" x14ac:dyDescent="0.25">
      <c r="E15" s="78"/>
      <c r="F15" s="79">
        <f>SUM(F12:F14)</f>
        <v>0</v>
      </c>
      <c r="G15" s="79">
        <f>SUM(G12:G14)</f>
        <v>0</v>
      </c>
      <c r="H15" s="79">
        <f>SUM(H12:H14)</f>
        <v>0</v>
      </c>
    </row>
    <row r="16" spans="1:8" x14ac:dyDescent="0.25">
      <c r="B16" s="76" t="s">
        <v>311</v>
      </c>
      <c r="H16" s="80" t="e">
        <f>H15/F15</f>
        <v>#DIV/0!</v>
      </c>
    </row>
    <row r="19" spans="1:1" x14ac:dyDescent="0.25">
      <c r="A19" t="s">
        <v>312</v>
      </c>
    </row>
    <row r="20" spans="1:1" x14ac:dyDescent="0.25">
      <c r="A20" s="82" t="s">
        <v>317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purl.org/dc/dcmitype/"/>
    <ds:schemaRef ds:uri="http://schemas.microsoft.com/office/infopath/2007/PartnerControls"/>
    <ds:schemaRef ds:uri="http://purl.org/dc/elements/1.1/"/>
    <ds:schemaRef ds:uri="http://schemas.microsoft.com/office/2006/metadata/properties"/>
    <ds:schemaRef ds:uri="http://schemas.microsoft.com/sharepoint/v3"/>
    <ds:schemaRef ds:uri="1fc1012c-1548-4228-b95d-9aad4dba54e6"/>
    <ds:schemaRef ds:uri="http://schemas.microsoft.com/office/2006/documentManagement/types"/>
    <ds:schemaRef ds:uri="0059ae26-9413-4d21-be36-8f7add82e95e"/>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8556B45-764A-4569-BCBF-72C0BF6019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PHZL045 </vt:lpstr>
      <vt:lpstr>Change calculation</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Johnson, Colby@HCAI</cp:lastModifiedBy>
  <cp:lastPrinted>2009-05-27T18:50:19Z</cp:lastPrinted>
  <dcterms:created xsi:type="dcterms:W3CDTF">2007-03-06T21:45:14Z</dcterms:created>
  <dcterms:modified xsi:type="dcterms:W3CDTF">2024-06-25T18:50:16Z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