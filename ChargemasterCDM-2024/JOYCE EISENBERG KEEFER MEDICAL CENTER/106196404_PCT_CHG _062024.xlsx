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JEK\OSHPD\Chargemaster\July 2024\To Send\"/>
    </mc:Choice>
  </mc:AlternateContent>
  <bookViews>
    <workbookView xWindow="0" yWindow="0" windowWidth="19200" windowHeight="11160"/>
  </bookViews>
  <sheets>
    <sheet name="2024" sheetId="16" r:id="rId1"/>
    <sheet name="2023" sheetId="14" r:id="rId2"/>
    <sheet name="2022" sheetId="13" r:id="rId3"/>
    <sheet name="2021 " sheetId="12" r:id="rId4"/>
    <sheet name="2020" sheetId="10" r:id="rId5"/>
    <sheet name="2019" sheetId="9" r:id="rId6"/>
    <sheet name="2018" sheetId="8" r:id="rId7"/>
    <sheet name="2017" sheetId="7" r:id="rId8"/>
    <sheet name="2016" sheetId="5" r:id="rId9"/>
    <sheet name="2015" sheetId="6" r:id="rId10"/>
    <sheet name="2014" sheetId="4" r:id="rId11"/>
    <sheet name="2013" sheetId="3" r:id="rId12"/>
    <sheet name="2012" sheetId="2" r:id="rId13"/>
    <sheet name="2011" sheetId="1" r:id="rId14"/>
  </sheets>
  <definedNames>
    <definedName name="_xlnm.Print_Area" localSheetId="8">'2016'!$A$1:$F$12</definedName>
    <definedName name="_xlnm.Print_Area" localSheetId="7">'2017'!$A$1:$F$12</definedName>
    <definedName name="_xlnm.Print_Area" localSheetId="6">'2018'!$A$1:$F$12</definedName>
    <definedName name="_xlnm.Print_Area" localSheetId="5">'2019'!$A$1:$F$12</definedName>
    <definedName name="_xlnm.Print_Area" localSheetId="4">'2020'!$A$1:$F$12</definedName>
    <definedName name="_xlnm.Print_Area" localSheetId="3">'2021 '!$A$1:$F$12</definedName>
    <definedName name="_xlnm.Print_Area" localSheetId="2">'2022'!$A$4:$F$15</definedName>
    <definedName name="_xlnm.Print_Area" localSheetId="1">'2023'!$A$4:$F$15</definedName>
    <definedName name="_xlnm.Print_Area" localSheetId="0">'2024'!$A$4:$F$6</definedName>
  </definedNames>
  <calcPr calcId="162913"/>
</workbook>
</file>

<file path=xl/calcChain.xml><?xml version="1.0" encoding="utf-8"?>
<calcChain xmlns="http://schemas.openxmlformats.org/spreadsheetml/2006/main">
  <c r="B9" i="14" l="1"/>
  <c r="C6" i="14" s="1"/>
  <c r="C7" i="14" l="1"/>
  <c r="C14" i="14" s="1"/>
  <c r="C15" i="14" s="1"/>
  <c r="B9" i="13"/>
  <c r="C7" i="13" s="1"/>
  <c r="C14" i="13" s="1"/>
  <c r="C15" i="13" s="1"/>
  <c r="C9" i="14" l="1"/>
  <c r="C6" i="13"/>
  <c r="C9" i="13" s="1"/>
  <c r="B6" i="12"/>
  <c r="C3" i="12" s="1"/>
  <c r="C4" i="12"/>
  <c r="C11" i="12" s="1"/>
  <c r="C12" i="12" s="1"/>
  <c r="C6" i="12" l="1"/>
  <c r="B6" i="10" l="1"/>
  <c r="C4" i="10"/>
  <c r="C11" i="10"/>
  <c r="C12" i="10"/>
  <c r="C3" i="10"/>
  <c r="C6" i="10"/>
  <c r="B6" i="9"/>
  <c r="C4" i="9"/>
  <c r="C11" i="9"/>
  <c r="C12" i="9"/>
  <c r="C3" i="9"/>
  <c r="C6" i="9"/>
  <c r="B6" i="8"/>
  <c r="C4" i="8"/>
  <c r="C11" i="8"/>
  <c r="C12" i="8"/>
  <c r="C3" i="8"/>
  <c r="C6" i="8"/>
  <c r="B6" i="7"/>
  <c r="C4" i="7"/>
  <c r="C11" i="7"/>
  <c r="C12" i="7"/>
  <c r="C3" i="7"/>
  <c r="C6" i="7"/>
  <c r="B6" i="5"/>
  <c r="C4" i="5"/>
  <c r="C11" i="5"/>
  <c r="C12" i="5"/>
  <c r="C3" i="5"/>
  <c r="C6" i="5"/>
  <c r="B6" i="6"/>
  <c r="C4" i="6"/>
  <c r="C11" i="6"/>
  <c r="C12" i="6"/>
  <c r="C3" i="6"/>
  <c r="C6" i="6"/>
  <c r="B6" i="4"/>
  <c r="C4" i="4"/>
  <c r="C11" i="4"/>
  <c r="C12" i="4"/>
  <c r="C3" i="4"/>
  <c r="C6" i="4"/>
  <c r="B6" i="3"/>
  <c r="C4" i="3"/>
  <c r="C11" i="3"/>
  <c r="C12" i="3"/>
  <c r="C12" i="2"/>
  <c r="B6" i="2"/>
  <c r="C4" i="2"/>
  <c r="C12" i="1"/>
  <c r="B6" i="1"/>
  <c r="C3" i="1"/>
  <c r="C4" i="1"/>
  <c r="C6" i="1"/>
  <c r="C3" i="3"/>
  <c r="C6" i="3"/>
  <c r="C3" i="2"/>
  <c r="C6" i="2"/>
</calcChain>
</file>

<file path=xl/sharedStrings.xml><?xml version="1.0" encoding="utf-8"?>
<sst xmlns="http://schemas.openxmlformats.org/spreadsheetml/2006/main" count="127" uniqueCount="37">
  <si>
    <t>Sep 10 to May 11</t>
  </si>
  <si>
    <t>total gross revenue</t>
  </si>
  <si>
    <t>Room rate increase Sep 1, 2010</t>
  </si>
  <si>
    <t>(a)</t>
  </si>
  <si>
    <t>times (a)</t>
  </si>
  <si>
    <t>Ancillary charges were not increased</t>
  </si>
  <si>
    <t>Percent change in gross revenue due to price changes</t>
  </si>
  <si>
    <t>gross ancillary revenue</t>
  </si>
  <si>
    <t>gross room revenue</t>
  </si>
  <si>
    <t>Sep 11 to May 12</t>
  </si>
  <si>
    <t>gross room revenue, incl Acute</t>
  </si>
  <si>
    <t>Sep 12 to May 13</t>
  </si>
  <si>
    <t>Room rate increase Sep 1, 2012</t>
  </si>
  <si>
    <t>Sep 13 to May 14</t>
  </si>
  <si>
    <t>Room rate increase Sep 1, 2013</t>
  </si>
  <si>
    <t>Sep 14 to May 15</t>
  </si>
  <si>
    <t>Room rate increase Sep 1, 2014</t>
  </si>
  <si>
    <t>Sep 15 to May 16</t>
  </si>
  <si>
    <t>Room rate increase Sep 1, 2015</t>
  </si>
  <si>
    <t xml:space="preserve"> note- this is net increase after reduction in prompt pay discount</t>
  </si>
  <si>
    <t>Sep 16 to May 17</t>
  </si>
  <si>
    <t>Room rate increase Sep 1, 2016</t>
  </si>
  <si>
    <t>Sep 17 to May 18</t>
  </si>
  <si>
    <t>Room rate increase Sep 1, 2017</t>
  </si>
  <si>
    <t>Sep 18 to May 19</t>
  </si>
  <si>
    <t>Sep 19 to May 20</t>
  </si>
  <si>
    <t>Room rate increase Sep 1, 2019</t>
  </si>
  <si>
    <t>Sep 20 to May 21</t>
  </si>
  <si>
    <t>Sep 21 to May 22</t>
  </si>
  <si>
    <t>Room rate increase Sep 1, 2022</t>
  </si>
  <si>
    <t>Joyce Eisenberg Keefer Medical Center</t>
  </si>
  <si>
    <t>HCAI ID: 106196404</t>
  </si>
  <si>
    <t>Sep 22 to May 23</t>
  </si>
  <si>
    <t>Room rate increase Sep 1, 2018</t>
  </si>
  <si>
    <t>Room rate increase Sep 1, 2020</t>
  </si>
  <si>
    <t>Room rate increase Sep 1, 2021</t>
  </si>
  <si>
    <t>Jun 23 - June 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</si>
</sst>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/>
  </cellStyleXfs>
  <cellXfs count="37">
    <xf numFmtId="0" fontId="0" fillId="0" borderId="0" xfId="0"/>
    <xf numFmtId="164" fontId="0" fillId="0" borderId="0" xfId="1" applyNumberFormat="1" applyFont="1"/>
    <xf numFmtId="0" fontId="0" fillId="0" borderId="0" xfId="0" applyAlignment="1">
      <alignment horizontal="center"/>
    </xf>
    <xf numFmtId="9" fontId="0" fillId="0" borderId="0" xfId="2" applyFont="1"/>
    <xf numFmtId="0" fontId="0" fillId="0" borderId="1" xfId="0" applyBorder="1"/>
    <xf numFmtId="10" fontId="0" fillId="0" borderId="0" xfId="2" applyNumberFormat="1" applyFont="1"/>
    <xf numFmtId="0" fontId="0" fillId="0" borderId="0" xfId="0" applyAlignment="1">
      <alignment horizontal="right"/>
    </xf>
    <xf numFmtId="164" fontId="0" fillId="0" borderId="1" xfId="1" applyNumberFormat="1" applyFont="1" applyBorder="1"/>
    <xf numFmtId="9" fontId="0" fillId="0" borderId="1" xfId="2" applyFont="1" applyBorder="1"/>
    <xf numFmtId="164" fontId="0" fillId="0" borderId="0" xfId="1" applyNumberFormat="1" applyFont="1" applyFill="1"/>
    <xf numFmtId="164" fontId="0" fillId="0" borderId="1" xfId="1" applyNumberFormat="1" applyFont="1" applyFill="1" applyBorder="1"/>
    <xf numFmtId="9" fontId="0" fillId="0" borderId="0" xfId="2" applyFont="1" applyFill="1"/>
    <xf numFmtId="9" fontId="0" fillId="0" borderId="1" xfId="0" applyNumberFormat="1" applyBorder="1"/>
    <xf numFmtId="0" fontId="0" fillId="0" borderId="0" xfId="0" applyFill="1"/>
    <xf numFmtId="9" fontId="0" fillId="0" borderId="1" xfId="0" applyNumberFormat="1" applyFill="1" applyBorder="1"/>
    <xf numFmtId="10" fontId="2" fillId="0" borderId="0" xfId="2" applyNumberFormat="1" applyFont="1"/>
    <xf numFmtId="9" fontId="0" fillId="0" borderId="1" xfId="2" applyFont="1" applyFill="1" applyBorder="1"/>
    <xf numFmtId="43" fontId="3" fillId="0" borderId="0" xfId="0" applyNumberFormat="1" applyFont="1" applyFill="1" applyBorder="1" applyAlignment="1">
      <alignment vertical="top" wrapText="1"/>
    </xf>
    <xf numFmtId="43" fontId="4" fillId="0" borderId="0" xfId="0" applyNumberFormat="1" applyFont="1" applyFill="1" applyBorder="1" applyAlignment="1">
      <alignment vertical="top" wrapText="1"/>
    </xf>
    <xf numFmtId="9" fontId="0" fillId="0" borderId="0" xfId="0" applyNumberFormat="1" applyFont="1" applyFill="1" applyBorder="1" applyAlignment="1">
      <alignment wrapText="1"/>
    </xf>
    <xf numFmtId="9" fontId="0" fillId="2" borderId="0" xfId="2" applyFont="1" applyFill="1"/>
    <xf numFmtId="0" fontId="5" fillId="0" borderId="0" xfId="0" applyFont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164" fontId="5" fillId="0" borderId="0" xfId="1" applyNumberFormat="1" applyFont="1" applyFill="1"/>
    <xf numFmtId="9" fontId="5" fillId="0" borderId="0" xfId="2" applyFont="1" applyFill="1"/>
    <xf numFmtId="164" fontId="5" fillId="0" borderId="1" xfId="1" applyNumberFormat="1" applyFont="1" applyFill="1" applyBorder="1"/>
    <xf numFmtId="9" fontId="5" fillId="0" borderId="1" xfId="2" applyFont="1" applyFill="1" applyBorder="1"/>
    <xf numFmtId="164" fontId="5" fillId="0" borderId="0" xfId="1" applyNumberFormat="1" applyFont="1"/>
    <xf numFmtId="9" fontId="5" fillId="0" borderId="0" xfId="2" applyFont="1"/>
    <xf numFmtId="0" fontId="5" fillId="0" borderId="0" xfId="0" applyFont="1" applyFill="1"/>
    <xf numFmtId="9" fontId="5" fillId="2" borderId="0" xfId="2" applyFont="1" applyFill="1"/>
    <xf numFmtId="9" fontId="5" fillId="0" borderId="1" xfId="0" applyNumberFormat="1" applyFont="1" applyFill="1" applyBorder="1"/>
    <xf numFmtId="10" fontId="6" fillId="0" borderId="0" xfId="2" applyNumberFormat="1" applyFont="1"/>
    <xf numFmtId="9" fontId="5" fillId="0" borderId="0" xfId="0" applyNumberFormat="1" applyFont="1" applyFill="1" applyBorder="1" applyAlignment="1">
      <alignment wrapText="1"/>
    </xf>
    <xf numFmtId="0" fontId="5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</cellXfs>
  <cellStyles count="4">
    <cellStyle name="Comma" xfId="1" builtinId="3"/>
    <cellStyle name="Normal" xfId="0" builtinId="0"/>
    <cellStyle name="Normal 2" xfId="3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4"/>
  <sheetViews>
    <sheetView tabSelected="1" workbookViewId="0">
      <selection activeCell="F9" sqref="F9"/>
    </sheetView>
  </sheetViews>
  <sheetFormatPr defaultColWidth="8.77734375" defaultRowHeight="18.75" customHeight="1" x14ac:dyDescent="0.2"/>
  <cols>
    <col min="1" max="1" width="28.77734375" style="21" customWidth="1"/>
    <col min="2" max="2" width="16.44140625" style="21" customWidth="1"/>
    <col min="3" max="3" width="10.33203125" style="21" customWidth="1"/>
    <col min="4" max="5" width="8.77734375" style="21"/>
    <col min="6" max="6" width="9" style="21" bestFit="1" customWidth="1"/>
    <col min="7" max="16384" width="8.77734375" style="21"/>
  </cols>
  <sheetData>
    <row r="1" spans="1:3" ht="18.75" customHeight="1" x14ac:dyDescent="0.2">
      <c r="A1" s="21" t="s">
        <v>30</v>
      </c>
    </row>
    <row r="2" spans="1:3" ht="18.75" customHeight="1" x14ac:dyDescent="0.2">
      <c r="A2" s="21" t="s">
        <v>31</v>
      </c>
    </row>
    <row r="4" spans="1:3" ht="18.75" customHeight="1" x14ac:dyDescent="0.2">
      <c r="A4" s="22" t="s">
        <v>36</v>
      </c>
      <c r="B4" s="22"/>
      <c r="C4" s="23"/>
    </row>
    <row r="6" spans="1:3" ht="26.25" customHeight="1" x14ac:dyDescent="0.2">
      <c r="A6" s="21" t="s">
        <v>6</v>
      </c>
      <c r="C6" s="33">
        <v>0.02</v>
      </c>
    </row>
    <row r="11" spans="1:3" ht="18.75" customHeight="1" x14ac:dyDescent="0.2">
      <c r="A11" s="17"/>
    </row>
    <row r="12" spans="1:3" ht="18.75" customHeight="1" x14ac:dyDescent="0.2">
      <c r="A12" s="17"/>
    </row>
    <row r="13" spans="1:3" ht="18.75" customHeight="1" x14ac:dyDescent="0.2">
      <c r="A13" s="18"/>
    </row>
    <row r="14" spans="1:3" ht="18.75" customHeight="1" x14ac:dyDescent="0.2">
      <c r="A14" s="34"/>
    </row>
  </sheetData>
  <pageMargins left="0.7" right="0.34" top="0.75" bottom="0.75" header="0.3" footer="0.3"/>
  <pageSetup scale="97" orientation="portrait" r:id="rId1"/>
  <headerFooter>
    <oddFooter>&amp;C&amp;Z&amp;F  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3"/>
  <sheetViews>
    <sheetView workbookViewId="0">
      <selection activeCell="B6" sqref="B6"/>
    </sheetView>
  </sheetViews>
  <sheetFormatPr defaultColWidth="8.77734375" defaultRowHeight="18.75" customHeight="1" x14ac:dyDescent="0.2"/>
  <cols>
    <col min="1" max="1" width="28.77734375" style="21" customWidth="1"/>
    <col min="2" max="2" width="16.44140625" style="21" customWidth="1"/>
    <col min="3" max="3" width="10.33203125" style="21" customWidth="1"/>
    <col min="4" max="5" width="8.77734375" style="21"/>
    <col min="6" max="6" width="9" style="21" bestFit="1" customWidth="1"/>
    <col min="7" max="16384" width="8.77734375" style="21"/>
  </cols>
  <sheetData>
    <row r="1" spans="1:6" ht="18.75" customHeight="1" x14ac:dyDescent="0.2">
      <c r="A1" s="21" t="s">
        <v>30</v>
      </c>
    </row>
    <row r="2" spans="1:6" ht="18.75" customHeight="1" x14ac:dyDescent="0.2">
      <c r="A2" s="21" t="s">
        <v>31</v>
      </c>
    </row>
    <row r="4" spans="1:6" ht="18.75" customHeight="1" x14ac:dyDescent="0.2">
      <c r="B4" s="22" t="s">
        <v>32</v>
      </c>
      <c r="C4" s="23"/>
    </row>
    <row r="6" spans="1:6" ht="18.75" customHeight="1" x14ac:dyDescent="0.2">
      <c r="A6" s="21" t="s">
        <v>7</v>
      </c>
      <c r="B6" s="24">
        <v>4344689</v>
      </c>
      <c r="C6" s="25">
        <f>+B6/B$9</f>
        <v>0.10146887705755719</v>
      </c>
    </row>
    <row r="7" spans="1:6" ht="18.75" customHeight="1" x14ac:dyDescent="0.2">
      <c r="A7" s="21" t="s">
        <v>10</v>
      </c>
      <c r="B7" s="26">
        <v>38473258</v>
      </c>
      <c r="C7" s="27">
        <f>+B7/B$9</f>
        <v>0.89853112294244275</v>
      </c>
      <c r="D7" s="21" t="s">
        <v>3</v>
      </c>
    </row>
    <row r="8" spans="1:6" ht="18.75" customHeight="1" x14ac:dyDescent="0.2">
      <c r="B8" s="28"/>
    </row>
    <row r="9" spans="1:6" ht="18.75" customHeight="1" x14ac:dyDescent="0.2">
      <c r="A9" s="21" t="s">
        <v>1</v>
      </c>
      <c r="B9" s="28">
        <f>SUM(B6:B8)</f>
        <v>42817947</v>
      </c>
      <c r="C9" s="29">
        <f>SUM(C6:C8)</f>
        <v>1</v>
      </c>
    </row>
    <row r="10" spans="1:6" ht="18.75" customHeight="1" x14ac:dyDescent="0.2">
      <c r="B10" s="28"/>
    </row>
    <row r="11" spans="1:6" ht="18.75" customHeight="1" x14ac:dyDescent="0.2">
      <c r="B11" s="28"/>
    </row>
    <row r="12" spans="1:6" ht="18.75" customHeight="1" x14ac:dyDescent="0.2">
      <c r="A12" s="21" t="s">
        <v>5</v>
      </c>
      <c r="B12" s="28"/>
    </row>
    <row r="13" spans="1:6" ht="29.25" customHeight="1" x14ac:dyDescent="0.2">
      <c r="A13" s="30" t="s">
        <v>29</v>
      </c>
      <c r="B13" s="28"/>
      <c r="C13" s="31">
        <v>0.06</v>
      </c>
      <c r="D13" s="35"/>
      <c r="E13" s="35"/>
      <c r="F13" s="35"/>
    </row>
    <row r="14" spans="1:6" ht="18.75" customHeight="1" x14ac:dyDescent="0.2">
      <c r="B14" s="21" t="s">
        <v>4</v>
      </c>
      <c r="C14" s="32">
        <f>+C7</f>
        <v>0.89853112294244275</v>
      </c>
    </row>
    <row r="15" spans="1:6" ht="26.25" customHeight="1" x14ac:dyDescent="0.2">
      <c r="A15" s="21" t="s">
        <v>6</v>
      </c>
      <c r="C15" s="33">
        <f>+C13*C14</f>
        <v>5.391186737654656E-2</v>
      </c>
    </row>
    <row r="20" spans="1:1" ht="18.75" customHeight="1" x14ac:dyDescent="0.2">
      <c r="A20" s="17"/>
    </row>
    <row r="21" spans="1:1" ht="18.75" customHeight="1" x14ac:dyDescent="0.2">
      <c r="A21" s="17"/>
    </row>
    <row r="22" spans="1:1" ht="18.75" customHeight="1" x14ac:dyDescent="0.2">
      <c r="A22" s="18"/>
    </row>
    <row r="23" spans="1:1" ht="18.75" customHeight="1" x14ac:dyDescent="0.2">
      <c r="A23" s="34"/>
    </row>
  </sheetData>
  <mergeCells count="1">
    <mergeCell ref="D13:F13"/>
  </mergeCells>
  <pageMargins left="0.7" right="0.34" top="0.75" bottom="0.75" header="0.3" footer="0.3"/>
  <pageSetup scale="97" orientation="portrait" r:id="rId1"/>
  <headerFooter>
    <oddFooter>&amp;C&amp;Z&amp;F  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3"/>
  <sheetViews>
    <sheetView workbookViewId="0">
      <selection activeCell="A13" sqref="A13"/>
    </sheetView>
  </sheetViews>
  <sheetFormatPr defaultColWidth="8.77734375" defaultRowHeight="18.75" customHeight="1" x14ac:dyDescent="0.2"/>
  <cols>
    <col min="1" max="1" width="28.77734375" style="21" customWidth="1"/>
    <col min="2" max="2" width="16.44140625" style="21" customWidth="1"/>
    <col min="3" max="3" width="10.33203125" style="21" customWidth="1"/>
    <col min="4" max="5" width="8.77734375" style="21"/>
    <col min="6" max="6" width="9" style="21" bestFit="1" customWidth="1"/>
    <col min="7" max="16384" width="8.77734375" style="21"/>
  </cols>
  <sheetData>
    <row r="1" spans="1:6" ht="18.75" customHeight="1" x14ac:dyDescent="0.2">
      <c r="A1" s="21" t="s">
        <v>30</v>
      </c>
    </row>
    <row r="2" spans="1:6" ht="18.75" customHeight="1" x14ac:dyDescent="0.2">
      <c r="A2" s="21" t="s">
        <v>31</v>
      </c>
    </row>
    <row r="4" spans="1:6" ht="18.75" customHeight="1" x14ac:dyDescent="0.2">
      <c r="B4" s="22" t="s">
        <v>28</v>
      </c>
      <c r="C4" s="23"/>
    </row>
    <row r="6" spans="1:6" ht="18.75" customHeight="1" x14ac:dyDescent="0.2">
      <c r="A6" s="21" t="s">
        <v>7</v>
      </c>
      <c r="B6" s="24">
        <v>4103347.59</v>
      </c>
      <c r="C6" s="25">
        <f>+B6/B$9</f>
        <v>0.10555445868905146</v>
      </c>
    </row>
    <row r="7" spans="1:6" ht="18.75" customHeight="1" x14ac:dyDescent="0.2">
      <c r="A7" s="21" t="s">
        <v>10</v>
      </c>
      <c r="B7" s="26">
        <v>34770875.640000001</v>
      </c>
      <c r="C7" s="27">
        <f>+B7/B$9</f>
        <v>0.89444554131094844</v>
      </c>
      <c r="D7" s="21" t="s">
        <v>3</v>
      </c>
    </row>
    <row r="8" spans="1:6" ht="18.75" customHeight="1" x14ac:dyDescent="0.2">
      <c r="B8" s="28"/>
    </row>
    <row r="9" spans="1:6" ht="18.75" customHeight="1" x14ac:dyDescent="0.2">
      <c r="A9" s="21" t="s">
        <v>1</v>
      </c>
      <c r="B9" s="28">
        <f>SUM(B6:B8)</f>
        <v>38874223.230000004</v>
      </c>
      <c r="C9" s="29">
        <f>SUM(C6:C8)</f>
        <v>0.99999999999999989</v>
      </c>
    </row>
    <row r="10" spans="1:6" ht="18.75" customHeight="1" x14ac:dyDescent="0.2">
      <c r="B10" s="28"/>
    </row>
    <row r="11" spans="1:6" ht="18.75" customHeight="1" x14ac:dyDescent="0.2">
      <c r="B11" s="28"/>
    </row>
    <row r="12" spans="1:6" ht="18.75" customHeight="1" x14ac:dyDescent="0.2">
      <c r="A12" s="21" t="s">
        <v>5</v>
      </c>
      <c r="B12" s="28"/>
    </row>
    <row r="13" spans="1:6" ht="29.25" customHeight="1" x14ac:dyDescent="0.2">
      <c r="A13" s="30" t="s">
        <v>35</v>
      </c>
      <c r="B13" s="28"/>
      <c r="C13" s="31">
        <v>0.05</v>
      </c>
      <c r="D13" s="35"/>
      <c r="E13" s="35"/>
      <c r="F13" s="35"/>
    </row>
    <row r="14" spans="1:6" ht="18.75" customHeight="1" x14ac:dyDescent="0.2">
      <c r="B14" s="21" t="s">
        <v>4</v>
      </c>
      <c r="C14" s="32">
        <f>+C7</f>
        <v>0.89444554131094844</v>
      </c>
    </row>
    <row r="15" spans="1:6" ht="26.25" customHeight="1" x14ac:dyDescent="0.2">
      <c r="A15" s="21" t="s">
        <v>6</v>
      </c>
      <c r="C15" s="33">
        <f>+C13*C14</f>
        <v>4.4722277065547426E-2</v>
      </c>
    </row>
    <row r="20" spans="1:1" ht="18.75" customHeight="1" x14ac:dyDescent="0.2">
      <c r="A20" s="17"/>
    </row>
    <row r="21" spans="1:1" ht="18.75" customHeight="1" x14ac:dyDescent="0.2">
      <c r="A21" s="17"/>
    </row>
    <row r="22" spans="1:1" ht="18.75" customHeight="1" x14ac:dyDescent="0.2">
      <c r="A22" s="18"/>
    </row>
    <row r="23" spans="1:1" ht="18.75" customHeight="1" x14ac:dyDescent="0.2">
      <c r="A23" s="34"/>
    </row>
  </sheetData>
  <mergeCells count="1">
    <mergeCell ref="D13:F13"/>
  </mergeCells>
  <pageMargins left="0.7" right="0.34" top="0.75" bottom="0.75" header="0.3" footer="0.3"/>
  <pageSetup scale="97" orientation="portrait" r:id="rId1"/>
  <headerFooter>
    <oddFooter>&amp;C&amp;Z&amp;F  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0"/>
  <sheetViews>
    <sheetView workbookViewId="0">
      <selection activeCell="A10" sqref="A10"/>
    </sheetView>
  </sheetViews>
  <sheetFormatPr defaultRowHeight="18.75" customHeight="1" x14ac:dyDescent="0.2"/>
  <cols>
    <col min="1" max="1" width="28.77734375" customWidth="1"/>
    <col min="2" max="2" width="16.44140625" customWidth="1"/>
    <col min="3" max="3" width="10.33203125" customWidth="1"/>
    <col min="6" max="6" width="9" bestFit="1" customWidth="1"/>
  </cols>
  <sheetData>
    <row r="1" spans="1:6" ht="18.75" customHeight="1" x14ac:dyDescent="0.2">
      <c r="B1" s="6" t="s">
        <v>27</v>
      </c>
      <c r="C1" s="2"/>
    </row>
    <row r="3" spans="1:6" ht="18.75" customHeight="1" x14ac:dyDescent="0.2">
      <c r="A3" t="s">
        <v>7</v>
      </c>
      <c r="B3" s="9">
        <v>3403584.12</v>
      </c>
      <c r="C3" s="11">
        <f>+B3/B$6</f>
        <v>0.10599716716484223</v>
      </c>
    </row>
    <row r="4" spans="1:6" ht="18.75" customHeight="1" x14ac:dyDescent="0.2">
      <c r="A4" t="s">
        <v>10</v>
      </c>
      <c r="B4" s="10">
        <v>28706558.170000002</v>
      </c>
      <c r="C4" s="16">
        <f>+B4/B$6</f>
        <v>0.89400283283515769</v>
      </c>
      <c r="D4" t="s">
        <v>3</v>
      </c>
    </row>
    <row r="5" spans="1:6" ht="18.75" customHeight="1" x14ac:dyDescent="0.2">
      <c r="B5" s="1"/>
    </row>
    <row r="6" spans="1:6" ht="18.75" customHeight="1" x14ac:dyDescent="0.2">
      <c r="A6" t="s">
        <v>1</v>
      </c>
      <c r="B6" s="1">
        <f>SUM(B3:B5)</f>
        <v>32110142.290000003</v>
      </c>
      <c r="C6" s="3">
        <f>SUM(C3:C5)</f>
        <v>0.99999999999999989</v>
      </c>
    </row>
    <row r="7" spans="1:6" ht="18.75" customHeight="1" x14ac:dyDescent="0.2">
      <c r="B7" s="1"/>
    </row>
    <row r="8" spans="1:6" ht="18.75" customHeight="1" x14ac:dyDescent="0.2">
      <c r="B8" s="1"/>
    </row>
    <row r="9" spans="1:6" ht="18.75" customHeight="1" x14ac:dyDescent="0.2">
      <c r="A9" t="s">
        <v>5</v>
      </c>
      <c r="B9" s="1"/>
    </row>
    <row r="10" spans="1:6" ht="29.25" customHeight="1" x14ac:dyDescent="0.2">
      <c r="A10" s="13" t="s">
        <v>34</v>
      </c>
      <c r="B10" s="1"/>
      <c r="C10" s="20">
        <v>0.05</v>
      </c>
      <c r="D10" s="36"/>
      <c r="E10" s="36"/>
      <c r="F10" s="36"/>
    </row>
    <row r="11" spans="1:6" ht="18.75" customHeight="1" x14ac:dyDescent="0.2">
      <c r="B11" t="s">
        <v>4</v>
      </c>
      <c r="C11" s="14">
        <f>+C4</f>
        <v>0.89400283283515769</v>
      </c>
    </row>
    <row r="12" spans="1:6" ht="26.25" customHeight="1" x14ac:dyDescent="0.25">
      <c r="A12" t="s">
        <v>6</v>
      </c>
      <c r="C12" s="15">
        <f>+C10*C11</f>
        <v>4.4700141641757889E-2</v>
      </c>
    </row>
    <row r="17" spans="1:1" ht="18.75" customHeight="1" x14ac:dyDescent="0.2">
      <c r="A17" s="17"/>
    </row>
    <row r="18" spans="1:1" ht="18.75" customHeight="1" x14ac:dyDescent="0.2">
      <c r="A18" s="17"/>
    </row>
    <row r="19" spans="1:1" ht="18.75" customHeight="1" x14ac:dyDescent="0.2">
      <c r="A19" s="18"/>
    </row>
    <row r="20" spans="1:1" ht="18.75" customHeight="1" x14ac:dyDescent="0.2">
      <c r="A20" s="19"/>
    </row>
  </sheetData>
  <mergeCells count="1">
    <mergeCell ref="D10:F10"/>
  </mergeCells>
  <pageMargins left="0.7" right="0.34" top="0.75" bottom="0.75" header="0.3" footer="0.3"/>
  <pageSetup scale="97" orientation="portrait" r:id="rId1"/>
  <headerFooter>
    <oddFooter>&amp;C&amp;Z&amp;F  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0"/>
  <sheetViews>
    <sheetView workbookViewId="0">
      <selection activeCell="C3" sqref="C3"/>
    </sheetView>
  </sheetViews>
  <sheetFormatPr defaultRowHeight="18.75" customHeight="1" x14ac:dyDescent="0.2"/>
  <cols>
    <col min="1" max="1" width="28.77734375" customWidth="1"/>
    <col min="2" max="2" width="16.44140625" customWidth="1"/>
    <col min="3" max="3" width="10.33203125" customWidth="1"/>
    <col min="6" max="6" width="9" bestFit="1" customWidth="1"/>
  </cols>
  <sheetData>
    <row r="1" spans="1:6" ht="18.75" customHeight="1" x14ac:dyDescent="0.2">
      <c r="B1" s="6" t="s">
        <v>25</v>
      </c>
      <c r="C1" s="2"/>
    </row>
    <row r="3" spans="1:6" ht="18.75" customHeight="1" x14ac:dyDescent="0.2">
      <c r="A3" t="s">
        <v>7</v>
      </c>
      <c r="B3" s="9">
        <v>4024450</v>
      </c>
      <c r="C3" s="11">
        <f>+B3/B$6</f>
        <v>0.1080805103321901</v>
      </c>
    </row>
    <row r="4" spans="1:6" ht="18.75" customHeight="1" x14ac:dyDescent="0.2">
      <c r="A4" t="s">
        <v>10</v>
      </c>
      <c r="B4" s="10">
        <v>33211218</v>
      </c>
      <c r="C4" s="16">
        <f>+B4/B$6</f>
        <v>0.89191948966780987</v>
      </c>
      <c r="D4" t="s">
        <v>3</v>
      </c>
    </row>
    <row r="5" spans="1:6" ht="18.75" customHeight="1" x14ac:dyDescent="0.2">
      <c r="B5" s="1"/>
    </row>
    <row r="6" spans="1:6" ht="18.75" customHeight="1" x14ac:dyDescent="0.2">
      <c r="A6" t="s">
        <v>1</v>
      </c>
      <c r="B6" s="1">
        <f>SUM(B3:B5)</f>
        <v>37235668</v>
      </c>
      <c r="C6" s="3">
        <f>SUM(C3:C5)</f>
        <v>1</v>
      </c>
    </row>
    <row r="7" spans="1:6" ht="18.75" customHeight="1" x14ac:dyDescent="0.2">
      <c r="B7" s="1"/>
    </row>
    <row r="8" spans="1:6" ht="18.75" customHeight="1" x14ac:dyDescent="0.2">
      <c r="B8" s="1"/>
    </row>
    <row r="9" spans="1:6" ht="18.75" customHeight="1" x14ac:dyDescent="0.2">
      <c r="A9" t="s">
        <v>5</v>
      </c>
      <c r="B9" s="1"/>
    </row>
    <row r="10" spans="1:6" ht="29.25" customHeight="1" x14ac:dyDescent="0.2">
      <c r="A10" s="13" t="s">
        <v>26</v>
      </c>
      <c r="B10" s="1"/>
      <c r="C10" s="20">
        <v>0.05</v>
      </c>
      <c r="D10" s="36"/>
      <c r="E10" s="36"/>
      <c r="F10" s="36"/>
    </row>
    <row r="11" spans="1:6" ht="18.75" customHeight="1" x14ac:dyDescent="0.2">
      <c r="B11" t="s">
        <v>4</v>
      </c>
      <c r="C11" s="14">
        <f>+C4</f>
        <v>0.89191948966780987</v>
      </c>
    </row>
    <row r="12" spans="1:6" ht="26.25" customHeight="1" x14ac:dyDescent="0.25">
      <c r="A12" t="s">
        <v>6</v>
      </c>
      <c r="C12" s="15">
        <f>+C10*C11</f>
        <v>4.4595974483390498E-2</v>
      </c>
    </row>
    <row r="17" spans="1:1" ht="18.75" customHeight="1" x14ac:dyDescent="0.2">
      <c r="A17" s="17"/>
    </row>
    <row r="18" spans="1:1" ht="18.75" customHeight="1" x14ac:dyDescent="0.2">
      <c r="A18" s="17"/>
    </row>
    <row r="19" spans="1:1" ht="18.75" customHeight="1" x14ac:dyDescent="0.2">
      <c r="A19" s="18"/>
    </row>
    <row r="20" spans="1:1" ht="18.75" customHeight="1" x14ac:dyDescent="0.2">
      <c r="A20" s="19"/>
    </row>
  </sheetData>
  <mergeCells count="1">
    <mergeCell ref="D10:F10"/>
  </mergeCells>
  <pageMargins left="0.7" right="0.34" top="0.75" bottom="0.75" header="0.3" footer="0.3"/>
  <pageSetup scale="97" orientation="portrait" r:id="rId1"/>
  <headerFooter>
    <oddFooter>&amp;C&amp;Z&amp;F  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0"/>
  <sheetViews>
    <sheetView workbookViewId="0">
      <selection activeCell="A10" sqref="A10"/>
    </sheetView>
  </sheetViews>
  <sheetFormatPr defaultRowHeight="18.75" customHeight="1" x14ac:dyDescent="0.2"/>
  <cols>
    <col min="1" max="1" width="28.77734375" customWidth="1"/>
    <col min="2" max="2" width="16.44140625" customWidth="1"/>
    <col min="3" max="3" width="10.33203125" customWidth="1"/>
    <col min="6" max="6" width="9" bestFit="1" customWidth="1"/>
  </cols>
  <sheetData>
    <row r="1" spans="1:6" ht="18.75" customHeight="1" x14ac:dyDescent="0.2">
      <c r="B1" s="6" t="s">
        <v>24</v>
      </c>
      <c r="C1" s="2"/>
    </row>
    <row r="3" spans="1:6" ht="18.75" customHeight="1" x14ac:dyDescent="0.2">
      <c r="A3" t="s">
        <v>7</v>
      </c>
      <c r="B3" s="9">
        <v>5148736</v>
      </c>
      <c r="C3" s="11">
        <f>+B3/B$6</f>
        <v>0.13928832218681056</v>
      </c>
    </row>
    <row r="4" spans="1:6" ht="18.75" customHeight="1" x14ac:dyDescent="0.2">
      <c r="A4" t="s">
        <v>10</v>
      </c>
      <c r="B4" s="10">
        <v>31815856</v>
      </c>
      <c r="C4" s="16">
        <f>+B4/B$6</f>
        <v>0.86071167781318947</v>
      </c>
      <c r="D4" t="s">
        <v>3</v>
      </c>
    </row>
    <row r="5" spans="1:6" ht="18.75" customHeight="1" x14ac:dyDescent="0.2">
      <c r="B5" s="1"/>
    </row>
    <row r="6" spans="1:6" ht="18.75" customHeight="1" x14ac:dyDescent="0.2">
      <c r="A6" t="s">
        <v>1</v>
      </c>
      <c r="B6" s="1">
        <f>SUM(B3:B5)</f>
        <v>36964592</v>
      </c>
      <c r="C6" s="3">
        <f>SUM(C3:C5)</f>
        <v>1</v>
      </c>
    </row>
    <row r="7" spans="1:6" ht="18.75" customHeight="1" x14ac:dyDescent="0.2">
      <c r="B7" s="1"/>
    </row>
    <row r="8" spans="1:6" ht="18.75" customHeight="1" x14ac:dyDescent="0.2">
      <c r="B8" s="1"/>
    </row>
    <row r="9" spans="1:6" ht="18.75" customHeight="1" x14ac:dyDescent="0.2">
      <c r="A9" t="s">
        <v>5</v>
      </c>
      <c r="B9" s="1"/>
    </row>
    <row r="10" spans="1:6" ht="29.25" customHeight="1" x14ac:dyDescent="0.2">
      <c r="A10" s="13" t="s">
        <v>33</v>
      </c>
      <c r="B10" s="1"/>
      <c r="C10" s="11">
        <v>0.05</v>
      </c>
      <c r="D10" s="36"/>
      <c r="E10" s="36"/>
      <c r="F10" s="36"/>
    </row>
    <row r="11" spans="1:6" ht="18.75" customHeight="1" x14ac:dyDescent="0.2">
      <c r="B11" t="s">
        <v>4</v>
      </c>
      <c r="C11" s="14">
        <f>+C4</f>
        <v>0.86071167781318947</v>
      </c>
    </row>
    <row r="12" spans="1:6" ht="26.25" customHeight="1" x14ac:dyDescent="0.25">
      <c r="A12" t="s">
        <v>6</v>
      </c>
      <c r="C12" s="15">
        <f>+C10*C11</f>
        <v>4.3035583890659479E-2</v>
      </c>
    </row>
    <row r="17" spans="1:1" ht="18.75" customHeight="1" x14ac:dyDescent="0.2">
      <c r="A17" s="17"/>
    </row>
    <row r="18" spans="1:1" ht="18.75" customHeight="1" x14ac:dyDescent="0.2">
      <c r="A18" s="17"/>
    </row>
    <row r="19" spans="1:1" ht="18.75" customHeight="1" x14ac:dyDescent="0.2">
      <c r="A19" s="18"/>
    </row>
    <row r="20" spans="1:1" ht="18.75" customHeight="1" x14ac:dyDescent="0.2">
      <c r="A20" s="19"/>
    </row>
  </sheetData>
  <mergeCells count="1">
    <mergeCell ref="D10:F10"/>
  </mergeCells>
  <pageMargins left="0.7" right="0.34" top="0.75" bottom="0.75" header="0.3" footer="0.3"/>
  <pageSetup scale="97" orientation="portrait" r:id="rId1"/>
  <headerFooter>
    <oddFooter>&amp;C&amp;Z&amp;F  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0"/>
  <sheetViews>
    <sheetView workbookViewId="0">
      <selection activeCell="B14" sqref="B14"/>
    </sheetView>
  </sheetViews>
  <sheetFormatPr defaultRowHeight="18.75" customHeight="1" x14ac:dyDescent="0.2"/>
  <cols>
    <col min="1" max="1" width="28.77734375" customWidth="1"/>
    <col min="2" max="2" width="16.44140625" customWidth="1"/>
    <col min="3" max="3" width="10.33203125" customWidth="1"/>
    <col min="6" max="6" width="9" bestFit="1" customWidth="1"/>
  </cols>
  <sheetData>
    <row r="1" spans="1:6" ht="18.75" customHeight="1" x14ac:dyDescent="0.2">
      <c r="B1" s="6" t="s">
        <v>22</v>
      </c>
      <c r="C1" s="2"/>
    </row>
    <row r="3" spans="1:6" ht="18.75" customHeight="1" x14ac:dyDescent="0.2">
      <c r="A3" t="s">
        <v>7</v>
      </c>
      <c r="B3" s="9">
        <v>5758222</v>
      </c>
      <c r="C3" s="11">
        <f>+B3/B$6</f>
        <v>0.1745978317653134</v>
      </c>
    </row>
    <row r="4" spans="1:6" ht="18.75" customHeight="1" x14ac:dyDescent="0.2">
      <c r="A4" t="s">
        <v>10</v>
      </c>
      <c r="B4" s="10">
        <v>27221695</v>
      </c>
      <c r="C4" s="16">
        <f>+B4/B$6</f>
        <v>0.8254021682346866</v>
      </c>
      <c r="D4" t="s">
        <v>3</v>
      </c>
    </row>
    <row r="5" spans="1:6" ht="18.75" customHeight="1" x14ac:dyDescent="0.2">
      <c r="B5" s="1"/>
    </row>
    <row r="6" spans="1:6" ht="18.75" customHeight="1" x14ac:dyDescent="0.2">
      <c r="A6" t="s">
        <v>1</v>
      </c>
      <c r="B6" s="1">
        <f>SUM(B3:B5)</f>
        <v>32979917</v>
      </c>
      <c r="C6" s="3">
        <f>SUM(C3:C5)</f>
        <v>1</v>
      </c>
    </row>
    <row r="7" spans="1:6" ht="18.75" customHeight="1" x14ac:dyDescent="0.2">
      <c r="B7" s="1"/>
    </row>
    <row r="8" spans="1:6" ht="18.75" customHeight="1" x14ac:dyDescent="0.2">
      <c r="B8" s="1"/>
    </row>
    <row r="9" spans="1:6" ht="18.75" customHeight="1" x14ac:dyDescent="0.2">
      <c r="A9" t="s">
        <v>5</v>
      </c>
      <c r="B9" s="1"/>
    </row>
    <row r="10" spans="1:6" ht="29.25" customHeight="1" x14ac:dyDescent="0.2">
      <c r="A10" s="13" t="s">
        <v>23</v>
      </c>
      <c r="B10" s="1"/>
      <c r="C10" s="11">
        <v>0.05</v>
      </c>
      <c r="D10" s="36"/>
      <c r="E10" s="36"/>
      <c r="F10" s="36"/>
    </row>
    <row r="11" spans="1:6" ht="18.75" customHeight="1" x14ac:dyDescent="0.2">
      <c r="B11" t="s">
        <v>4</v>
      </c>
      <c r="C11" s="14">
        <f>+C4</f>
        <v>0.8254021682346866</v>
      </c>
    </row>
    <row r="12" spans="1:6" ht="26.25" customHeight="1" x14ac:dyDescent="0.25">
      <c r="A12" t="s">
        <v>6</v>
      </c>
      <c r="C12" s="15">
        <f>+C10*C11</f>
        <v>4.1270108411734334E-2</v>
      </c>
    </row>
    <row r="17" spans="1:1" ht="18.75" customHeight="1" x14ac:dyDescent="0.2">
      <c r="A17" s="17"/>
    </row>
    <row r="18" spans="1:1" ht="18.75" customHeight="1" x14ac:dyDescent="0.2">
      <c r="A18" s="17"/>
    </row>
    <row r="19" spans="1:1" ht="18.75" customHeight="1" x14ac:dyDescent="0.2">
      <c r="A19" s="18"/>
    </row>
    <row r="20" spans="1:1" ht="18.75" customHeight="1" x14ac:dyDescent="0.2">
      <c r="A20" s="19"/>
    </row>
  </sheetData>
  <mergeCells count="1">
    <mergeCell ref="D10:F10"/>
  </mergeCells>
  <pageMargins left="0.7" right="0.34" top="0.75" bottom="0.75" header="0.3" footer="0.3"/>
  <pageSetup scale="97" orientation="portrait" r:id="rId1"/>
  <headerFooter>
    <oddFooter>&amp;C&amp;Z&amp;F    &amp;A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0"/>
  <sheetViews>
    <sheetView workbookViewId="0">
      <selection activeCell="A26" sqref="A26"/>
    </sheetView>
  </sheetViews>
  <sheetFormatPr defaultRowHeight="18.75" customHeight="1" x14ac:dyDescent="0.2"/>
  <cols>
    <col min="1" max="1" width="28.77734375" customWidth="1"/>
    <col min="2" max="2" width="16.44140625" customWidth="1"/>
    <col min="3" max="3" width="10.33203125" customWidth="1"/>
    <col min="6" max="6" width="9" bestFit="1" customWidth="1"/>
  </cols>
  <sheetData>
    <row r="1" spans="1:6" ht="18.75" customHeight="1" x14ac:dyDescent="0.2">
      <c r="B1" s="6" t="s">
        <v>20</v>
      </c>
      <c r="C1" s="2"/>
    </row>
    <row r="3" spans="1:6" ht="18.75" customHeight="1" x14ac:dyDescent="0.2">
      <c r="A3" t="s">
        <v>7</v>
      </c>
      <c r="B3" s="9">
        <v>6588922</v>
      </c>
      <c r="C3" s="11">
        <f>+B3/B$6</f>
        <v>0.17982338618131116</v>
      </c>
    </row>
    <row r="4" spans="1:6" ht="18.75" customHeight="1" x14ac:dyDescent="0.2">
      <c r="A4" t="s">
        <v>10</v>
      </c>
      <c r="B4" s="10">
        <v>30052152</v>
      </c>
      <c r="C4" s="16">
        <f>+B4/B$6</f>
        <v>0.82017661381868878</v>
      </c>
      <c r="D4" t="s">
        <v>3</v>
      </c>
    </row>
    <row r="5" spans="1:6" ht="18.75" customHeight="1" x14ac:dyDescent="0.2">
      <c r="B5" s="1"/>
    </row>
    <row r="6" spans="1:6" ht="18.75" customHeight="1" x14ac:dyDescent="0.2">
      <c r="A6" t="s">
        <v>1</v>
      </c>
      <c r="B6" s="1">
        <f>SUM(B3:B5)</f>
        <v>36641074</v>
      </c>
      <c r="C6" s="3">
        <f>SUM(C3:C5)</f>
        <v>1</v>
      </c>
    </row>
    <row r="7" spans="1:6" ht="18.75" customHeight="1" x14ac:dyDescent="0.2">
      <c r="B7" s="1"/>
    </row>
    <row r="8" spans="1:6" ht="18.75" customHeight="1" x14ac:dyDescent="0.2">
      <c r="B8" s="1"/>
    </row>
    <row r="9" spans="1:6" ht="18.75" customHeight="1" x14ac:dyDescent="0.2">
      <c r="A9" t="s">
        <v>5</v>
      </c>
      <c r="B9" s="1"/>
    </row>
    <row r="10" spans="1:6" ht="29.25" customHeight="1" x14ac:dyDescent="0.2">
      <c r="A10" s="13" t="s">
        <v>21</v>
      </c>
      <c r="B10" s="1"/>
      <c r="C10" s="11">
        <v>0.05</v>
      </c>
      <c r="D10" s="36" t="s">
        <v>19</v>
      </c>
      <c r="E10" s="36"/>
      <c r="F10" s="36"/>
    </row>
    <row r="11" spans="1:6" ht="18.75" customHeight="1" x14ac:dyDescent="0.2">
      <c r="B11" t="s">
        <v>4</v>
      </c>
      <c r="C11" s="14">
        <f>+C4</f>
        <v>0.82017661381868878</v>
      </c>
    </row>
    <row r="12" spans="1:6" ht="26.25" customHeight="1" x14ac:dyDescent="0.25">
      <c r="A12" t="s">
        <v>6</v>
      </c>
      <c r="C12" s="15">
        <f>+C10*C11</f>
        <v>4.1008830690934445E-2</v>
      </c>
    </row>
    <row r="17" spans="1:1" ht="18.75" customHeight="1" x14ac:dyDescent="0.2">
      <c r="A17" s="17"/>
    </row>
    <row r="18" spans="1:1" ht="18.75" customHeight="1" x14ac:dyDescent="0.2">
      <c r="A18" s="17"/>
    </row>
    <row r="19" spans="1:1" ht="18.75" customHeight="1" x14ac:dyDescent="0.2">
      <c r="A19" s="18"/>
    </row>
    <row r="20" spans="1:1" ht="18.75" customHeight="1" x14ac:dyDescent="0.2">
      <c r="A20" s="19"/>
    </row>
  </sheetData>
  <mergeCells count="1">
    <mergeCell ref="D10:F10"/>
  </mergeCells>
  <pageMargins left="0.7" right="0.34" top="0.75" bottom="0.75" header="0.3" footer="0.3"/>
  <pageSetup scale="97" orientation="portrait" r:id="rId1"/>
  <headerFooter>
    <oddFooter>&amp;C&amp;Z&amp;F    &amp;A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2"/>
  <sheetViews>
    <sheetView workbookViewId="0">
      <selection activeCell="D18" sqref="D18"/>
    </sheetView>
  </sheetViews>
  <sheetFormatPr defaultRowHeight="18.75" customHeight="1" x14ac:dyDescent="0.2"/>
  <cols>
    <col min="1" max="1" width="28.77734375" customWidth="1"/>
    <col min="2" max="2" width="16.44140625" customWidth="1"/>
    <col min="3" max="3" width="10.33203125" customWidth="1"/>
    <col min="6" max="6" width="9" bestFit="1" customWidth="1"/>
  </cols>
  <sheetData>
    <row r="1" spans="1:6" ht="18.75" customHeight="1" x14ac:dyDescent="0.2">
      <c r="B1" s="6" t="s">
        <v>17</v>
      </c>
      <c r="C1" s="2"/>
    </row>
    <row r="3" spans="1:6" ht="18.75" customHeight="1" x14ac:dyDescent="0.2">
      <c r="A3" t="s">
        <v>7</v>
      </c>
      <c r="B3" s="9">
        <v>6366517</v>
      </c>
      <c r="C3" s="11">
        <f>+B3/B$6</f>
        <v>0.17319403635207026</v>
      </c>
    </row>
    <row r="4" spans="1:6" ht="18.75" customHeight="1" x14ac:dyDescent="0.2">
      <c r="A4" t="s">
        <v>10</v>
      </c>
      <c r="B4" s="10">
        <v>30392930</v>
      </c>
      <c r="C4" s="16">
        <f>+B4/B$6</f>
        <v>0.82680596364792969</v>
      </c>
      <c r="D4" t="s">
        <v>3</v>
      </c>
    </row>
    <row r="5" spans="1:6" ht="18.75" customHeight="1" x14ac:dyDescent="0.2">
      <c r="B5" s="1"/>
    </row>
    <row r="6" spans="1:6" ht="18.75" customHeight="1" x14ac:dyDescent="0.2">
      <c r="A6" t="s">
        <v>1</v>
      </c>
      <c r="B6" s="1">
        <f>SUM(B3:B5)</f>
        <v>36759447</v>
      </c>
      <c r="C6" s="3">
        <f>SUM(C3:C5)</f>
        <v>1</v>
      </c>
    </row>
    <row r="7" spans="1:6" ht="18.75" customHeight="1" x14ac:dyDescent="0.2">
      <c r="B7" s="1"/>
    </row>
    <row r="8" spans="1:6" ht="18.75" customHeight="1" x14ac:dyDescent="0.2">
      <c r="B8" s="1"/>
    </row>
    <row r="9" spans="1:6" ht="18.75" customHeight="1" x14ac:dyDescent="0.2">
      <c r="A9" t="s">
        <v>5</v>
      </c>
      <c r="B9" s="1"/>
    </row>
    <row r="10" spans="1:6" ht="29.25" customHeight="1" x14ac:dyDescent="0.2">
      <c r="A10" s="13" t="s">
        <v>18</v>
      </c>
      <c r="B10" s="1"/>
      <c r="C10" s="11">
        <v>0.05</v>
      </c>
      <c r="D10" s="36" t="s">
        <v>19</v>
      </c>
      <c r="E10" s="36"/>
      <c r="F10" s="36"/>
    </row>
    <row r="11" spans="1:6" ht="18.75" customHeight="1" x14ac:dyDescent="0.2">
      <c r="B11" t="s">
        <v>4</v>
      </c>
      <c r="C11" s="14">
        <f>+C4</f>
        <v>0.82680596364792969</v>
      </c>
    </row>
    <row r="12" spans="1:6" ht="26.25" customHeight="1" x14ac:dyDescent="0.25">
      <c r="A12" t="s">
        <v>6</v>
      </c>
      <c r="C12" s="15">
        <f>+C10*C11</f>
        <v>4.1340298182396484E-2</v>
      </c>
    </row>
  </sheetData>
  <mergeCells count="1">
    <mergeCell ref="D10:F10"/>
  </mergeCells>
  <pageMargins left="0.7" right="0.34" top="0.75" bottom="0.75" header="0.3" footer="0.3"/>
  <pageSetup scale="97" orientation="portrait" r:id="rId1"/>
  <headerFooter>
    <oddFooter>&amp;C&amp;Z&amp;F    &amp;A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selection activeCell="A25" sqref="A25"/>
    </sheetView>
  </sheetViews>
  <sheetFormatPr defaultRowHeight="18.75" customHeight="1" x14ac:dyDescent="0.2"/>
  <cols>
    <col min="1" max="1" width="28.77734375" customWidth="1"/>
    <col min="2" max="2" width="16.44140625" customWidth="1"/>
    <col min="3" max="3" width="10.33203125" customWidth="1"/>
    <col min="6" max="6" width="9" bestFit="1" customWidth="1"/>
  </cols>
  <sheetData>
    <row r="1" spans="1:4" ht="18.75" customHeight="1" x14ac:dyDescent="0.2">
      <c r="B1" s="6" t="s">
        <v>15</v>
      </c>
      <c r="C1" s="2"/>
    </row>
    <row r="3" spans="1:4" ht="18.75" customHeight="1" x14ac:dyDescent="0.2">
      <c r="A3" t="s">
        <v>7</v>
      </c>
      <c r="B3" s="9">
        <v>7314136</v>
      </c>
      <c r="C3" s="3">
        <f>+B3/B$6</f>
        <v>0.19712166220330327</v>
      </c>
    </row>
    <row r="4" spans="1:4" ht="18.75" customHeight="1" x14ac:dyDescent="0.2">
      <c r="A4" t="s">
        <v>10</v>
      </c>
      <c r="B4" s="10">
        <v>29790543</v>
      </c>
      <c r="C4" s="8">
        <f>+B4/B$6</f>
        <v>0.80287833779669671</v>
      </c>
      <c r="D4" t="s">
        <v>3</v>
      </c>
    </row>
    <row r="5" spans="1:4" ht="18.75" customHeight="1" x14ac:dyDescent="0.2">
      <c r="B5" s="1"/>
    </row>
    <row r="6" spans="1:4" ht="18.75" customHeight="1" x14ac:dyDescent="0.2">
      <c r="A6" t="s">
        <v>1</v>
      </c>
      <c r="B6" s="1">
        <f>SUM(B3:B5)</f>
        <v>37104679</v>
      </c>
      <c r="C6" s="3">
        <f>SUM(C3:C5)</f>
        <v>1</v>
      </c>
    </row>
    <row r="7" spans="1:4" ht="18.75" customHeight="1" x14ac:dyDescent="0.2">
      <c r="B7" s="1"/>
    </row>
    <row r="8" spans="1:4" ht="18.75" customHeight="1" x14ac:dyDescent="0.2">
      <c r="B8" s="1"/>
    </row>
    <row r="9" spans="1:4" ht="18.75" customHeight="1" x14ac:dyDescent="0.2">
      <c r="A9" t="s">
        <v>5</v>
      </c>
      <c r="B9" s="1"/>
    </row>
    <row r="10" spans="1:4" ht="18.75" customHeight="1" x14ac:dyDescent="0.2">
      <c r="A10" s="13" t="s">
        <v>16</v>
      </c>
      <c r="B10" s="1"/>
      <c r="C10" s="11">
        <v>0.03</v>
      </c>
    </row>
    <row r="11" spans="1:4" ht="18.75" customHeight="1" x14ac:dyDescent="0.2">
      <c r="B11" t="s">
        <v>4</v>
      </c>
      <c r="C11" s="14">
        <f>+C4</f>
        <v>0.80287833779669671</v>
      </c>
    </row>
    <row r="12" spans="1:4" ht="26.25" customHeight="1" x14ac:dyDescent="0.25">
      <c r="A12" t="s">
        <v>6</v>
      </c>
      <c r="C12" s="15">
        <f>+C10*C11</f>
        <v>2.40863501339009E-2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selection activeCell="B17" sqref="B17"/>
    </sheetView>
  </sheetViews>
  <sheetFormatPr defaultRowHeight="18.75" customHeight="1" x14ac:dyDescent="0.2"/>
  <cols>
    <col min="1" max="1" width="28.77734375" customWidth="1"/>
    <col min="2" max="2" width="16.44140625" customWidth="1"/>
    <col min="3" max="3" width="10.33203125" customWidth="1"/>
    <col min="6" max="6" width="9" bestFit="1" customWidth="1"/>
  </cols>
  <sheetData>
    <row r="1" spans="1:4" ht="18.75" customHeight="1" x14ac:dyDescent="0.2">
      <c r="B1" s="6" t="s">
        <v>13</v>
      </c>
      <c r="C1" s="2"/>
    </row>
    <row r="3" spans="1:4" ht="18.75" customHeight="1" x14ac:dyDescent="0.2">
      <c r="A3" t="s">
        <v>7</v>
      </c>
      <c r="B3" s="9">
        <v>7067421</v>
      </c>
      <c r="C3" s="3">
        <f>+B3/B$6</f>
        <v>0.19105204664646994</v>
      </c>
    </row>
    <row r="4" spans="1:4" ht="18.75" customHeight="1" x14ac:dyDescent="0.2">
      <c r="A4" t="s">
        <v>10</v>
      </c>
      <c r="B4" s="10">
        <v>29924703</v>
      </c>
      <c r="C4" s="8">
        <f>+B4/B$6</f>
        <v>0.80894795335353009</v>
      </c>
      <c r="D4" t="s">
        <v>3</v>
      </c>
    </row>
    <row r="5" spans="1:4" ht="18.75" customHeight="1" x14ac:dyDescent="0.2">
      <c r="B5" s="1"/>
    </row>
    <row r="6" spans="1:4" ht="18.75" customHeight="1" x14ac:dyDescent="0.2">
      <c r="A6" t="s">
        <v>1</v>
      </c>
      <c r="B6" s="1">
        <f>SUM(B3:B5)</f>
        <v>36992124</v>
      </c>
      <c r="C6" s="3">
        <f>SUM(C3:C5)</f>
        <v>1</v>
      </c>
    </row>
    <row r="7" spans="1:4" ht="18.75" customHeight="1" x14ac:dyDescent="0.2">
      <c r="B7" s="1"/>
    </row>
    <row r="8" spans="1:4" ht="18.75" customHeight="1" x14ac:dyDescent="0.2">
      <c r="B8" s="1"/>
    </row>
    <row r="9" spans="1:4" ht="18.75" customHeight="1" x14ac:dyDescent="0.2">
      <c r="A9" t="s">
        <v>5</v>
      </c>
      <c r="B9" s="1"/>
    </row>
    <row r="10" spans="1:4" ht="18.75" customHeight="1" x14ac:dyDescent="0.2">
      <c r="A10" s="13" t="s">
        <v>14</v>
      </c>
      <c r="B10" s="1"/>
      <c r="C10" s="11">
        <v>0.03</v>
      </c>
    </row>
    <row r="11" spans="1:4" ht="18.75" customHeight="1" x14ac:dyDescent="0.2">
      <c r="B11" t="s">
        <v>4</v>
      </c>
      <c r="C11" s="12">
        <f>+C4</f>
        <v>0.80894795335353009</v>
      </c>
    </row>
    <row r="12" spans="1:4" ht="26.25" customHeight="1" x14ac:dyDescent="0.2">
      <c r="A12" t="s">
        <v>6</v>
      </c>
      <c r="C12" s="5">
        <f>+C10*C11</f>
        <v>2.4268438600605902E-2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selection activeCell="A26" sqref="A26"/>
    </sheetView>
  </sheetViews>
  <sheetFormatPr defaultRowHeight="18.75" customHeight="1" x14ac:dyDescent="0.2"/>
  <cols>
    <col min="1" max="1" width="28.77734375" customWidth="1"/>
    <col min="2" max="2" width="16.44140625" customWidth="1"/>
    <col min="3" max="3" width="10.33203125" customWidth="1"/>
  </cols>
  <sheetData>
    <row r="1" spans="1:4" ht="18.75" customHeight="1" x14ac:dyDescent="0.2">
      <c r="B1" s="6" t="s">
        <v>11</v>
      </c>
      <c r="C1" s="2"/>
    </row>
    <row r="3" spans="1:4" ht="18.75" customHeight="1" x14ac:dyDescent="0.2">
      <c r="A3" t="s">
        <v>7</v>
      </c>
      <c r="B3" s="9">
        <v>6044952</v>
      </c>
      <c r="C3" s="3">
        <f>+B3/B$6</f>
        <v>0.1673864294133714</v>
      </c>
    </row>
    <row r="4" spans="1:4" ht="18.75" customHeight="1" x14ac:dyDescent="0.2">
      <c r="A4" t="s">
        <v>10</v>
      </c>
      <c r="B4" s="10">
        <v>30068800</v>
      </c>
      <c r="C4" s="8">
        <f>+B4/B$6</f>
        <v>0.83261357058662866</v>
      </c>
      <c r="D4" t="s">
        <v>3</v>
      </c>
    </row>
    <row r="5" spans="1:4" ht="18.75" customHeight="1" x14ac:dyDescent="0.2">
      <c r="B5" s="1"/>
    </row>
    <row r="6" spans="1:4" ht="18.75" customHeight="1" x14ac:dyDescent="0.2">
      <c r="A6" t="s">
        <v>1</v>
      </c>
      <c r="B6" s="1">
        <f>SUM(B3:B5)</f>
        <v>36113752</v>
      </c>
      <c r="C6" s="3">
        <f>SUM(C3:C5)</f>
        <v>1</v>
      </c>
    </row>
    <row r="7" spans="1:4" ht="18.75" customHeight="1" x14ac:dyDescent="0.2">
      <c r="B7" s="1"/>
    </row>
    <row r="8" spans="1:4" ht="18.75" customHeight="1" x14ac:dyDescent="0.2">
      <c r="B8" s="1"/>
    </row>
    <row r="9" spans="1:4" ht="18.75" customHeight="1" x14ac:dyDescent="0.2">
      <c r="A9" t="s">
        <v>5</v>
      </c>
      <c r="B9" s="1"/>
    </row>
    <row r="10" spans="1:4" ht="18.75" customHeight="1" x14ac:dyDescent="0.2">
      <c r="A10" s="13" t="s">
        <v>12</v>
      </c>
      <c r="B10" s="1"/>
      <c r="C10" s="11">
        <v>0.03</v>
      </c>
    </row>
    <row r="11" spans="1:4" ht="18.75" customHeight="1" x14ac:dyDescent="0.2">
      <c r="B11" t="s">
        <v>4</v>
      </c>
      <c r="C11" s="12">
        <f>+C4</f>
        <v>0.83261357058662866</v>
      </c>
    </row>
    <row r="12" spans="1:4" ht="26.25" customHeight="1" x14ac:dyDescent="0.2">
      <c r="A12" t="s">
        <v>6</v>
      </c>
      <c r="C12" s="5">
        <f>+C10*C11</f>
        <v>2.4978407117598859E-2</v>
      </c>
    </row>
  </sheetData>
  <pageMargins left="0.7" right="0.7" top="0.75" bottom="0.75" header="0.3" footer="0.3"/>
  <pageSetup orientation="portrait" r:id="rId1"/>
  <headerFooter>
    <oddFooter>&amp;C&amp;Z&amp;F     &amp;A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selection activeCell="A10" sqref="A10"/>
    </sheetView>
  </sheetViews>
  <sheetFormatPr defaultRowHeight="18.75" customHeight="1" x14ac:dyDescent="0.2"/>
  <cols>
    <col min="1" max="1" width="28.77734375" customWidth="1"/>
    <col min="2" max="2" width="16.44140625" customWidth="1"/>
    <col min="3" max="3" width="10.33203125" customWidth="1"/>
  </cols>
  <sheetData>
    <row r="1" spans="1:4" ht="18.75" customHeight="1" x14ac:dyDescent="0.2">
      <c r="B1" s="6" t="s">
        <v>9</v>
      </c>
      <c r="C1" s="2"/>
    </row>
    <row r="3" spans="1:4" ht="18.75" customHeight="1" x14ac:dyDescent="0.2">
      <c r="A3" t="s">
        <v>7</v>
      </c>
      <c r="B3" s="1">
        <v>5195297</v>
      </c>
      <c r="C3" s="3">
        <f>+B3/B$6</f>
        <v>0.14734360760139512</v>
      </c>
    </row>
    <row r="4" spans="1:4" ht="18.75" customHeight="1" x14ac:dyDescent="0.2">
      <c r="A4" t="s">
        <v>10</v>
      </c>
      <c r="B4" s="7">
        <v>30064441</v>
      </c>
      <c r="C4" s="8">
        <f>+B4/B$6</f>
        <v>0.85265639239860491</v>
      </c>
      <c r="D4" t="s">
        <v>3</v>
      </c>
    </row>
    <row r="5" spans="1:4" ht="18.75" customHeight="1" x14ac:dyDescent="0.2">
      <c r="B5" s="1"/>
    </row>
    <row r="6" spans="1:4" ht="18.75" customHeight="1" x14ac:dyDescent="0.2">
      <c r="A6" t="s">
        <v>1</v>
      </c>
      <c r="B6" s="1">
        <f>SUM(B3:B5)</f>
        <v>35259738</v>
      </c>
      <c r="C6" s="3">
        <f>SUM(C3:C5)</f>
        <v>1</v>
      </c>
    </row>
    <row r="7" spans="1:4" ht="18.75" customHeight="1" x14ac:dyDescent="0.2">
      <c r="B7" s="1"/>
    </row>
    <row r="8" spans="1:4" ht="18.75" customHeight="1" x14ac:dyDescent="0.2">
      <c r="B8" s="1"/>
    </row>
    <row r="9" spans="1:4" ht="18.75" customHeight="1" x14ac:dyDescent="0.2">
      <c r="A9" t="s">
        <v>5</v>
      </c>
      <c r="B9" s="1"/>
    </row>
    <row r="10" spans="1:4" ht="18.75" customHeight="1" x14ac:dyDescent="0.2">
      <c r="A10" s="13" t="s">
        <v>12</v>
      </c>
      <c r="B10" s="1"/>
      <c r="C10" s="3">
        <v>0.03</v>
      </c>
    </row>
    <row r="11" spans="1:4" ht="18.75" customHeight="1" x14ac:dyDescent="0.2">
      <c r="B11" t="s">
        <v>4</v>
      </c>
      <c r="C11" s="4">
        <v>0.85</v>
      </c>
    </row>
    <row r="12" spans="1:4" ht="26.25" customHeight="1" x14ac:dyDescent="0.2">
      <c r="A12" t="s">
        <v>6</v>
      </c>
      <c r="C12" s="5">
        <f>+C10*C11</f>
        <v>2.5499999999999998E-2</v>
      </c>
    </row>
  </sheetData>
  <pageMargins left="0.7" right="0.7" top="0.75" bottom="0.75" header="0.3" footer="0.3"/>
  <pageSetup orientation="portrait" r:id="rId1"/>
  <headerFooter>
    <oddFooter>&amp;C&amp;Z&amp;F     &amp;A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selection activeCell="B29" sqref="B29"/>
    </sheetView>
  </sheetViews>
  <sheetFormatPr defaultRowHeight="18.75" customHeight="1" x14ac:dyDescent="0.2"/>
  <cols>
    <col min="1" max="1" width="28.77734375" customWidth="1"/>
    <col min="2" max="2" width="16.44140625" customWidth="1"/>
    <col min="3" max="3" width="10.33203125" customWidth="1"/>
  </cols>
  <sheetData>
    <row r="1" spans="1:4" ht="18.75" customHeight="1" x14ac:dyDescent="0.2">
      <c r="B1" s="6" t="s">
        <v>0</v>
      </c>
      <c r="C1" s="2"/>
    </row>
    <row r="3" spans="1:4" ht="18.75" customHeight="1" x14ac:dyDescent="0.2">
      <c r="A3" t="s">
        <v>7</v>
      </c>
      <c r="B3" s="1">
        <v>3509400</v>
      </c>
      <c r="C3" s="3">
        <f>+B3/B$6</f>
        <v>0.12262469254725317</v>
      </c>
    </row>
    <row r="4" spans="1:4" ht="18.75" customHeight="1" x14ac:dyDescent="0.2">
      <c r="A4" t="s">
        <v>8</v>
      </c>
      <c r="B4" s="7">
        <v>25109632</v>
      </c>
      <c r="C4" s="8">
        <f>+B4/B$6</f>
        <v>0.87737530745274683</v>
      </c>
      <c r="D4" t="s">
        <v>3</v>
      </c>
    </row>
    <row r="5" spans="1:4" ht="18.75" customHeight="1" x14ac:dyDescent="0.2">
      <c r="B5" s="1"/>
    </row>
    <row r="6" spans="1:4" ht="18.75" customHeight="1" x14ac:dyDescent="0.2">
      <c r="A6" t="s">
        <v>1</v>
      </c>
      <c r="B6" s="1">
        <f>SUM(B3:B5)</f>
        <v>28619032</v>
      </c>
      <c r="C6" s="3">
        <f>SUM(C3:C5)</f>
        <v>1</v>
      </c>
    </row>
    <row r="7" spans="1:4" ht="18.75" customHeight="1" x14ac:dyDescent="0.2">
      <c r="B7" s="1"/>
    </row>
    <row r="8" spans="1:4" ht="18.75" customHeight="1" x14ac:dyDescent="0.2">
      <c r="B8" s="1"/>
    </row>
    <row r="9" spans="1:4" ht="18.75" customHeight="1" x14ac:dyDescent="0.2">
      <c r="A9" t="s">
        <v>5</v>
      </c>
      <c r="B9" s="1"/>
    </row>
    <row r="10" spans="1:4" ht="18.75" customHeight="1" x14ac:dyDescent="0.2">
      <c r="A10" t="s">
        <v>2</v>
      </c>
      <c r="B10" s="1"/>
      <c r="C10" s="3">
        <v>0.02</v>
      </c>
    </row>
    <row r="11" spans="1:4" ht="18.75" customHeight="1" x14ac:dyDescent="0.2">
      <c r="B11" t="s">
        <v>4</v>
      </c>
      <c r="C11" s="4">
        <v>0.88</v>
      </c>
    </row>
    <row r="12" spans="1:4" ht="26.25" customHeight="1" x14ac:dyDescent="0.2">
      <c r="A12" t="s">
        <v>6</v>
      </c>
      <c r="C12" s="5">
        <f>+C10*C11</f>
        <v>1.7600000000000001E-2</v>
      </c>
    </row>
  </sheetData>
  <pageMargins left="0.7" right="0.7" top="0.88" bottom="0.75" header="0.3" footer="0.65"/>
  <pageSetup orientation="portrait" r:id="rId1"/>
  <headerFooter>
    <oddFooter>&amp;C&amp;Z&amp;F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9</vt:i4>
      </vt:variant>
    </vt:vector>
  </HeadingPairs>
  <TitlesOfParts>
    <vt:vector size="23" baseType="lpstr">
      <vt:lpstr>2024</vt:lpstr>
      <vt:lpstr>2023</vt:lpstr>
      <vt:lpstr>2022</vt:lpstr>
      <vt:lpstr>2021 </vt:lpstr>
      <vt:lpstr>2020</vt:lpstr>
      <vt:lpstr>2019</vt:lpstr>
      <vt:lpstr>2018</vt:lpstr>
      <vt:lpstr>2017</vt:lpstr>
      <vt:lpstr>2016</vt:lpstr>
      <vt:lpstr>2015</vt:lpstr>
      <vt:lpstr>2014</vt:lpstr>
      <vt:lpstr>2013</vt:lpstr>
      <vt:lpstr>2012</vt:lpstr>
      <vt:lpstr>2011</vt:lpstr>
      <vt:lpstr>'2016'!Print_Area</vt:lpstr>
      <vt:lpstr>'2017'!Print_Area</vt:lpstr>
      <vt:lpstr>'2018'!Print_Area</vt:lpstr>
      <vt:lpstr>'2019'!Print_Area</vt:lpstr>
      <vt:lpstr>'2020'!Print_Area</vt:lpstr>
      <vt:lpstr>'2021 '!Print_Area</vt:lpstr>
      <vt:lpstr>'2022'!Print_Area</vt:lpstr>
      <vt:lpstr>'2023'!Print_Area</vt:lpstr>
      <vt:lpstr>'2024'!Print_Area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Elaine Kamiel</dc:creator>
  <cp:lastModifiedBy>Nancy Autolino</cp:lastModifiedBy>
  <cp:lastPrinted>2021-06-24T20:12:58Z</cp:lastPrinted>
  <dcterms:created xsi:type="dcterms:W3CDTF">2011-06-29T17:39:19Z</dcterms:created>
  <dcterms:modified xsi:type="dcterms:W3CDTF">2024-06-19T22:42:36Z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