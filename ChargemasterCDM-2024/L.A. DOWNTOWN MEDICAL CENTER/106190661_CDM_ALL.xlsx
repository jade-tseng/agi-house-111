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ladmcshare\Departments\Business\,PEDRO\"/>
    </mc:Choice>
  </mc:AlternateContent>
  <bookViews>
    <workbookView xWindow="0" yWindow="0" windowWidth="38400" windowHeight="13725" activeTab="2"/>
  </bookViews>
  <sheets>
    <sheet name="CDM 2024" sheetId="1" r:id="rId1"/>
    <sheet name="AB 1045" sheetId="2" r:id="rId2"/>
    <sheet name="Gross Rev Charges" sheetId="3" r:id="rId3"/>
  </sheets>
  <definedNames>
    <definedName name="_xlnm._FilterDatabase" localSheetId="0" hidden="1">'CDM 2024'!$A$1:$E$11077</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1077" i="1" l="1"/>
  <c r="D11077" i="1"/>
  <c r="A11077" i="1"/>
  <c r="E11076" i="1"/>
  <c r="D11076" i="1"/>
  <c r="A11076" i="1"/>
  <c r="E11075" i="1"/>
  <c r="D11075" i="1"/>
  <c r="A11075" i="1"/>
  <c r="E11074" i="1"/>
  <c r="D11074" i="1"/>
  <c r="A11074" i="1"/>
  <c r="D11073" i="1"/>
  <c r="A11073" i="1"/>
  <c r="D11072" i="1"/>
  <c r="A11072" i="1"/>
  <c r="D11071" i="1"/>
  <c r="A11071" i="1"/>
  <c r="D11070" i="1"/>
  <c r="A11070" i="1"/>
  <c r="D11069" i="1"/>
  <c r="A11069" i="1"/>
  <c r="D11068" i="1"/>
  <c r="A11068" i="1"/>
  <c r="D11067" i="1"/>
  <c r="A11067" i="1"/>
  <c r="D11066" i="1"/>
  <c r="A11066" i="1"/>
  <c r="D11065" i="1"/>
  <c r="A11065" i="1"/>
  <c r="D11064" i="1"/>
  <c r="A11064" i="1"/>
  <c r="D11063" i="1"/>
  <c r="A11063" i="1"/>
  <c r="D11062" i="1"/>
  <c r="A11062" i="1"/>
  <c r="D11061" i="1"/>
  <c r="A11061" i="1"/>
  <c r="D11060" i="1"/>
  <c r="A11060" i="1"/>
  <c r="D11059" i="1"/>
  <c r="A11059" i="1"/>
  <c r="D11058" i="1"/>
  <c r="A11058" i="1"/>
  <c r="D11057" i="1"/>
  <c r="A11057" i="1"/>
  <c r="D11056" i="1"/>
  <c r="A11056" i="1"/>
  <c r="E11055" i="1"/>
  <c r="D11055" i="1"/>
  <c r="A11055" i="1"/>
  <c r="D11054" i="1"/>
  <c r="A11054" i="1"/>
  <c r="D11053" i="1"/>
  <c r="A11053" i="1"/>
  <c r="D11052" i="1"/>
  <c r="A11052" i="1"/>
  <c r="E11051" i="1"/>
  <c r="D11051" i="1"/>
  <c r="A11051" i="1"/>
  <c r="D11050" i="1"/>
  <c r="A11050" i="1"/>
  <c r="D11049" i="1"/>
  <c r="A11049" i="1"/>
  <c r="D11048" i="1"/>
  <c r="A11048" i="1"/>
  <c r="D11047" i="1"/>
  <c r="A11047" i="1"/>
  <c r="D11046" i="1"/>
  <c r="A11046" i="1"/>
  <c r="D11045" i="1"/>
  <c r="A11045" i="1"/>
  <c r="D11044" i="1"/>
  <c r="A11044" i="1"/>
  <c r="D11043" i="1"/>
  <c r="A11043" i="1"/>
  <c r="D11042" i="1"/>
  <c r="A11042" i="1"/>
  <c r="D11041" i="1"/>
  <c r="A11041" i="1"/>
  <c r="D11040" i="1"/>
  <c r="A11040" i="1"/>
  <c r="D11039" i="1"/>
  <c r="A11039" i="1"/>
  <c r="D11038" i="1"/>
  <c r="A11038" i="1"/>
  <c r="D11037" i="1"/>
  <c r="A11037" i="1"/>
  <c r="D11036" i="1"/>
  <c r="A11036" i="1"/>
  <c r="D11035" i="1"/>
  <c r="A11035" i="1"/>
  <c r="D11034" i="1"/>
  <c r="A11034" i="1"/>
  <c r="D11033" i="1"/>
  <c r="A11033" i="1"/>
  <c r="D11032" i="1"/>
  <c r="A11032" i="1"/>
  <c r="D11031" i="1"/>
  <c r="A11031" i="1"/>
  <c r="D11030" i="1"/>
  <c r="A11030" i="1"/>
  <c r="D11029" i="1"/>
  <c r="A11029" i="1"/>
  <c r="D11028" i="1"/>
  <c r="A11028" i="1"/>
  <c r="D11027" i="1"/>
  <c r="A11027" i="1"/>
  <c r="D11026" i="1"/>
  <c r="A11026" i="1"/>
  <c r="E11025" i="1"/>
  <c r="D11025" i="1"/>
  <c r="A11025" i="1"/>
  <c r="D11024" i="1"/>
  <c r="A11024" i="1"/>
  <c r="D11023" i="1"/>
  <c r="A11023" i="1"/>
  <c r="D11022" i="1"/>
  <c r="A11022" i="1"/>
  <c r="D11021" i="1"/>
  <c r="A11021" i="1"/>
  <c r="D11020" i="1"/>
  <c r="A11020" i="1"/>
  <c r="D11019" i="1"/>
  <c r="A11019" i="1"/>
  <c r="D11018" i="1"/>
  <c r="A11018" i="1"/>
  <c r="D11017" i="1"/>
  <c r="A11017" i="1"/>
  <c r="D11016" i="1"/>
  <c r="A11016" i="1"/>
  <c r="D11015" i="1"/>
  <c r="A11015" i="1"/>
  <c r="D11014" i="1"/>
  <c r="A11014" i="1"/>
  <c r="D11013" i="1"/>
  <c r="A11013" i="1"/>
  <c r="D11012" i="1"/>
  <c r="A11012" i="1"/>
  <c r="D11011" i="1"/>
  <c r="A11011" i="1"/>
  <c r="E11010" i="1"/>
  <c r="D11010" i="1"/>
  <c r="A11010" i="1"/>
  <c r="D11009" i="1"/>
  <c r="A11009" i="1"/>
  <c r="D11008" i="1"/>
  <c r="A11008" i="1"/>
  <c r="D11007" i="1"/>
  <c r="A11007" i="1"/>
  <c r="E11006" i="1"/>
  <c r="D11006" i="1"/>
  <c r="A11006" i="1"/>
  <c r="D11005" i="1"/>
  <c r="A11005" i="1"/>
  <c r="D11004" i="1"/>
  <c r="A11004" i="1"/>
  <c r="D11003" i="1"/>
  <c r="A11003" i="1"/>
  <c r="D11002" i="1"/>
  <c r="A11002" i="1"/>
  <c r="D11001" i="1"/>
  <c r="A11001" i="1"/>
  <c r="D11000" i="1"/>
  <c r="A11000" i="1"/>
  <c r="D10999" i="1"/>
  <c r="A10999" i="1"/>
  <c r="E10998" i="1"/>
  <c r="D10998" i="1"/>
  <c r="A10998" i="1"/>
  <c r="D10997" i="1"/>
  <c r="A10997" i="1"/>
  <c r="D10996" i="1"/>
  <c r="A10996" i="1"/>
  <c r="D10995" i="1"/>
  <c r="A10995" i="1"/>
  <c r="E10994" i="1"/>
  <c r="D10994" i="1"/>
  <c r="A10994" i="1"/>
  <c r="E10993" i="1"/>
  <c r="D10993" i="1"/>
  <c r="A10993" i="1"/>
  <c r="D10992" i="1"/>
  <c r="A10992" i="1"/>
  <c r="E10991" i="1"/>
  <c r="D10991" i="1"/>
  <c r="A10991" i="1"/>
  <c r="D10990" i="1"/>
  <c r="A10990" i="1"/>
  <c r="D10989" i="1"/>
  <c r="A10989" i="1"/>
  <c r="D10988" i="1"/>
  <c r="A10988" i="1"/>
  <c r="D10987" i="1"/>
  <c r="A10987" i="1"/>
  <c r="D10986" i="1"/>
  <c r="A10986" i="1"/>
  <c r="D10985" i="1"/>
  <c r="A10985" i="1"/>
  <c r="D10984" i="1"/>
  <c r="A10984" i="1"/>
  <c r="D10983" i="1"/>
  <c r="A10983" i="1"/>
  <c r="D10982" i="1"/>
  <c r="A10982" i="1"/>
  <c r="D10981" i="1"/>
  <c r="A10981" i="1"/>
  <c r="D10980" i="1"/>
  <c r="A10980" i="1"/>
  <c r="E10979" i="1"/>
  <c r="D10979" i="1"/>
  <c r="A10979" i="1"/>
  <c r="D10978" i="1"/>
  <c r="A10978" i="1"/>
  <c r="D10977" i="1"/>
  <c r="A10977" i="1"/>
  <c r="D10976" i="1"/>
  <c r="A10976" i="1"/>
  <c r="D10975" i="1"/>
  <c r="A10975" i="1"/>
  <c r="D10974" i="1"/>
  <c r="A10974" i="1"/>
  <c r="D10973" i="1"/>
  <c r="A10973" i="1"/>
  <c r="E10972" i="1"/>
  <c r="D10972" i="1"/>
  <c r="A10972" i="1"/>
  <c r="E10971" i="1"/>
  <c r="D10971" i="1"/>
  <c r="A10971" i="1"/>
  <c r="D10970" i="1"/>
  <c r="A10970" i="1"/>
  <c r="D10969" i="1"/>
  <c r="A10969" i="1"/>
  <c r="D10968" i="1"/>
  <c r="A10968" i="1"/>
  <c r="E10967" i="1"/>
  <c r="D10967" i="1"/>
  <c r="A10967" i="1"/>
  <c r="D10966" i="1"/>
  <c r="A10966" i="1"/>
  <c r="E10965" i="1"/>
  <c r="D10965" i="1"/>
  <c r="A10965" i="1"/>
  <c r="E10964" i="1"/>
  <c r="D10964" i="1"/>
  <c r="A10964" i="1"/>
  <c r="D10963" i="1"/>
  <c r="A10963" i="1"/>
  <c r="E10962" i="1"/>
  <c r="D10962" i="1"/>
  <c r="A10962" i="1"/>
  <c r="D10961" i="1"/>
  <c r="A10961" i="1"/>
  <c r="E10960" i="1"/>
  <c r="D10960" i="1"/>
  <c r="A10960" i="1"/>
  <c r="D10959" i="1"/>
  <c r="A10959" i="1"/>
  <c r="D10958" i="1"/>
  <c r="A10958" i="1"/>
  <c r="D10957" i="1"/>
  <c r="A10957" i="1"/>
  <c r="E10956" i="1"/>
  <c r="D10956" i="1"/>
  <c r="A10956" i="1"/>
  <c r="E10955" i="1"/>
  <c r="D10955" i="1"/>
  <c r="A10955" i="1"/>
  <c r="E10954" i="1"/>
  <c r="D10954" i="1"/>
  <c r="A10954" i="1"/>
  <c r="D10953" i="1"/>
  <c r="A10953" i="1"/>
  <c r="E10952" i="1"/>
  <c r="D10952" i="1"/>
  <c r="A10952" i="1"/>
  <c r="D10951" i="1"/>
  <c r="A10951" i="1"/>
  <c r="D10950" i="1"/>
  <c r="A10950" i="1"/>
  <c r="E10949" i="1"/>
  <c r="D10949" i="1"/>
  <c r="A10949" i="1"/>
  <c r="E10948" i="1"/>
  <c r="D10948" i="1"/>
  <c r="A10948" i="1"/>
  <c r="D10947" i="1"/>
  <c r="A10947" i="1"/>
  <c r="D10946" i="1"/>
  <c r="A10946" i="1"/>
  <c r="E10945" i="1"/>
  <c r="D10945" i="1"/>
  <c r="A10945" i="1"/>
  <c r="D10944" i="1"/>
  <c r="A10944" i="1"/>
  <c r="D10943" i="1"/>
  <c r="A10943" i="1"/>
  <c r="D10942" i="1"/>
  <c r="A10942" i="1"/>
  <c r="D10941" i="1"/>
  <c r="A10941" i="1"/>
  <c r="D10940" i="1"/>
  <c r="A10940" i="1"/>
  <c r="E10939" i="1"/>
  <c r="D10939" i="1"/>
  <c r="A10939" i="1"/>
  <c r="E10938" i="1"/>
  <c r="D10938" i="1"/>
  <c r="A10938" i="1"/>
  <c r="D10937" i="1"/>
  <c r="A10937" i="1"/>
  <c r="D10936" i="1"/>
  <c r="A10936" i="1"/>
  <c r="D10935" i="1"/>
  <c r="A10935" i="1"/>
  <c r="D10934" i="1"/>
  <c r="A10934" i="1"/>
  <c r="D10933" i="1"/>
  <c r="A10933" i="1"/>
  <c r="D10932" i="1"/>
  <c r="A10932" i="1"/>
  <c r="D10931" i="1"/>
  <c r="A10931" i="1"/>
  <c r="D10930" i="1"/>
  <c r="A10930" i="1"/>
  <c r="D10929" i="1"/>
  <c r="A10929" i="1"/>
  <c r="D10928" i="1"/>
  <c r="A10928" i="1"/>
  <c r="D10927" i="1"/>
  <c r="A10927" i="1"/>
  <c r="D10926" i="1"/>
  <c r="A10926" i="1"/>
  <c r="D10925" i="1"/>
  <c r="A10925" i="1"/>
  <c r="D10924" i="1"/>
  <c r="A10924" i="1"/>
  <c r="D10923" i="1"/>
  <c r="A10923" i="1"/>
  <c r="D10922" i="1"/>
  <c r="A10922" i="1"/>
  <c r="D10921" i="1"/>
  <c r="A10921" i="1"/>
  <c r="D10920" i="1"/>
  <c r="A10920" i="1"/>
  <c r="D10919" i="1"/>
  <c r="A10919" i="1"/>
  <c r="D10918" i="1"/>
  <c r="A10918" i="1"/>
  <c r="D10917" i="1"/>
  <c r="A10917" i="1"/>
  <c r="D10916" i="1"/>
  <c r="A10916" i="1"/>
  <c r="D10915" i="1"/>
  <c r="A10915" i="1"/>
  <c r="E10914" i="1"/>
  <c r="D10914" i="1"/>
  <c r="A10914" i="1"/>
  <c r="D10913" i="1"/>
  <c r="A10913" i="1"/>
  <c r="D10912" i="1"/>
  <c r="A10912" i="1"/>
  <c r="E10911" i="1"/>
  <c r="D10911" i="1"/>
  <c r="A10911" i="1"/>
  <c r="D10910" i="1"/>
  <c r="A10910" i="1"/>
  <c r="D10909" i="1"/>
  <c r="A10909" i="1"/>
  <c r="E10908" i="1"/>
  <c r="D10908" i="1"/>
  <c r="A10908" i="1"/>
  <c r="D10907" i="1"/>
  <c r="A10907" i="1"/>
  <c r="D10906" i="1"/>
  <c r="A10906" i="1"/>
  <c r="E10905" i="1"/>
  <c r="D10905" i="1"/>
  <c r="A10905" i="1"/>
  <c r="D10904" i="1"/>
  <c r="A10904" i="1"/>
  <c r="D10903" i="1"/>
  <c r="A10903" i="1"/>
  <c r="D10902" i="1"/>
  <c r="A10902" i="1"/>
  <c r="D10901" i="1"/>
  <c r="A10901" i="1"/>
  <c r="D10900" i="1"/>
  <c r="A10900" i="1"/>
  <c r="D10899" i="1"/>
  <c r="A10899" i="1"/>
  <c r="D10898" i="1"/>
  <c r="A10898" i="1"/>
  <c r="E10897" i="1"/>
  <c r="D10897" i="1"/>
  <c r="A10897" i="1"/>
  <c r="D10896" i="1"/>
  <c r="A10896" i="1"/>
  <c r="D10895" i="1"/>
  <c r="A10895" i="1"/>
  <c r="D10894" i="1"/>
  <c r="A10894" i="1"/>
  <c r="D10893" i="1"/>
  <c r="A10893" i="1"/>
  <c r="D10892" i="1"/>
  <c r="A10892" i="1"/>
  <c r="D10891" i="1"/>
  <c r="A10891" i="1"/>
  <c r="D10890" i="1"/>
  <c r="A10890" i="1"/>
  <c r="D10889" i="1"/>
  <c r="A10889" i="1"/>
  <c r="D10888" i="1"/>
  <c r="A10888" i="1"/>
  <c r="D10887" i="1"/>
  <c r="A10887" i="1"/>
  <c r="D10886" i="1"/>
  <c r="A10886" i="1"/>
  <c r="D10885" i="1"/>
  <c r="A10885" i="1"/>
  <c r="D10884" i="1"/>
  <c r="A10884" i="1"/>
  <c r="D10883" i="1"/>
  <c r="A10883" i="1"/>
  <c r="D10882" i="1"/>
  <c r="A10882" i="1"/>
  <c r="E10881" i="1"/>
  <c r="D10881" i="1"/>
  <c r="A10881" i="1"/>
  <c r="D10880" i="1"/>
  <c r="A10880" i="1"/>
  <c r="D10879" i="1"/>
  <c r="A10879" i="1"/>
  <c r="D10878" i="1"/>
  <c r="A10878" i="1"/>
  <c r="D10877" i="1"/>
  <c r="A10877" i="1"/>
  <c r="D10876" i="1"/>
  <c r="A10876" i="1"/>
  <c r="E10875" i="1"/>
  <c r="D10875" i="1"/>
  <c r="A10875" i="1"/>
  <c r="E10874" i="1"/>
  <c r="D10874" i="1"/>
  <c r="A10874" i="1"/>
  <c r="D10873" i="1"/>
  <c r="A10873" i="1"/>
  <c r="E10872" i="1"/>
  <c r="D10872" i="1"/>
  <c r="A10872" i="1"/>
  <c r="D10871" i="1"/>
  <c r="A10871" i="1"/>
  <c r="D10870" i="1"/>
  <c r="A10870" i="1"/>
  <c r="D10869" i="1"/>
  <c r="A10869" i="1"/>
  <c r="D10868" i="1"/>
  <c r="A10868" i="1"/>
  <c r="E10867" i="1"/>
  <c r="D10867" i="1"/>
  <c r="A10867" i="1"/>
  <c r="D10866" i="1"/>
  <c r="A10866" i="1"/>
  <c r="D10865" i="1"/>
  <c r="A10865" i="1"/>
  <c r="D10864" i="1"/>
  <c r="A10864" i="1"/>
  <c r="D10863" i="1"/>
  <c r="A10863" i="1"/>
  <c r="D10862" i="1"/>
  <c r="A10862" i="1"/>
  <c r="E10861" i="1"/>
  <c r="D10861" i="1"/>
  <c r="A10861" i="1"/>
  <c r="D10860" i="1"/>
  <c r="A10860" i="1"/>
  <c r="D10859" i="1"/>
  <c r="A10859" i="1"/>
  <c r="E10858" i="1"/>
  <c r="D10858" i="1"/>
  <c r="A10858" i="1"/>
  <c r="D10857" i="1"/>
  <c r="A10857" i="1"/>
  <c r="D10856" i="1"/>
  <c r="A10856" i="1"/>
  <c r="D10855" i="1"/>
  <c r="A10855" i="1"/>
  <c r="D10854" i="1"/>
  <c r="A10854" i="1"/>
  <c r="D10853" i="1"/>
  <c r="A10853" i="1"/>
  <c r="D10852" i="1"/>
  <c r="A10852" i="1"/>
  <c r="E10851" i="1"/>
  <c r="D10851" i="1"/>
  <c r="A10851" i="1"/>
  <c r="D10850" i="1"/>
  <c r="A10850" i="1"/>
  <c r="D10849" i="1"/>
  <c r="A10849" i="1"/>
  <c r="D10848" i="1"/>
  <c r="A10848" i="1"/>
  <c r="D10847" i="1"/>
  <c r="A10847" i="1"/>
  <c r="D10846" i="1"/>
  <c r="A10846" i="1"/>
  <c r="D10845" i="1"/>
  <c r="A10845" i="1"/>
  <c r="D10844" i="1"/>
  <c r="A10844" i="1"/>
  <c r="D10843" i="1"/>
  <c r="A10843" i="1"/>
  <c r="D10842" i="1"/>
  <c r="A10842" i="1"/>
  <c r="E10841" i="1"/>
  <c r="D10841" i="1"/>
  <c r="A10841" i="1"/>
  <c r="D10840" i="1"/>
  <c r="A10840" i="1"/>
  <c r="D10839" i="1"/>
  <c r="A10839" i="1"/>
  <c r="D10838" i="1"/>
  <c r="A10838" i="1"/>
  <c r="D10837" i="1"/>
  <c r="A10837" i="1"/>
  <c r="D10836" i="1"/>
  <c r="A10836" i="1"/>
  <c r="D10835" i="1"/>
  <c r="A10835" i="1"/>
  <c r="D10834" i="1"/>
  <c r="A10834" i="1"/>
  <c r="D10833" i="1"/>
  <c r="A10833" i="1"/>
  <c r="D10832" i="1"/>
  <c r="A10832" i="1"/>
  <c r="D10831" i="1"/>
  <c r="A10831" i="1"/>
  <c r="D10830" i="1"/>
  <c r="A10830" i="1"/>
  <c r="D10829" i="1"/>
  <c r="A10829" i="1"/>
  <c r="E10828" i="1"/>
  <c r="D10828" i="1"/>
  <c r="A10828" i="1"/>
  <c r="D10827" i="1"/>
  <c r="A10827" i="1"/>
  <c r="D10826" i="1"/>
  <c r="A10826" i="1"/>
  <c r="D10825" i="1"/>
  <c r="A10825" i="1"/>
  <c r="D10824" i="1"/>
  <c r="A10824" i="1"/>
  <c r="D10823" i="1"/>
  <c r="A10823" i="1"/>
  <c r="E10822" i="1"/>
  <c r="D10822" i="1"/>
  <c r="A10822" i="1"/>
  <c r="E10821" i="1"/>
  <c r="D10821" i="1"/>
  <c r="A10821" i="1"/>
  <c r="D10820" i="1"/>
  <c r="A10820" i="1"/>
  <c r="D10819" i="1"/>
  <c r="A10819" i="1"/>
  <c r="D10818" i="1"/>
  <c r="A10818" i="1"/>
  <c r="D10817" i="1"/>
  <c r="A10817" i="1"/>
  <c r="D10816" i="1"/>
  <c r="A10816" i="1"/>
  <c r="D10815" i="1"/>
  <c r="A10815" i="1"/>
  <c r="D10814" i="1"/>
  <c r="A10814" i="1"/>
  <c r="D10813" i="1"/>
  <c r="A10813" i="1"/>
  <c r="D10812" i="1"/>
  <c r="A10812" i="1"/>
  <c r="D10811" i="1"/>
  <c r="A10811" i="1"/>
  <c r="D10810" i="1"/>
  <c r="A10810" i="1"/>
  <c r="D10809" i="1"/>
  <c r="A10809" i="1"/>
  <c r="D10808" i="1"/>
  <c r="A10808" i="1"/>
  <c r="D10807" i="1"/>
  <c r="A10807" i="1"/>
  <c r="D10806" i="1"/>
  <c r="A10806" i="1"/>
  <c r="D10805" i="1"/>
  <c r="A10805" i="1"/>
  <c r="D10804" i="1"/>
  <c r="A10804" i="1"/>
  <c r="D10803" i="1"/>
  <c r="A10803" i="1"/>
  <c r="D10802" i="1"/>
  <c r="A10802" i="1"/>
  <c r="D10801" i="1"/>
  <c r="A10801" i="1"/>
  <c r="D10800" i="1"/>
  <c r="A10800" i="1"/>
  <c r="D10799" i="1"/>
  <c r="A10799" i="1"/>
  <c r="D10798" i="1"/>
  <c r="A10798" i="1"/>
  <c r="D10797" i="1"/>
  <c r="A10797" i="1"/>
  <c r="E10796" i="1"/>
  <c r="D10796" i="1"/>
  <c r="A10796" i="1"/>
  <c r="D10795" i="1"/>
  <c r="A10795" i="1"/>
  <c r="D10794" i="1"/>
  <c r="A10794" i="1"/>
  <c r="E10793" i="1"/>
  <c r="D10793" i="1"/>
  <c r="A10793" i="1"/>
  <c r="D10792" i="1"/>
  <c r="A10792" i="1"/>
  <c r="D10791" i="1"/>
  <c r="A10791" i="1"/>
  <c r="D10790" i="1"/>
  <c r="A10790" i="1"/>
  <c r="D10789" i="1"/>
  <c r="A10789" i="1"/>
  <c r="D10788" i="1"/>
  <c r="A10788" i="1"/>
  <c r="D10787" i="1"/>
  <c r="A10787" i="1"/>
  <c r="D10786" i="1"/>
  <c r="A10786" i="1"/>
  <c r="D10785" i="1"/>
  <c r="A10785" i="1"/>
  <c r="D10784" i="1"/>
  <c r="A10784" i="1"/>
  <c r="E10783" i="1"/>
  <c r="D10783" i="1"/>
  <c r="A10783" i="1"/>
  <c r="D10782" i="1"/>
  <c r="A10782" i="1"/>
  <c r="D10781" i="1"/>
  <c r="A10781" i="1"/>
  <c r="E10780" i="1"/>
  <c r="D10780" i="1"/>
  <c r="A10780" i="1"/>
  <c r="D10779" i="1"/>
  <c r="A10779" i="1"/>
  <c r="E10778" i="1"/>
  <c r="D10778" i="1"/>
  <c r="A10778" i="1"/>
  <c r="E10777" i="1"/>
  <c r="D10777" i="1"/>
  <c r="A10777" i="1"/>
  <c r="D10776" i="1"/>
  <c r="A10776" i="1"/>
  <c r="D10775" i="1"/>
  <c r="A10775" i="1"/>
  <c r="E10774" i="1"/>
  <c r="D10774" i="1"/>
  <c r="A10774" i="1"/>
  <c r="E10773" i="1"/>
  <c r="D10773" i="1"/>
  <c r="A10773" i="1"/>
  <c r="E10772" i="1"/>
  <c r="D10772" i="1"/>
  <c r="A10772" i="1"/>
  <c r="D10771" i="1"/>
  <c r="A10771" i="1"/>
  <c r="D10770" i="1"/>
  <c r="A10770" i="1"/>
  <c r="D10769" i="1"/>
  <c r="A10769" i="1"/>
  <c r="D10768" i="1"/>
  <c r="A10768" i="1"/>
  <c r="D10767" i="1"/>
  <c r="A10767" i="1"/>
  <c r="D10766" i="1"/>
  <c r="A10766" i="1"/>
  <c r="D10765" i="1"/>
  <c r="A10765" i="1"/>
  <c r="D10764" i="1"/>
  <c r="A10764" i="1"/>
  <c r="E10763" i="1"/>
  <c r="D10763" i="1"/>
  <c r="A10763" i="1"/>
  <c r="E10762" i="1"/>
  <c r="D10762" i="1"/>
  <c r="A10762" i="1"/>
  <c r="D10761" i="1"/>
  <c r="A10761" i="1"/>
  <c r="D10760" i="1"/>
  <c r="A10760" i="1"/>
  <c r="D10759" i="1"/>
  <c r="A10759" i="1"/>
  <c r="D10758" i="1"/>
  <c r="A10758" i="1"/>
  <c r="D10757" i="1"/>
  <c r="A10757" i="1"/>
  <c r="D10756" i="1"/>
  <c r="A10756" i="1"/>
  <c r="D10755" i="1"/>
  <c r="A10755" i="1"/>
  <c r="E10754" i="1"/>
  <c r="D10754" i="1"/>
  <c r="A10754" i="1"/>
  <c r="E10753" i="1"/>
  <c r="D10753" i="1"/>
  <c r="A10753" i="1"/>
  <c r="D10752" i="1"/>
  <c r="A10752" i="1"/>
  <c r="E10751" i="1"/>
  <c r="D10751" i="1"/>
  <c r="A10751" i="1"/>
  <c r="E10750" i="1"/>
  <c r="D10750" i="1"/>
  <c r="A10750" i="1"/>
  <c r="E10749" i="1"/>
  <c r="D10749" i="1"/>
  <c r="A10749" i="1"/>
  <c r="D10748" i="1"/>
  <c r="A10748" i="1"/>
  <c r="D10747" i="1"/>
  <c r="A10747" i="1"/>
  <c r="D10746" i="1"/>
  <c r="A10746" i="1"/>
  <c r="D10745" i="1"/>
  <c r="A10745" i="1"/>
  <c r="D10744" i="1"/>
  <c r="A10744" i="1"/>
  <c r="D10743" i="1"/>
  <c r="A10743" i="1"/>
  <c r="D10742" i="1"/>
  <c r="A10742" i="1"/>
  <c r="D10741" i="1"/>
  <c r="A10741" i="1"/>
  <c r="E10740" i="1"/>
  <c r="D10740" i="1"/>
  <c r="A10740" i="1"/>
  <c r="D10739" i="1"/>
  <c r="A10739" i="1"/>
  <c r="D10738" i="1"/>
  <c r="A10738" i="1"/>
  <c r="D10737" i="1"/>
  <c r="A10737" i="1"/>
  <c r="D10736" i="1"/>
  <c r="A10736" i="1"/>
  <c r="D10735" i="1"/>
  <c r="A10735" i="1"/>
  <c r="D10734" i="1"/>
  <c r="A10734" i="1"/>
  <c r="D10733" i="1"/>
  <c r="A10733" i="1"/>
  <c r="E10732" i="1"/>
  <c r="D10732" i="1"/>
  <c r="A10732" i="1"/>
  <c r="E10731" i="1"/>
  <c r="D10731" i="1"/>
  <c r="A10731" i="1"/>
  <c r="D10730" i="1"/>
  <c r="A10730" i="1"/>
  <c r="D10729" i="1"/>
  <c r="A10729" i="1"/>
  <c r="D10728" i="1"/>
  <c r="A10728" i="1"/>
  <c r="D10727" i="1"/>
  <c r="A10727" i="1"/>
  <c r="D10726" i="1"/>
  <c r="A10726" i="1"/>
  <c r="E10725" i="1"/>
  <c r="D10725" i="1"/>
  <c r="A10725" i="1"/>
  <c r="D10724" i="1"/>
  <c r="A10724" i="1"/>
  <c r="D10723" i="1"/>
  <c r="A10723" i="1"/>
  <c r="E10722" i="1"/>
  <c r="D10722" i="1"/>
  <c r="A10722" i="1"/>
  <c r="E10721" i="1"/>
  <c r="D10721" i="1"/>
  <c r="A10721" i="1"/>
  <c r="D10720" i="1"/>
  <c r="A10720" i="1"/>
  <c r="D10719" i="1"/>
  <c r="A10719" i="1"/>
  <c r="D10718" i="1"/>
  <c r="A10718" i="1"/>
  <c r="D10717" i="1"/>
  <c r="A10717" i="1"/>
  <c r="D10716" i="1"/>
  <c r="A10716" i="1"/>
  <c r="D10715" i="1"/>
  <c r="A10715" i="1"/>
  <c r="D10714" i="1"/>
  <c r="A10714" i="1"/>
  <c r="D10713" i="1"/>
  <c r="A10713" i="1"/>
  <c r="D10712" i="1"/>
  <c r="A10712" i="1"/>
  <c r="E10711" i="1"/>
  <c r="D10711" i="1"/>
  <c r="A10711" i="1"/>
  <c r="D10710" i="1"/>
  <c r="A10710" i="1"/>
  <c r="E10709" i="1"/>
  <c r="D10709" i="1"/>
  <c r="A10709" i="1"/>
  <c r="D10708" i="1"/>
  <c r="A10708" i="1"/>
  <c r="D10707" i="1"/>
  <c r="A10707" i="1"/>
  <c r="D10706" i="1"/>
  <c r="A10706" i="1"/>
  <c r="D10705" i="1"/>
  <c r="A10705" i="1"/>
  <c r="D10704" i="1"/>
  <c r="A10704" i="1"/>
  <c r="D10703" i="1"/>
  <c r="A10703" i="1"/>
  <c r="E10702" i="1"/>
  <c r="D10702" i="1"/>
  <c r="A10702" i="1"/>
  <c r="D10701" i="1"/>
  <c r="A10701" i="1"/>
  <c r="D10700" i="1"/>
  <c r="A10700" i="1"/>
  <c r="D10699" i="1"/>
  <c r="A10699" i="1"/>
  <c r="D10698" i="1"/>
  <c r="A10698" i="1"/>
  <c r="D10697" i="1"/>
  <c r="A10697" i="1"/>
  <c r="D10696" i="1"/>
  <c r="A10696" i="1"/>
  <c r="D10695" i="1"/>
  <c r="A10695" i="1"/>
  <c r="D10694" i="1"/>
  <c r="A10694" i="1"/>
  <c r="E10693" i="1"/>
  <c r="D10693" i="1"/>
  <c r="A10693" i="1"/>
  <c r="D10692" i="1"/>
  <c r="A10692" i="1"/>
  <c r="D10691" i="1"/>
  <c r="A10691" i="1"/>
  <c r="D10690" i="1"/>
  <c r="A10690" i="1"/>
  <c r="D10689" i="1"/>
  <c r="A10689" i="1"/>
  <c r="D10688" i="1"/>
  <c r="A10688" i="1"/>
  <c r="D10687" i="1"/>
  <c r="A10687" i="1"/>
  <c r="E10686" i="1"/>
  <c r="D10686" i="1"/>
  <c r="A10686" i="1"/>
  <c r="D10685" i="1"/>
  <c r="A10685" i="1"/>
  <c r="E10684" i="1"/>
  <c r="D10684" i="1"/>
  <c r="A10684" i="1"/>
  <c r="E10683" i="1"/>
  <c r="D10683" i="1"/>
  <c r="A10683" i="1"/>
  <c r="E10682" i="1"/>
  <c r="D10682" i="1"/>
  <c r="A10682" i="1"/>
  <c r="D10681" i="1"/>
  <c r="A10681" i="1"/>
  <c r="E10680" i="1"/>
  <c r="D10680" i="1"/>
  <c r="A10680" i="1"/>
  <c r="D10679" i="1"/>
  <c r="A10679" i="1"/>
  <c r="D10678" i="1"/>
  <c r="A10678" i="1"/>
  <c r="D10677" i="1"/>
  <c r="A10677" i="1"/>
  <c r="D10676" i="1"/>
  <c r="A10676" i="1"/>
  <c r="D10675" i="1"/>
  <c r="A10675" i="1"/>
  <c r="E10674" i="1"/>
  <c r="D10674" i="1"/>
  <c r="A10674" i="1"/>
  <c r="D10673" i="1"/>
  <c r="A10673" i="1"/>
  <c r="D10672" i="1"/>
  <c r="A10672" i="1"/>
  <c r="D10671" i="1"/>
  <c r="A10671" i="1"/>
  <c r="D10670" i="1"/>
  <c r="A10670" i="1"/>
  <c r="D10669" i="1"/>
  <c r="A10669" i="1"/>
  <c r="D10668" i="1"/>
  <c r="A10668" i="1"/>
  <c r="D10667" i="1"/>
  <c r="A10667" i="1"/>
  <c r="D10666" i="1"/>
  <c r="A10666" i="1"/>
  <c r="D10665" i="1"/>
  <c r="A10665" i="1"/>
  <c r="D10664" i="1"/>
  <c r="A10664" i="1"/>
  <c r="E10663" i="1"/>
  <c r="D10663" i="1"/>
  <c r="A10663" i="1"/>
  <c r="D10662" i="1"/>
  <c r="A10662" i="1"/>
  <c r="D10661" i="1"/>
  <c r="A10661" i="1"/>
  <c r="D10660" i="1"/>
  <c r="A10660" i="1"/>
  <c r="E10659" i="1"/>
  <c r="D10659" i="1"/>
  <c r="A10659" i="1"/>
  <c r="D10658" i="1"/>
  <c r="A10658" i="1"/>
  <c r="E10657" i="1"/>
  <c r="D10657" i="1"/>
  <c r="A10657" i="1"/>
  <c r="E10656" i="1"/>
  <c r="D10656" i="1"/>
  <c r="A10656" i="1"/>
  <c r="D10655" i="1"/>
  <c r="A10655" i="1"/>
  <c r="D10654" i="1"/>
  <c r="A10654" i="1"/>
  <c r="D10653" i="1"/>
  <c r="A10653" i="1"/>
  <c r="D10652" i="1"/>
  <c r="A10652" i="1"/>
  <c r="D10651" i="1"/>
  <c r="A10651" i="1"/>
  <c r="D10650" i="1"/>
  <c r="A10650" i="1"/>
  <c r="D10649" i="1"/>
  <c r="A10649" i="1"/>
  <c r="D10648" i="1"/>
  <c r="A10648" i="1"/>
  <c r="D10647" i="1"/>
  <c r="A10647" i="1"/>
  <c r="D10646" i="1"/>
  <c r="A10646" i="1"/>
  <c r="D10645" i="1"/>
  <c r="A10645" i="1"/>
  <c r="D10644" i="1"/>
  <c r="A10644" i="1"/>
  <c r="D10643" i="1"/>
  <c r="A10643" i="1"/>
  <c r="D10642" i="1"/>
  <c r="A10642" i="1"/>
  <c r="D10641" i="1"/>
  <c r="A10641" i="1"/>
  <c r="D10640" i="1"/>
  <c r="A10640" i="1"/>
  <c r="D10639" i="1"/>
  <c r="A10639" i="1"/>
  <c r="D10638" i="1"/>
  <c r="A10638" i="1"/>
  <c r="D10637" i="1"/>
  <c r="A10637" i="1"/>
  <c r="D10636" i="1"/>
  <c r="A10636" i="1"/>
  <c r="D10635" i="1"/>
  <c r="A10635" i="1"/>
  <c r="D10634" i="1"/>
  <c r="A10634" i="1"/>
  <c r="D10633" i="1"/>
  <c r="A10633" i="1"/>
  <c r="D10632" i="1"/>
  <c r="A10632" i="1"/>
  <c r="D10631" i="1"/>
  <c r="A10631" i="1"/>
  <c r="D10630" i="1"/>
  <c r="A10630" i="1"/>
  <c r="E10629" i="1"/>
  <c r="D10629" i="1"/>
  <c r="A10629" i="1"/>
  <c r="D10628" i="1"/>
  <c r="A10628" i="1"/>
  <c r="D10627" i="1"/>
  <c r="A10627" i="1"/>
  <c r="D10626" i="1"/>
  <c r="A10626" i="1"/>
  <c r="D10625" i="1"/>
  <c r="A10625" i="1"/>
  <c r="E10624" i="1"/>
  <c r="D10624" i="1"/>
  <c r="A10624" i="1"/>
  <c r="E10623" i="1"/>
  <c r="D10623" i="1"/>
  <c r="A10623" i="1"/>
  <c r="D10622" i="1"/>
  <c r="A10622" i="1"/>
  <c r="E10621" i="1"/>
  <c r="D10621" i="1"/>
  <c r="A10621" i="1"/>
  <c r="D10620" i="1"/>
  <c r="A10620" i="1"/>
  <c r="D10619" i="1"/>
  <c r="A10619" i="1"/>
  <c r="E10618" i="1"/>
  <c r="D10618" i="1"/>
  <c r="A10618" i="1"/>
  <c r="E10617" i="1"/>
  <c r="D10617" i="1"/>
  <c r="A10617" i="1"/>
  <c r="D10616" i="1"/>
  <c r="A10616" i="1"/>
  <c r="D10615" i="1"/>
  <c r="A10615" i="1"/>
  <c r="E10614" i="1"/>
  <c r="D10614" i="1"/>
  <c r="A10614" i="1"/>
  <c r="D10613" i="1"/>
  <c r="A10613" i="1"/>
  <c r="D10612" i="1"/>
  <c r="A10612" i="1"/>
  <c r="D10611" i="1"/>
  <c r="A10611" i="1"/>
  <c r="D10610" i="1"/>
  <c r="A10610" i="1"/>
  <c r="D10609" i="1"/>
  <c r="A10609" i="1"/>
  <c r="D10608" i="1"/>
  <c r="A10608" i="1"/>
  <c r="D10607" i="1"/>
  <c r="A10607" i="1"/>
  <c r="D10606" i="1"/>
  <c r="A10606" i="1"/>
  <c r="D10605" i="1"/>
  <c r="A10605" i="1"/>
  <c r="D10604" i="1"/>
  <c r="A10604" i="1"/>
  <c r="D10603" i="1"/>
  <c r="A10603" i="1"/>
  <c r="D10602" i="1"/>
  <c r="A10602" i="1"/>
  <c r="D10601" i="1"/>
  <c r="A10601" i="1"/>
  <c r="D10600" i="1"/>
  <c r="A10600" i="1"/>
  <c r="D10599" i="1"/>
  <c r="A10599" i="1"/>
  <c r="D10598" i="1"/>
  <c r="A10598" i="1"/>
  <c r="D10597" i="1"/>
  <c r="A10597" i="1"/>
  <c r="D10596" i="1"/>
  <c r="A10596" i="1"/>
  <c r="D10595" i="1"/>
  <c r="A10595" i="1"/>
  <c r="D10594" i="1"/>
  <c r="A10594" i="1"/>
  <c r="E10593" i="1"/>
  <c r="D10593" i="1"/>
  <c r="A10593" i="1"/>
  <c r="D10592" i="1"/>
  <c r="A10592" i="1"/>
  <c r="E10591" i="1"/>
  <c r="D10591" i="1"/>
  <c r="A10591" i="1"/>
  <c r="E10590" i="1"/>
  <c r="D10590" i="1"/>
  <c r="A10590" i="1"/>
  <c r="D10589" i="1"/>
  <c r="A10589" i="1"/>
  <c r="D10588" i="1"/>
  <c r="A10588" i="1"/>
  <c r="D10587" i="1"/>
  <c r="A10587" i="1"/>
  <c r="D10586" i="1"/>
  <c r="A10586" i="1"/>
  <c r="D10585" i="1"/>
  <c r="A10585" i="1"/>
  <c r="E10584" i="1"/>
  <c r="D10584" i="1"/>
  <c r="A10584" i="1"/>
  <c r="D10583" i="1"/>
  <c r="A10583" i="1"/>
  <c r="D10582" i="1"/>
  <c r="A10582" i="1"/>
  <c r="D10581" i="1"/>
  <c r="A10581" i="1"/>
  <c r="D10580" i="1"/>
  <c r="A10580" i="1"/>
  <c r="D10579" i="1"/>
  <c r="A10579" i="1"/>
  <c r="D10578" i="1"/>
  <c r="A10578" i="1"/>
  <c r="D10577" i="1"/>
  <c r="A10577" i="1"/>
  <c r="D10576" i="1"/>
  <c r="A10576" i="1"/>
  <c r="E10575" i="1"/>
  <c r="D10575" i="1"/>
  <c r="A10575" i="1"/>
  <c r="E10574" i="1"/>
  <c r="D10574" i="1"/>
  <c r="A10574" i="1"/>
  <c r="D10573" i="1"/>
  <c r="A10573" i="1"/>
  <c r="D10572" i="1"/>
  <c r="A10572" i="1"/>
  <c r="D10571" i="1"/>
  <c r="A10571" i="1"/>
  <c r="D10570" i="1"/>
  <c r="A10570" i="1"/>
  <c r="D10569" i="1"/>
  <c r="A10569" i="1"/>
  <c r="D10568" i="1"/>
  <c r="A10568" i="1"/>
  <c r="D10567" i="1"/>
  <c r="A10567" i="1"/>
  <c r="D10566" i="1"/>
  <c r="A10566" i="1"/>
  <c r="D10565" i="1"/>
  <c r="A10565" i="1"/>
  <c r="D10564" i="1"/>
  <c r="A10564" i="1"/>
  <c r="D10563" i="1"/>
  <c r="A10563" i="1"/>
  <c r="D10562" i="1"/>
  <c r="A10562" i="1"/>
  <c r="D10561" i="1"/>
  <c r="A10561" i="1"/>
  <c r="D10560" i="1"/>
  <c r="A10560" i="1"/>
  <c r="D10559" i="1"/>
  <c r="A10559" i="1"/>
  <c r="D10558" i="1"/>
  <c r="A10558" i="1"/>
  <c r="D10557" i="1"/>
  <c r="A10557" i="1"/>
  <c r="D10556" i="1"/>
  <c r="A10556" i="1"/>
  <c r="D10555" i="1"/>
  <c r="A10555" i="1"/>
  <c r="D10554" i="1"/>
  <c r="A10554" i="1"/>
  <c r="D10553" i="1"/>
  <c r="A10553" i="1"/>
  <c r="D10552" i="1"/>
  <c r="A10552" i="1"/>
  <c r="D10551" i="1"/>
  <c r="A10551" i="1"/>
  <c r="D10550" i="1"/>
  <c r="A10550" i="1"/>
  <c r="D10549" i="1"/>
  <c r="A10549" i="1"/>
  <c r="D10548" i="1"/>
  <c r="A10548" i="1"/>
  <c r="D10547" i="1"/>
  <c r="A10547" i="1"/>
  <c r="D10546" i="1"/>
  <c r="A10546" i="1"/>
  <c r="D10545" i="1"/>
  <c r="A10545" i="1"/>
  <c r="D10544" i="1"/>
  <c r="A10544" i="1"/>
  <c r="E10543" i="1"/>
  <c r="D10543" i="1"/>
  <c r="A10543" i="1"/>
  <c r="D10542" i="1"/>
  <c r="A10542" i="1"/>
  <c r="D10541" i="1"/>
  <c r="A10541" i="1"/>
  <c r="D10540" i="1"/>
  <c r="A10540" i="1"/>
  <c r="D10539" i="1"/>
  <c r="A10539" i="1"/>
  <c r="D10538" i="1"/>
  <c r="A10538" i="1"/>
  <c r="D10537" i="1"/>
  <c r="A10537" i="1"/>
  <c r="D10536" i="1"/>
  <c r="A10536" i="1"/>
  <c r="D10535" i="1"/>
  <c r="A10535" i="1"/>
  <c r="D10534" i="1"/>
  <c r="A10534" i="1"/>
  <c r="D10533" i="1"/>
  <c r="A10533" i="1"/>
  <c r="D10532" i="1"/>
  <c r="A10532" i="1"/>
  <c r="D10531" i="1"/>
  <c r="A10531" i="1"/>
  <c r="D10530" i="1"/>
  <c r="A10530" i="1"/>
  <c r="D10529" i="1"/>
  <c r="A10529" i="1"/>
  <c r="D10528" i="1"/>
  <c r="A10528" i="1"/>
  <c r="D10527" i="1"/>
  <c r="A10527" i="1"/>
  <c r="D10526" i="1"/>
  <c r="A10526" i="1"/>
  <c r="E10525" i="1"/>
  <c r="D10525" i="1"/>
  <c r="A10525" i="1"/>
  <c r="E10524" i="1"/>
  <c r="D10524" i="1"/>
  <c r="A10524" i="1"/>
  <c r="D10523" i="1"/>
  <c r="A10523" i="1"/>
  <c r="D10522" i="1"/>
  <c r="A10522" i="1"/>
  <c r="D10521" i="1"/>
  <c r="A10521" i="1"/>
  <c r="D10520" i="1"/>
  <c r="A10520" i="1"/>
  <c r="E10519" i="1"/>
  <c r="D10519" i="1"/>
  <c r="A10519" i="1"/>
  <c r="D10518" i="1"/>
  <c r="A10518" i="1"/>
  <c r="D10517" i="1"/>
  <c r="A10517" i="1"/>
  <c r="D10516" i="1"/>
  <c r="A10516" i="1"/>
  <c r="D10515" i="1"/>
  <c r="A10515" i="1"/>
  <c r="D10514" i="1"/>
  <c r="A10514" i="1"/>
  <c r="E10513" i="1"/>
  <c r="D10513" i="1"/>
  <c r="A10513" i="1"/>
  <c r="D10512" i="1"/>
  <c r="A10512" i="1"/>
  <c r="D10511" i="1"/>
  <c r="A10511" i="1"/>
  <c r="D10510" i="1"/>
  <c r="A10510" i="1"/>
  <c r="E10509" i="1"/>
  <c r="D10509" i="1"/>
  <c r="A10509" i="1"/>
  <c r="E10508" i="1"/>
  <c r="D10508" i="1"/>
  <c r="A10508" i="1"/>
  <c r="D10507" i="1"/>
  <c r="A10507" i="1"/>
  <c r="D10506" i="1"/>
  <c r="A10506" i="1"/>
  <c r="D10505" i="1"/>
  <c r="A10505" i="1"/>
  <c r="D10504" i="1"/>
  <c r="A10504" i="1"/>
  <c r="D10503" i="1"/>
  <c r="A10503" i="1"/>
  <c r="E10502" i="1"/>
  <c r="D10502" i="1"/>
  <c r="A10502" i="1"/>
  <c r="D10501" i="1"/>
  <c r="A10501" i="1"/>
  <c r="D10500" i="1"/>
  <c r="A10500" i="1"/>
  <c r="D10499" i="1"/>
  <c r="A10499" i="1"/>
  <c r="D10498" i="1"/>
  <c r="A10498" i="1"/>
  <c r="D10497" i="1"/>
  <c r="A10497" i="1"/>
  <c r="D10496" i="1"/>
  <c r="A10496" i="1"/>
  <c r="D10495" i="1"/>
  <c r="A10495" i="1"/>
  <c r="D10494" i="1"/>
  <c r="A10494" i="1"/>
  <c r="D10493" i="1"/>
  <c r="A10493" i="1"/>
  <c r="D10492" i="1"/>
  <c r="A10492" i="1"/>
  <c r="D10491" i="1"/>
  <c r="A10491" i="1"/>
  <c r="D10490" i="1"/>
  <c r="A10490" i="1"/>
  <c r="D10489" i="1"/>
  <c r="A10489" i="1"/>
  <c r="D10488" i="1"/>
  <c r="A10488" i="1"/>
  <c r="D10487" i="1"/>
  <c r="A10487" i="1"/>
  <c r="D10486" i="1"/>
  <c r="A10486" i="1"/>
  <c r="D10485" i="1"/>
  <c r="A10485" i="1"/>
  <c r="D10484" i="1"/>
  <c r="A10484" i="1"/>
  <c r="D10483" i="1"/>
  <c r="A10483" i="1"/>
  <c r="D10482" i="1"/>
  <c r="A10482" i="1"/>
  <c r="D10481" i="1"/>
  <c r="A10481" i="1"/>
  <c r="D10480" i="1"/>
  <c r="A10480" i="1"/>
  <c r="D10479" i="1"/>
  <c r="A10479" i="1"/>
  <c r="D10478" i="1"/>
  <c r="A10478" i="1"/>
  <c r="D10477" i="1"/>
  <c r="A10477" i="1"/>
  <c r="D10476" i="1"/>
  <c r="A10476" i="1"/>
  <c r="D10475" i="1"/>
  <c r="A10475" i="1"/>
  <c r="D10474" i="1"/>
  <c r="A10474" i="1"/>
  <c r="E10473" i="1"/>
  <c r="D10473" i="1"/>
  <c r="A10473" i="1"/>
  <c r="E10472" i="1"/>
  <c r="D10472" i="1"/>
  <c r="A10472" i="1"/>
  <c r="E10471" i="1"/>
  <c r="D10471" i="1"/>
  <c r="A10471" i="1"/>
  <c r="D10470" i="1"/>
  <c r="A10470" i="1"/>
  <c r="D10469" i="1"/>
  <c r="A10469" i="1"/>
  <c r="D10468" i="1"/>
  <c r="A10468" i="1"/>
  <c r="D10467" i="1"/>
  <c r="A10467" i="1"/>
  <c r="D10466" i="1"/>
  <c r="A10466" i="1"/>
  <c r="E10465" i="1"/>
  <c r="D10465" i="1"/>
  <c r="A10465" i="1"/>
  <c r="E10464" i="1"/>
  <c r="D10464" i="1"/>
  <c r="A10464" i="1"/>
  <c r="D10463" i="1"/>
  <c r="A10463" i="1"/>
  <c r="D10462" i="1"/>
  <c r="A10462" i="1"/>
  <c r="D10461" i="1"/>
  <c r="A10461" i="1"/>
  <c r="D10460" i="1"/>
  <c r="A10460" i="1"/>
  <c r="D10459" i="1"/>
  <c r="A10459" i="1"/>
  <c r="D10458" i="1"/>
  <c r="A10458" i="1"/>
  <c r="D10457" i="1"/>
  <c r="A10457" i="1"/>
  <c r="D10456" i="1"/>
  <c r="A10456" i="1"/>
  <c r="D10455" i="1"/>
  <c r="A10455" i="1"/>
  <c r="D10454" i="1"/>
  <c r="A10454" i="1"/>
  <c r="E10453" i="1"/>
  <c r="D10453" i="1"/>
  <c r="A10453" i="1"/>
  <c r="D10452" i="1"/>
  <c r="A10452" i="1"/>
  <c r="E10451" i="1"/>
  <c r="D10451" i="1"/>
  <c r="A10451" i="1"/>
  <c r="D10450" i="1"/>
  <c r="A10450" i="1"/>
  <c r="D10449" i="1"/>
  <c r="A10449" i="1"/>
  <c r="E10448" i="1"/>
  <c r="D10448" i="1"/>
  <c r="A10448" i="1"/>
  <c r="E10447" i="1"/>
  <c r="D10447" i="1"/>
  <c r="A10447" i="1"/>
  <c r="D10446" i="1"/>
  <c r="A10446" i="1"/>
  <c r="E10445" i="1"/>
  <c r="D10445" i="1"/>
  <c r="A10445" i="1"/>
  <c r="D10444" i="1"/>
  <c r="A10444" i="1"/>
  <c r="D10443" i="1"/>
  <c r="A10443" i="1"/>
  <c r="D10442" i="1"/>
  <c r="A10442" i="1"/>
  <c r="D10441" i="1"/>
  <c r="A10441" i="1"/>
  <c r="D10440" i="1"/>
  <c r="A10440" i="1"/>
  <c r="D10439" i="1"/>
  <c r="A10439" i="1"/>
  <c r="E10438" i="1"/>
  <c r="D10438" i="1"/>
  <c r="A10438" i="1"/>
  <c r="D10437" i="1"/>
  <c r="A10437" i="1"/>
  <c r="D10436" i="1"/>
  <c r="A10436" i="1"/>
  <c r="D10435" i="1"/>
  <c r="A10435" i="1"/>
  <c r="E10434" i="1"/>
  <c r="D10434" i="1"/>
  <c r="A10434" i="1"/>
  <c r="E10433" i="1"/>
  <c r="D10433" i="1"/>
  <c r="A10433" i="1"/>
  <c r="E10432" i="1"/>
  <c r="D10432" i="1"/>
  <c r="A10432" i="1"/>
  <c r="D10431" i="1"/>
  <c r="A10431" i="1"/>
  <c r="D10430" i="1"/>
  <c r="A10430" i="1"/>
  <c r="D10429" i="1"/>
  <c r="A10429" i="1"/>
  <c r="D10428" i="1"/>
  <c r="A10428" i="1"/>
  <c r="D10427" i="1"/>
  <c r="A10427" i="1"/>
  <c r="E10426" i="1"/>
  <c r="D10426" i="1"/>
  <c r="A10426" i="1"/>
  <c r="D10425" i="1"/>
  <c r="A10425" i="1"/>
  <c r="E10424" i="1"/>
  <c r="D10424" i="1"/>
  <c r="A10424" i="1"/>
  <c r="D10423" i="1"/>
  <c r="A10423" i="1"/>
  <c r="D10422" i="1"/>
  <c r="A10422" i="1"/>
  <c r="D10421" i="1"/>
  <c r="A10421" i="1"/>
  <c r="D10420" i="1"/>
  <c r="A10420" i="1"/>
  <c r="E10419" i="1"/>
  <c r="D10419" i="1"/>
  <c r="A10419" i="1"/>
  <c r="D10418" i="1"/>
  <c r="A10418" i="1"/>
  <c r="D10417" i="1"/>
  <c r="A10417" i="1"/>
  <c r="D10416" i="1"/>
  <c r="A10416" i="1"/>
  <c r="D10415" i="1"/>
  <c r="A10415" i="1"/>
  <c r="D10414" i="1"/>
  <c r="A10414" i="1"/>
  <c r="D10413" i="1"/>
  <c r="A10413" i="1"/>
  <c r="D10412" i="1"/>
  <c r="A10412" i="1"/>
  <c r="E10411" i="1"/>
  <c r="D10411" i="1"/>
  <c r="A10411" i="1"/>
  <c r="D10410" i="1"/>
  <c r="A10410" i="1"/>
  <c r="D10409" i="1"/>
  <c r="A10409" i="1"/>
  <c r="D10408" i="1"/>
  <c r="A10408" i="1"/>
  <c r="D10407" i="1"/>
  <c r="A10407" i="1"/>
  <c r="D10406" i="1"/>
  <c r="A10406" i="1"/>
  <c r="E10405" i="1"/>
  <c r="D10405" i="1"/>
  <c r="A10405" i="1"/>
  <c r="D10404" i="1"/>
  <c r="A10404" i="1"/>
  <c r="D10403" i="1"/>
  <c r="A10403" i="1"/>
  <c r="D10402" i="1"/>
  <c r="A10402" i="1"/>
  <c r="D10401" i="1"/>
  <c r="A10401" i="1"/>
  <c r="D10400" i="1"/>
  <c r="A10400" i="1"/>
  <c r="D10399" i="1"/>
  <c r="A10399" i="1"/>
  <c r="D10398" i="1"/>
  <c r="A10398" i="1"/>
  <c r="E10397" i="1"/>
  <c r="D10397" i="1"/>
  <c r="A10397" i="1"/>
  <c r="D10396" i="1"/>
  <c r="A10396" i="1"/>
  <c r="D10395" i="1"/>
  <c r="A10395" i="1"/>
  <c r="D10394" i="1"/>
  <c r="A10394" i="1"/>
  <c r="E10393" i="1"/>
  <c r="D10393" i="1"/>
  <c r="A10393" i="1"/>
  <c r="E10392" i="1"/>
  <c r="D10392" i="1"/>
  <c r="A10392" i="1"/>
  <c r="E10391" i="1"/>
  <c r="D10391" i="1"/>
  <c r="A10391" i="1"/>
  <c r="D10390" i="1"/>
  <c r="A10390" i="1"/>
  <c r="D10389" i="1"/>
  <c r="A10389" i="1"/>
  <c r="D10388" i="1"/>
  <c r="A10388" i="1"/>
  <c r="D10387" i="1"/>
  <c r="A10387" i="1"/>
  <c r="D10386" i="1"/>
  <c r="A10386" i="1"/>
  <c r="D10385" i="1"/>
  <c r="A10385" i="1"/>
  <c r="D10384" i="1"/>
  <c r="A10384" i="1"/>
  <c r="E10383" i="1"/>
  <c r="D10383" i="1"/>
  <c r="A10383" i="1"/>
  <c r="D10382" i="1"/>
  <c r="A10382" i="1"/>
  <c r="E10381" i="1"/>
  <c r="D10381" i="1"/>
  <c r="A10381" i="1"/>
  <c r="D10380" i="1"/>
  <c r="A10380" i="1"/>
  <c r="D10379" i="1"/>
  <c r="A10379" i="1"/>
  <c r="D10378" i="1"/>
  <c r="A10378" i="1"/>
  <c r="D10377" i="1"/>
  <c r="A10377" i="1"/>
  <c r="D10376" i="1"/>
  <c r="A10376" i="1"/>
  <c r="E10375" i="1"/>
  <c r="D10375" i="1"/>
  <c r="A10375" i="1"/>
  <c r="E10374" i="1"/>
  <c r="D10374" i="1"/>
  <c r="A10374" i="1"/>
  <c r="D10373" i="1"/>
  <c r="A10373" i="1"/>
  <c r="D10372" i="1"/>
  <c r="A10372" i="1"/>
  <c r="D10371" i="1"/>
  <c r="A10371" i="1"/>
  <c r="E10370" i="1"/>
  <c r="D10370" i="1"/>
  <c r="A10370" i="1"/>
  <c r="D10369" i="1"/>
  <c r="A10369" i="1"/>
  <c r="D10368" i="1"/>
  <c r="A10368" i="1"/>
  <c r="D10367" i="1"/>
  <c r="A10367" i="1"/>
  <c r="D10366" i="1"/>
  <c r="A10366" i="1"/>
  <c r="D10365" i="1"/>
  <c r="A10365" i="1"/>
  <c r="E10364" i="1"/>
  <c r="D10364" i="1"/>
  <c r="A10364" i="1"/>
  <c r="D10363" i="1"/>
  <c r="A10363" i="1"/>
  <c r="D10362" i="1"/>
  <c r="A10362" i="1"/>
  <c r="D10361" i="1"/>
  <c r="A10361" i="1"/>
  <c r="D10360" i="1"/>
  <c r="A10360" i="1"/>
  <c r="E10359" i="1"/>
  <c r="D10359" i="1"/>
  <c r="A10359" i="1"/>
  <c r="D10358" i="1"/>
  <c r="A10358" i="1"/>
  <c r="D10357" i="1"/>
  <c r="A10357" i="1"/>
  <c r="D10356" i="1"/>
  <c r="A10356" i="1"/>
  <c r="D10355" i="1"/>
  <c r="A10355" i="1"/>
  <c r="D10354" i="1"/>
  <c r="A10354" i="1"/>
  <c r="E10353" i="1"/>
  <c r="D10353" i="1"/>
  <c r="A10353" i="1"/>
  <c r="E10352" i="1"/>
  <c r="D10352" i="1"/>
  <c r="A10352" i="1"/>
  <c r="D10351" i="1"/>
  <c r="A10351" i="1"/>
  <c r="D10350" i="1"/>
  <c r="A10350" i="1"/>
  <c r="D10349" i="1"/>
  <c r="A10349" i="1"/>
  <c r="D10348" i="1"/>
  <c r="A10348" i="1"/>
  <c r="D10347" i="1"/>
  <c r="A10347" i="1"/>
  <c r="D10346" i="1"/>
  <c r="A10346" i="1"/>
  <c r="D10345" i="1"/>
  <c r="A10345" i="1"/>
  <c r="E10344" i="1"/>
  <c r="D10344" i="1"/>
  <c r="A10344" i="1"/>
  <c r="E10343" i="1"/>
  <c r="D10343" i="1"/>
  <c r="A10343" i="1"/>
  <c r="D10342" i="1"/>
  <c r="A10342" i="1"/>
  <c r="D10341" i="1"/>
  <c r="A10341" i="1"/>
  <c r="D10340" i="1"/>
  <c r="A10340" i="1"/>
  <c r="D10339" i="1"/>
  <c r="A10339" i="1"/>
  <c r="E10338" i="1"/>
  <c r="D10338" i="1"/>
  <c r="A10338" i="1"/>
  <c r="D10337" i="1"/>
  <c r="A10337" i="1"/>
  <c r="D10336" i="1"/>
  <c r="A10336" i="1"/>
  <c r="D10335" i="1"/>
  <c r="A10335" i="1"/>
  <c r="D10334" i="1"/>
  <c r="A10334" i="1"/>
  <c r="D10333" i="1"/>
  <c r="A10333" i="1"/>
  <c r="E10332" i="1"/>
  <c r="D10332" i="1"/>
  <c r="A10332" i="1"/>
  <c r="E10331" i="1"/>
  <c r="D10331" i="1"/>
  <c r="A10331" i="1"/>
  <c r="D10330" i="1"/>
  <c r="A10330" i="1"/>
  <c r="D10329" i="1"/>
  <c r="A10329" i="1"/>
  <c r="D10328" i="1"/>
  <c r="A10328" i="1"/>
  <c r="E10327" i="1"/>
  <c r="D10327" i="1"/>
  <c r="A10327" i="1"/>
  <c r="D10326" i="1"/>
  <c r="A10326" i="1"/>
  <c r="D10325" i="1"/>
  <c r="A10325" i="1"/>
  <c r="D10324" i="1"/>
  <c r="A10324" i="1"/>
  <c r="D10323" i="1"/>
  <c r="A10323" i="1"/>
  <c r="D10322" i="1"/>
  <c r="A10322" i="1"/>
  <c r="D10321" i="1"/>
  <c r="A10321" i="1"/>
  <c r="D10320" i="1"/>
  <c r="A10320" i="1"/>
  <c r="D10319" i="1"/>
  <c r="A10319" i="1"/>
  <c r="D10318" i="1"/>
  <c r="A10318" i="1"/>
  <c r="E10317" i="1"/>
  <c r="D10317" i="1"/>
  <c r="A10317" i="1"/>
  <c r="E10316" i="1"/>
  <c r="D10316" i="1"/>
  <c r="A10316" i="1"/>
  <c r="D10315" i="1"/>
  <c r="A10315" i="1"/>
  <c r="D10314" i="1"/>
  <c r="A10314" i="1"/>
  <c r="D10313" i="1"/>
  <c r="A10313" i="1"/>
  <c r="D10312" i="1"/>
  <c r="A10312" i="1"/>
  <c r="D10311" i="1"/>
  <c r="A10311" i="1"/>
  <c r="E10310" i="1"/>
  <c r="D10310" i="1"/>
  <c r="A10310" i="1"/>
  <c r="D10309" i="1"/>
  <c r="A10309" i="1"/>
  <c r="D10308" i="1"/>
  <c r="A10308" i="1"/>
  <c r="E10307" i="1"/>
  <c r="D10307" i="1"/>
  <c r="A10307" i="1"/>
  <c r="D10306" i="1"/>
  <c r="A10306" i="1"/>
  <c r="D10305" i="1"/>
  <c r="A10305" i="1"/>
  <c r="D10304" i="1"/>
  <c r="A10304" i="1"/>
  <c r="D10303" i="1"/>
  <c r="A10303" i="1"/>
  <c r="D10302" i="1"/>
  <c r="A10302" i="1"/>
  <c r="D10301" i="1"/>
  <c r="A10301" i="1"/>
  <c r="D10300" i="1"/>
  <c r="A10300" i="1"/>
  <c r="E10299" i="1"/>
  <c r="D10299" i="1"/>
  <c r="A10299" i="1"/>
  <c r="E10298" i="1"/>
  <c r="D10298" i="1"/>
  <c r="A10298" i="1"/>
  <c r="D10297" i="1"/>
  <c r="A10297" i="1"/>
  <c r="D10296" i="1"/>
  <c r="A10296" i="1"/>
  <c r="D10295" i="1"/>
  <c r="A10295" i="1"/>
  <c r="E10294" i="1"/>
  <c r="D10294" i="1"/>
  <c r="A10294" i="1"/>
  <c r="D10293" i="1"/>
  <c r="A10293" i="1"/>
  <c r="D10292" i="1"/>
  <c r="A10292" i="1"/>
  <c r="D10291" i="1"/>
  <c r="A10291" i="1"/>
  <c r="D10290" i="1"/>
  <c r="A10290" i="1"/>
  <c r="D10289" i="1"/>
  <c r="A10289" i="1"/>
  <c r="D10288" i="1"/>
  <c r="A10288" i="1"/>
  <c r="E10287" i="1"/>
  <c r="D10287" i="1"/>
  <c r="A10287" i="1"/>
  <c r="D10286" i="1"/>
  <c r="A10286" i="1"/>
  <c r="E10285" i="1"/>
  <c r="D10285" i="1"/>
  <c r="A10285" i="1"/>
  <c r="D10284" i="1"/>
  <c r="A10284" i="1"/>
  <c r="D10283" i="1"/>
  <c r="A10283" i="1"/>
  <c r="E10282" i="1"/>
  <c r="D10282" i="1"/>
  <c r="A10282" i="1"/>
  <c r="E10281" i="1"/>
  <c r="D10281" i="1"/>
  <c r="A10281" i="1"/>
  <c r="E10280" i="1"/>
  <c r="D10280" i="1"/>
  <c r="A10280" i="1"/>
  <c r="D10279" i="1"/>
  <c r="A10279" i="1"/>
  <c r="E10278" i="1"/>
  <c r="D10278" i="1"/>
  <c r="A10278" i="1"/>
  <c r="D10277" i="1"/>
  <c r="A10277" i="1"/>
  <c r="D10276" i="1"/>
  <c r="A10276" i="1"/>
  <c r="E10275" i="1"/>
  <c r="D10275" i="1"/>
  <c r="A10275" i="1"/>
  <c r="E10274" i="1"/>
  <c r="D10274" i="1"/>
  <c r="A10274" i="1"/>
  <c r="E10273" i="1"/>
  <c r="D10273" i="1"/>
  <c r="A10273" i="1"/>
  <c r="D10272" i="1"/>
  <c r="A10272" i="1"/>
  <c r="E10271" i="1"/>
  <c r="D10271" i="1"/>
  <c r="A10271" i="1"/>
  <c r="D10270" i="1"/>
  <c r="A10270" i="1"/>
  <c r="D10269" i="1"/>
  <c r="A10269" i="1"/>
  <c r="D10268" i="1"/>
  <c r="A10268" i="1"/>
  <c r="D10267" i="1"/>
  <c r="A10267" i="1"/>
  <c r="D10266" i="1"/>
  <c r="A10266" i="1"/>
  <c r="D10265" i="1"/>
  <c r="A10265" i="1"/>
  <c r="D10264" i="1"/>
  <c r="A10264" i="1"/>
  <c r="D10263" i="1"/>
  <c r="A10263" i="1"/>
  <c r="D10262" i="1"/>
  <c r="A10262" i="1"/>
  <c r="D10261" i="1"/>
  <c r="A10261" i="1"/>
  <c r="D10260" i="1"/>
  <c r="A10260" i="1"/>
  <c r="E10259" i="1"/>
  <c r="D10259" i="1"/>
  <c r="A10259" i="1"/>
  <c r="D10258" i="1"/>
  <c r="A10258" i="1"/>
  <c r="D10257" i="1"/>
  <c r="A10257" i="1"/>
  <c r="D10256" i="1"/>
  <c r="A10256" i="1"/>
  <c r="E10255" i="1"/>
  <c r="D10255" i="1"/>
  <c r="A10255" i="1"/>
  <c r="E10254" i="1"/>
  <c r="D10254" i="1"/>
  <c r="A10254" i="1"/>
  <c r="D10253" i="1"/>
  <c r="A10253" i="1"/>
  <c r="D10252" i="1"/>
  <c r="A10252" i="1"/>
  <c r="E10251" i="1"/>
  <c r="D10251" i="1"/>
  <c r="A10251" i="1"/>
  <c r="D10250" i="1"/>
  <c r="A10250" i="1"/>
  <c r="D10249" i="1"/>
  <c r="A10249" i="1"/>
  <c r="D10248" i="1"/>
  <c r="A10248" i="1"/>
  <c r="D10247" i="1"/>
  <c r="A10247" i="1"/>
  <c r="D10246" i="1"/>
  <c r="A10246" i="1"/>
  <c r="D10245" i="1"/>
  <c r="A10245" i="1"/>
  <c r="D10244" i="1"/>
  <c r="A10244" i="1"/>
  <c r="D10243" i="1"/>
  <c r="A10243" i="1"/>
  <c r="D10242" i="1"/>
  <c r="A10242" i="1"/>
  <c r="D10241" i="1"/>
  <c r="A10241" i="1"/>
  <c r="D10240" i="1"/>
  <c r="A10240" i="1"/>
  <c r="D10239" i="1"/>
  <c r="A10239" i="1"/>
  <c r="D10238" i="1"/>
  <c r="A10238" i="1"/>
  <c r="D10237" i="1"/>
  <c r="A10237" i="1"/>
  <c r="D10236" i="1"/>
  <c r="A10236" i="1"/>
  <c r="D10235" i="1"/>
  <c r="A10235" i="1"/>
  <c r="D10234" i="1"/>
  <c r="A10234" i="1"/>
  <c r="D10233" i="1"/>
  <c r="A10233" i="1"/>
  <c r="D10232" i="1"/>
  <c r="A10232" i="1"/>
  <c r="D10231" i="1"/>
  <c r="A10231" i="1"/>
  <c r="D10230" i="1"/>
  <c r="A10230" i="1"/>
  <c r="D10229" i="1"/>
  <c r="A10229" i="1"/>
  <c r="D10228" i="1"/>
  <c r="A10228" i="1"/>
  <c r="D10227" i="1"/>
  <c r="A10227" i="1"/>
  <c r="D10226" i="1"/>
  <c r="A10226" i="1"/>
  <c r="D10225" i="1"/>
  <c r="A10225" i="1"/>
  <c r="D10224" i="1"/>
  <c r="A10224" i="1"/>
  <c r="D10223" i="1"/>
  <c r="A10223" i="1"/>
  <c r="D10222" i="1"/>
  <c r="A10222" i="1"/>
  <c r="D10221" i="1"/>
  <c r="A10221" i="1"/>
  <c r="D10220" i="1"/>
  <c r="A10220" i="1"/>
  <c r="D10219" i="1"/>
  <c r="A10219" i="1"/>
  <c r="D10218" i="1"/>
  <c r="A10218" i="1"/>
  <c r="D10217" i="1"/>
  <c r="A10217" i="1"/>
  <c r="D10216" i="1"/>
  <c r="A10216" i="1"/>
  <c r="D10215" i="1"/>
  <c r="A10215" i="1"/>
  <c r="D10214" i="1"/>
  <c r="A10214" i="1"/>
  <c r="D10213" i="1"/>
  <c r="A10213" i="1"/>
  <c r="D10212" i="1"/>
  <c r="A10212" i="1"/>
  <c r="D10211" i="1"/>
  <c r="A10211" i="1"/>
  <c r="D10210" i="1"/>
  <c r="A10210" i="1"/>
  <c r="D10209" i="1"/>
  <c r="A10209" i="1"/>
  <c r="D10208" i="1"/>
  <c r="A10208" i="1"/>
  <c r="D10207" i="1"/>
  <c r="A10207" i="1"/>
  <c r="D10206" i="1"/>
  <c r="A10206" i="1"/>
  <c r="D10205" i="1"/>
  <c r="A10205" i="1"/>
  <c r="D10204" i="1"/>
  <c r="A10204" i="1"/>
  <c r="D10203" i="1"/>
  <c r="A10203" i="1"/>
  <c r="D10202" i="1"/>
  <c r="A10202" i="1"/>
  <c r="D10201" i="1"/>
  <c r="A10201" i="1"/>
  <c r="D10200" i="1"/>
  <c r="A10200" i="1"/>
  <c r="D10199" i="1"/>
  <c r="A10199" i="1"/>
  <c r="D10198" i="1"/>
  <c r="A10198" i="1"/>
  <c r="D10197" i="1"/>
  <c r="A10197" i="1"/>
  <c r="D10196" i="1"/>
  <c r="A10196" i="1"/>
  <c r="D10195" i="1"/>
  <c r="A10195" i="1"/>
  <c r="E10194" i="1"/>
  <c r="D10194" i="1"/>
  <c r="A10194" i="1"/>
  <c r="E10193" i="1"/>
  <c r="D10193" i="1"/>
  <c r="A10193" i="1"/>
  <c r="D10192" i="1"/>
  <c r="A10192" i="1"/>
  <c r="D10191" i="1"/>
  <c r="A10191" i="1"/>
  <c r="E10190" i="1"/>
  <c r="D10190" i="1"/>
  <c r="A10190" i="1"/>
  <c r="D10189" i="1"/>
  <c r="A10189" i="1"/>
  <c r="E10188" i="1"/>
  <c r="D10188" i="1"/>
  <c r="A10188" i="1"/>
  <c r="E10187" i="1"/>
  <c r="D10187" i="1"/>
  <c r="A10187" i="1"/>
  <c r="E10186" i="1"/>
  <c r="D10186" i="1"/>
  <c r="A10186" i="1"/>
  <c r="E10185" i="1"/>
  <c r="D10185" i="1"/>
  <c r="A10185" i="1"/>
  <c r="D10184" i="1"/>
  <c r="A10184" i="1"/>
  <c r="D10183" i="1"/>
  <c r="A10183" i="1"/>
  <c r="D10182" i="1"/>
  <c r="A10182" i="1"/>
  <c r="D10181" i="1"/>
  <c r="A10181" i="1"/>
  <c r="D10180" i="1"/>
  <c r="A10180" i="1"/>
  <c r="D10179" i="1"/>
  <c r="A10179" i="1"/>
  <c r="D10178" i="1"/>
  <c r="A10178" i="1"/>
  <c r="D10177" i="1"/>
  <c r="A10177" i="1"/>
  <c r="D10176" i="1"/>
  <c r="A10176" i="1"/>
  <c r="D10175" i="1"/>
  <c r="A10175" i="1"/>
  <c r="D10174" i="1"/>
  <c r="A10174" i="1"/>
  <c r="D10173" i="1"/>
  <c r="A10173" i="1"/>
  <c r="D10172" i="1"/>
  <c r="A10172" i="1"/>
  <c r="D10171" i="1"/>
  <c r="A10171" i="1"/>
  <c r="D10170" i="1"/>
  <c r="A10170" i="1"/>
  <c r="D10169" i="1"/>
  <c r="A10169" i="1"/>
  <c r="D10168" i="1"/>
  <c r="A10168" i="1"/>
  <c r="D10167" i="1"/>
  <c r="A10167" i="1"/>
  <c r="E10166" i="1"/>
  <c r="D10166" i="1"/>
  <c r="A10166" i="1"/>
  <c r="D10165" i="1"/>
  <c r="A10165" i="1"/>
  <c r="E10164" i="1"/>
  <c r="D10164" i="1"/>
  <c r="A10164" i="1"/>
  <c r="E10163" i="1"/>
  <c r="D10163" i="1"/>
  <c r="A10163" i="1"/>
  <c r="D10162" i="1"/>
  <c r="A10162" i="1"/>
  <c r="D10161" i="1"/>
  <c r="A10161" i="1"/>
  <c r="E10160" i="1"/>
  <c r="D10160" i="1"/>
  <c r="A10160" i="1"/>
  <c r="E10159" i="1"/>
  <c r="D10159" i="1"/>
  <c r="A10159" i="1"/>
  <c r="E10158" i="1"/>
  <c r="D10158" i="1"/>
  <c r="A10158" i="1"/>
  <c r="D10157" i="1"/>
  <c r="A10157" i="1"/>
  <c r="D10156" i="1"/>
  <c r="A10156" i="1"/>
  <c r="D10155" i="1"/>
  <c r="A10155" i="1"/>
  <c r="D10154" i="1"/>
  <c r="A10154" i="1"/>
  <c r="D10153" i="1"/>
  <c r="A10153" i="1"/>
  <c r="D10152" i="1"/>
  <c r="A10152" i="1"/>
  <c r="D10151" i="1"/>
  <c r="A10151" i="1"/>
  <c r="D10150" i="1"/>
  <c r="A10150" i="1"/>
  <c r="D10149" i="1"/>
  <c r="A10149" i="1"/>
  <c r="D10148" i="1"/>
  <c r="A10148" i="1"/>
  <c r="D10147" i="1"/>
  <c r="A10147" i="1"/>
  <c r="D10146" i="1"/>
  <c r="A10146" i="1"/>
  <c r="D10145" i="1"/>
  <c r="A10145" i="1"/>
  <c r="D10144" i="1"/>
  <c r="A10144" i="1"/>
  <c r="D10143" i="1"/>
  <c r="A10143" i="1"/>
  <c r="D10142" i="1"/>
  <c r="A10142" i="1"/>
  <c r="E10141" i="1"/>
  <c r="D10141" i="1"/>
  <c r="A10141" i="1"/>
  <c r="E10140" i="1"/>
  <c r="D10140" i="1"/>
  <c r="A10140" i="1"/>
  <c r="E10139" i="1"/>
  <c r="D10139" i="1"/>
  <c r="A10139" i="1"/>
  <c r="D10138" i="1"/>
  <c r="A10138" i="1"/>
  <c r="D10137" i="1"/>
  <c r="A10137" i="1"/>
  <c r="D10136" i="1"/>
  <c r="A10136" i="1"/>
  <c r="D10135" i="1"/>
  <c r="A10135" i="1"/>
  <c r="D10134" i="1"/>
  <c r="A10134" i="1"/>
  <c r="D10133" i="1"/>
  <c r="A10133" i="1"/>
  <c r="E10132" i="1"/>
  <c r="D10132" i="1"/>
  <c r="A10132" i="1"/>
  <c r="D10131" i="1"/>
  <c r="A10131" i="1"/>
  <c r="E10130" i="1"/>
  <c r="D10130" i="1"/>
  <c r="A10130" i="1"/>
  <c r="D10129" i="1"/>
  <c r="A10129" i="1"/>
  <c r="E10128" i="1"/>
  <c r="D10128" i="1"/>
  <c r="A10128" i="1"/>
  <c r="D10127" i="1"/>
  <c r="A10127" i="1"/>
  <c r="D10126" i="1"/>
  <c r="A10126" i="1"/>
  <c r="D10125" i="1"/>
  <c r="A10125" i="1"/>
  <c r="D10124" i="1"/>
  <c r="A10124" i="1"/>
  <c r="E10123" i="1"/>
  <c r="D10123" i="1"/>
  <c r="A10123" i="1"/>
  <c r="D10122" i="1"/>
  <c r="A10122" i="1"/>
  <c r="D10121" i="1"/>
  <c r="A10121" i="1"/>
  <c r="D10120" i="1"/>
  <c r="A10120" i="1"/>
  <c r="D10119" i="1"/>
  <c r="A10119" i="1"/>
  <c r="D10118" i="1"/>
  <c r="A10118" i="1"/>
  <c r="D10117" i="1"/>
  <c r="A10117" i="1"/>
  <c r="D10116" i="1"/>
  <c r="A10116" i="1"/>
  <c r="D10115" i="1"/>
  <c r="A10115" i="1"/>
  <c r="D10114" i="1"/>
  <c r="A10114" i="1"/>
  <c r="D10113" i="1"/>
  <c r="A10113" i="1"/>
  <c r="D10112" i="1"/>
  <c r="A10112" i="1"/>
  <c r="D10111" i="1"/>
  <c r="A10111" i="1"/>
  <c r="D10110" i="1"/>
  <c r="A10110" i="1"/>
  <c r="D10109" i="1"/>
  <c r="A10109" i="1"/>
  <c r="D10108" i="1"/>
  <c r="A10108" i="1"/>
  <c r="D10107" i="1"/>
  <c r="A10107" i="1"/>
  <c r="D10106" i="1"/>
  <c r="A10106" i="1"/>
  <c r="D10105" i="1"/>
  <c r="A10105" i="1"/>
  <c r="D10104" i="1"/>
  <c r="A10104" i="1"/>
  <c r="D10103" i="1"/>
  <c r="A10103" i="1"/>
  <c r="E10102" i="1"/>
  <c r="D10102" i="1"/>
  <c r="A10102" i="1"/>
  <c r="D10101" i="1"/>
  <c r="A10101" i="1"/>
  <c r="D10100" i="1"/>
  <c r="A10100" i="1"/>
  <c r="D10099" i="1"/>
  <c r="A10099" i="1"/>
  <c r="D10098" i="1"/>
  <c r="A10098" i="1"/>
  <c r="D10097" i="1"/>
  <c r="A10097" i="1"/>
  <c r="D10096" i="1"/>
  <c r="A10096" i="1"/>
  <c r="E10095" i="1"/>
  <c r="D10095" i="1"/>
  <c r="A10095" i="1"/>
  <c r="D10094" i="1"/>
  <c r="A10094" i="1"/>
  <c r="D10093" i="1"/>
  <c r="A10093" i="1"/>
  <c r="D10092" i="1"/>
  <c r="A10092" i="1"/>
  <c r="E10091" i="1"/>
  <c r="D10091" i="1"/>
  <c r="A10091" i="1"/>
  <c r="D10090" i="1"/>
  <c r="A10090" i="1"/>
  <c r="D10089" i="1"/>
  <c r="A10089" i="1"/>
  <c r="D10088" i="1"/>
  <c r="A10088" i="1"/>
  <c r="D10087" i="1"/>
  <c r="A10087" i="1"/>
  <c r="D10086" i="1"/>
  <c r="A10086" i="1"/>
  <c r="D10085" i="1"/>
  <c r="A10085" i="1"/>
  <c r="E10084" i="1"/>
  <c r="D10084" i="1"/>
  <c r="A10084" i="1"/>
  <c r="D10083" i="1"/>
  <c r="A10083" i="1"/>
  <c r="D10082" i="1"/>
  <c r="A10082" i="1"/>
  <c r="D10081" i="1"/>
  <c r="A10081" i="1"/>
  <c r="D10080" i="1"/>
  <c r="A10080" i="1"/>
  <c r="D10079" i="1"/>
  <c r="A10079" i="1"/>
  <c r="D10078" i="1"/>
  <c r="A10078" i="1"/>
  <c r="D10077" i="1"/>
  <c r="A10077" i="1"/>
  <c r="D10076" i="1"/>
  <c r="A10076" i="1"/>
  <c r="D10075" i="1"/>
  <c r="A10075" i="1"/>
  <c r="D10074" i="1"/>
  <c r="A10074" i="1"/>
  <c r="D10073" i="1"/>
  <c r="A10073" i="1"/>
  <c r="D10072" i="1"/>
  <c r="A10072" i="1"/>
  <c r="D10071" i="1"/>
  <c r="A10071" i="1"/>
  <c r="D10070" i="1"/>
  <c r="A10070" i="1"/>
  <c r="E10069" i="1"/>
  <c r="D10069" i="1"/>
  <c r="A10069" i="1"/>
  <c r="E10068" i="1"/>
  <c r="D10068" i="1"/>
  <c r="A10068" i="1"/>
  <c r="D10067" i="1"/>
  <c r="A10067" i="1"/>
  <c r="D10066" i="1"/>
  <c r="A10066" i="1"/>
  <c r="D10065" i="1"/>
  <c r="A10065" i="1"/>
  <c r="D10064" i="1"/>
  <c r="A10064" i="1"/>
  <c r="D10063" i="1"/>
  <c r="A10063" i="1"/>
  <c r="D10062" i="1"/>
  <c r="A10062" i="1"/>
  <c r="E10061" i="1"/>
  <c r="D10061" i="1"/>
  <c r="A10061" i="1"/>
  <c r="E10060" i="1"/>
  <c r="D10060" i="1"/>
  <c r="A10060" i="1"/>
  <c r="D10059" i="1"/>
  <c r="A10059" i="1"/>
  <c r="E10058" i="1"/>
  <c r="D10058" i="1"/>
  <c r="A10058" i="1"/>
  <c r="D10057" i="1"/>
  <c r="A10057" i="1"/>
  <c r="D10056" i="1"/>
  <c r="A10056" i="1"/>
  <c r="D10055" i="1"/>
  <c r="A10055" i="1"/>
  <c r="D10054" i="1"/>
  <c r="A10054" i="1"/>
  <c r="D10053" i="1"/>
  <c r="A10053" i="1"/>
  <c r="E10052" i="1"/>
  <c r="D10052" i="1"/>
  <c r="A10052" i="1"/>
  <c r="E10051" i="1"/>
  <c r="D10051" i="1"/>
  <c r="A10051" i="1"/>
  <c r="D10050" i="1"/>
  <c r="A10050" i="1"/>
  <c r="D10049" i="1"/>
  <c r="A10049" i="1"/>
  <c r="D10048" i="1"/>
  <c r="A10048" i="1"/>
  <c r="D10047" i="1"/>
  <c r="A10047" i="1"/>
  <c r="D10046" i="1"/>
  <c r="A10046" i="1"/>
  <c r="E10045" i="1"/>
  <c r="D10045" i="1"/>
  <c r="A10045" i="1"/>
  <c r="E10044" i="1"/>
  <c r="D10044" i="1"/>
  <c r="A10044" i="1"/>
  <c r="D10043" i="1"/>
  <c r="A10043" i="1"/>
  <c r="D10042" i="1"/>
  <c r="A10042" i="1"/>
  <c r="D10041" i="1"/>
  <c r="A10041" i="1"/>
  <c r="E10040" i="1"/>
  <c r="D10040" i="1"/>
  <c r="A10040" i="1"/>
  <c r="E10039" i="1"/>
  <c r="D10039" i="1"/>
  <c r="A10039" i="1"/>
  <c r="D10038" i="1"/>
  <c r="A10038" i="1"/>
  <c r="D10037" i="1"/>
  <c r="A10037" i="1"/>
  <c r="D10036" i="1"/>
  <c r="A10036" i="1"/>
  <c r="D10035" i="1"/>
  <c r="A10035" i="1"/>
  <c r="D10034" i="1"/>
  <c r="A10034" i="1"/>
  <c r="D10033" i="1"/>
  <c r="A10033" i="1"/>
  <c r="D10032" i="1"/>
  <c r="A10032" i="1"/>
  <c r="D10031" i="1"/>
  <c r="A10031" i="1"/>
  <c r="D10030" i="1"/>
  <c r="A10030" i="1"/>
  <c r="D10029" i="1"/>
  <c r="A10029" i="1"/>
  <c r="D10028" i="1"/>
  <c r="A10028" i="1"/>
  <c r="D10027" i="1"/>
  <c r="A10027" i="1"/>
  <c r="D10026" i="1"/>
  <c r="A10026" i="1"/>
  <c r="D10025" i="1"/>
  <c r="A10025" i="1"/>
  <c r="D10024" i="1"/>
  <c r="A10024" i="1"/>
  <c r="D10023" i="1"/>
  <c r="A10023" i="1"/>
  <c r="E10022" i="1"/>
  <c r="D10022" i="1"/>
  <c r="A10022" i="1"/>
  <c r="D10021" i="1"/>
  <c r="A10021" i="1"/>
  <c r="D10020" i="1"/>
  <c r="A10020" i="1"/>
  <c r="D10019" i="1"/>
  <c r="A10019" i="1"/>
  <c r="D10018" i="1"/>
  <c r="A10018" i="1"/>
  <c r="D10017" i="1"/>
  <c r="A10017" i="1"/>
  <c r="D10016" i="1"/>
  <c r="A10016" i="1"/>
  <c r="D10015" i="1"/>
  <c r="A10015" i="1"/>
  <c r="D10014" i="1"/>
  <c r="A10014" i="1"/>
  <c r="D10013" i="1"/>
  <c r="A10013" i="1"/>
  <c r="E10012" i="1"/>
  <c r="D10012" i="1"/>
  <c r="A10012" i="1"/>
  <c r="E10011" i="1"/>
  <c r="D10011" i="1"/>
  <c r="A10011" i="1"/>
  <c r="E10010" i="1"/>
  <c r="D10010" i="1"/>
  <c r="A10010" i="1"/>
  <c r="D10009" i="1"/>
  <c r="A10009" i="1"/>
  <c r="E10008" i="1"/>
  <c r="D10008" i="1"/>
  <c r="A10008" i="1"/>
  <c r="E10007" i="1"/>
  <c r="D10007" i="1"/>
  <c r="A10007" i="1"/>
  <c r="E10006" i="1"/>
  <c r="D10006" i="1"/>
  <c r="A10006" i="1"/>
  <c r="E10005" i="1"/>
  <c r="D10005" i="1"/>
  <c r="A10005" i="1"/>
  <c r="E10004" i="1"/>
  <c r="D10004" i="1"/>
  <c r="A10004" i="1"/>
  <c r="E10003" i="1"/>
  <c r="D10003" i="1"/>
  <c r="A10003" i="1"/>
  <c r="D10002" i="1"/>
  <c r="A10002" i="1"/>
  <c r="D10001" i="1"/>
  <c r="A10001" i="1"/>
  <c r="D10000" i="1"/>
  <c r="A10000" i="1"/>
  <c r="D9999" i="1"/>
  <c r="A9999" i="1"/>
  <c r="D9998" i="1"/>
  <c r="A9998" i="1"/>
  <c r="D9997" i="1"/>
  <c r="A9997" i="1"/>
  <c r="D9996" i="1"/>
  <c r="A9996" i="1"/>
  <c r="D9995" i="1"/>
  <c r="A9995" i="1"/>
  <c r="D9994" i="1"/>
  <c r="A9994" i="1"/>
  <c r="D9993" i="1"/>
  <c r="A9993" i="1"/>
  <c r="D9992" i="1"/>
  <c r="A9992" i="1"/>
  <c r="D9991" i="1"/>
  <c r="A9991" i="1"/>
  <c r="D9990" i="1"/>
  <c r="A9990" i="1"/>
  <c r="D9989" i="1"/>
  <c r="A9989" i="1"/>
  <c r="D9988" i="1"/>
  <c r="A9988" i="1"/>
  <c r="D9987" i="1"/>
  <c r="A9987" i="1"/>
  <c r="D9986" i="1"/>
  <c r="A9986" i="1"/>
  <c r="D9985" i="1"/>
  <c r="A9985" i="1"/>
  <c r="D9984" i="1"/>
  <c r="A9984" i="1"/>
  <c r="D9983" i="1"/>
  <c r="A9983" i="1"/>
  <c r="D9982" i="1"/>
  <c r="A9982" i="1"/>
  <c r="D9981" i="1"/>
  <c r="A9981" i="1"/>
  <c r="D9980" i="1"/>
  <c r="A9980" i="1"/>
  <c r="D9979" i="1"/>
  <c r="A9979" i="1"/>
  <c r="D9978" i="1"/>
  <c r="A9978" i="1"/>
  <c r="D9977" i="1"/>
  <c r="A9977" i="1"/>
  <c r="D9976" i="1"/>
  <c r="A9976" i="1"/>
  <c r="D9975" i="1"/>
  <c r="A9975" i="1"/>
  <c r="D9974" i="1"/>
  <c r="A9974" i="1"/>
  <c r="D9973" i="1"/>
  <c r="A9973" i="1"/>
  <c r="D9972" i="1"/>
  <c r="A9972" i="1"/>
  <c r="D9971" i="1"/>
  <c r="A9971" i="1"/>
  <c r="D9970" i="1"/>
  <c r="A9970" i="1"/>
  <c r="D9969" i="1"/>
  <c r="A9969" i="1"/>
  <c r="E9968" i="1"/>
  <c r="D9968" i="1"/>
  <c r="A9968" i="1"/>
  <c r="D9967" i="1"/>
  <c r="A9967" i="1"/>
  <c r="D9966" i="1"/>
  <c r="A9966" i="1"/>
  <c r="D9965" i="1"/>
  <c r="A9965" i="1"/>
  <c r="D9964" i="1"/>
  <c r="A9964" i="1"/>
  <c r="D9963" i="1"/>
  <c r="A9963" i="1"/>
  <c r="D9962" i="1"/>
  <c r="A9962" i="1"/>
  <c r="D9961" i="1"/>
  <c r="A9961" i="1"/>
  <c r="D9960" i="1"/>
  <c r="A9960" i="1"/>
  <c r="D9959" i="1"/>
  <c r="A9959" i="1"/>
  <c r="E9958" i="1"/>
  <c r="D9958" i="1"/>
  <c r="A9958" i="1"/>
  <c r="E9957" i="1"/>
  <c r="D9957" i="1"/>
  <c r="A9957" i="1"/>
  <c r="E9956" i="1"/>
  <c r="D9956" i="1"/>
  <c r="A9956" i="1"/>
  <c r="D9955" i="1"/>
  <c r="A9955" i="1"/>
  <c r="E9954" i="1"/>
  <c r="D9954" i="1"/>
  <c r="A9954" i="1"/>
  <c r="D9953" i="1"/>
  <c r="A9953" i="1"/>
  <c r="D9952" i="1"/>
  <c r="A9952" i="1"/>
  <c r="E9951" i="1"/>
  <c r="D9951" i="1"/>
  <c r="A9951" i="1"/>
  <c r="E9950" i="1"/>
  <c r="D9950" i="1"/>
  <c r="A9950" i="1"/>
  <c r="D9949" i="1"/>
  <c r="A9949" i="1"/>
  <c r="D9948" i="1"/>
  <c r="A9948" i="1"/>
  <c r="D9947" i="1"/>
  <c r="A9947" i="1"/>
  <c r="E9946" i="1"/>
  <c r="D9946" i="1"/>
  <c r="A9946" i="1"/>
  <c r="D9945" i="1"/>
  <c r="A9945" i="1"/>
  <c r="D9944" i="1"/>
  <c r="A9944" i="1"/>
  <c r="E9943" i="1"/>
  <c r="D9943" i="1"/>
  <c r="A9943" i="1"/>
  <c r="E9942" i="1"/>
  <c r="D9942" i="1"/>
  <c r="A9942" i="1"/>
  <c r="D9941" i="1"/>
  <c r="A9941" i="1"/>
  <c r="D9940" i="1"/>
  <c r="A9940" i="1"/>
  <c r="D9939" i="1"/>
  <c r="A9939" i="1"/>
  <c r="D9938" i="1"/>
  <c r="A9938" i="1"/>
  <c r="D9937" i="1"/>
  <c r="A9937" i="1"/>
  <c r="E9936" i="1"/>
  <c r="D9936" i="1"/>
  <c r="A9936" i="1"/>
  <c r="D9935" i="1"/>
  <c r="A9935" i="1"/>
  <c r="E9934" i="1"/>
  <c r="D9934" i="1"/>
  <c r="A9934" i="1"/>
  <c r="D9933" i="1"/>
  <c r="A9933" i="1"/>
  <c r="D9932" i="1"/>
  <c r="A9932" i="1"/>
  <c r="D9931" i="1"/>
  <c r="A9931" i="1"/>
  <c r="D9930" i="1"/>
  <c r="A9930" i="1"/>
  <c r="D9929" i="1"/>
  <c r="A9929" i="1"/>
  <c r="D9928" i="1"/>
  <c r="A9928" i="1"/>
  <c r="E9927" i="1"/>
  <c r="D9927" i="1"/>
  <c r="A9927" i="1"/>
  <c r="D9926" i="1"/>
  <c r="A9926" i="1"/>
  <c r="D9925" i="1"/>
  <c r="A9925" i="1"/>
  <c r="E9924" i="1"/>
  <c r="D9924" i="1"/>
  <c r="A9924" i="1"/>
  <c r="E9923" i="1"/>
  <c r="D9923" i="1"/>
  <c r="A9923" i="1"/>
  <c r="D9922" i="1"/>
  <c r="A9922" i="1"/>
  <c r="E9921" i="1"/>
  <c r="D9921" i="1"/>
  <c r="A9921" i="1"/>
  <c r="E9920" i="1"/>
  <c r="D9920" i="1"/>
  <c r="A9920" i="1"/>
  <c r="D9919" i="1"/>
  <c r="A9919" i="1"/>
  <c r="D9918" i="1"/>
  <c r="A9918" i="1"/>
  <c r="D9917" i="1"/>
  <c r="A9917" i="1"/>
  <c r="D9916" i="1"/>
  <c r="A9916" i="1"/>
  <c r="D9915" i="1"/>
  <c r="A9915" i="1"/>
  <c r="D9914" i="1"/>
  <c r="A9914" i="1"/>
  <c r="D9913" i="1"/>
  <c r="A9913" i="1"/>
  <c r="D9912" i="1"/>
  <c r="A9912" i="1"/>
  <c r="E9911" i="1"/>
  <c r="D9911" i="1"/>
  <c r="A9911" i="1"/>
  <c r="E9910" i="1"/>
  <c r="D9910" i="1"/>
  <c r="A9910" i="1"/>
  <c r="D9909" i="1"/>
  <c r="A9909" i="1"/>
  <c r="D9908" i="1"/>
  <c r="A9908" i="1"/>
  <c r="D9907" i="1"/>
  <c r="A9907" i="1"/>
  <c r="E9906" i="1"/>
  <c r="D9906" i="1"/>
  <c r="A9906" i="1"/>
  <c r="D9905" i="1"/>
  <c r="A9905" i="1"/>
  <c r="D9904" i="1"/>
  <c r="A9904" i="1"/>
  <c r="D9903" i="1"/>
  <c r="A9903" i="1"/>
  <c r="D9902" i="1"/>
  <c r="A9902" i="1"/>
  <c r="D9901" i="1"/>
  <c r="A9901" i="1"/>
  <c r="E9900" i="1"/>
  <c r="D9900" i="1"/>
  <c r="A9900" i="1"/>
  <c r="D9899" i="1"/>
  <c r="A9899" i="1"/>
  <c r="D9898" i="1"/>
  <c r="A9898" i="1"/>
  <c r="D9897" i="1"/>
  <c r="A9897" i="1"/>
  <c r="D9896" i="1"/>
  <c r="A9896" i="1"/>
  <c r="D9895" i="1"/>
  <c r="A9895" i="1"/>
  <c r="D9894" i="1"/>
  <c r="A9894" i="1"/>
  <c r="E9893" i="1"/>
  <c r="D9893" i="1"/>
  <c r="A9893" i="1"/>
  <c r="D9892" i="1"/>
  <c r="A9892" i="1"/>
  <c r="D9891" i="1"/>
  <c r="A9891" i="1"/>
  <c r="D9890" i="1"/>
  <c r="A9890" i="1"/>
  <c r="D9889" i="1"/>
  <c r="A9889" i="1"/>
  <c r="D9888" i="1"/>
  <c r="A9888" i="1"/>
  <c r="E9887" i="1"/>
  <c r="D9887" i="1"/>
  <c r="A9887" i="1"/>
  <c r="D9886" i="1"/>
  <c r="A9886" i="1"/>
  <c r="E9885" i="1"/>
  <c r="D9885" i="1"/>
  <c r="A9885" i="1"/>
  <c r="E9884" i="1"/>
  <c r="D9884" i="1"/>
  <c r="A9884" i="1"/>
  <c r="E9883" i="1"/>
  <c r="D9883" i="1"/>
  <c r="A9883" i="1"/>
  <c r="D9882" i="1"/>
  <c r="A9882" i="1"/>
  <c r="D9881" i="1"/>
  <c r="A9881" i="1"/>
  <c r="D9880" i="1"/>
  <c r="A9880" i="1"/>
  <c r="D9879" i="1"/>
  <c r="A9879" i="1"/>
  <c r="D9878" i="1"/>
  <c r="A9878" i="1"/>
  <c r="D9877" i="1"/>
  <c r="A9877" i="1"/>
  <c r="D9876" i="1"/>
  <c r="A9876" i="1"/>
  <c r="D9875" i="1"/>
  <c r="A9875" i="1"/>
  <c r="D9874" i="1"/>
  <c r="A9874" i="1"/>
  <c r="E9873" i="1"/>
  <c r="D9873" i="1"/>
  <c r="A9873" i="1"/>
  <c r="E9872" i="1"/>
  <c r="D9872" i="1"/>
  <c r="A9872" i="1"/>
  <c r="D9871" i="1"/>
  <c r="A9871" i="1"/>
  <c r="E9870" i="1"/>
  <c r="D9870" i="1"/>
  <c r="A9870" i="1"/>
  <c r="D9869" i="1"/>
  <c r="A9869" i="1"/>
  <c r="D9868" i="1"/>
  <c r="A9868" i="1"/>
  <c r="D9867" i="1"/>
  <c r="A9867" i="1"/>
  <c r="D9866" i="1"/>
  <c r="A9866" i="1"/>
  <c r="D9865" i="1"/>
  <c r="A9865" i="1"/>
  <c r="D9864" i="1"/>
  <c r="A9864" i="1"/>
  <c r="D9863" i="1"/>
  <c r="A9863" i="1"/>
  <c r="D9862" i="1"/>
  <c r="A9862" i="1"/>
  <c r="D9861" i="1"/>
  <c r="A9861" i="1"/>
  <c r="D9860" i="1"/>
  <c r="A9860" i="1"/>
  <c r="D9859" i="1"/>
  <c r="A9859" i="1"/>
  <c r="E9858" i="1"/>
  <c r="D9858" i="1"/>
  <c r="A9858" i="1"/>
  <c r="D9857" i="1"/>
  <c r="A9857" i="1"/>
  <c r="D9856" i="1"/>
  <c r="A9856" i="1"/>
  <c r="D9855" i="1"/>
  <c r="A9855" i="1"/>
  <c r="D9854" i="1"/>
  <c r="A9854" i="1"/>
  <c r="E9853" i="1"/>
  <c r="D9853" i="1"/>
  <c r="A9853" i="1"/>
  <c r="D9852" i="1"/>
  <c r="A9852" i="1"/>
  <c r="D9851" i="1"/>
  <c r="A9851" i="1"/>
  <c r="D9850" i="1"/>
  <c r="A9850" i="1"/>
  <c r="D9849" i="1"/>
  <c r="A9849" i="1"/>
  <c r="D9848" i="1"/>
  <c r="A9848" i="1"/>
  <c r="D9847" i="1"/>
  <c r="A9847" i="1"/>
  <c r="E9846" i="1"/>
  <c r="D9846" i="1"/>
  <c r="A9846" i="1"/>
  <c r="D9845" i="1"/>
  <c r="A9845" i="1"/>
  <c r="D9844" i="1"/>
  <c r="A9844" i="1"/>
  <c r="D9843" i="1"/>
  <c r="A9843" i="1"/>
  <c r="D9842" i="1"/>
  <c r="A9842" i="1"/>
  <c r="D9841" i="1"/>
  <c r="A9841" i="1"/>
  <c r="D9840" i="1"/>
  <c r="A9840" i="1"/>
  <c r="D9839" i="1"/>
  <c r="A9839" i="1"/>
  <c r="D9838" i="1"/>
  <c r="A9838" i="1"/>
  <c r="D9837" i="1"/>
  <c r="A9837" i="1"/>
  <c r="D9836" i="1"/>
  <c r="A9836" i="1"/>
  <c r="D9835" i="1"/>
  <c r="A9835" i="1"/>
  <c r="D9834" i="1"/>
  <c r="A9834" i="1"/>
  <c r="D9833" i="1"/>
  <c r="A9833" i="1"/>
  <c r="D9832" i="1"/>
  <c r="A9832" i="1"/>
  <c r="D9831" i="1"/>
  <c r="A9831" i="1"/>
  <c r="D9830" i="1"/>
  <c r="A9830" i="1"/>
  <c r="D9829" i="1"/>
  <c r="A9829" i="1"/>
  <c r="D9828" i="1"/>
  <c r="A9828" i="1"/>
  <c r="D9827" i="1"/>
  <c r="A9827" i="1"/>
  <c r="D9826" i="1"/>
  <c r="A9826" i="1"/>
  <c r="D9825" i="1"/>
  <c r="A9825" i="1"/>
  <c r="E9824" i="1"/>
  <c r="D9824" i="1"/>
  <c r="A9824" i="1"/>
  <c r="D9823" i="1"/>
  <c r="A9823" i="1"/>
  <c r="D9822" i="1"/>
  <c r="A9822" i="1"/>
  <c r="E9821" i="1"/>
  <c r="D9821" i="1"/>
  <c r="A9821" i="1"/>
  <c r="D9820" i="1"/>
  <c r="A9820" i="1"/>
  <c r="E9819" i="1"/>
  <c r="D9819" i="1"/>
  <c r="A9819" i="1"/>
  <c r="D9818" i="1"/>
  <c r="A9818" i="1"/>
  <c r="D9817" i="1"/>
  <c r="A9817" i="1"/>
  <c r="D9816" i="1"/>
  <c r="A9816" i="1"/>
  <c r="D9815" i="1"/>
  <c r="A9815" i="1"/>
  <c r="D9814" i="1"/>
  <c r="A9814" i="1"/>
  <c r="D9813" i="1"/>
  <c r="A9813" i="1"/>
  <c r="D9812" i="1"/>
  <c r="A9812" i="1"/>
  <c r="E9811" i="1"/>
  <c r="D9811" i="1"/>
  <c r="A9811" i="1"/>
  <c r="E9810" i="1"/>
  <c r="D9810" i="1"/>
  <c r="A9810" i="1"/>
  <c r="E9809" i="1"/>
  <c r="D9809" i="1"/>
  <c r="A9809" i="1"/>
  <c r="D9808" i="1"/>
  <c r="A9808" i="1"/>
  <c r="E9807" i="1"/>
  <c r="D9807" i="1"/>
  <c r="A9807" i="1"/>
  <c r="D9806" i="1"/>
  <c r="A9806" i="1"/>
  <c r="D9805" i="1"/>
  <c r="A9805" i="1"/>
  <c r="D9804" i="1"/>
  <c r="A9804" i="1"/>
  <c r="D9803" i="1"/>
  <c r="A9803" i="1"/>
  <c r="D9802" i="1"/>
  <c r="A9802" i="1"/>
  <c r="D9801" i="1"/>
  <c r="A9801" i="1"/>
  <c r="D9800" i="1"/>
  <c r="A9800" i="1"/>
  <c r="D9799" i="1"/>
  <c r="A9799" i="1"/>
  <c r="D9798" i="1"/>
  <c r="A9798" i="1"/>
  <c r="D9797" i="1"/>
  <c r="A9797" i="1"/>
  <c r="D9796" i="1"/>
  <c r="A9796" i="1"/>
  <c r="D9795" i="1"/>
  <c r="A9795" i="1"/>
  <c r="D9794" i="1"/>
  <c r="A9794" i="1"/>
  <c r="D9793" i="1"/>
  <c r="A9793" i="1"/>
  <c r="E9792" i="1"/>
  <c r="D9792" i="1"/>
  <c r="A9792" i="1"/>
  <c r="E9791" i="1"/>
  <c r="D9791" i="1"/>
  <c r="A9791" i="1"/>
  <c r="E9790" i="1"/>
  <c r="D9790" i="1"/>
  <c r="A9790" i="1"/>
  <c r="E9789" i="1"/>
  <c r="D9789" i="1"/>
  <c r="A9789" i="1"/>
  <c r="D9788" i="1"/>
  <c r="A9788" i="1"/>
  <c r="D9787" i="1"/>
  <c r="A9787" i="1"/>
  <c r="D9786" i="1"/>
  <c r="A9786" i="1"/>
  <c r="D9785" i="1"/>
  <c r="A9785" i="1"/>
  <c r="E9784" i="1"/>
  <c r="D9784" i="1"/>
  <c r="A9784" i="1"/>
  <c r="D9783" i="1"/>
  <c r="A9783" i="1"/>
  <c r="D9782" i="1"/>
  <c r="A9782" i="1"/>
  <c r="D9781" i="1"/>
  <c r="A9781" i="1"/>
  <c r="E9780" i="1"/>
  <c r="D9780" i="1"/>
  <c r="A9780" i="1"/>
  <c r="D9779" i="1"/>
  <c r="A9779" i="1"/>
  <c r="D9778" i="1"/>
  <c r="A9778" i="1"/>
  <c r="D9777" i="1"/>
  <c r="A9777" i="1"/>
  <c r="D9776" i="1"/>
  <c r="A9776" i="1"/>
  <c r="D9775" i="1"/>
  <c r="A9775" i="1"/>
  <c r="D9774" i="1"/>
  <c r="A9774" i="1"/>
  <c r="D9773" i="1"/>
  <c r="A9773" i="1"/>
  <c r="E9772" i="1"/>
  <c r="D9772" i="1"/>
  <c r="A9772" i="1"/>
  <c r="D9771" i="1"/>
  <c r="A9771" i="1"/>
  <c r="D9770" i="1"/>
  <c r="A9770" i="1"/>
  <c r="D9769" i="1"/>
  <c r="A9769" i="1"/>
  <c r="D9768" i="1"/>
  <c r="A9768" i="1"/>
  <c r="D9767" i="1"/>
  <c r="A9767" i="1"/>
  <c r="E9766" i="1"/>
  <c r="D9766" i="1"/>
  <c r="A9766" i="1"/>
  <c r="D9765" i="1"/>
  <c r="A9765" i="1"/>
  <c r="D9764" i="1"/>
  <c r="A9764" i="1"/>
  <c r="D9763" i="1"/>
  <c r="A9763" i="1"/>
  <c r="D9762" i="1"/>
  <c r="A9762" i="1"/>
  <c r="D9761" i="1"/>
  <c r="A9761" i="1"/>
  <c r="D9760" i="1"/>
  <c r="A9760" i="1"/>
  <c r="E9759" i="1"/>
  <c r="D9759" i="1"/>
  <c r="A9759" i="1"/>
  <c r="D9758" i="1"/>
  <c r="A9758" i="1"/>
  <c r="D9757" i="1"/>
  <c r="A9757" i="1"/>
  <c r="D9756" i="1"/>
  <c r="A9756" i="1"/>
  <c r="D9755" i="1"/>
  <c r="A9755" i="1"/>
  <c r="E9754" i="1"/>
  <c r="D9754" i="1"/>
  <c r="A9754" i="1"/>
  <c r="D9753" i="1"/>
  <c r="A9753" i="1"/>
  <c r="D9752" i="1"/>
  <c r="A9752" i="1"/>
  <c r="E9751" i="1"/>
  <c r="D9751" i="1"/>
  <c r="A9751" i="1"/>
  <c r="D9750" i="1"/>
  <c r="A9750" i="1"/>
  <c r="D9749" i="1"/>
  <c r="A9749" i="1"/>
  <c r="E9748" i="1"/>
  <c r="D9748" i="1"/>
  <c r="A9748" i="1"/>
  <c r="D9747" i="1"/>
  <c r="A9747" i="1"/>
  <c r="E9746" i="1"/>
  <c r="D9746" i="1"/>
  <c r="A9746" i="1"/>
  <c r="D9745" i="1"/>
  <c r="A9745" i="1"/>
  <c r="D9744" i="1"/>
  <c r="A9744" i="1"/>
  <c r="D9743" i="1"/>
  <c r="A9743" i="1"/>
  <c r="D9742" i="1"/>
  <c r="A9742" i="1"/>
  <c r="D9741" i="1"/>
  <c r="A9741" i="1"/>
  <c r="D9740" i="1"/>
  <c r="A9740" i="1"/>
  <c r="D9739" i="1"/>
  <c r="A9739" i="1"/>
  <c r="D9738" i="1"/>
  <c r="A9738" i="1"/>
  <c r="D9737" i="1"/>
  <c r="A9737" i="1"/>
  <c r="E9736" i="1"/>
  <c r="D9736" i="1"/>
  <c r="A9736" i="1"/>
  <c r="D9735" i="1"/>
  <c r="A9735" i="1"/>
  <c r="D9734" i="1"/>
  <c r="A9734" i="1"/>
  <c r="D9733" i="1"/>
  <c r="A9733" i="1"/>
  <c r="D9732" i="1"/>
  <c r="A9732" i="1"/>
  <c r="D9731" i="1"/>
  <c r="A9731" i="1"/>
  <c r="D9730" i="1"/>
  <c r="A9730" i="1"/>
  <c r="D9729" i="1"/>
  <c r="A9729" i="1"/>
  <c r="D9728" i="1"/>
  <c r="A9728" i="1"/>
  <c r="D9727" i="1"/>
  <c r="A9727" i="1"/>
  <c r="D9726" i="1"/>
  <c r="A9726" i="1"/>
  <c r="D9725" i="1"/>
  <c r="A9725" i="1"/>
  <c r="D9724" i="1"/>
  <c r="A9724" i="1"/>
  <c r="D9723" i="1"/>
  <c r="A9723" i="1"/>
  <c r="D9722" i="1"/>
  <c r="A9722" i="1"/>
  <c r="D9721" i="1"/>
  <c r="A9721" i="1"/>
  <c r="D9720" i="1"/>
  <c r="A9720" i="1"/>
  <c r="D9719" i="1"/>
  <c r="A9719" i="1"/>
  <c r="D9718" i="1"/>
  <c r="A9718" i="1"/>
  <c r="D9717" i="1"/>
  <c r="A9717" i="1"/>
  <c r="D9716" i="1"/>
  <c r="A9716" i="1"/>
  <c r="D9715" i="1"/>
  <c r="A9715" i="1"/>
  <c r="D9714" i="1"/>
  <c r="A9714" i="1"/>
  <c r="D9713" i="1"/>
  <c r="A9713" i="1"/>
  <c r="E9712" i="1"/>
  <c r="D9712" i="1"/>
  <c r="A9712" i="1"/>
  <c r="D9711" i="1"/>
  <c r="A9711" i="1"/>
  <c r="E9710" i="1"/>
  <c r="D9710" i="1"/>
  <c r="A9710" i="1"/>
  <c r="D9709" i="1"/>
  <c r="A9709" i="1"/>
  <c r="D9708" i="1"/>
  <c r="A9708" i="1"/>
  <c r="D9707" i="1"/>
  <c r="A9707" i="1"/>
  <c r="D9706" i="1"/>
  <c r="A9706" i="1"/>
  <c r="D9705" i="1"/>
  <c r="A9705" i="1"/>
  <c r="D9704" i="1"/>
  <c r="A9704" i="1"/>
  <c r="D9703" i="1"/>
  <c r="A9703" i="1"/>
  <c r="E9702" i="1"/>
  <c r="D9702" i="1"/>
  <c r="A9702" i="1"/>
  <c r="D9701" i="1"/>
  <c r="A9701" i="1"/>
  <c r="D9700" i="1"/>
  <c r="A9700" i="1"/>
  <c r="D9699" i="1"/>
  <c r="A9699" i="1"/>
  <c r="E9698" i="1"/>
  <c r="D9698" i="1"/>
  <c r="A9698" i="1"/>
  <c r="D9697" i="1"/>
  <c r="A9697" i="1"/>
  <c r="D9696" i="1"/>
  <c r="A9696" i="1"/>
  <c r="D9695" i="1"/>
  <c r="A9695" i="1"/>
  <c r="D9694" i="1"/>
  <c r="A9694" i="1"/>
  <c r="D9693" i="1"/>
  <c r="A9693" i="1"/>
  <c r="D9692" i="1"/>
  <c r="A9692" i="1"/>
  <c r="E9691" i="1"/>
  <c r="D9691" i="1"/>
  <c r="A9691" i="1"/>
  <c r="D9690" i="1"/>
  <c r="A9690" i="1"/>
  <c r="D9689" i="1"/>
  <c r="A9689" i="1"/>
  <c r="D9688" i="1"/>
  <c r="A9688" i="1"/>
  <c r="D9687" i="1"/>
  <c r="A9687" i="1"/>
  <c r="D9686" i="1"/>
  <c r="A9686" i="1"/>
  <c r="E9685" i="1"/>
  <c r="D9685" i="1"/>
  <c r="A9685" i="1"/>
  <c r="D9684" i="1"/>
  <c r="A9684" i="1"/>
  <c r="D9683" i="1"/>
  <c r="A9683" i="1"/>
  <c r="D9682" i="1"/>
  <c r="A9682" i="1"/>
  <c r="D9681" i="1"/>
  <c r="A9681" i="1"/>
  <c r="D9680" i="1"/>
  <c r="A9680" i="1"/>
  <c r="D9679" i="1"/>
  <c r="A9679" i="1"/>
  <c r="D9678" i="1"/>
  <c r="A9678" i="1"/>
  <c r="D9677" i="1"/>
  <c r="A9677" i="1"/>
  <c r="D9676" i="1"/>
  <c r="A9676" i="1"/>
  <c r="D9675" i="1"/>
  <c r="A9675" i="1"/>
  <c r="D9674" i="1"/>
  <c r="A9674" i="1"/>
  <c r="D9673" i="1"/>
  <c r="A9673" i="1"/>
  <c r="E9672" i="1"/>
  <c r="D9672" i="1"/>
  <c r="A9672" i="1"/>
  <c r="D9671" i="1"/>
  <c r="A9671" i="1"/>
  <c r="D9670" i="1"/>
  <c r="A9670" i="1"/>
  <c r="D9669" i="1"/>
  <c r="A9669" i="1"/>
  <c r="D9668" i="1"/>
  <c r="A9668" i="1"/>
  <c r="D9667" i="1"/>
  <c r="A9667" i="1"/>
  <c r="D9666" i="1"/>
  <c r="A9666" i="1"/>
  <c r="D9665" i="1"/>
  <c r="A9665" i="1"/>
  <c r="D9664" i="1"/>
  <c r="A9664" i="1"/>
  <c r="D9663" i="1"/>
  <c r="A9663" i="1"/>
  <c r="D9662" i="1"/>
  <c r="A9662" i="1"/>
  <c r="D9661" i="1"/>
  <c r="A9661" i="1"/>
  <c r="D9660" i="1"/>
  <c r="A9660" i="1"/>
  <c r="E9659" i="1"/>
  <c r="D9659" i="1"/>
  <c r="A9659" i="1"/>
  <c r="D9658" i="1"/>
  <c r="A9658" i="1"/>
  <c r="D9657" i="1"/>
  <c r="A9657" i="1"/>
  <c r="D9656" i="1"/>
  <c r="A9656" i="1"/>
  <c r="D9655" i="1"/>
  <c r="A9655" i="1"/>
  <c r="D9654" i="1"/>
  <c r="A9654" i="1"/>
  <c r="D9653" i="1"/>
  <c r="A9653" i="1"/>
  <c r="D9652" i="1"/>
  <c r="A9652" i="1"/>
  <c r="D9651" i="1"/>
  <c r="A9651" i="1"/>
  <c r="E9650" i="1"/>
  <c r="D9650" i="1"/>
  <c r="A9650" i="1"/>
  <c r="E9649" i="1"/>
  <c r="D9649" i="1"/>
  <c r="A9649" i="1"/>
  <c r="D9648" i="1"/>
  <c r="A9648" i="1"/>
  <c r="D9647" i="1"/>
  <c r="A9647" i="1"/>
  <c r="D9646" i="1"/>
  <c r="A9646" i="1"/>
  <c r="D9645" i="1"/>
  <c r="A9645" i="1"/>
  <c r="D9644" i="1"/>
  <c r="A9644" i="1"/>
  <c r="D9643" i="1"/>
  <c r="A9643" i="1"/>
  <c r="D9642" i="1"/>
  <c r="A9642" i="1"/>
  <c r="D9641" i="1"/>
  <c r="A9641" i="1"/>
  <c r="E9640" i="1"/>
  <c r="D9640" i="1"/>
  <c r="A9640" i="1"/>
  <c r="E9639" i="1"/>
  <c r="D9639" i="1"/>
  <c r="A9639" i="1"/>
  <c r="D9638" i="1"/>
  <c r="A9638" i="1"/>
  <c r="D9637" i="1"/>
  <c r="A9637" i="1"/>
  <c r="D9636" i="1"/>
  <c r="A9636" i="1"/>
  <c r="D9635" i="1"/>
  <c r="A9635" i="1"/>
  <c r="D9634" i="1"/>
  <c r="A9634" i="1"/>
  <c r="D9633" i="1"/>
  <c r="A9633" i="1"/>
  <c r="D9632" i="1"/>
  <c r="A9632" i="1"/>
  <c r="D9631" i="1"/>
  <c r="A9631" i="1"/>
  <c r="D9630" i="1"/>
  <c r="A9630" i="1"/>
  <c r="D9629" i="1"/>
  <c r="A9629" i="1"/>
  <c r="D9628" i="1"/>
  <c r="A9628" i="1"/>
  <c r="D9627" i="1"/>
  <c r="A9627" i="1"/>
  <c r="D9626" i="1"/>
  <c r="A9626" i="1"/>
  <c r="D9625" i="1"/>
  <c r="A9625" i="1"/>
  <c r="D9624" i="1"/>
  <c r="A9624" i="1"/>
  <c r="D9623" i="1"/>
  <c r="A9623" i="1"/>
  <c r="D9622" i="1"/>
  <c r="A9622" i="1"/>
  <c r="D9621" i="1"/>
  <c r="A9621" i="1"/>
  <c r="D9620" i="1"/>
  <c r="A9620" i="1"/>
  <c r="D9619" i="1"/>
  <c r="A9619" i="1"/>
  <c r="D9618" i="1"/>
  <c r="A9618" i="1"/>
  <c r="D9617" i="1"/>
  <c r="A9617" i="1"/>
  <c r="D9616" i="1"/>
  <c r="A9616" i="1"/>
  <c r="D9615" i="1"/>
  <c r="A9615" i="1"/>
  <c r="D9614" i="1"/>
  <c r="A9614" i="1"/>
  <c r="D9613" i="1"/>
  <c r="A9613" i="1"/>
  <c r="D9612" i="1"/>
  <c r="A9612" i="1"/>
  <c r="D9611" i="1"/>
  <c r="A9611" i="1"/>
  <c r="D9610" i="1"/>
  <c r="A9610" i="1"/>
  <c r="D9609" i="1"/>
  <c r="A9609" i="1"/>
  <c r="D9608" i="1"/>
  <c r="A9608" i="1"/>
  <c r="D9607" i="1"/>
  <c r="A9607" i="1"/>
  <c r="D9606" i="1"/>
  <c r="A9606" i="1"/>
  <c r="D9605" i="1"/>
  <c r="A9605" i="1"/>
  <c r="D9604" i="1"/>
  <c r="A9604" i="1"/>
  <c r="E9603" i="1"/>
  <c r="D9603" i="1"/>
  <c r="A9603" i="1"/>
  <c r="D9602" i="1"/>
  <c r="A9602" i="1"/>
  <c r="D9601" i="1"/>
  <c r="A9601" i="1"/>
  <c r="D9600" i="1"/>
  <c r="A9600" i="1"/>
  <c r="D9599" i="1"/>
  <c r="A9599" i="1"/>
  <c r="D9598" i="1"/>
  <c r="A9598" i="1"/>
  <c r="D9597" i="1"/>
  <c r="A9597" i="1"/>
  <c r="D9596" i="1"/>
  <c r="A9596" i="1"/>
  <c r="D9595" i="1"/>
  <c r="A9595" i="1"/>
  <c r="D9594" i="1"/>
  <c r="A9594" i="1"/>
  <c r="D9593" i="1"/>
  <c r="A9593" i="1"/>
  <c r="D9592" i="1"/>
  <c r="A9592" i="1"/>
  <c r="D9591" i="1"/>
  <c r="A9591" i="1"/>
  <c r="D9590" i="1"/>
  <c r="A9590" i="1"/>
  <c r="D9589" i="1"/>
  <c r="A9589" i="1"/>
  <c r="D9588" i="1"/>
  <c r="A9588" i="1"/>
  <c r="D9587" i="1"/>
  <c r="A9587" i="1"/>
  <c r="D9586" i="1"/>
  <c r="A9586" i="1"/>
  <c r="D9585" i="1"/>
  <c r="A9585" i="1"/>
  <c r="D9584" i="1"/>
  <c r="A9584" i="1"/>
  <c r="D9583" i="1"/>
  <c r="A9583" i="1"/>
  <c r="D9582" i="1"/>
  <c r="A9582" i="1"/>
  <c r="D9581" i="1"/>
  <c r="A9581" i="1"/>
  <c r="E9580" i="1"/>
  <c r="D9580" i="1"/>
  <c r="A9580" i="1"/>
  <c r="D9579" i="1"/>
  <c r="A9579" i="1"/>
  <c r="D9578" i="1"/>
  <c r="A9578" i="1"/>
  <c r="D9577" i="1"/>
  <c r="A9577" i="1"/>
  <c r="D9576" i="1"/>
  <c r="A9576" i="1"/>
  <c r="D9575" i="1"/>
  <c r="A9575" i="1"/>
  <c r="D9574" i="1"/>
  <c r="A9574" i="1"/>
  <c r="D9573" i="1"/>
  <c r="A9573" i="1"/>
  <c r="D9572" i="1"/>
  <c r="A9572" i="1"/>
  <c r="D9571" i="1"/>
  <c r="A9571" i="1"/>
  <c r="D9570" i="1"/>
  <c r="A9570" i="1"/>
  <c r="E9569" i="1"/>
  <c r="D9569" i="1"/>
  <c r="A9569" i="1"/>
  <c r="D9568" i="1"/>
  <c r="A9568" i="1"/>
  <c r="D9567" i="1"/>
  <c r="A9567" i="1"/>
  <c r="E9566" i="1"/>
  <c r="D9566" i="1"/>
  <c r="A9566" i="1"/>
  <c r="E9565" i="1"/>
  <c r="D9565" i="1"/>
  <c r="A9565" i="1"/>
  <c r="D9564" i="1"/>
  <c r="A9564" i="1"/>
  <c r="D9563" i="1"/>
  <c r="A9563" i="1"/>
  <c r="E9562" i="1"/>
  <c r="D9562" i="1"/>
  <c r="A9562" i="1"/>
  <c r="D9561" i="1"/>
  <c r="A9561" i="1"/>
  <c r="E9560" i="1"/>
  <c r="D9560" i="1"/>
  <c r="A9560" i="1"/>
  <c r="D9559" i="1"/>
  <c r="A9559" i="1"/>
  <c r="D9558" i="1"/>
  <c r="A9558" i="1"/>
  <c r="D9557" i="1"/>
  <c r="A9557" i="1"/>
  <c r="D9556" i="1"/>
  <c r="A9556" i="1"/>
  <c r="D9555" i="1"/>
  <c r="A9555" i="1"/>
  <c r="D9554" i="1"/>
  <c r="A9554" i="1"/>
  <c r="D9553" i="1"/>
  <c r="A9553" i="1"/>
  <c r="D9552" i="1"/>
  <c r="A9552" i="1"/>
  <c r="D9551" i="1"/>
  <c r="A9551" i="1"/>
  <c r="D9550" i="1"/>
  <c r="A9550" i="1"/>
  <c r="D9549" i="1"/>
  <c r="A9549" i="1"/>
  <c r="D9548" i="1"/>
  <c r="A9548" i="1"/>
  <c r="E9547" i="1"/>
  <c r="D9547" i="1"/>
  <c r="A9547" i="1"/>
  <c r="D9546" i="1"/>
  <c r="A9546" i="1"/>
  <c r="D9545" i="1"/>
  <c r="A9545" i="1"/>
  <c r="D9544" i="1"/>
  <c r="A9544" i="1"/>
  <c r="D9543" i="1"/>
  <c r="A9543" i="1"/>
  <c r="D9542" i="1"/>
  <c r="A9542" i="1"/>
  <c r="D9541" i="1"/>
  <c r="A9541" i="1"/>
  <c r="D9540" i="1"/>
  <c r="A9540" i="1"/>
  <c r="D9539" i="1"/>
  <c r="A9539" i="1"/>
  <c r="D9538" i="1"/>
  <c r="A9538" i="1"/>
  <c r="D9537" i="1"/>
  <c r="A9537" i="1"/>
  <c r="D9536" i="1"/>
  <c r="A9536" i="1"/>
  <c r="D9535" i="1"/>
  <c r="A9535" i="1"/>
  <c r="D9534" i="1"/>
  <c r="A9534" i="1"/>
  <c r="D9533" i="1"/>
  <c r="A9533" i="1"/>
  <c r="D9532" i="1"/>
  <c r="A9532" i="1"/>
  <c r="D9531" i="1"/>
  <c r="A9531" i="1"/>
  <c r="D9530" i="1"/>
  <c r="A9530" i="1"/>
  <c r="D9529" i="1"/>
  <c r="A9529" i="1"/>
  <c r="D9528" i="1"/>
  <c r="A9528" i="1"/>
  <c r="D9527" i="1"/>
  <c r="A9527" i="1"/>
  <c r="D9526" i="1"/>
  <c r="A9526" i="1"/>
  <c r="D9525" i="1"/>
  <c r="A9525" i="1"/>
  <c r="D9524" i="1"/>
  <c r="A9524" i="1"/>
  <c r="D9523" i="1"/>
  <c r="A9523" i="1"/>
  <c r="D9522" i="1"/>
  <c r="A9522" i="1"/>
  <c r="D9521" i="1"/>
  <c r="A9521" i="1"/>
  <c r="D9520" i="1"/>
  <c r="A9520" i="1"/>
  <c r="D9519" i="1"/>
  <c r="A9519" i="1"/>
  <c r="D9518" i="1"/>
  <c r="A9518" i="1"/>
  <c r="D9517" i="1"/>
  <c r="A9517" i="1"/>
  <c r="D9516" i="1"/>
  <c r="A9516" i="1"/>
  <c r="D9515" i="1"/>
  <c r="A9515" i="1"/>
  <c r="D9514" i="1"/>
  <c r="A9514" i="1"/>
  <c r="D9513" i="1"/>
  <c r="A9513" i="1"/>
  <c r="D9512" i="1"/>
  <c r="A9512" i="1"/>
  <c r="D9511" i="1"/>
  <c r="A9511" i="1"/>
  <c r="D9510" i="1"/>
  <c r="A9510" i="1"/>
  <c r="D9509" i="1"/>
  <c r="A9509" i="1"/>
  <c r="D9508" i="1"/>
  <c r="A9508" i="1"/>
  <c r="D9507" i="1"/>
  <c r="A9507" i="1"/>
  <c r="D9506" i="1"/>
  <c r="A9506" i="1"/>
  <c r="D9505" i="1"/>
  <c r="A9505" i="1"/>
  <c r="D9504" i="1"/>
  <c r="A9504" i="1"/>
  <c r="D9503" i="1"/>
  <c r="A9503" i="1"/>
  <c r="D9502" i="1"/>
  <c r="A9502" i="1"/>
  <c r="D9501" i="1"/>
  <c r="A9501" i="1"/>
  <c r="D9500" i="1"/>
  <c r="A9500" i="1"/>
  <c r="D9499" i="1"/>
  <c r="A9499" i="1"/>
  <c r="D9498" i="1"/>
  <c r="A9498" i="1"/>
  <c r="D9497" i="1"/>
  <c r="A9497" i="1"/>
  <c r="D9496" i="1"/>
  <c r="A9496" i="1"/>
  <c r="D9495" i="1"/>
  <c r="A9495" i="1"/>
  <c r="D9494" i="1"/>
  <c r="A9494" i="1"/>
  <c r="D9493" i="1"/>
  <c r="A9493" i="1"/>
  <c r="D9492" i="1"/>
  <c r="A9492" i="1"/>
  <c r="D9491" i="1"/>
  <c r="A9491" i="1"/>
  <c r="D9490" i="1"/>
  <c r="A9490" i="1"/>
  <c r="D9489" i="1"/>
  <c r="A9489" i="1"/>
  <c r="D9488" i="1"/>
  <c r="A9488" i="1"/>
  <c r="D9487" i="1"/>
  <c r="A9487" i="1"/>
  <c r="D9486" i="1"/>
  <c r="A9486" i="1"/>
  <c r="D9485" i="1"/>
  <c r="A9485" i="1"/>
  <c r="D9484" i="1"/>
  <c r="A9484" i="1"/>
  <c r="D9483" i="1"/>
  <c r="A9483" i="1"/>
  <c r="D9482" i="1"/>
  <c r="A9482" i="1"/>
  <c r="D9481" i="1"/>
  <c r="A9481" i="1"/>
  <c r="D9480" i="1"/>
  <c r="A9480" i="1"/>
  <c r="D9479" i="1"/>
  <c r="A9479" i="1"/>
  <c r="D9478" i="1"/>
  <c r="A9478" i="1"/>
  <c r="D9477" i="1"/>
  <c r="A9477" i="1"/>
  <c r="D9476" i="1"/>
  <c r="A9476" i="1"/>
  <c r="D9475" i="1"/>
  <c r="A9475" i="1"/>
  <c r="D9474" i="1"/>
  <c r="A9474" i="1"/>
  <c r="D9473" i="1"/>
  <c r="A9473" i="1"/>
  <c r="D9472" i="1"/>
  <c r="A9472" i="1"/>
  <c r="D9471" i="1"/>
  <c r="A9471" i="1"/>
  <c r="D9470" i="1"/>
  <c r="A9470" i="1"/>
  <c r="D9469" i="1"/>
  <c r="A9469" i="1"/>
  <c r="D9468" i="1"/>
  <c r="A9468" i="1"/>
  <c r="D9467" i="1"/>
  <c r="A9467" i="1"/>
  <c r="D9466" i="1"/>
  <c r="A9466" i="1"/>
  <c r="D9465" i="1"/>
  <c r="A9465" i="1"/>
  <c r="D9464" i="1"/>
  <c r="A9464" i="1"/>
  <c r="D9463" i="1"/>
  <c r="A9463" i="1"/>
  <c r="D9462" i="1"/>
  <c r="A9462" i="1"/>
  <c r="D9461" i="1"/>
  <c r="A9461" i="1"/>
  <c r="D9460" i="1"/>
  <c r="A9460" i="1"/>
  <c r="D9459" i="1"/>
  <c r="A9459" i="1"/>
  <c r="D9458" i="1"/>
  <c r="A9458" i="1"/>
  <c r="D9457" i="1"/>
  <c r="A9457" i="1"/>
  <c r="D9456" i="1"/>
  <c r="A9456" i="1"/>
  <c r="D9455" i="1"/>
  <c r="A9455" i="1"/>
  <c r="D9454" i="1"/>
  <c r="A9454" i="1"/>
  <c r="D9453" i="1"/>
  <c r="A9453" i="1"/>
  <c r="D9452" i="1"/>
  <c r="A9452" i="1"/>
  <c r="D9451" i="1"/>
  <c r="A9451" i="1"/>
  <c r="D9450" i="1"/>
  <c r="A9450" i="1"/>
  <c r="D9449" i="1"/>
  <c r="A9449" i="1"/>
  <c r="D9448" i="1"/>
  <c r="A9448" i="1"/>
  <c r="D9447" i="1"/>
  <c r="A9447" i="1"/>
  <c r="D9446" i="1"/>
  <c r="A9446" i="1"/>
  <c r="D9445" i="1"/>
  <c r="A9445" i="1"/>
  <c r="D9444" i="1"/>
  <c r="A9444" i="1"/>
  <c r="D9443" i="1"/>
  <c r="A9443" i="1"/>
  <c r="D9442" i="1"/>
  <c r="A9442" i="1"/>
  <c r="D9441" i="1"/>
  <c r="A9441" i="1"/>
  <c r="D9440" i="1"/>
  <c r="A9440" i="1"/>
  <c r="D9439" i="1"/>
  <c r="A9439" i="1"/>
  <c r="D9438" i="1"/>
  <c r="A9438" i="1"/>
  <c r="D9437" i="1"/>
  <c r="A9437" i="1"/>
  <c r="D9436" i="1"/>
  <c r="A9436" i="1"/>
  <c r="D9435" i="1"/>
  <c r="A9435" i="1"/>
  <c r="D9434" i="1"/>
  <c r="A9434" i="1"/>
  <c r="D9433" i="1"/>
  <c r="A9433" i="1"/>
  <c r="D9432" i="1"/>
  <c r="A9432" i="1"/>
  <c r="D9431" i="1"/>
  <c r="A9431" i="1"/>
  <c r="D9430" i="1"/>
  <c r="A9430" i="1"/>
  <c r="D9429" i="1"/>
  <c r="A9429" i="1"/>
  <c r="D9428" i="1"/>
  <c r="A9428" i="1"/>
  <c r="D9427" i="1"/>
  <c r="A9427" i="1"/>
  <c r="D9426" i="1"/>
  <c r="A9426" i="1"/>
  <c r="D9425" i="1"/>
  <c r="A9425" i="1"/>
  <c r="D9424" i="1"/>
  <c r="A9424" i="1"/>
  <c r="D9423" i="1"/>
  <c r="A9423" i="1"/>
  <c r="D9422" i="1"/>
  <c r="A9422" i="1"/>
  <c r="D9421" i="1"/>
  <c r="A9421" i="1"/>
  <c r="D9420" i="1"/>
  <c r="A9420" i="1"/>
  <c r="D9419" i="1"/>
  <c r="A9419" i="1"/>
  <c r="D9418" i="1"/>
  <c r="A9418" i="1"/>
  <c r="D9417" i="1"/>
  <c r="A9417" i="1"/>
  <c r="D9416" i="1"/>
  <c r="A9416" i="1"/>
  <c r="D9415" i="1"/>
  <c r="A9415" i="1"/>
  <c r="D9414" i="1"/>
  <c r="A9414" i="1"/>
  <c r="D9413" i="1"/>
  <c r="A9413" i="1"/>
  <c r="D9412" i="1"/>
  <c r="A9412" i="1"/>
  <c r="D9411" i="1"/>
  <c r="A9411" i="1"/>
  <c r="D9410" i="1"/>
  <c r="A9410" i="1"/>
  <c r="D9409" i="1"/>
  <c r="A9409" i="1"/>
  <c r="D9408" i="1"/>
  <c r="A9408" i="1"/>
  <c r="D9407" i="1"/>
  <c r="A9407" i="1"/>
  <c r="D9406" i="1"/>
  <c r="A9406" i="1"/>
  <c r="D9405" i="1"/>
  <c r="A9405" i="1"/>
  <c r="D9404" i="1"/>
  <c r="A9404" i="1"/>
  <c r="D9403" i="1"/>
  <c r="A9403" i="1"/>
  <c r="D9402" i="1"/>
  <c r="A9402" i="1"/>
  <c r="D9401" i="1"/>
  <c r="A9401" i="1"/>
  <c r="D9400" i="1"/>
  <c r="A9400" i="1"/>
  <c r="D9399" i="1"/>
  <c r="A9399" i="1"/>
  <c r="D9398" i="1"/>
  <c r="A9398" i="1"/>
  <c r="D9397" i="1"/>
  <c r="A9397" i="1"/>
  <c r="D9396" i="1"/>
  <c r="A9396" i="1"/>
  <c r="D9395" i="1"/>
  <c r="A9395" i="1"/>
  <c r="D9394" i="1"/>
  <c r="A9394" i="1"/>
  <c r="D9393" i="1"/>
  <c r="A9393" i="1"/>
  <c r="D9392" i="1"/>
  <c r="A9392" i="1"/>
  <c r="D9391" i="1"/>
  <c r="A9391" i="1"/>
  <c r="D9390" i="1"/>
  <c r="A9390" i="1"/>
  <c r="D9389" i="1"/>
  <c r="A9389" i="1"/>
  <c r="D9388" i="1"/>
  <c r="A9388" i="1"/>
  <c r="D9387" i="1"/>
  <c r="A9387" i="1"/>
  <c r="D9386" i="1"/>
  <c r="A9386" i="1"/>
  <c r="D9385" i="1"/>
  <c r="A9385" i="1"/>
  <c r="D9384" i="1"/>
  <c r="A9384" i="1"/>
  <c r="D9383" i="1"/>
  <c r="A9383" i="1"/>
  <c r="D9382" i="1"/>
  <c r="A9382" i="1"/>
  <c r="D9381" i="1"/>
  <c r="A9381" i="1"/>
  <c r="D9380" i="1"/>
  <c r="A9380" i="1"/>
  <c r="D9379" i="1"/>
  <c r="A9379" i="1"/>
  <c r="D9378" i="1"/>
  <c r="A9378" i="1"/>
  <c r="D9377" i="1"/>
  <c r="A9377" i="1"/>
  <c r="D9376" i="1"/>
  <c r="A9376" i="1"/>
  <c r="D9375" i="1"/>
  <c r="A9375" i="1"/>
  <c r="D9374" i="1"/>
  <c r="A9374" i="1"/>
  <c r="D9373" i="1"/>
  <c r="A9373" i="1"/>
  <c r="D9372" i="1"/>
  <c r="A9372" i="1"/>
  <c r="D9371" i="1"/>
  <c r="A9371" i="1"/>
  <c r="D9370" i="1"/>
  <c r="A9370" i="1"/>
  <c r="D9369" i="1"/>
  <c r="A9369" i="1"/>
  <c r="D9368" i="1"/>
  <c r="A9368" i="1"/>
  <c r="D9367" i="1"/>
  <c r="A9367" i="1"/>
  <c r="D9366" i="1"/>
  <c r="A9366" i="1"/>
  <c r="D9365" i="1"/>
  <c r="A9365" i="1"/>
  <c r="D9364" i="1"/>
  <c r="A9364" i="1"/>
  <c r="D9363" i="1"/>
  <c r="A9363" i="1"/>
  <c r="D9362" i="1"/>
  <c r="A9362" i="1"/>
  <c r="D9361" i="1"/>
  <c r="A9361" i="1"/>
  <c r="D9360" i="1"/>
  <c r="A9360" i="1"/>
  <c r="D9359" i="1"/>
  <c r="A9359" i="1"/>
  <c r="D9358" i="1"/>
  <c r="A9358" i="1"/>
  <c r="D9357" i="1"/>
  <c r="A9357" i="1"/>
  <c r="D9356" i="1"/>
  <c r="A9356" i="1"/>
  <c r="D9355" i="1"/>
  <c r="A9355" i="1"/>
  <c r="D9354" i="1"/>
  <c r="A9354" i="1"/>
  <c r="D9353" i="1"/>
  <c r="A9353" i="1"/>
  <c r="D9352" i="1"/>
  <c r="A9352" i="1"/>
  <c r="D9351" i="1"/>
  <c r="A9351" i="1"/>
  <c r="D9350" i="1"/>
  <c r="A9350" i="1"/>
  <c r="D9349" i="1"/>
  <c r="A9349" i="1"/>
  <c r="D9348" i="1"/>
  <c r="A9348" i="1"/>
  <c r="D9347" i="1"/>
  <c r="A9347" i="1"/>
  <c r="D9346" i="1"/>
  <c r="A9346" i="1"/>
  <c r="D9345" i="1"/>
  <c r="A9345" i="1"/>
  <c r="D9344" i="1"/>
  <c r="A9344" i="1"/>
  <c r="D9343" i="1"/>
  <c r="A9343" i="1"/>
  <c r="D9342" i="1"/>
  <c r="A9342" i="1"/>
  <c r="D9341" i="1"/>
  <c r="A9341" i="1"/>
  <c r="D9340" i="1"/>
  <c r="A9340" i="1"/>
  <c r="D9339" i="1"/>
  <c r="A9339" i="1"/>
  <c r="D9338" i="1"/>
  <c r="A9338" i="1"/>
  <c r="D9337" i="1"/>
  <c r="A9337" i="1"/>
  <c r="D9336" i="1"/>
  <c r="A9336" i="1"/>
  <c r="D9335" i="1"/>
  <c r="A9335" i="1"/>
  <c r="D9334" i="1"/>
  <c r="A9334" i="1"/>
  <c r="D9333" i="1"/>
  <c r="A9333" i="1"/>
  <c r="D9332" i="1"/>
  <c r="A9332" i="1"/>
  <c r="D9331" i="1"/>
  <c r="A9331" i="1"/>
  <c r="D9330" i="1"/>
  <c r="A9330" i="1"/>
  <c r="D9329" i="1"/>
  <c r="A9329" i="1"/>
  <c r="D9328" i="1"/>
  <c r="A9328" i="1"/>
  <c r="D9327" i="1"/>
  <c r="A9327" i="1"/>
  <c r="D9326" i="1"/>
  <c r="A9326" i="1"/>
  <c r="D9325" i="1"/>
  <c r="A9325" i="1"/>
  <c r="D9324" i="1"/>
  <c r="A9324" i="1"/>
  <c r="D9323" i="1"/>
  <c r="A9323" i="1"/>
  <c r="D9322" i="1"/>
  <c r="A9322" i="1"/>
  <c r="D9321" i="1"/>
  <c r="A9321" i="1"/>
  <c r="D9320" i="1"/>
  <c r="A9320" i="1"/>
  <c r="D9319" i="1"/>
  <c r="A9319" i="1"/>
  <c r="D9318" i="1"/>
  <c r="A9318" i="1"/>
  <c r="D9317" i="1"/>
  <c r="A9317" i="1"/>
  <c r="D9316" i="1"/>
  <c r="A9316" i="1"/>
  <c r="D9315" i="1"/>
  <c r="A9315" i="1"/>
  <c r="D9314" i="1"/>
  <c r="A9314" i="1"/>
  <c r="D9313" i="1"/>
  <c r="A9313" i="1"/>
  <c r="D9312" i="1"/>
  <c r="A9312" i="1"/>
  <c r="D9311" i="1"/>
  <c r="A9311" i="1"/>
  <c r="D9310" i="1"/>
  <c r="A9310" i="1"/>
  <c r="D9309" i="1"/>
  <c r="A9309" i="1"/>
  <c r="D9308" i="1"/>
  <c r="A9308" i="1"/>
  <c r="D9307" i="1"/>
  <c r="A9307" i="1"/>
  <c r="D9306" i="1"/>
  <c r="A9306" i="1"/>
  <c r="D9305" i="1"/>
  <c r="A9305" i="1"/>
  <c r="D9304" i="1"/>
  <c r="A9304" i="1"/>
  <c r="D9303" i="1"/>
  <c r="A9303" i="1"/>
  <c r="D9302" i="1"/>
  <c r="A9302" i="1"/>
  <c r="D9301" i="1"/>
  <c r="A9301" i="1"/>
  <c r="D9300" i="1"/>
  <c r="A9300" i="1"/>
  <c r="D9299" i="1"/>
  <c r="A9299" i="1"/>
  <c r="D9298" i="1"/>
  <c r="A9298" i="1"/>
  <c r="E9297" i="1"/>
  <c r="D9297" i="1"/>
  <c r="A9297" i="1"/>
  <c r="D9296" i="1"/>
  <c r="A9296" i="1"/>
  <c r="D9295" i="1"/>
  <c r="A9295" i="1"/>
  <c r="D9294" i="1"/>
  <c r="A9294" i="1"/>
  <c r="D9293" i="1"/>
  <c r="A9293" i="1"/>
  <c r="D9292" i="1"/>
  <c r="A9292" i="1"/>
  <c r="D9291" i="1"/>
  <c r="A9291" i="1"/>
  <c r="D9290" i="1"/>
  <c r="A9290" i="1"/>
  <c r="D9289" i="1"/>
  <c r="A9289" i="1"/>
  <c r="D9288" i="1"/>
  <c r="A9288" i="1"/>
  <c r="D9287" i="1"/>
  <c r="A9287" i="1"/>
  <c r="D9286" i="1"/>
  <c r="A9286" i="1"/>
  <c r="D9285" i="1"/>
  <c r="A9285" i="1"/>
  <c r="D9284" i="1"/>
  <c r="A9284" i="1"/>
  <c r="D9283" i="1"/>
  <c r="A9283" i="1"/>
  <c r="D9282" i="1"/>
  <c r="A9282" i="1"/>
  <c r="D9281" i="1"/>
  <c r="A9281" i="1"/>
  <c r="D9280" i="1"/>
  <c r="A9280" i="1"/>
  <c r="D9279" i="1"/>
  <c r="A9279" i="1"/>
  <c r="D9278" i="1"/>
  <c r="A9278" i="1"/>
  <c r="D9277" i="1"/>
  <c r="A9277" i="1"/>
  <c r="D9276" i="1"/>
  <c r="A9276" i="1"/>
  <c r="D9275" i="1"/>
  <c r="A9275" i="1"/>
  <c r="D9274" i="1"/>
  <c r="A9274" i="1"/>
  <c r="D9273" i="1"/>
  <c r="A9273" i="1"/>
  <c r="D9272" i="1"/>
  <c r="A9272" i="1"/>
  <c r="D9271" i="1"/>
  <c r="A9271" i="1"/>
  <c r="D9270" i="1"/>
  <c r="A9270" i="1"/>
  <c r="D9269" i="1"/>
  <c r="A9269" i="1"/>
  <c r="E9268" i="1"/>
  <c r="D9268" i="1"/>
  <c r="A9268" i="1"/>
  <c r="E9267" i="1"/>
  <c r="D9267" i="1"/>
  <c r="A9267" i="1"/>
  <c r="E9266" i="1"/>
  <c r="D9266" i="1"/>
  <c r="A9266" i="1"/>
  <c r="E9265" i="1"/>
  <c r="D9265" i="1"/>
  <c r="A9265" i="1"/>
  <c r="E9264" i="1"/>
  <c r="D9264" i="1"/>
  <c r="A9264" i="1"/>
  <c r="E9263" i="1"/>
  <c r="D9263" i="1"/>
  <c r="A9263" i="1"/>
  <c r="E9262" i="1"/>
  <c r="D9262" i="1"/>
  <c r="A9262" i="1"/>
  <c r="E9261" i="1"/>
  <c r="D9261" i="1"/>
  <c r="A9261" i="1"/>
  <c r="E9260" i="1"/>
  <c r="D9260" i="1"/>
  <c r="A9260" i="1"/>
  <c r="E9259" i="1"/>
  <c r="D9259" i="1"/>
  <c r="A9259" i="1"/>
  <c r="E9258" i="1"/>
  <c r="D9258" i="1"/>
  <c r="A9258" i="1"/>
  <c r="D9257" i="1"/>
  <c r="A9257" i="1"/>
  <c r="E9256" i="1"/>
  <c r="D9256" i="1"/>
  <c r="A9256" i="1"/>
  <c r="E9255" i="1"/>
  <c r="D9255" i="1"/>
  <c r="A9255" i="1"/>
  <c r="E9254" i="1"/>
  <c r="D9254" i="1"/>
  <c r="A9254" i="1"/>
  <c r="D9253" i="1"/>
  <c r="A9253" i="1"/>
  <c r="E9252" i="1"/>
  <c r="D9252" i="1"/>
  <c r="A9252" i="1"/>
  <c r="D9251" i="1"/>
  <c r="A9251" i="1"/>
  <c r="D9250" i="1"/>
  <c r="A9250" i="1"/>
  <c r="D9249" i="1"/>
  <c r="A9249" i="1"/>
  <c r="D9248" i="1"/>
  <c r="A9248" i="1"/>
  <c r="D9247" i="1"/>
  <c r="A9247" i="1"/>
  <c r="D9246" i="1"/>
  <c r="A9246" i="1"/>
  <c r="D9245" i="1"/>
  <c r="A9245" i="1"/>
  <c r="D9244" i="1"/>
  <c r="A9244" i="1"/>
  <c r="D9243" i="1"/>
  <c r="A9243" i="1"/>
  <c r="D9242" i="1"/>
  <c r="A9242" i="1"/>
  <c r="D9241" i="1"/>
  <c r="A9241" i="1"/>
  <c r="D9240" i="1"/>
  <c r="A9240" i="1"/>
  <c r="D9239" i="1"/>
  <c r="A9239" i="1"/>
  <c r="D9238" i="1"/>
  <c r="A9238" i="1"/>
  <c r="D9237" i="1"/>
  <c r="A9237" i="1"/>
  <c r="D9236" i="1"/>
  <c r="A9236" i="1"/>
  <c r="D9235" i="1"/>
  <c r="A9235" i="1"/>
  <c r="D9234" i="1"/>
  <c r="A9234" i="1"/>
  <c r="D9233" i="1"/>
  <c r="A9233" i="1"/>
  <c r="D9232" i="1"/>
  <c r="A9232" i="1"/>
  <c r="D9231" i="1"/>
  <c r="A9231" i="1"/>
  <c r="D9230" i="1"/>
  <c r="A9230" i="1"/>
  <c r="D9229" i="1"/>
  <c r="A9229" i="1"/>
  <c r="D9228" i="1"/>
  <c r="A9228" i="1"/>
  <c r="D9227" i="1"/>
  <c r="A9227" i="1"/>
  <c r="D9226" i="1"/>
  <c r="A9226" i="1"/>
  <c r="D9225" i="1"/>
  <c r="A9225" i="1"/>
  <c r="D9224" i="1"/>
  <c r="A9224" i="1"/>
  <c r="D9223" i="1"/>
  <c r="A9223" i="1"/>
  <c r="D9222" i="1"/>
  <c r="A9222" i="1"/>
  <c r="D9221" i="1"/>
  <c r="A9221" i="1"/>
  <c r="E9220" i="1"/>
  <c r="D9220" i="1"/>
  <c r="A9220" i="1"/>
  <c r="D9219" i="1"/>
  <c r="A9219" i="1"/>
  <c r="D9218" i="1"/>
  <c r="A9218" i="1"/>
  <c r="D9217" i="1"/>
  <c r="A9217" i="1"/>
  <c r="E9216" i="1"/>
  <c r="D9216" i="1"/>
  <c r="A9216" i="1"/>
  <c r="D9215" i="1"/>
  <c r="A9215" i="1"/>
  <c r="D9214" i="1"/>
  <c r="A9214" i="1"/>
  <c r="E9213" i="1"/>
  <c r="D9213" i="1"/>
  <c r="A9213" i="1"/>
  <c r="D9212" i="1"/>
  <c r="A9212" i="1"/>
  <c r="D9211" i="1"/>
  <c r="A9211" i="1"/>
  <c r="D9210" i="1"/>
  <c r="A9210" i="1"/>
  <c r="D9209" i="1"/>
  <c r="A9209" i="1"/>
  <c r="D9208" i="1"/>
  <c r="A9208" i="1"/>
  <c r="D9207" i="1"/>
  <c r="A9207" i="1"/>
  <c r="D9206" i="1"/>
  <c r="A9206" i="1"/>
  <c r="D9205" i="1"/>
  <c r="A9205" i="1"/>
  <c r="D9204" i="1"/>
  <c r="A9204" i="1"/>
  <c r="D9203" i="1"/>
  <c r="A9203" i="1"/>
  <c r="D9202" i="1"/>
  <c r="A9202" i="1"/>
  <c r="D9201" i="1"/>
  <c r="A9201" i="1"/>
  <c r="D9200" i="1"/>
  <c r="A9200" i="1"/>
  <c r="D9199" i="1"/>
  <c r="A9199" i="1"/>
  <c r="D9198" i="1"/>
  <c r="A9198" i="1"/>
  <c r="D9197" i="1"/>
  <c r="A9197" i="1"/>
  <c r="D9196" i="1"/>
  <c r="A9196" i="1"/>
  <c r="D9195" i="1"/>
  <c r="A9195" i="1"/>
  <c r="D9194" i="1"/>
  <c r="A9194" i="1"/>
  <c r="D9193" i="1"/>
  <c r="A9193" i="1"/>
  <c r="D9192" i="1"/>
  <c r="A9192" i="1"/>
  <c r="D9191" i="1"/>
  <c r="A9191" i="1"/>
  <c r="D9190" i="1"/>
  <c r="A9190" i="1"/>
  <c r="D9189" i="1"/>
  <c r="A9189" i="1"/>
  <c r="D9188" i="1"/>
  <c r="A9188" i="1"/>
  <c r="D9187" i="1"/>
  <c r="A9187" i="1"/>
  <c r="D9186" i="1"/>
  <c r="A9186" i="1"/>
  <c r="D9185" i="1"/>
  <c r="A9185" i="1"/>
  <c r="D9184" i="1"/>
  <c r="A9184" i="1"/>
  <c r="D9183" i="1"/>
  <c r="A9183" i="1"/>
  <c r="D9182" i="1"/>
  <c r="A9182" i="1"/>
  <c r="D9181" i="1"/>
  <c r="A9181" i="1"/>
  <c r="D9180" i="1"/>
  <c r="A9180" i="1"/>
  <c r="D9179" i="1"/>
  <c r="A9179" i="1"/>
  <c r="D9178" i="1"/>
  <c r="A9178" i="1"/>
  <c r="D9177" i="1"/>
  <c r="A9177" i="1"/>
  <c r="D9176" i="1"/>
  <c r="A9176" i="1"/>
  <c r="D9175" i="1"/>
  <c r="A9175" i="1"/>
  <c r="D9174" i="1"/>
  <c r="A9174" i="1"/>
  <c r="D9173" i="1"/>
  <c r="A9173" i="1"/>
  <c r="D9172" i="1"/>
  <c r="A9172" i="1"/>
  <c r="D9171" i="1"/>
  <c r="A9171" i="1"/>
  <c r="D9170" i="1"/>
  <c r="A9170" i="1"/>
  <c r="D9169" i="1"/>
  <c r="A9169" i="1"/>
  <c r="D9168" i="1"/>
  <c r="A9168" i="1"/>
  <c r="D9167" i="1"/>
  <c r="A9167" i="1"/>
  <c r="D9166" i="1"/>
  <c r="A9166" i="1"/>
  <c r="D9165" i="1"/>
  <c r="A9165" i="1"/>
  <c r="D9164" i="1"/>
  <c r="A9164" i="1"/>
  <c r="D9163" i="1"/>
  <c r="A9163" i="1"/>
  <c r="D9162" i="1"/>
  <c r="A9162" i="1"/>
  <c r="D9161" i="1"/>
  <c r="A9161" i="1"/>
  <c r="D9160" i="1"/>
  <c r="A9160" i="1"/>
  <c r="D9159" i="1"/>
  <c r="A9159" i="1"/>
  <c r="D9158" i="1"/>
  <c r="A9158" i="1"/>
  <c r="D9157" i="1"/>
  <c r="A9157" i="1"/>
  <c r="D9156" i="1"/>
  <c r="A9156" i="1"/>
  <c r="D9155" i="1"/>
  <c r="A9155" i="1"/>
  <c r="D9154" i="1"/>
  <c r="A9154" i="1"/>
  <c r="D9153" i="1"/>
  <c r="A9153" i="1"/>
  <c r="D9152" i="1"/>
  <c r="A9152" i="1"/>
  <c r="D9151" i="1"/>
  <c r="A9151" i="1"/>
  <c r="D9150" i="1"/>
  <c r="A9150" i="1"/>
  <c r="D9149" i="1"/>
  <c r="A9149" i="1"/>
  <c r="D9148" i="1"/>
  <c r="A9148" i="1"/>
  <c r="D9147" i="1"/>
  <c r="A9147" i="1"/>
  <c r="D9146" i="1"/>
  <c r="A9146" i="1"/>
  <c r="D9145" i="1"/>
  <c r="A9145" i="1"/>
  <c r="D9144" i="1"/>
  <c r="A9144" i="1"/>
  <c r="D9143" i="1"/>
  <c r="A9143" i="1"/>
  <c r="D9142" i="1"/>
  <c r="A9142" i="1"/>
  <c r="D9141" i="1"/>
  <c r="A9141" i="1"/>
  <c r="D9140" i="1"/>
  <c r="A9140" i="1"/>
  <c r="D9139" i="1"/>
  <c r="A9139" i="1"/>
  <c r="D9138" i="1"/>
  <c r="A9138" i="1"/>
  <c r="D9137" i="1"/>
  <c r="A9137" i="1"/>
  <c r="D9136" i="1"/>
  <c r="A9136" i="1"/>
  <c r="D9135" i="1"/>
  <c r="A9135" i="1"/>
  <c r="D9134" i="1"/>
  <c r="A9134" i="1"/>
  <c r="D9133" i="1"/>
  <c r="A9133" i="1"/>
  <c r="D9132" i="1"/>
  <c r="A9132" i="1"/>
  <c r="D9131" i="1"/>
  <c r="A9131" i="1"/>
  <c r="D9130" i="1"/>
  <c r="A9130" i="1"/>
  <c r="D9129" i="1"/>
  <c r="A9129" i="1"/>
  <c r="D9128" i="1"/>
  <c r="A9128" i="1"/>
  <c r="D9127" i="1"/>
  <c r="A9127" i="1"/>
  <c r="D9126" i="1"/>
  <c r="A9126" i="1"/>
  <c r="D9125" i="1"/>
  <c r="A9125" i="1"/>
  <c r="D9124" i="1"/>
  <c r="A9124" i="1"/>
  <c r="D9123" i="1"/>
  <c r="A9123" i="1"/>
  <c r="D9122" i="1"/>
  <c r="A9122" i="1"/>
  <c r="D9121" i="1"/>
  <c r="A9121" i="1"/>
  <c r="D9120" i="1"/>
  <c r="A9120" i="1"/>
  <c r="D9119" i="1"/>
  <c r="A9119" i="1"/>
  <c r="D9118" i="1"/>
  <c r="A9118" i="1"/>
  <c r="D9117" i="1"/>
  <c r="A9117" i="1"/>
  <c r="D9116" i="1"/>
  <c r="A9116" i="1"/>
  <c r="D9115" i="1"/>
  <c r="A9115" i="1"/>
  <c r="D9114" i="1"/>
  <c r="A9114" i="1"/>
  <c r="D9113" i="1"/>
  <c r="A9113" i="1"/>
  <c r="D9112" i="1"/>
  <c r="A9112" i="1"/>
  <c r="D9111" i="1"/>
  <c r="A9111" i="1"/>
  <c r="D9110" i="1"/>
  <c r="A9110" i="1"/>
  <c r="D9109" i="1"/>
  <c r="A9109" i="1"/>
  <c r="D9108" i="1"/>
  <c r="A9108" i="1"/>
  <c r="D9107" i="1"/>
  <c r="A9107" i="1"/>
  <c r="D9106" i="1"/>
  <c r="A9106" i="1"/>
  <c r="D9105" i="1"/>
  <c r="A9105" i="1"/>
  <c r="D9104" i="1"/>
  <c r="A9104" i="1"/>
  <c r="D9103" i="1"/>
  <c r="A9103" i="1"/>
  <c r="D9102" i="1"/>
  <c r="A9102" i="1"/>
  <c r="D9101" i="1"/>
  <c r="A9101" i="1"/>
  <c r="D9100" i="1"/>
  <c r="A9100" i="1"/>
  <c r="D9099" i="1"/>
  <c r="A9099" i="1"/>
  <c r="D9098" i="1"/>
  <c r="A9098" i="1"/>
  <c r="D9097" i="1"/>
  <c r="A9097" i="1"/>
  <c r="D9096" i="1"/>
  <c r="A9096" i="1"/>
  <c r="D9095" i="1"/>
  <c r="A9095" i="1"/>
  <c r="D9094" i="1"/>
  <c r="A9094" i="1"/>
  <c r="D9093" i="1"/>
  <c r="A9093" i="1"/>
  <c r="D9092" i="1"/>
  <c r="A9092" i="1"/>
  <c r="D9091" i="1"/>
  <c r="A9091" i="1"/>
  <c r="D9090" i="1"/>
  <c r="A9090" i="1"/>
  <c r="D9089" i="1"/>
  <c r="A9089" i="1"/>
  <c r="D9088" i="1"/>
  <c r="A9088" i="1"/>
  <c r="D9087" i="1"/>
  <c r="A9087" i="1"/>
  <c r="D9086" i="1"/>
  <c r="A9086" i="1"/>
  <c r="D9085" i="1"/>
  <c r="A9085" i="1"/>
  <c r="D9084" i="1"/>
  <c r="A9084" i="1"/>
  <c r="D9083" i="1"/>
  <c r="A9083" i="1"/>
  <c r="D9082" i="1"/>
  <c r="A9082" i="1"/>
  <c r="D9081" i="1"/>
  <c r="A9081" i="1"/>
  <c r="D9080" i="1"/>
  <c r="A9080" i="1"/>
  <c r="D9079" i="1"/>
  <c r="A9079" i="1"/>
  <c r="D9078" i="1"/>
  <c r="A9078" i="1"/>
  <c r="D9077" i="1"/>
  <c r="A9077" i="1"/>
  <c r="D9076" i="1"/>
  <c r="A9076" i="1"/>
  <c r="D9075" i="1"/>
  <c r="A9075" i="1"/>
  <c r="D9074" i="1"/>
  <c r="A9074" i="1"/>
  <c r="D9073" i="1"/>
  <c r="A9073" i="1"/>
  <c r="D9072" i="1"/>
  <c r="A9072" i="1"/>
  <c r="D9071" i="1"/>
  <c r="A9071" i="1"/>
  <c r="D9070" i="1"/>
  <c r="A9070" i="1"/>
  <c r="D9069" i="1"/>
  <c r="A9069" i="1"/>
  <c r="D9068" i="1"/>
  <c r="A9068" i="1"/>
  <c r="D9067" i="1"/>
  <c r="A9067" i="1"/>
  <c r="D9066" i="1"/>
  <c r="A9066" i="1"/>
  <c r="D9065" i="1"/>
  <c r="A9065" i="1"/>
  <c r="D9064" i="1"/>
  <c r="A9064" i="1"/>
  <c r="D9063" i="1"/>
  <c r="A9063" i="1"/>
  <c r="D9062" i="1"/>
  <c r="A9062" i="1"/>
  <c r="D9061" i="1"/>
  <c r="A9061" i="1"/>
  <c r="D9060" i="1"/>
  <c r="A9060" i="1"/>
  <c r="D9059" i="1"/>
  <c r="A9059" i="1"/>
  <c r="D9058" i="1"/>
  <c r="A9058" i="1"/>
  <c r="D9057" i="1"/>
  <c r="A9057" i="1"/>
  <c r="D9056" i="1"/>
  <c r="A9056" i="1"/>
  <c r="D9055" i="1"/>
  <c r="A9055" i="1"/>
  <c r="D9054" i="1"/>
  <c r="A9054" i="1"/>
  <c r="D9053" i="1"/>
  <c r="A9053" i="1"/>
  <c r="D9052" i="1"/>
  <c r="A9052" i="1"/>
  <c r="D9051" i="1"/>
  <c r="A9051" i="1"/>
  <c r="D9050" i="1"/>
  <c r="A9050" i="1"/>
  <c r="D9049" i="1"/>
  <c r="A9049" i="1"/>
  <c r="D9048" i="1"/>
  <c r="A9048" i="1"/>
  <c r="D9047" i="1"/>
  <c r="A9047" i="1"/>
  <c r="D9046" i="1"/>
  <c r="A9046" i="1"/>
  <c r="D9045" i="1"/>
  <c r="A9045" i="1"/>
  <c r="D9044" i="1"/>
  <c r="A9044" i="1"/>
  <c r="D9043" i="1"/>
  <c r="A9043" i="1"/>
  <c r="D9042" i="1"/>
  <c r="A9042" i="1"/>
  <c r="D9041" i="1"/>
  <c r="A9041" i="1"/>
  <c r="D9040" i="1"/>
  <c r="A9040" i="1"/>
  <c r="D9039" i="1"/>
  <c r="A9039" i="1"/>
  <c r="D9038" i="1"/>
  <c r="A9038" i="1"/>
  <c r="D9037" i="1"/>
  <c r="A9037" i="1"/>
  <c r="D9036" i="1"/>
  <c r="A9036" i="1"/>
  <c r="D9035" i="1"/>
  <c r="A9035" i="1"/>
  <c r="D9034" i="1"/>
  <c r="A9034" i="1"/>
  <c r="D9033" i="1"/>
  <c r="A9033" i="1"/>
  <c r="D9032" i="1"/>
  <c r="A9032" i="1"/>
  <c r="D9031" i="1"/>
  <c r="A9031" i="1"/>
  <c r="D9030" i="1"/>
  <c r="A9030" i="1"/>
  <c r="D9029" i="1"/>
  <c r="A9029" i="1"/>
  <c r="D9028" i="1"/>
  <c r="A9028" i="1"/>
  <c r="D9027" i="1"/>
  <c r="A9027" i="1"/>
  <c r="D9026" i="1"/>
  <c r="A9026" i="1"/>
  <c r="D9025" i="1"/>
  <c r="A9025" i="1"/>
  <c r="D9024" i="1"/>
  <c r="A9024" i="1"/>
  <c r="D9023" i="1"/>
  <c r="A9023" i="1"/>
  <c r="D9022" i="1"/>
  <c r="A9022" i="1"/>
  <c r="D9021" i="1"/>
  <c r="A9021" i="1"/>
  <c r="D9020" i="1"/>
  <c r="A9020" i="1"/>
  <c r="D9019" i="1"/>
  <c r="A9019" i="1"/>
  <c r="D9018" i="1"/>
  <c r="A9018" i="1"/>
  <c r="D9017" i="1"/>
  <c r="A9017" i="1"/>
  <c r="D9016" i="1"/>
  <c r="A9016" i="1"/>
  <c r="D9015" i="1"/>
  <c r="A9015" i="1"/>
  <c r="D9014" i="1"/>
  <c r="A9014" i="1"/>
  <c r="D9013" i="1"/>
  <c r="A9013" i="1"/>
  <c r="D9012" i="1"/>
  <c r="A9012" i="1"/>
  <c r="D9011" i="1"/>
  <c r="A9011" i="1"/>
  <c r="D9010" i="1"/>
  <c r="A9010" i="1"/>
  <c r="D9009" i="1"/>
  <c r="A9009" i="1"/>
  <c r="D9008" i="1"/>
  <c r="A9008" i="1"/>
  <c r="D9007" i="1"/>
  <c r="A9007" i="1"/>
  <c r="D9006" i="1"/>
  <c r="A9006" i="1"/>
  <c r="D9005" i="1"/>
  <c r="A9005" i="1"/>
  <c r="D9004" i="1"/>
  <c r="A9004" i="1"/>
  <c r="D9003" i="1"/>
  <c r="A9003" i="1"/>
  <c r="D9002" i="1"/>
  <c r="A9002" i="1"/>
  <c r="D9001" i="1"/>
  <c r="A9001" i="1"/>
  <c r="D9000" i="1"/>
  <c r="A9000" i="1"/>
  <c r="D8999" i="1"/>
  <c r="A8999" i="1"/>
  <c r="D8998" i="1"/>
  <c r="A8998" i="1"/>
  <c r="D8997" i="1"/>
  <c r="A8997" i="1"/>
  <c r="D8996" i="1"/>
  <c r="A8996" i="1"/>
  <c r="D8995" i="1"/>
  <c r="A8995" i="1"/>
  <c r="D8994" i="1"/>
  <c r="A8994" i="1"/>
  <c r="D8993" i="1"/>
  <c r="A8993" i="1"/>
  <c r="D8992" i="1"/>
  <c r="A8992" i="1"/>
  <c r="D8991" i="1"/>
  <c r="A8991" i="1"/>
  <c r="D8990" i="1"/>
  <c r="A8990" i="1"/>
  <c r="D8989" i="1"/>
  <c r="A8989" i="1"/>
  <c r="D8988" i="1"/>
  <c r="A8988" i="1"/>
  <c r="D8987" i="1"/>
  <c r="A8987" i="1"/>
  <c r="D8986" i="1"/>
  <c r="A8986" i="1"/>
  <c r="D8985" i="1"/>
  <c r="A8985" i="1"/>
  <c r="D8984" i="1"/>
  <c r="A8984" i="1"/>
  <c r="D8983" i="1"/>
  <c r="A8983" i="1"/>
  <c r="D8982" i="1"/>
  <c r="A8982" i="1"/>
  <c r="D8981" i="1"/>
  <c r="A8981" i="1"/>
  <c r="D8980" i="1"/>
  <c r="A8980" i="1"/>
  <c r="D8979" i="1"/>
  <c r="A8979" i="1"/>
  <c r="D8978" i="1"/>
  <c r="A8978" i="1"/>
  <c r="D8977" i="1"/>
  <c r="A8977" i="1"/>
  <c r="D8976" i="1"/>
  <c r="A8976" i="1"/>
  <c r="D8975" i="1"/>
  <c r="A8975" i="1"/>
  <c r="D8974" i="1"/>
  <c r="A8974" i="1"/>
  <c r="D8973" i="1"/>
  <c r="A8973" i="1"/>
  <c r="D8972" i="1"/>
  <c r="A8972" i="1"/>
  <c r="D8971" i="1"/>
  <c r="A8971" i="1"/>
  <c r="D8970" i="1"/>
  <c r="A8970" i="1"/>
  <c r="D8969" i="1"/>
  <c r="A8969" i="1"/>
  <c r="D8968" i="1"/>
  <c r="A8968" i="1"/>
  <c r="D8967" i="1"/>
  <c r="A8967" i="1"/>
  <c r="D8966" i="1"/>
  <c r="A8966" i="1"/>
  <c r="D8965" i="1"/>
  <c r="A8965" i="1"/>
  <c r="D8964" i="1"/>
  <c r="A8964" i="1"/>
  <c r="D8963" i="1"/>
  <c r="A8963" i="1"/>
  <c r="D8962" i="1"/>
  <c r="A8962" i="1"/>
  <c r="D8961" i="1"/>
  <c r="A8961" i="1"/>
  <c r="D8960" i="1"/>
  <c r="A8960" i="1"/>
  <c r="D8959" i="1"/>
  <c r="A8959" i="1"/>
  <c r="D8958" i="1"/>
  <c r="A8958" i="1"/>
  <c r="D8957" i="1"/>
  <c r="A8957" i="1"/>
  <c r="D8956" i="1"/>
  <c r="A8956" i="1"/>
  <c r="D8955" i="1"/>
  <c r="A8955" i="1"/>
  <c r="D8954" i="1"/>
  <c r="A8954" i="1"/>
  <c r="D8953" i="1"/>
  <c r="A8953" i="1"/>
  <c r="D8952" i="1"/>
  <c r="A8952" i="1"/>
  <c r="D8951" i="1"/>
  <c r="A8951" i="1"/>
  <c r="D8950" i="1"/>
  <c r="A8950" i="1"/>
  <c r="D8949" i="1"/>
  <c r="A8949" i="1"/>
  <c r="D8948" i="1"/>
  <c r="A8948" i="1"/>
  <c r="D8947" i="1"/>
  <c r="A8947" i="1"/>
  <c r="D8946" i="1"/>
  <c r="A8946" i="1"/>
  <c r="D8945" i="1"/>
  <c r="A8945" i="1"/>
  <c r="D8944" i="1"/>
  <c r="A8944" i="1"/>
  <c r="D8943" i="1"/>
  <c r="A8943" i="1"/>
  <c r="D8942" i="1"/>
  <c r="A8942" i="1"/>
  <c r="D8941" i="1"/>
  <c r="A8941" i="1"/>
  <c r="D8940" i="1"/>
  <c r="A8940" i="1"/>
  <c r="D8939" i="1"/>
  <c r="A8939" i="1"/>
  <c r="D8938" i="1"/>
  <c r="A8938" i="1"/>
  <c r="D8937" i="1"/>
  <c r="A8937" i="1"/>
  <c r="D8936" i="1"/>
  <c r="A8936" i="1"/>
  <c r="D8935" i="1"/>
  <c r="A8935" i="1"/>
  <c r="D8934" i="1"/>
  <c r="A8934" i="1"/>
  <c r="D8933" i="1"/>
  <c r="A8933" i="1"/>
  <c r="D8932" i="1"/>
  <c r="A8932" i="1"/>
  <c r="D8931" i="1"/>
  <c r="A8931" i="1"/>
  <c r="D8930" i="1"/>
  <c r="A8930" i="1"/>
  <c r="D8929" i="1"/>
  <c r="A8929" i="1"/>
  <c r="D8928" i="1"/>
  <c r="A8928" i="1"/>
  <c r="D8927" i="1"/>
  <c r="A8927" i="1"/>
  <c r="D8926" i="1"/>
  <c r="A8926" i="1"/>
  <c r="D8925" i="1"/>
  <c r="A8925" i="1"/>
  <c r="D8924" i="1"/>
  <c r="A8924" i="1"/>
  <c r="D8923" i="1"/>
  <c r="A8923" i="1"/>
  <c r="D8922" i="1"/>
  <c r="A8922" i="1"/>
  <c r="D8921" i="1"/>
  <c r="A8921" i="1"/>
  <c r="D8920" i="1"/>
  <c r="A8920" i="1"/>
  <c r="D8919" i="1"/>
  <c r="A8919" i="1"/>
  <c r="D8918" i="1"/>
  <c r="A8918" i="1"/>
  <c r="D8917" i="1"/>
  <c r="A8917" i="1"/>
  <c r="D8916" i="1"/>
  <c r="A8916" i="1"/>
  <c r="D8915" i="1"/>
  <c r="A8915" i="1"/>
  <c r="D8914" i="1"/>
  <c r="A8914" i="1"/>
  <c r="D8913" i="1"/>
  <c r="A8913" i="1"/>
  <c r="D8912" i="1"/>
  <c r="A8912" i="1"/>
  <c r="D8911" i="1"/>
  <c r="A8911" i="1"/>
  <c r="D8910" i="1"/>
  <c r="A8910" i="1"/>
  <c r="D8909" i="1"/>
  <c r="A8909" i="1"/>
  <c r="D8908" i="1"/>
  <c r="A8908" i="1"/>
  <c r="D8907" i="1"/>
  <c r="A8907" i="1"/>
  <c r="D8906" i="1"/>
  <c r="A8906" i="1"/>
  <c r="D8905" i="1"/>
  <c r="A8905" i="1"/>
  <c r="D8904" i="1"/>
  <c r="A8904" i="1"/>
  <c r="D8903" i="1"/>
  <c r="A8903" i="1"/>
  <c r="D8902" i="1"/>
  <c r="A8902" i="1"/>
  <c r="D8901" i="1"/>
  <c r="A8901" i="1"/>
  <c r="D8900" i="1"/>
  <c r="A8900" i="1"/>
  <c r="D8899" i="1"/>
  <c r="A8899" i="1"/>
  <c r="D8898" i="1"/>
  <c r="A8898" i="1"/>
  <c r="D8897" i="1"/>
  <c r="A8897" i="1"/>
  <c r="D8896" i="1"/>
  <c r="A8896" i="1"/>
  <c r="D8895" i="1"/>
  <c r="A8895" i="1"/>
  <c r="D8894" i="1"/>
  <c r="A8894" i="1"/>
  <c r="D8893" i="1"/>
  <c r="A8893" i="1"/>
  <c r="D8892" i="1"/>
  <c r="A8892" i="1"/>
  <c r="D8891" i="1"/>
  <c r="A8891" i="1"/>
  <c r="D8890" i="1"/>
  <c r="A8890" i="1"/>
  <c r="D8889" i="1"/>
  <c r="A8889" i="1"/>
  <c r="D8888" i="1"/>
  <c r="A8888" i="1"/>
  <c r="D8887" i="1"/>
  <c r="A8887" i="1"/>
  <c r="D8886" i="1"/>
  <c r="A8886" i="1"/>
  <c r="D8885" i="1"/>
  <c r="A8885" i="1"/>
  <c r="D8884" i="1"/>
  <c r="A8884" i="1"/>
  <c r="D8883" i="1"/>
  <c r="A8883" i="1"/>
  <c r="D8882" i="1"/>
  <c r="A8882" i="1"/>
  <c r="D8881" i="1"/>
  <c r="A8881" i="1"/>
  <c r="D8880" i="1"/>
  <c r="A8880" i="1"/>
  <c r="D8879" i="1"/>
  <c r="A8879" i="1"/>
  <c r="D8878" i="1"/>
  <c r="A8878" i="1"/>
  <c r="D8877" i="1"/>
  <c r="A8877" i="1"/>
  <c r="D8876" i="1"/>
  <c r="A8876" i="1"/>
  <c r="D8875" i="1"/>
  <c r="A8875" i="1"/>
  <c r="D8874" i="1"/>
  <c r="A8874" i="1"/>
  <c r="D8873" i="1"/>
  <c r="A8873" i="1"/>
  <c r="D8872" i="1"/>
  <c r="A8872" i="1"/>
  <c r="D8871" i="1"/>
  <c r="A8871" i="1"/>
  <c r="D8870" i="1"/>
  <c r="A8870" i="1"/>
  <c r="D8869" i="1"/>
  <c r="A8869" i="1"/>
  <c r="D8868" i="1"/>
  <c r="A8868" i="1"/>
  <c r="D8867" i="1"/>
  <c r="A8867" i="1"/>
  <c r="D8866" i="1"/>
  <c r="A8866" i="1"/>
  <c r="D8865" i="1"/>
  <c r="A8865" i="1"/>
  <c r="D8864" i="1"/>
  <c r="A8864" i="1"/>
  <c r="D8863" i="1"/>
  <c r="A8863" i="1"/>
  <c r="D8862" i="1"/>
  <c r="A8862" i="1"/>
  <c r="D8861" i="1"/>
  <c r="A8861" i="1"/>
  <c r="D8860" i="1"/>
  <c r="A8860" i="1"/>
  <c r="D8859" i="1"/>
  <c r="A8859" i="1"/>
  <c r="D8858" i="1"/>
  <c r="A8858" i="1"/>
  <c r="D8857" i="1"/>
  <c r="A8857" i="1"/>
  <c r="D8856" i="1"/>
  <c r="A8856" i="1"/>
  <c r="D8855" i="1"/>
  <c r="A8855" i="1"/>
  <c r="D8854" i="1"/>
  <c r="A8854" i="1"/>
  <c r="D8853" i="1"/>
  <c r="A8853" i="1"/>
  <c r="D8852" i="1"/>
  <c r="A8852" i="1"/>
  <c r="D8851" i="1"/>
  <c r="A8851" i="1"/>
  <c r="D8850" i="1"/>
  <c r="A8850" i="1"/>
  <c r="D8849" i="1"/>
  <c r="A8849" i="1"/>
  <c r="D8848" i="1"/>
  <c r="A8848" i="1"/>
  <c r="D8847" i="1"/>
  <c r="A8847" i="1"/>
  <c r="D8846" i="1"/>
  <c r="A8846" i="1"/>
  <c r="D8845" i="1"/>
  <c r="A8845" i="1"/>
  <c r="D8844" i="1"/>
  <c r="A8844" i="1"/>
  <c r="D8843" i="1"/>
  <c r="A8843" i="1"/>
  <c r="D8842" i="1"/>
  <c r="A8842" i="1"/>
  <c r="D8841" i="1"/>
  <c r="A8841" i="1"/>
  <c r="D8840" i="1"/>
  <c r="A8840" i="1"/>
  <c r="D8839" i="1"/>
  <c r="A8839" i="1"/>
  <c r="D8838" i="1"/>
  <c r="A8838" i="1"/>
  <c r="D8837" i="1"/>
  <c r="A8837" i="1"/>
  <c r="D8836" i="1"/>
  <c r="A8836" i="1"/>
  <c r="D8835" i="1"/>
  <c r="A8835" i="1"/>
  <c r="D8834" i="1"/>
  <c r="A8834" i="1"/>
  <c r="D8833" i="1"/>
  <c r="A8833" i="1"/>
  <c r="D8832" i="1"/>
  <c r="A8832" i="1"/>
  <c r="D8831" i="1"/>
  <c r="A8831" i="1"/>
  <c r="D8830" i="1"/>
  <c r="A8830" i="1"/>
  <c r="D8829" i="1"/>
  <c r="A8829" i="1"/>
  <c r="D8828" i="1"/>
  <c r="A8828" i="1"/>
  <c r="D8827" i="1"/>
  <c r="A8827" i="1"/>
  <c r="D8826" i="1"/>
  <c r="A8826" i="1"/>
  <c r="D8825" i="1"/>
  <c r="A8825" i="1"/>
  <c r="D8824" i="1"/>
  <c r="A8824" i="1"/>
  <c r="D8823" i="1"/>
  <c r="A8823" i="1"/>
  <c r="D8822" i="1"/>
  <c r="A8822" i="1"/>
  <c r="D8821" i="1"/>
  <c r="A8821" i="1"/>
  <c r="D8820" i="1"/>
  <c r="A8820" i="1"/>
  <c r="D8819" i="1"/>
  <c r="A8819" i="1"/>
  <c r="D8818" i="1"/>
  <c r="A8818" i="1"/>
  <c r="D8817" i="1"/>
  <c r="A8817" i="1"/>
  <c r="D8816" i="1"/>
  <c r="A8816" i="1"/>
  <c r="D8815" i="1"/>
  <c r="A8815" i="1"/>
  <c r="D8814" i="1"/>
  <c r="A8814" i="1"/>
  <c r="D8813" i="1"/>
  <c r="A8813" i="1"/>
  <c r="D8812" i="1"/>
  <c r="A8812" i="1"/>
  <c r="D8811" i="1"/>
  <c r="A8811" i="1"/>
  <c r="D8810" i="1"/>
  <c r="A8810" i="1"/>
  <c r="D8809" i="1"/>
  <c r="A8809" i="1"/>
  <c r="D8808" i="1"/>
  <c r="A8808" i="1"/>
  <c r="D8807" i="1"/>
  <c r="A8807" i="1"/>
  <c r="D8806" i="1"/>
  <c r="A8806" i="1"/>
  <c r="D8805" i="1"/>
  <c r="A8805" i="1"/>
  <c r="D8804" i="1"/>
  <c r="A8804" i="1"/>
  <c r="D8803" i="1"/>
  <c r="A8803" i="1"/>
  <c r="D8802" i="1"/>
  <c r="A8802" i="1"/>
  <c r="D8801" i="1"/>
  <c r="A8801" i="1"/>
  <c r="D8800" i="1"/>
  <c r="A8800" i="1"/>
  <c r="D8799" i="1"/>
  <c r="A8799" i="1"/>
  <c r="D8798" i="1"/>
  <c r="A8798" i="1"/>
  <c r="D8797" i="1"/>
  <c r="A8797" i="1"/>
  <c r="D8796" i="1"/>
  <c r="A8796" i="1"/>
  <c r="D8795" i="1"/>
  <c r="A8795" i="1"/>
  <c r="D8794" i="1"/>
  <c r="A8794" i="1"/>
  <c r="D8793" i="1"/>
  <c r="A8793" i="1"/>
  <c r="D8792" i="1"/>
  <c r="A8792" i="1"/>
  <c r="D8791" i="1"/>
  <c r="A8791" i="1"/>
  <c r="D8790" i="1"/>
  <c r="A8790" i="1"/>
  <c r="D8789" i="1"/>
  <c r="A8789" i="1"/>
  <c r="D8788" i="1"/>
  <c r="A8788" i="1"/>
  <c r="D8787" i="1"/>
  <c r="A8787" i="1"/>
  <c r="D8786" i="1"/>
  <c r="A8786" i="1"/>
  <c r="D8785" i="1"/>
  <c r="A8785" i="1"/>
  <c r="D8784" i="1"/>
  <c r="A8784" i="1"/>
  <c r="D8783" i="1"/>
  <c r="A8783" i="1"/>
  <c r="D8782" i="1"/>
  <c r="A8782" i="1"/>
  <c r="D8781" i="1"/>
  <c r="A8781" i="1"/>
  <c r="D8780" i="1"/>
  <c r="A8780" i="1"/>
  <c r="D8779" i="1"/>
  <c r="A8779" i="1"/>
  <c r="D8778" i="1"/>
  <c r="A8778" i="1"/>
  <c r="D8777" i="1"/>
  <c r="A8777" i="1"/>
  <c r="D8776" i="1"/>
  <c r="A8776" i="1"/>
  <c r="D8775" i="1"/>
  <c r="A8775" i="1"/>
  <c r="D8774" i="1"/>
  <c r="A8774" i="1"/>
  <c r="D8773" i="1"/>
  <c r="A8773" i="1"/>
  <c r="D8772" i="1"/>
  <c r="A8772" i="1"/>
  <c r="D8771" i="1"/>
  <c r="A8771" i="1"/>
  <c r="D8770" i="1"/>
  <c r="A8770" i="1"/>
  <c r="D8769" i="1"/>
  <c r="A8769" i="1"/>
  <c r="D8768" i="1"/>
  <c r="A8768" i="1"/>
  <c r="D8767" i="1"/>
  <c r="A8767" i="1"/>
  <c r="D8766" i="1"/>
  <c r="A8766" i="1"/>
  <c r="D8765" i="1"/>
  <c r="A8765" i="1"/>
  <c r="D8764" i="1"/>
  <c r="A8764" i="1"/>
  <c r="D8763" i="1"/>
  <c r="A8763" i="1"/>
  <c r="D8762" i="1"/>
  <c r="A8762" i="1"/>
  <c r="D8761" i="1"/>
  <c r="A8761" i="1"/>
  <c r="D8760" i="1"/>
  <c r="A8760" i="1"/>
  <c r="D8759" i="1"/>
  <c r="A8759" i="1"/>
  <c r="D8758" i="1"/>
  <c r="A8758" i="1"/>
  <c r="D8757" i="1"/>
  <c r="A8757" i="1"/>
  <c r="D8756" i="1"/>
  <c r="A8756" i="1"/>
  <c r="D8755" i="1"/>
  <c r="A8755" i="1"/>
  <c r="D8754" i="1"/>
  <c r="A8754" i="1"/>
  <c r="D8753" i="1"/>
  <c r="A8753" i="1"/>
  <c r="D8752" i="1"/>
  <c r="A8752" i="1"/>
  <c r="D8751" i="1"/>
  <c r="A8751" i="1"/>
  <c r="D8750" i="1"/>
  <c r="A8750" i="1"/>
  <c r="D8749" i="1"/>
  <c r="A8749" i="1"/>
  <c r="D8748" i="1"/>
  <c r="A8748" i="1"/>
  <c r="D8747" i="1"/>
  <c r="A8747" i="1"/>
  <c r="D8746" i="1"/>
  <c r="A8746" i="1"/>
  <c r="D8745" i="1"/>
  <c r="A8745" i="1"/>
  <c r="D8744" i="1"/>
  <c r="A8744" i="1"/>
  <c r="D8743" i="1"/>
  <c r="A8743" i="1"/>
  <c r="D8742" i="1"/>
  <c r="A8742" i="1"/>
  <c r="D8741" i="1"/>
  <c r="A8741" i="1"/>
  <c r="D8740" i="1"/>
  <c r="A8740" i="1"/>
  <c r="D8739" i="1"/>
  <c r="A8739" i="1"/>
  <c r="D8738" i="1"/>
  <c r="A8738" i="1"/>
  <c r="D8737" i="1"/>
  <c r="A8737" i="1"/>
  <c r="D8736" i="1"/>
  <c r="A8736" i="1"/>
  <c r="D8735" i="1"/>
  <c r="A8735" i="1"/>
  <c r="D8734" i="1"/>
  <c r="A8734" i="1"/>
  <c r="D8733" i="1"/>
  <c r="A8733" i="1"/>
  <c r="D8732" i="1"/>
  <c r="A8732" i="1"/>
  <c r="D8731" i="1"/>
  <c r="A8731" i="1"/>
  <c r="D8730" i="1"/>
  <c r="A8730" i="1"/>
  <c r="D8729" i="1"/>
  <c r="A8729" i="1"/>
  <c r="D8728" i="1"/>
  <c r="A8728" i="1"/>
  <c r="D8727" i="1"/>
  <c r="A8727" i="1"/>
  <c r="D8726" i="1"/>
  <c r="A8726" i="1"/>
  <c r="D8725" i="1"/>
  <c r="A8725" i="1"/>
  <c r="D8724" i="1"/>
  <c r="A8724" i="1"/>
  <c r="D8723" i="1"/>
  <c r="A8723" i="1"/>
  <c r="D8722" i="1"/>
  <c r="A8722" i="1"/>
  <c r="D8721" i="1"/>
  <c r="A8721" i="1"/>
  <c r="D8720" i="1"/>
  <c r="A8720" i="1"/>
  <c r="D8719" i="1"/>
  <c r="A8719" i="1"/>
  <c r="D8718" i="1"/>
  <c r="A8718" i="1"/>
  <c r="D8717" i="1"/>
  <c r="A8717" i="1"/>
  <c r="D8716" i="1"/>
  <c r="A8716" i="1"/>
  <c r="D8715" i="1"/>
  <c r="A8715" i="1"/>
  <c r="D8714" i="1"/>
  <c r="A8714" i="1"/>
  <c r="D8713" i="1"/>
  <c r="A8713" i="1"/>
  <c r="D8712" i="1"/>
  <c r="A8712" i="1"/>
  <c r="D8711" i="1"/>
  <c r="A8711" i="1"/>
  <c r="D8710" i="1"/>
  <c r="A8710" i="1"/>
  <c r="D8709" i="1"/>
  <c r="A8709" i="1"/>
  <c r="D8708" i="1"/>
  <c r="A8708" i="1"/>
  <c r="D8707" i="1"/>
  <c r="A8707" i="1"/>
  <c r="D8706" i="1"/>
  <c r="A8706" i="1"/>
  <c r="D8705" i="1"/>
  <c r="A8705" i="1"/>
  <c r="D8704" i="1"/>
  <c r="A8704" i="1"/>
  <c r="D8703" i="1"/>
  <c r="A8703" i="1"/>
  <c r="D8702" i="1"/>
  <c r="A8702" i="1"/>
  <c r="D8701" i="1"/>
  <c r="A8701" i="1"/>
  <c r="D8700" i="1"/>
  <c r="A8700" i="1"/>
  <c r="D8699" i="1"/>
  <c r="A8699" i="1"/>
  <c r="D8698" i="1"/>
  <c r="A8698" i="1"/>
  <c r="D8697" i="1"/>
  <c r="A8697" i="1"/>
  <c r="D8696" i="1"/>
  <c r="A8696" i="1"/>
  <c r="D8695" i="1"/>
  <c r="A8695" i="1"/>
  <c r="D8694" i="1"/>
  <c r="A8694" i="1"/>
  <c r="D8693" i="1"/>
  <c r="A8693" i="1"/>
  <c r="D8692" i="1"/>
  <c r="A8692" i="1"/>
  <c r="D8691" i="1"/>
  <c r="A8691" i="1"/>
  <c r="D8690" i="1"/>
  <c r="A8690" i="1"/>
  <c r="D8689" i="1"/>
  <c r="A8689" i="1"/>
  <c r="D8688" i="1"/>
  <c r="A8688" i="1"/>
  <c r="D8687" i="1"/>
  <c r="A8687" i="1"/>
  <c r="D8686" i="1"/>
  <c r="A8686" i="1"/>
  <c r="D8685" i="1"/>
  <c r="A8685" i="1"/>
  <c r="D8684" i="1"/>
  <c r="A8684" i="1"/>
  <c r="D8683" i="1"/>
  <c r="A8683" i="1"/>
  <c r="D8682" i="1"/>
  <c r="A8682" i="1"/>
  <c r="D8681" i="1"/>
  <c r="A8681" i="1"/>
  <c r="D8680" i="1"/>
  <c r="A8680" i="1"/>
  <c r="D8679" i="1"/>
  <c r="A8679" i="1"/>
  <c r="D8678" i="1"/>
  <c r="A8678" i="1"/>
  <c r="D8677" i="1"/>
  <c r="A8677" i="1"/>
  <c r="D8676" i="1"/>
  <c r="A8676" i="1"/>
  <c r="D8675" i="1"/>
  <c r="A8675" i="1"/>
  <c r="D8674" i="1"/>
  <c r="A8674" i="1"/>
  <c r="D8673" i="1"/>
  <c r="A8673" i="1"/>
  <c r="D8672" i="1"/>
  <c r="A8672" i="1"/>
  <c r="D8671" i="1"/>
  <c r="A8671" i="1"/>
  <c r="D8670" i="1"/>
  <c r="A8670" i="1"/>
  <c r="D8669" i="1"/>
  <c r="A8669" i="1"/>
  <c r="D8668" i="1"/>
  <c r="A8668" i="1"/>
  <c r="D8667" i="1"/>
  <c r="A8667" i="1"/>
  <c r="D8666" i="1"/>
  <c r="A8666" i="1"/>
  <c r="D8665" i="1"/>
  <c r="A8665" i="1"/>
  <c r="D8664" i="1"/>
  <c r="A8664" i="1"/>
  <c r="D8663" i="1"/>
  <c r="A8663" i="1"/>
  <c r="D8662" i="1"/>
  <c r="A8662" i="1"/>
  <c r="D8661" i="1"/>
  <c r="A8661" i="1"/>
  <c r="D8660" i="1"/>
  <c r="A8660" i="1"/>
  <c r="D8659" i="1"/>
  <c r="A8659" i="1"/>
  <c r="D8658" i="1"/>
  <c r="A8658" i="1"/>
  <c r="D8657" i="1"/>
  <c r="A8657" i="1"/>
  <c r="D8656" i="1"/>
  <c r="A8656" i="1"/>
  <c r="D8655" i="1"/>
  <c r="A8655" i="1"/>
  <c r="D8654" i="1"/>
  <c r="A8654" i="1"/>
  <c r="D8653" i="1"/>
  <c r="A8653" i="1"/>
  <c r="D8652" i="1"/>
  <c r="A8652" i="1"/>
  <c r="D8651" i="1"/>
  <c r="A8651" i="1"/>
  <c r="D8650" i="1"/>
  <c r="A8650" i="1"/>
  <c r="D8649" i="1"/>
  <c r="A8649" i="1"/>
  <c r="D8648" i="1"/>
  <c r="A8648" i="1"/>
  <c r="D8647" i="1"/>
  <c r="A8647" i="1"/>
  <c r="D8646" i="1"/>
  <c r="A8646" i="1"/>
  <c r="D8645" i="1"/>
  <c r="A8645" i="1"/>
  <c r="D8644" i="1"/>
  <c r="A8644" i="1"/>
  <c r="D8643" i="1"/>
  <c r="A8643" i="1"/>
  <c r="D8642" i="1"/>
  <c r="A8642" i="1"/>
  <c r="D8641" i="1"/>
  <c r="A8641" i="1"/>
  <c r="D8640" i="1"/>
  <c r="A8640" i="1"/>
  <c r="D8639" i="1"/>
  <c r="A8639" i="1"/>
  <c r="D8638" i="1"/>
  <c r="A8638" i="1"/>
  <c r="D8637" i="1"/>
  <c r="A8637" i="1"/>
  <c r="D8636" i="1"/>
  <c r="A8636" i="1"/>
  <c r="D8635" i="1"/>
  <c r="A8635" i="1"/>
  <c r="D8634" i="1"/>
  <c r="A8634" i="1"/>
  <c r="D8633" i="1"/>
  <c r="A8633" i="1"/>
  <c r="D8632" i="1"/>
  <c r="A8632" i="1"/>
  <c r="D8631" i="1"/>
  <c r="A8631" i="1"/>
  <c r="D8630" i="1"/>
  <c r="A8630" i="1"/>
  <c r="D8629" i="1"/>
  <c r="A8629" i="1"/>
  <c r="D8628" i="1"/>
  <c r="A8628" i="1"/>
  <c r="D8627" i="1"/>
  <c r="A8627" i="1"/>
  <c r="D8626" i="1"/>
  <c r="A8626" i="1"/>
  <c r="D8625" i="1"/>
  <c r="A8625" i="1"/>
  <c r="D8624" i="1"/>
  <c r="A8624" i="1"/>
  <c r="D8623" i="1"/>
  <c r="A8623" i="1"/>
  <c r="D8622" i="1"/>
  <c r="A8622" i="1"/>
  <c r="D8621" i="1"/>
  <c r="A8621" i="1"/>
  <c r="D8620" i="1"/>
  <c r="A8620" i="1"/>
  <c r="D8619" i="1"/>
  <c r="A8619" i="1"/>
  <c r="D8618" i="1"/>
  <c r="A8618" i="1"/>
  <c r="D8617" i="1"/>
  <c r="A8617" i="1"/>
  <c r="D8616" i="1"/>
  <c r="A8616" i="1"/>
  <c r="D8615" i="1"/>
  <c r="A8615" i="1"/>
  <c r="D8614" i="1"/>
  <c r="A8614" i="1"/>
  <c r="D8613" i="1"/>
  <c r="A8613" i="1"/>
  <c r="D8612" i="1"/>
  <c r="A8612" i="1"/>
  <c r="D8611" i="1"/>
  <c r="A8611" i="1"/>
  <c r="D8610" i="1"/>
  <c r="A8610" i="1"/>
  <c r="D8609" i="1"/>
  <c r="A8609" i="1"/>
  <c r="D8608" i="1"/>
  <c r="A8608" i="1"/>
  <c r="D8607" i="1"/>
  <c r="A8607" i="1"/>
  <c r="D8606" i="1"/>
  <c r="A8606" i="1"/>
  <c r="D8605" i="1"/>
  <c r="A8605" i="1"/>
  <c r="D8604" i="1"/>
  <c r="A8604" i="1"/>
  <c r="D8603" i="1"/>
  <c r="A8603" i="1"/>
  <c r="D8602" i="1"/>
  <c r="A8602" i="1"/>
  <c r="D8601" i="1"/>
  <c r="A8601" i="1"/>
  <c r="D8600" i="1"/>
  <c r="A8600" i="1"/>
  <c r="D8599" i="1"/>
  <c r="A8599" i="1"/>
  <c r="D8598" i="1"/>
  <c r="A8598" i="1"/>
  <c r="D8597" i="1"/>
  <c r="A8597" i="1"/>
  <c r="D8596" i="1"/>
  <c r="A8596" i="1"/>
  <c r="D8595" i="1"/>
  <c r="A8595" i="1"/>
  <c r="D8594" i="1"/>
  <c r="A8594" i="1"/>
  <c r="D8593" i="1"/>
  <c r="A8593" i="1"/>
  <c r="D8592" i="1"/>
  <c r="A8592" i="1"/>
  <c r="D8591" i="1"/>
  <c r="A8591" i="1"/>
  <c r="D8590" i="1"/>
  <c r="A8590" i="1"/>
  <c r="D8589" i="1"/>
  <c r="A8589" i="1"/>
  <c r="D8588" i="1"/>
  <c r="A8588" i="1"/>
  <c r="D8587" i="1"/>
  <c r="A8587" i="1"/>
  <c r="D8586" i="1"/>
  <c r="A8586" i="1"/>
  <c r="D8585" i="1"/>
  <c r="A8585" i="1"/>
  <c r="D8584" i="1"/>
  <c r="A8584" i="1"/>
  <c r="D8583" i="1"/>
  <c r="A8583" i="1"/>
  <c r="D8582" i="1"/>
  <c r="A8582" i="1"/>
  <c r="D8581" i="1"/>
  <c r="A8581" i="1"/>
  <c r="D8580" i="1"/>
  <c r="A8580" i="1"/>
  <c r="D8579" i="1"/>
  <c r="A8579" i="1"/>
  <c r="D8578" i="1"/>
  <c r="A8578" i="1"/>
  <c r="D8577" i="1"/>
  <c r="A8577" i="1"/>
  <c r="D8576" i="1"/>
  <c r="A8576" i="1"/>
  <c r="D8575" i="1"/>
  <c r="A8575" i="1"/>
  <c r="D8574" i="1"/>
  <c r="A8574" i="1"/>
  <c r="D8573" i="1"/>
  <c r="A8573" i="1"/>
  <c r="D8572" i="1"/>
  <c r="A8572" i="1"/>
  <c r="D8571" i="1"/>
  <c r="A8571" i="1"/>
  <c r="D8570" i="1"/>
  <c r="A8570" i="1"/>
  <c r="D8569" i="1"/>
  <c r="A8569" i="1"/>
  <c r="D8568" i="1"/>
  <c r="A8568" i="1"/>
  <c r="D8567" i="1"/>
  <c r="A8567" i="1"/>
  <c r="D8566" i="1"/>
  <c r="A8566" i="1"/>
  <c r="D8565" i="1"/>
  <c r="A8565" i="1"/>
  <c r="D8564" i="1"/>
  <c r="A8564" i="1"/>
  <c r="D8563" i="1"/>
  <c r="A8563" i="1"/>
  <c r="D8562" i="1"/>
  <c r="A8562" i="1"/>
  <c r="D8561" i="1"/>
  <c r="A8561" i="1"/>
  <c r="D8560" i="1"/>
  <c r="A8560" i="1"/>
  <c r="D8559" i="1"/>
  <c r="A8559" i="1"/>
  <c r="D8558" i="1"/>
  <c r="A8558" i="1"/>
  <c r="D8557" i="1"/>
  <c r="A8557" i="1"/>
  <c r="D8556" i="1"/>
  <c r="A8556" i="1"/>
  <c r="D8555" i="1"/>
  <c r="A8555" i="1"/>
  <c r="D8554" i="1"/>
  <c r="A8554" i="1"/>
  <c r="D8553" i="1"/>
  <c r="A8553" i="1"/>
  <c r="D8552" i="1"/>
  <c r="A8552" i="1"/>
  <c r="D8551" i="1"/>
  <c r="A8551" i="1"/>
  <c r="D8550" i="1"/>
  <c r="A8550" i="1"/>
  <c r="D8549" i="1"/>
  <c r="A8549" i="1"/>
  <c r="D8548" i="1"/>
  <c r="A8548" i="1"/>
  <c r="D8547" i="1"/>
  <c r="A8547" i="1"/>
  <c r="D8546" i="1"/>
  <c r="A8546" i="1"/>
  <c r="D8545" i="1"/>
  <c r="A8545" i="1"/>
  <c r="D8544" i="1"/>
  <c r="A8544" i="1"/>
  <c r="D8543" i="1"/>
  <c r="A8543" i="1"/>
  <c r="D8542" i="1"/>
  <c r="A8542" i="1"/>
  <c r="D8541" i="1"/>
  <c r="A8541" i="1"/>
  <c r="D8540" i="1"/>
  <c r="A8540" i="1"/>
  <c r="D8539" i="1"/>
  <c r="A8539" i="1"/>
  <c r="D8538" i="1"/>
  <c r="A8538" i="1"/>
  <c r="D8537" i="1"/>
  <c r="A8537" i="1"/>
  <c r="D8536" i="1"/>
  <c r="A8536" i="1"/>
  <c r="D8535" i="1"/>
  <c r="A8535" i="1"/>
  <c r="D8534" i="1"/>
  <c r="A8534" i="1"/>
  <c r="D8533" i="1"/>
  <c r="A8533" i="1"/>
  <c r="D8532" i="1"/>
  <c r="A8532" i="1"/>
  <c r="D8531" i="1"/>
  <c r="A8531" i="1"/>
  <c r="D8530" i="1"/>
  <c r="A8530" i="1"/>
  <c r="D8529" i="1"/>
  <c r="A8529" i="1"/>
  <c r="D8528" i="1"/>
  <c r="A8528" i="1"/>
  <c r="D8527" i="1"/>
  <c r="A8527" i="1"/>
  <c r="D8526" i="1"/>
  <c r="A8526" i="1"/>
  <c r="D8525" i="1"/>
  <c r="A8525" i="1"/>
  <c r="D8524" i="1"/>
  <c r="A8524" i="1"/>
  <c r="D8523" i="1"/>
  <c r="A8523" i="1"/>
  <c r="D8522" i="1"/>
  <c r="A8522" i="1"/>
  <c r="D8521" i="1"/>
  <c r="A8521" i="1"/>
  <c r="D8520" i="1"/>
  <c r="A8520" i="1"/>
  <c r="D8519" i="1"/>
  <c r="A8519" i="1"/>
  <c r="D8518" i="1"/>
  <c r="A8518" i="1"/>
  <c r="D8517" i="1"/>
  <c r="A8517" i="1"/>
  <c r="D8516" i="1"/>
  <c r="A8516" i="1"/>
  <c r="D8515" i="1"/>
  <c r="A8515" i="1"/>
  <c r="D8514" i="1"/>
  <c r="A8514" i="1"/>
  <c r="D8513" i="1"/>
  <c r="A8513" i="1"/>
  <c r="D8512" i="1"/>
  <c r="A8512" i="1"/>
  <c r="D8511" i="1"/>
  <c r="A8511" i="1"/>
  <c r="D8510" i="1"/>
  <c r="A8510" i="1"/>
  <c r="D8509" i="1"/>
  <c r="A8509" i="1"/>
  <c r="D8508" i="1"/>
  <c r="A8508" i="1"/>
  <c r="D8507" i="1"/>
  <c r="A8507" i="1"/>
  <c r="D8506" i="1"/>
  <c r="A8506" i="1"/>
  <c r="D8505" i="1"/>
  <c r="A8505" i="1"/>
  <c r="D8504" i="1"/>
  <c r="A8504" i="1"/>
  <c r="D8503" i="1"/>
  <c r="A8503" i="1"/>
  <c r="D8502" i="1"/>
  <c r="A8502" i="1"/>
  <c r="D8501" i="1"/>
  <c r="A8501" i="1"/>
  <c r="D8500" i="1"/>
  <c r="A8500" i="1"/>
  <c r="D8499" i="1"/>
  <c r="A8499" i="1"/>
  <c r="D8498" i="1"/>
  <c r="A8498" i="1"/>
  <c r="D8497" i="1"/>
  <c r="A8497" i="1"/>
  <c r="D8496" i="1"/>
  <c r="A8496" i="1"/>
  <c r="D8495" i="1"/>
  <c r="A8495" i="1"/>
  <c r="D8494" i="1"/>
  <c r="A8494" i="1"/>
  <c r="D8493" i="1"/>
  <c r="A8493" i="1"/>
  <c r="D8492" i="1"/>
  <c r="A8492" i="1"/>
  <c r="D8491" i="1"/>
  <c r="A8491" i="1"/>
  <c r="D8490" i="1"/>
  <c r="A8490" i="1"/>
  <c r="D8489" i="1"/>
  <c r="A8489" i="1"/>
  <c r="D8488" i="1"/>
  <c r="A8488" i="1"/>
  <c r="D8487" i="1"/>
  <c r="A8487" i="1"/>
  <c r="D8486" i="1"/>
  <c r="A8486" i="1"/>
  <c r="D8485" i="1"/>
  <c r="A8485" i="1"/>
  <c r="D8484" i="1"/>
  <c r="A8484" i="1"/>
  <c r="D8483" i="1"/>
  <c r="A8483" i="1"/>
  <c r="D8482" i="1"/>
  <c r="A8482" i="1"/>
  <c r="D8481" i="1"/>
  <c r="A8481" i="1"/>
  <c r="D8480" i="1"/>
  <c r="A8480" i="1"/>
  <c r="D8479" i="1"/>
  <c r="A8479" i="1"/>
  <c r="D8478" i="1"/>
  <c r="A8478" i="1"/>
  <c r="D8477" i="1"/>
  <c r="A8477" i="1"/>
  <c r="D8476" i="1"/>
  <c r="A8476" i="1"/>
  <c r="D8475" i="1"/>
  <c r="A8475" i="1"/>
  <c r="D8474" i="1"/>
  <c r="A8474" i="1"/>
  <c r="D8473" i="1"/>
  <c r="A8473" i="1"/>
  <c r="D8472" i="1"/>
  <c r="A8472" i="1"/>
  <c r="D8471" i="1"/>
  <c r="A8471" i="1"/>
  <c r="D8470" i="1"/>
  <c r="A8470" i="1"/>
  <c r="D8469" i="1"/>
  <c r="A8469" i="1"/>
  <c r="D8468" i="1"/>
  <c r="A8468" i="1"/>
  <c r="D8467" i="1"/>
  <c r="A8467" i="1"/>
  <c r="D8466" i="1"/>
  <c r="A8466" i="1"/>
  <c r="D8465" i="1"/>
  <c r="A8465" i="1"/>
  <c r="D8464" i="1"/>
  <c r="A8464" i="1"/>
  <c r="D8463" i="1"/>
  <c r="A8463" i="1"/>
  <c r="D8462" i="1"/>
  <c r="A8462" i="1"/>
  <c r="D8461" i="1"/>
  <c r="A8461" i="1"/>
  <c r="D8460" i="1"/>
  <c r="A8460" i="1"/>
  <c r="D8459" i="1"/>
  <c r="A8459" i="1"/>
  <c r="D8458" i="1"/>
  <c r="A8458" i="1"/>
  <c r="D8457" i="1"/>
  <c r="A8457" i="1"/>
  <c r="D8456" i="1"/>
  <c r="A8456" i="1"/>
  <c r="D8455" i="1"/>
  <c r="A8455" i="1"/>
  <c r="D8454" i="1"/>
  <c r="A8454" i="1"/>
  <c r="D8453" i="1"/>
  <c r="A8453" i="1"/>
  <c r="D8452" i="1"/>
  <c r="A8452" i="1"/>
  <c r="D8451" i="1"/>
  <c r="A8451" i="1"/>
  <c r="D8450" i="1"/>
  <c r="A8450" i="1"/>
  <c r="D8449" i="1"/>
  <c r="A8449" i="1"/>
  <c r="D8448" i="1"/>
  <c r="A8448" i="1"/>
  <c r="D8447" i="1"/>
  <c r="A8447" i="1"/>
  <c r="D8446" i="1"/>
  <c r="A8446" i="1"/>
  <c r="D8445" i="1"/>
  <c r="A8445" i="1"/>
  <c r="D8444" i="1"/>
  <c r="A8444" i="1"/>
  <c r="D8443" i="1"/>
  <c r="A8443" i="1"/>
  <c r="D8442" i="1"/>
  <c r="A8442" i="1"/>
  <c r="D8441" i="1"/>
  <c r="A8441" i="1"/>
  <c r="D8440" i="1"/>
  <c r="A8440" i="1"/>
  <c r="D8439" i="1"/>
  <c r="A8439" i="1"/>
  <c r="D8438" i="1"/>
  <c r="A8438" i="1"/>
  <c r="D8437" i="1"/>
  <c r="A8437" i="1"/>
  <c r="D8436" i="1"/>
  <c r="A8436" i="1"/>
  <c r="D8435" i="1"/>
  <c r="A8435" i="1"/>
  <c r="D8434" i="1"/>
  <c r="A8434" i="1"/>
  <c r="D8433" i="1"/>
  <c r="A8433" i="1"/>
  <c r="D8432" i="1"/>
  <c r="A8432" i="1"/>
  <c r="D8431" i="1"/>
  <c r="A8431" i="1"/>
  <c r="D8430" i="1"/>
  <c r="A8430" i="1"/>
  <c r="D8429" i="1"/>
  <c r="A8429" i="1"/>
  <c r="D8428" i="1"/>
  <c r="A8428" i="1"/>
  <c r="D8427" i="1"/>
  <c r="A8427" i="1"/>
  <c r="D8426" i="1"/>
  <c r="A8426" i="1"/>
  <c r="D8425" i="1"/>
  <c r="A8425" i="1"/>
  <c r="D8424" i="1"/>
  <c r="A8424" i="1"/>
  <c r="D8423" i="1"/>
  <c r="A8423" i="1"/>
  <c r="D8422" i="1"/>
  <c r="A8422" i="1"/>
  <c r="D8421" i="1"/>
  <c r="A8421" i="1"/>
  <c r="D8420" i="1"/>
  <c r="A8420" i="1"/>
  <c r="D8419" i="1"/>
  <c r="A8419" i="1"/>
  <c r="D8418" i="1"/>
  <c r="A8418" i="1"/>
  <c r="D8417" i="1"/>
  <c r="A8417" i="1"/>
  <c r="D8416" i="1"/>
  <c r="A8416" i="1"/>
  <c r="D8415" i="1"/>
  <c r="A8415" i="1"/>
  <c r="D8414" i="1"/>
  <c r="A8414" i="1"/>
  <c r="D8413" i="1"/>
  <c r="A8413" i="1"/>
  <c r="D8412" i="1"/>
  <c r="A8412" i="1"/>
  <c r="D8411" i="1"/>
  <c r="A8411" i="1"/>
  <c r="D8410" i="1"/>
  <c r="A8410" i="1"/>
  <c r="D8409" i="1"/>
  <c r="A8409" i="1"/>
  <c r="D8408" i="1"/>
  <c r="A8408" i="1"/>
  <c r="D8407" i="1"/>
  <c r="A8407" i="1"/>
  <c r="D8406" i="1"/>
  <c r="A8406" i="1"/>
  <c r="D8405" i="1"/>
  <c r="A8405" i="1"/>
  <c r="D8404" i="1"/>
  <c r="A8404" i="1"/>
  <c r="D8403" i="1"/>
  <c r="A8403" i="1"/>
  <c r="D8402" i="1"/>
  <c r="A8402" i="1"/>
  <c r="D8401" i="1"/>
  <c r="A8401" i="1"/>
  <c r="D8400" i="1"/>
  <c r="A8400" i="1"/>
  <c r="D8399" i="1"/>
  <c r="A8399" i="1"/>
  <c r="D8398" i="1"/>
  <c r="A8398" i="1"/>
  <c r="D8397" i="1"/>
  <c r="A8397" i="1"/>
  <c r="D8396" i="1"/>
  <c r="A8396" i="1"/>
  <c r="D8395" i="1"/>
  <c r="A8395" i="1"/>
  <c r="D8394" i="1"/>
  <c r="A8394" i="1"/>
  <c r="D8393" i="1"/>
  <c r="A8393" i="1"/>
  <c r="D8392" i="1"/>
  <c r="A8392" i="1"/>
  <c r="D8391" i="1"/>
  <c r="A8391" i="1"/>
  <c r="D8390" i="1"/>
  <c r="A8390" i="1"/>
  <c r="D8389" i="1"/>
  <c r="A8389" i="1"/>
  <c r="D8388" i="1"/>
  <c r="A8388" i="1"/>
  <c r="D8387" i="1"/>
  <c r="A8387" i="1"/>
  <c r="D8386" i="1"/>
  <c r="A8386" i="1"/>
  <c r="D8385" i="1"/>
  <c r="A8385" i="1"/>
  <c r="D8384" i="1"/>
  <c r="A8384" i="1"/>
  <c r="D8383" i="1"/>
  <c r="A8383" i="1"/>
  <c r="D8382" i="1"/>
  <c r="A8382" i="1"/>
  <c r="D8381" i="1"/>
  <c r="A8381" i="1"/>
  <c r="D8380" i="1"/>
  <c r="A8380" i="1"/>
  <c r="D8379" i="1"/>
  <c r="A8379" i="1"/>
  <c r="D8378" i="1"/>
  <c r="A8378" i="1"/>
  <c r="D8377" i="1"/>
  <c r="A8377" i="1"/>
  <c r="D8376" i="1"/>
  <c r="A8376" i="1"/>
  <c r="D8375" i="1"/>
  <c r="A8375" i="1"/>
  <c r="D8374" i="1"/>
  <c r="A8374" i="1"/>
  <c r="D8373" i="1"/>
  <c r="A8373" i="1"/>
  <c r="D8372" i="1"/>
  <c r="A8372" i="1"/>
  <c r="D8371" i="1"/>
  <c r="A8371" i="1"/>
  <c r="D8370" i="1"/>
  <c r="A8370" i="1"/>
  <c r="D8369" i="1"/>
  <c r="A8369" i="1"/>
  <c r="D8368" i="1"/>
  <c r="A8368" i="1"/>
  <c r="D8367" i="1"/>
  <c r="A8367" i="1"/>
  <c r="D8366" i="1"/>
  <c r="A8366" i="1"/>
  <c r="D8365" i="1"/>
  <c r="A8365" i="1"/>
  <c r="D8364" i="1"/>
  <c r="A8364" i="1"/>
  <c r="D8363" i="1"/>
  <c r="A8363" i="1"/>
  <c r="D8362" i="1"/>
  <c r="A8362" i="1"/>
  <c r="D8361" i="1"/>
  <c r="A8361" i="1"/>
  <c r="D8360" i="1"/>
  <c r="A8360" i="1"/>
  <c r="D8359" i="1"/>
  <c r="A8359" i="1"/>
  <c r="D8358" i="1"/>
  <c r="A8358" i="1"/>
  <c r="D8357" i="1"/>
  <c r="A8357" i="1"/>
  <c r="D8356" i="1"/>
  <c r="A8356" i="1"/>
  <c r="D8355" i="1"/>
  <c r="A8355" i="1"/>
  <c r="D8354" i="1"/>
  <c r="A8354" i="1"/>
  <c r="D8353" i="1"/>
  <c r="A8353" i="1"/>
  <c r="D8352" i="1"/>
  <c r="A8352" i="1"/>
  <c r="D8351" i="1"/>
  <c r="A8351" i="1"/>
  <c r="D8350" i="1"/>
  <c r="A8350" i="1"/>
  <c r="D8349" i="1"/>
  <c r="A8349" i="1"/>
  <c r="D8348" i="1"/>
  <c r="A8348" i="1"/>
  <c r="D8347" i="1"/>
  <c r="A8347" i="1"/>
  <c r="D8346" i="1"/>
  <c r="A8346" i="1"/>
  <c r="D8345" i="1"/>
  <c r="A8345" i="1"/>
  <c r="D8344" i="1"/>
  <c r="A8344" i="1"/>
  <c r="D8343" i="1"/>
  <c r="A8343" i="1"/>
  <c r="D8342" i="1"/>
  <c r="A8342" i="1"/>
  <c r="D8341" i="1"/>
  <c r="A8341" i="1"/>
  <c r="D8340" i="1"/>
  <c r="A8340" i="1"/>
  <c r="D8339" i="1"/>
  <c r="A8339" i="1"/>
  <c r="D8338" i="1"/>
  <c r="A8338" i="1"/>
  <c r="D8337" i="1"/>
  <c r="A8337" i="1"/>
  <c r="D8336" i="1"/>
  <c r="A8336" i="1"/>
  <c r="D8335" i="1"/>
  <c r="A8335" i="1"/>
  <c r="D8334" i="1"/>
  <c r="A8334" i="1"/>
  <c r="D8333" i="1"/>
  <c r="A8333" i="1"/>
  <c r="D8332" i="1"/>
  <c r="A8332" i="1"/>
  <c r="D8331" i="1"/>
  <c r="A8331" i="1"/>
  <c r="D8330" i="1"/>
  <c r="A8330" i="1"/>
  <c r="D8329" i="1"/>
  <c r="A8329" i="1"/>
  <c r="D8328" i="1"/>
  <c r="A8328" i="1"/>
  <c r="D8327" i="1"/>
  <c r="A8327" i="1"/>
  <c r="D8326" i="1"/>
  <c r="A8326" i="1"/>
  <c r="D8325" i="1"/>
  <c r="A8325" i="1"/>
  <c r="D8324" i="1"/>
  <c r="A8324" i="1"/>
  <c r="D8323" i="1"/>
  <c r="A8323" i="1"/>
  <c r="D8322" i="1"/>
  <c r="A8322" i="1"/>
  <c r="D8321" i="1"/>
  <c r="A8321" i="1"/>
  <c r="D8320" i="1"/>
  <c r="A8320" i="1"/>
  <c r="D8319" i="1"/>
  <c r="A8319" i="1"/>
  <c r="D8318" i="1"/>
  <c r="A8318" i="1"/>
  <c r="D8317" i="1"/>
  <c r="A8317" i="1"/>
  <c r="D8316" i="1"/>
  <c r="A8316" i="1"/>
  <c r="D8315" i="1"/>
  <c r="A8315" i="1"/>
  <c r="D8314" i="1"/>
  <c r="A8314" i="1"/>
  <c r="D8313" i="1"/>
  <c r="A8313" i="1"/>
  <c r="D8312" i="1"/>
  <c r="A8312" i="1"/>
  <c r="D8311" i="1"/>
  <c r="A8311" i="1"/>
  <c r="D8310" i="1"/>
  <c r="A8310" i="1"/>
  <c r="D8309" i="1"/>
  <c r="A8309" i="1"/>
  <c r="D8308" i="1"/>
  <c r="A8308" i="1"/>
  <c r="D8307" i="1"/>
  <c r="A8307" i="1"/>
  <c r="D8306" i="1"/>
  <c r="A8306" i="1"/>
  <c r="D8305" i="1"/>
  <c r="A8305" i="1"/>
  <c r="D8304" i="1"/>
  <c r="A8304" i="1"/>
  <c r="D8303" i="1"/>
  <c r="A8303" i="1"/>
  <c r="D8302" i="1"/>
  <c r="A8302" i="1"/>
  <c r="D8301" i="1"/>
  <c r="A8301" i="1"/>
  <c r="D8300" i="1"/>
  <c r="A8300" i="1"/>
  <c r="D8299" i="1"/>
  <c r="A8299" i="1"/>
  <c r="D8298" i="1"/>
  <c r="A8298" i="1"/>
  <c r="D8297" i="1"/>
  <c r="A8297" i="1"/>
  <c r="D8296" i="1"/>
  <c r="A8296" i="1"/>
  <c r="D8295" i="1"/>
  <c r="A8295" i="1"/>
  <c r="D8294" i="1"/>
  <c r="A8294" i="1"/>
  <c r="D8293" i="1"/>
  <c r="A8293" i="1"/>
  <c r="D8292" i="1"/>
  <c r="A8292" i="1"/>
  <c r="D8291" i="1"/>
  <c r="A8291" i="1"/>
  <c r="D8290" i="1"/>
  <c r="A8290" i="1"/>
  <c r="D8289" i="1"/>
  <c r="A8289" i="1"/>
  <c r="E8288" i="1"/>
  <c r="D8288" i="1"/>
  <c r="A8288" i="1"/>
  <c r="D8287" i="1"/>
  <c r="A8287" i="1"/>
  <c r="D8286" i="1"/>
  <c r="A8286" i="1"/>
  <c r="D8285" i="1"/>
  <c r="A8285" i="1"/>
  <c r="D8284" i="1"/>
  <c r="A8284" i="1"/>
  <c r="D8283" i="1"/>
  <c r="A8283" i="1"/>
  <c r="D8282" i="1"/>
  <c r="A8282" i="1"/>
  <c r="D8281" i="1"/>
  <c r="A8281" i="1"/>
  <c r="D8280" i="1"/>
  <c r="A8280" i="1"/>
  <c r="D8279" i="1"/>
  <c r="A8279" i="1"/>
  <c r="D8278" i="1"/>
  <c r="A8278" i="1"/>
  <c r="D8277" i="1"/>
  <c r="A8277" i="1"/>
  <c r="D8276" i="1"/>
  <c r="A8276" i="1"/>
  <c r="E8275" i="1"/>
  <c r="D8275" i="1"/>
  <c r="A8275" i="1"/>
  <c r="E8274" i="1"/>
  <c r="D8274" i="1"/>
  <c r="A8274" i="1"/>
  <c r="E8273" i="1"/>
  <c r="D8273" i="1"/>
  <c r="A8273" i="1"/>
  <c r="D8272" i="1"/>
  <c r="A8272" i="1"/>
  <c r="D8271" i="1"/>
  <c r="A8271" i="1"/>
  <c r="D8270" i="1"/>
  <c r="A8270" i="1"/>
  <c r="D8269" i="1"/>
  <c r="A8269" i="1"/>
  <c r="D8268" i="1"/>
  <c r="A8268" i="1"/>
  <c r="D8267" i="1"/>
  <c r="A8267" i="1"/>
  <c r="D8266" i="1"/>
  <c r="A8266" i="1"/>
  <c r="D8265" i="1"/>
  <c r="A8265" i="1"/>
  <c r="D8264" i="1"/>
  <c r="A8264" i="1"/>
  <c r="D8263" i="1"/>
  <c r="A8263" i="1"/>
  <c r="D8262" i="1"/>
  <c r="A8262" i="1"/>
  <c r="D8261" i="1"/>
  <c r="A8261" i="1"/>
  <c r="D8260" i="1"/>
  <c r="A8260" i="1"/>
  <c r="D8259" i="1"/>
  <c r="A8259" i="1"/>
  <c r="D8258" i="1"/>
  <c r="A8258" i="1"/>
  <c r="D8257" i="1"/>
  <c r="A8257" i="1"/>
  <c r="D8256" i="1"/>
  <c r="A8256" i="1"/>
  <c r="D8255" i="1"/>
  <c r="A8255" i="1"/>
  <c r="D8254" i="1"/>
  <c r="A8254" i="1"/>
  <c r="D8253" i="1"/>
  <c r="A8253" i="1"/>
  <c r="D8252" i="1"/>
  <c r="A8252" i="1"/>
  <c r="D8251" i="1"/>
  <c r="A8251" i="1"/>
  <c r="D8250" i="1"/>
  <c r="A8250" i="1"/>
  <c r="D8249" i="1"/>
  <c r="A8249" i="1"/>
  <c r="D8248" i="1"/>
  <c r="A8248" i="1"/>
  <c r="D8247" i="1"/>
  <c r="A8247" i="1"/>
  <c r="D8246" i="1"/>
  <c r="A8246" i="1"/>
  <c r="E8245" i="1"/>
  <c r="D8245" i="1"/>
  <c r="A8245" i="1"/>
  <c r="D8244" i="1"/>
  <c r="A8244" i="1"/>
  <c r="D8243" i="1"/>
  <c r="A8243" i="1"/>
  <c r="D8242" i="1"/>
  <c r="A8242" i="1"/>
  <c r="D8241" i="1"/>
  <c r="A8241" i="1"/>
  <c r="D8240" i="1"/>
  <c r="A8240" i="1"/>
  <c r="D8239" i="1"/>
  <c r="A8239" i="1"/>
  <c r="D8238" i="1"/>
  <c r="A8238" i="1"/>
  <c r="D8237" i="1"/>
  <c r="A8237" i="1"/>
  <c r="D8236" i="1"/>
  <c r="A8236" i="1"/>
  <c r="D8235" i="1"/>
  <c r="A8235" i="1"/>
  <c r="D8234" i="1"/>
  <c r="A8234" i="1"/>
  <c r="D8233" i="1"/>
  <c r="A8233" i="1"/>
  <c r="D8232" i="1"/>
  <c r="A8232" i="1"/>
  <c r="D8231" i="1"/>
  <c r="A8231" i="1"/>
  <c r="D8230" i="1"/>
  <c r="A8230" i="1"/>
  <c r="D8229" i="1"/>
  <c r="A8229" i="1"/>
  <c r="D8228" i="1"/>
  <c r="A8228" i="1"/>
  <c r="D8227" i="1"/>
  <c r="A8227" i="1"/>
  <c r="D8226" i="1"/>
  <c r="A8226" i="1"/>
  <c r="D8225" i="1"/>
  <c r="A8225" i="1"/>
  <c r="D8224" i="1"/>
  <c r="A8224" i="1"/>
  <c r="D8223" i="1"/>
  <c r="A8223" i="1"/>
  <c r="D8222" i="1"/>
  <c r="A8222" i="1"/>
  <c r="D8221" i="1"/>
  <c r="A8221" i="1"/>
  <c r="D8220" i="1"/>
  <c r="A8220" i="1"/>
  <c r="D8219" i="1"/>
  <c r="A8219" i="1"/>
  <c r="D8218" i="1"/>
  <c r="A8218" i="1"/>
  <c r="D8217" i="1"/>
  <c r="A8217" i="1"/>
  <c r="D8216" i="1"/>
  <c r="A8216" i="1"/>
  <c r="D8215" i="1"/>
  <c r="A8215" i="1"/>
  <c r="D8214" i="1"/>
  <c r="A8214" i="1"/>
  <c r="D8213" i="1"/>
  <c r="A8213" i="1"/>
  <c r="D8212" i="1"/>
  <c r="A8212" i="1"/>
  <c r="D8211" i="1"/>
  <c r="A8211" i="1"/>
  <c r="D8210" i="1"/>
  <c r="A8210" i="1"/>
  <c r="D8209" i="1"/>
  <c r="A8209" i="1"/>
  <c r="D8208" i="1"/>
  <c r="A8208" i="1"/>
  <c r="D8207" i="1"/>
  <c r="A8207" i="1"/>
  <c r="D8206" i="1"/>
  <c r="A8206" i="1"/>
  <c r="D8205" i="1"/>
  <c r="A8205" i="1"/>
  <c r="D8204" i="1"/>
  <c r="A8204" i="1"/>
  <c r="D8203" i="1"/>
  <c r="A8203" i="1"/>
  <c r="D8202" i="1"/>
  <c r="A8202" i="1"/>
  <c r="D8201" i="1"/>
  <c r="A8201" i="1"/>
  <c r="D8200" i="1"/>
  <c r="A8200" i="1"/>
  <c r="D8199" i="1"/>
  <c r="A8199" i="1"/>
  <c r="D8198" i="1"/>
  <c r="A8198" i="1"/>
  <c r="D8197" i="1"/>
  <c r="A8197" i="1"/>
  <c r="D8196" i="1"/>
  <c r="A8196" i="1"/>
  <c r="D8195" i="1"/>
  <c r="A8195" i="1"/>
  <c r="D8194" i="1"/>
  <c r="A8194" i="1"/>
  <c r="D8193" i="1"/>
  <c r="A8193" i="1"/>
  <c r="D8192" i="1"/>
  <c r="A8192" i="1"/>
  <c r="D8191" i="1"/>
  <c r="A8191" i="1"/>
  <c r="D8190" i="1"/>
  <c r="A8190" i="1"/>
  <c r="D8189" i="1"/>
  <c r="A8189" i="1"/>
  <c r="D8188" i="1"/>
  <c r="A8188" i="1"/>
  <c r="D8187" i="1"/>
  <c r="A8187" i="1"/>
  <c r="D8186" i="1"/>
  <c r="A8186" i="1"/>
  <c r="D8185" i="1"/>
  <c r="A8185" i="1"/>
  <c r="D8184" i="1"/>
  <c r="A8184" i="1"/>
  <c r="D8183" i="1"/>
  <c r="A8183" i="1"/>
  <c r="D8182" i="1"/>
  <c r="A8182" i="1"/>
  <c r="D8181" i="1"/>
  <c r="A8181" i="1"/>
  <c r="D8180" i="1"/>
  <c r="A8180" i="1"/>
  <c r="D8179" i="1"/>
  <c r="A8179" i="1"/>
  <c r="D8178" i="1"/>
  <c r="A8178" i="1"/>
  <c r="D8177" i="1"/>
  <c r="A8177" i="1"/>
  <c r="D8176" i="1"/>
  <c r="A8176" i="1"/>
  <c r="D8175" i="1"/>
  <c r="A8175" i="1"/>
  <c r="D8174" i="1"/>
  <c r="A8174" i="1"/>
  <c r="D8173" i="1"/>
  <c r="A8173" i="1"/>
  <c r="D8172" i="1"/>
  <c r="A8172" i="1"/>
  <c r="D8171" i="1"/>
  <c r="A8171" i="1"/>
  <c r="D8170" i="1"/>
  <c r="A8170" i="1"/>
  <c r="D8169" i="1"/>
  <c r="A8169" i="1"/>
  <c r="D8168" i="1"/>
  <c r="A8168" i="1"/>
  <c r="D8167" i="1"/>
  <c r="A8167" i="1"/>
  <c r="D8166" i="1"/>
  <c r="A8166" i="1"/>
  <c r="D8165" i="1"/>
  <c r="A8165" i="1"/>
  <c r="D8164" i="1"/>
  <c r="A8164" i="1"/>
  <c r="D8163" i="1"/>
  <c r="A8163" i="1"/>
  <c r="D8162" i="1"/>
  <c r="A8162" i="1"/>
  <c r="D8161" i="1"/>
  <c r="A8161" i="1"/>
  <c r="D8160" i="1"/>
  <c r="A8160" i="1"/>
  <c r="D8159" i="1"/>
  <c r="A8159" i="1"/>
  <c r="D8158" i="1"/>
  <c r="A8158" i="1"/>
  <c r="D8157" i="1"/>
  <c r="A8157" i="1"/>
  <c r="D8156" i="1"/>
  <c r="A8156" i="1"/>
  <c r="D8155" i="1"/>
  <c r="A8155" i="1"/>
  <c r="D8154" i="1"/>
  <c r="A8154" i="1"/>
  <c r="D8153" i="1"/>
  <c r="A8153" i="1"/>
  <c r="D8152" i="1"/>
  <c r="A8152" i="1"/>
  <c r="D8151" i="1"/>
  <c r="A8151" i="1"/>
  <c r="D8150" i="1"/>
  <c r="A8150" i="1"/>
  <c r="D8149" i="1"/>
  <c r="A8149" i="1"/>
  <c r="D8148" i="1"/>
  <c r="A8148" i="1"/>
  <c r="D8147" i="1"/>
  <c r="A8147" i="1"/>
  <c r="D8146" i="1"/>
  <c r="A8146" i="1"/>
  <c r="D8145" i="1"/>
  <c r="A8145" i="1"/>
  <c r="E8144" i="1"/>
  <c r="D8144" i="1"/>
  <c r="A8144" i="1"/>
  <c r="D8143" i="1"/>
  <c r="A8143" i="1"/>
  <c r="D8142" i="1"/>
  <c r="A8142" i="1"/>
  <c r="D8141" i="1"/>
  <c r="A8141" i="1"/>
  <c r="D8140" i="1"/>
  <c r="A8140" i="1"/>
  <c r="D8139" i="1"/>
  <c r="A8139" i="1"/>
  <c r="D8138" i="1"/>
  <c r="A8138" i="1"/>
  <c r="D8137" i="1"/>
  <c r="A8137" i="1"/>
  <c r="D8136" i="1"/>
  <c r="A8136" i="1"/>
  <c r="D8135" i="1"/>
  <c r="A8135" i="1"/>
  <c r="D8134" i="1"/>
  <c r="A8134" i="1"/>
  <c r="D8133" i="1"/>
  <c r="A8133" i="1"/>
  <c r="D8132" i="1"/>
  <c r="A8132" i="1"/>
  <c r="D8131" i="1"/>
  <c r="A8131" i="1"/>
  <c r="D8130" i="1"/>
  <c r="A8130" i="1"/>
  <c r="D8129" i="1"/>
  <c r="A8129" i="1"/>
  <c r="D8128" i="1"/>
  <c r="A8128" i="1"/>
  <c r="D8127" i="1"/>
  <c r="A8127" i="1"/>
  <c r="D8126" i="1"/>
  <c r="A8126" i="1"/>
  <c r="D8125" i="1"/>
  <c r="A8125" i="1"/>
  <c r="D8124" i="1"/>
  <c r="A8124" i="1"/>
  <c r="D8123" i="1"/>
  <c r="A8123" i="1"/>
  <c r="D8122" i="1"/>
  <c r="A8122" i="1"/>
  <c r="D8121" i="1"/>
  <c r="A8121" i="1"/>
  <c r="D8120" i="1"/>
  <c r="A8120" i="1"/>
  <c r="D8119" i="1"/>
  <c r="A8119" i="1"/>
  <c r="D8118" i="1"/>
  <c r="A8118" i="1"/>
  <c r="D8117" i="1"/>
  <c r="A8117" i="1"/>
  <c r="D8116" i="1"/>
  <c r="A8116" i="1"/>
  <c r="D8115" i="1"/>
  <c r="A8115" i="1"/>
  <c r="D8114" i="1"/>
  <c r="A8114" i="1"/>
  <c r="D8113" i="1"/>
  <c r="A8113" i="1"/>
  <c r="D8112" i="1"/>
  <c r="A8112" i="1"/>
  <c r="D8111" i="1"/>
  <c r="A8111" i="1"/>
  <c r="D8110" i="1"/>
  <c r="A8110" i="1"/>
  <c r="D8109" i="1"/>
  <c r="A8109" i="1"/>
  <c r="D8108" i="1"/>
  <c r="A8108" i="1"/>
  <c r="D8107" i="1"/>
  <c r="A8107" i="1"/>
  <c r="D8106" i="1"/>
  <c r="A8106" i="1"/>
  <c r="D8105" i="1"/>
  <c r="A8105" i="1"/>
  <c r="D8104" i="1"/>
  <c r="A8104" i="1"/>
  <c r="D8103" i="1"/>
  <c r="A8103" i="1"/>
  <c r="D8102" i="1"/>
  <c r="A8102" i="1"/>
  <c r="D8101" i="1"/>
  <c r="A8101" i="1"/>
  <c r="D8100" i="1"/>
  <c r="A8100" i="1"/>
  <c r="D8099" i="1"/>
  <c r="A8099" i="1"/>
  <c r="D8098" i="1"/>
  <c r="A8098" i="1"/>
  <c r="D8097" i="1"/>
  <c r="A8097" i="1"/>
  <c r="D8096" i="1"/>
  <c r="A8096" i="1"/>
  <c r="D8095" i="1"/>
  <c r="A8095" i="1"/>
  <c r="D8094" i="1"/>
  <c r="A8094" i="1"/>
  <c r="D8093" i="1"/>
  <c r="A8093" i="1"/>
  <c r="D8092" i="1"/>
  <c r="A8092" i="1"/>
  <c r="D8091" i="1"/>
  <c r="A8091" i="1"/>
  <c r="D8090" i="1"/>
  <c r="A8090" i="1"/>
  <c r="D8089" i="1"/>
  <c r="A8089" i="1"/>
  <c r="D8088" i="1"/>
  <c r="A8088" i="1"/>
  <c r="D8087" i="1"/>
  <c r="A8087" i="1"/>
  <c r="D8086" i="1"/>
  <c r="A8086" i="1"/>
  <c r="D8085" i="1"/>
  <c r="A8085" i="1"/>
  <c r="D8084" i="1"/>
  <c r="A8084" i="1"/>
  <c r="D8083" i="1"/>
  <c r="A8083" i="1"/>
  <c r="D8082" i="1"/>
  <c r="A8082" i="1"/>
  <c r="D8081" i="1"/>
  <c r="A8081" i="1"/>
  <c r="D8080" i="1"/>
  <c r="A8080" i="1"/>
  <c r="D8079" i="1"/>
  <c r="A8079" i="1"/>
  <c r="D8078" i="1"/>
  <c r="A8078" i="1"/>
  <c r="D8077" i="1"/>
  <c r="A8077" i="1"/>
  <c r="D8076" i="1"/>
  <c r="A8076" i="1"/>
  <c r="D8075" i="1"/>
  <c r="A8075" i="1"/>
  <c r="D8074" i="1"/>
  <c r="A8074" i="1"/>
  <c r="D8073" i="1"/>
  <c r="A8073" i="1"/>
  <c r="D8072" i="1"/>
  <c r="A8072" i="1"/>
  <c r="D8071" i="1"/>
  <c r="A8071" i="1"/>
  <c r="D8070" i="1"/>
  <c r="A8070" i="1"/>
  <c r="D8069" i="1"/>
  <c r="A8069" i="1"/>
  <c r="D8068" i="1"/>
  <c r="A8068" i="1"/>
  <c r="D8067" i="1"/>
  <c r="A8067" i="1"/>
  <c r="D8066" i="1"/>
  <c r="A8066" i="1"/>
  <c r="D8065" i="1"/>
  <c r="A8065" i="1"/>
  <c r="D8064" i="1"/>
  <c r="A8064" i="1"/>
  <c r="D8063" i="1"/>
  <c r="A8063" i="1"/>
  <c r="D8062" i="1"/>
  <c r="A8062" i="1"/>
  <c r="D8061" i="1"/>
  <c r="A8061" i="1"/>
  <c r="D8060" i="1"/>
  <c r="A8060" i="1"/>
  <c r="D8059" i="1"/>
  <c r="A8059" i="1"/>
  <c r="D8058" i="1"/>
  <c r="A8058" i="1"/>
  <c r="D8057" i="1"/>
  <c r="A8057" i="1"/>
  <c r="D8056" i="1"/>
  <c r="A8056" i="1"/>
  <c r="D8055" i="1"/>
  <c r="A8055" i="1"/>
  <c r="D8054" i="1"/>
  <c r="A8054" i="1"/>
  <c r="D8053" i="1"/>
  <c r="A8053" i="1"/>
  <c r="D8052" i="1"/>
  <c r="A8052" i="1"/>
  <c r="D8051" i="1"/>
  <c r="A8051" i="1"/>
  <c r="D8050" i="1"/>
  <c r="A8050" i="1"/>
  <c r="D8049" i="1"/>
  <c r="A8049" i="1"/>
  <c r="D8048" i="1"/>
  <c r="A8048" i="1"/>
  <c r="D8047" i="1"/>
  <c r="A8047" i="1"/>
  <c r="D8046" i="1"/>
  <c r="A8046" i="1"/>
  <c r="D8045" i="1"/>
  <c r="A8045" i="1"/>
  <c r="D8044" i="1"/>
  <c r="A8044" i="1"/>
  <c r="D8043" i="1"/>
  <c r="A8043" i="1"/>
  <c r="D8042" i="1"/>
  <c r="A8042" i="1"/>
  <c r="D8041" i="1"/>
  <c r="A8041" i="1"/>
  <c r="D8040" i="1"/>
  <c r="A8040" i="1"/>
  <c r="D8039" i="1"/>
  <c r="A8039" i="1"/>
  <c r="D8038" i="1"/>
  <c r="A8038" i="1"/>
  <c r="D8037" i="1"/>
  <c r="A8037" i="1"/>
  <c r="D8036" i="1"/>
  <c r="A8036" i="1"/>
  <c r="D8035" i="1"/>
  <c r="A8035" i="1"/>
  <c r="D8034" i="1"/>
  <c r="A8034" i="1"/>
  <c r="D8033" i="1"/>
  <c r="A8033" i="1"/>
  <c r="D8032" i="1"/>
  <c r="A8032" i="1"/>
  <c r="D8031" i="1"/>
  <c r="A8031" i="1"/>
  <c r="D8030" i="1"/>
  <c r="A8030" i="1"/>
  <c r="D8029" i="1"/>
  <c r="A8029" i="1"/>
  <c r="D8028" i="1"/>
  <c r="A8028" i="1"/>
  <c r="D8027" i="1"/>
  <c r="A8027" i="1"/>
  <c r="D8026" i="1"/>
  <c r="A8026" i="1"/>
  <c r="D8025" i="1"/>
  <c r="A8025" i="1"/>
  <c r="D8024" i="1"/>
  <c r="A8024" i="1"/>
  <c r="D8023" i="1"/>
  <c r="A8023" i="1"/>
  <c r="D8022" i="1"/>
  <c r="A8022" i="1"/>
  <c r="D8021" i="1"/>
  <c r="A8021" i="1"/>
  <c r="D8020" i="1"/>
  <c r="A8020" i="1"/>
  <c r="D8019" i="1"/>
  <c r="A8019" i="1"/>
  <c r="D8018" i="1"/>
  <c r="A8018" i="1"/>
  <c r="D8017" i="1"/>
  <c r="A8017" i="1"/>
  <c r="D8016" i="1"/>
  <c r="A8016" i="1"/>
  <c r="D8015" i="1"/>
  <c r="A8015" i="1"/>
  <c r="D8014" i="1"/>
  <c r="A8014" i="1"/>
  <c r="D8013" i="1"/>
  <c r="A8013" i="1"/>
  <c r="D8012" i="1"/>
  <c r="A8012" i="1"/>
  <c r="D8011" i="1"/>
  <c r="A8011" i="1"/>
  <c r="D8010" i="1"/>
  <c r="A8010" i="1"/>
  <c r="D8009" i="1"/>
  <c r="A8009" i="1"/>
  <c r="D8008" i="1"/>
  <c r="A8008" i="1"/>
  <c r="D8007" i="1"/>
  <c r="A8007" i="1"/>
  <c r="D8006" i="1"/>
  <c r="A8006" i="1"/>
  <c r="D8005" i="1"/>
  <c r="A8005" i="1"/>
  <c r="D8004" i="1"/>
  <c r="A8004" i="1"/>
  <c r="D8003" i="1"/>
  <c r="A8003" i="1"/>
  <c r="D8002" i="1"/>
  <c r="A8002" i="1"/>
  <c r="D8001" i="1"/>
  <c r="A8001" i="1"/>
  <c r="D8000" i="1"/>
  <c r="A8000" i="1"/>
  <c r="D7999" i="1"/>
  <c r="A7999" i="1"/>
  <c r="D7998" i="1"/>
  <c r="A7998" i="1"/>
  <c r="D7997" i="1"/>
  <c r="A7997" i="1"/>
  <c r="D7996" i="1"/>
  <c r="A7996" i="1"/>
  <c r="D7995" i="1"/>
  <c r="A7995" i="1"/>
  <c r="D7994" i="1"/>
  <c r="A7994" i="1"/>
  <c r="D7993" i="1"/>
  <c r="A7993" i="1"/>
  <c r="D7992" i="1"/>
  <c r="A7992" i="1"/>
  <c r="D7991" i="1"/>
  <c r="A7991" i="1"/>
  <c r="D7990" i="1"/>
  <c r="A7990" i="1"/>
  <c r="D7989" i="1"/>
  <c r="A7989" i="1"/>
  <c r="D7988" i="1"/>
  <c r="A7988" i="1"/>
  <c r="D7987" i="1"/>
  <c r="A7987" i="1"/>
  <c r="D7986" i="1"/>
  <c r="A7986" i="1"/>
  <c r="D7985" i="1"/>
  <c r="A7985" i="1"/>
  <c r="D7984" i="1"/>
  <c r="A7984" i="1"/>
  <c r="D7983" i="1"/>
  <c r="A7983" i="1"/>
  <c r="D7982" i="1"/>
  <c r="A7982" i="1"/>
  <c r="D7981" i="1"/>
  <c r="A7981" i="1"/>
  <c r="D7980" i="1"/>
  <c r="A7980" i="1"/>
  <c r="D7979" i="1"/>
  <c r="A7979" i="1"/>
  <c r="D7978" i="1"/>
  <c r="A7978" i="1"/>
  <c r="D7977" i="1"/>
  <c r="A7977" i="1"/>
  <c r="D7976" i="1"/>
  <c r="A7976" i="1"/>
  <c r="D7975" i="1"/>
  <c r="A7975" i="1"/>
  <c r="D7974" i="1"/>
  <c r="A7974" i="1"/>
  <c r="D7973" i="1"/>
  <c r="A7973" i="1"/>
  <c r="D7972" i="1"/>
  <c r="A7972" i="1"/>
  <c r="D7971" i="1"/>
  <c r="A7971" i="1"/>
  <c r="D7970" i="1"/>
  <c r="A7970" i="1"/>
  <c r="D7969" i="1"/>
  <c r="A7969" i="1"/>
  <c r="D7968" i="1"/>
  <c r="A7968" i="1"/>
  <c r="D7967" i="1"/>
  <c r="A7967" i="1"/>
  <c r="D7966" i="1"/>
  <c r="A7966" i="1"/>
  <c r="D7965" i="1"/>
  <c r="A7965" i="1"/>
  <c r="D7964" i="1"/>
  <c r="A7964" i="1"/>
  <c r="D7963" i="1"/>
  <c r="A7963" i="1"/>
  <c r="D7962" i="1"/>
  <c r="A7962" i="1"/>
  <c r="D7961" i="1"/>
  <c r="A7961" i="1"/>
  <c r="D7960" i="1"/>
  <c r="A7960" i="1"/>
  <c r="D7959" i="1"/>
  <c r="A7959" i="1"/>
  <c r="D7958" i="1"/>
  <c r="A7958" i="1"/>
  <c r="D7957" i="1"/>
  <c r="A7957" i="1"/>
  <c r="D7956" i="1"/>
  <c r="A7956" i="1"/>
  <c r="D7955" i="1"/>
  <c r="A7955" i="1"/>
  <c r="D7954" i="1"/>
  <c r="A7954" i="1"/>
  <c r="D7953" i="1"/>
  <c r="A7953" i="1"/>
  <c r="D7952" i="1"/>
  <c r="A7952" i="1"/>
  <c r="D7951" i="1"/>
  <c r="A7951" i="1"/>
  <c r="D7950" i="1"/>
  <c r="A7950" i="1"/>
  <c r="D7949" i="1"/>
  <c r="A7949" i="1"/>
  <c r="D7948" i="1"/>
  <c r="A7948" i="1"/>
  <c r="D7947" i="1"/>
  <c r="A7947" i="1"/>
  <c r="D7946" i="1"/>
  <c r="A7946" i="1"/>
  <c r="D7945" i="1"/>
  <c r="A7945" i="1"/>
  <c r="D7944" i="1"/>
  <c r="A7944" i="1"/>
  <c r="D7943" i="1"/>
  <c r="A7943" i="1"/>
  <c r="D7942" i="1"/>
  <c r="A7942" i="1"/>
  <c r="D7941" i="1"/>
  <c r="A7941" i="1"/>
  <c r="D7940" i="1"/>
  <c r="A7940" i="1"/>
  <c r="D7939" i="1"/>
  <c r="A7939" i="1"/>
  <c r="D7938" i="1"/>
  <c r="A7938" i="1"/>
  <c r="D7937" i="1"/>
  <c r="A7937" i="1"/>
  <c r="D7936" i="1"/>
  <c r="A7936" i="1"/>
  <c r="D7935" i="1"/>
  <c r="A7935" i="1"/>
  <c r="D7934" i="1"/>
  <c r="A7934" i="1"/>
  <c r="D7933" i="1"/>
  <c r="A7933" i="1"/>
  <c r="D7932" i="1"/>
  <c r="A7932" i="1"/>
  <c r="D7931" i="1"/>
  <c r="A7931" i="1"/>
  <c r="D7930" i="1"/>
  <c r="A7930" i="1"/>
  <c r="D7929" i="1"/>
  <c r="A7929" i="1"/>
  <c r="D7928" i="1"/>
  <c r="A7928" i="1"/>
  <c r="D7927" i="1"/>
  <c r="A7927" i="1"/>
  <c r="D7926" i="1"/>
  <c r="A7926" i="1"/>
  <c r="D7925" i="1"/>
  <c r="A7925" i="1"/>
  <c r="D7924" i="1"/>
  <c r="A7924" i="1"/>
  <c r="D7923" i="1"/>
  <c r="A7923" i="1"/>
  <c r="D7922" i="1"/>
  <c r="A7922" i="1"/>
  <c r="D7921" i="1"/>
  <c r="A7921" i="1"/>
  <c r="D7920" i="1"/>
  <c r="A7920" i="1"/>
  <c r="D7919" i="1"/>
  <c r="A7919" i="1"/>
  <c r="D7918" i="1"/>
  <c r="A7918" i="1"/>
  <c r="D7917" i="1"/>
  <c r="A7917" i="1"/>
  <c r="D7916" i="1"/>
  <c r="A7916" i="1"/>
  <c r="D7915" i="1"/>
  <c r="A7915" i="1"/>
  <c r="D7914" i="1"/>
  <c r="A7914" i="1"/>
  <c r="D7913" i="1"/>
  <c r="A7913" i="1"/>
  <c r="D7912" i="1"/>
  <c r="A7912" i="1"/>
  <c r="D7911" i="1"/>
  <c r="A7911" i="1"/>
  <c r="D7910" i="1"/>
  <c r="A7910" i="1"/>
  <c r="D7909" i="1"/>
  <c r="A7909" i="1"/>
  <c r="D7908" i="1"/>
  <c r="A7908" i="1"/>
  <c r="D7907" i="1"/>
  <c r="A7907" i="1"/>
  <c r="D7906" i="1"/>
  <c r="A7906" i="1"/>
  <c r="D7905" i="1"/>
  <c r="A7905" i="1"/>
  <c r="D7904" i="1"/>
  <c r="A7904" i="1"/>
  <c r="D7903" i="1"/>
  <c r="A7903" i="1"/>
  <c r="D7902" i="1"/>
  <c r="A7902" i="1"/>
  <c r="D7901" i="1"/>
  <c r="A7901" i="1"/>
  <c r="D7900" i="1"/>
  <c r="A7900" i="1"/>
  <c r="D7899" i="1"/>
  <c r="A7899" i="1"/>
  <c r="D7898" i="1"/>
  <c r="A7898" i="1"/>
  <c r="D7897" i="1"/>
  <c r="A7897" i="1"/>
  <c r="D7896" i="1"/>
  <c r="A7896" i="1"/>
  <c r="D7895" i="1"/>
  <c r="A7895" i="1"/>
  <c r="D7894" i="1"/>
  <c r="A7894" i="1"/>
  <c r="D7893" i="1"/>
  <c r="A7893" i="1"/>
  <c r="D7892" i="1"/>
  <c r="A7892" i="1"/>
  <c r="D7891" i="1"/>
  <c r="A7891" i="1"/>
  <c r="D7890" i="1"/>
  <c r="A7890" i="1"/>
  <c r="D7889" i="1"/>
  <c r="A7889" i="1"/>
  <c r="D7888" i="1"/>
  <c r="A7888" i="1"/>
  <c r="D7887" i="1"/>
  <c r="A7887" i="1"/>
  <c r="D7886" i="1"/>
  <c r="A7886" i="1"/>
  <c r="D7885" i="1"/>
  <c r="A7885" i="1"/>
  <c r="D7884" i="1"/>
  <c r="A7884" i="1"/>
  <c r="D7883" i="1"/>
  <c r="A7883" i="1"/>
  <c r="D7882" i="1"/>
  <c r="A7882" i="1"/>
  <c r="D7881" i="1"/>
  <c r="A7881" i="1"/>
  <c r="D7880" i="1"/>
  <c r="A7880" i="1"/>
  <c r="D7879" i="1"/>
  <c r="A7879" i="1"/>
  <c r="D7878" i="1"/>
  <c r="A7878" i="1"/>
  <c r="D7877" i="1"/>
  <c r="A7877" i="1"/>
  <c r="D7876" i="1"/>
  <c r="A7876" i="1"/>
  <c r="D7875" i="1"/>
  <c r="A7875" i="1"/>
  <c r="D7874" i="1"/>
  <c r="A7874" i="1"/>
  <c r="D7873" i="1"/>
  <c r="A7873" i="1"/>
  <c r="D7872" i="1"/>
  <c r="A7872" i="1"/>
  <c r="D7871" i="1"/>
  <c r="A7871" i="1"/>
  <c r="D7870" i="1"/>
  <c r="A7870" i="1"/>
  <c r="D7869" i="1"/>
  <c r="A7869" i="1"/>
  <c r="D7868" i="1"/>
  <c r="A7868" i="1"/>
  <c r="D7867" i="1"/>
  <c r="A7867" i="1"/>
  <c r="D7866" i="1"/>
  <c r="A7866" i="1"/>
  <c r="D7865" i="1"/>
  <c r="A7865" i="1"/>
  <c r="D7864" i="1"/>
  <c r="A7864" i="1"/>
  <c r="D7863" i="1"/>
  <c r="A7863" i="1"/>
  <c r="D7862" i="1"/>
  <c r="A7862" i="1"/>
  <c r="D7861" i="1"/>
  <c r="A7861" i="1"/>
  <c r="D7860" i="1"/>
  <c r="A7860" i="1"/>
  <c r="D7859" i="1"/>
  <c r="A7859" i="1"/>
  <c r="D7858" i="1"/>
  <c r="A7858" i="1"/>
  <c r="D7857" i="1"/>
  <c r="A7857" i="1"/>
  <c r="D7856" i="1"/>
  <c r="A7856" i="1"/>
  <c r="D7855" i="1"/>
  <c r="A7855" i="1"/>
  <c r="D7854" i="1"/>
  <c r="A7854" i="1"/>
  <c r="D7853" i="1"/>
  <c r="A7853" i="1"/>
  <c r="D7852" i="1"/>
  <c r="A7852" i="1"/>
  <c r="D7851" i="1"/>
  <c r="A7851" i="1"/>
  <c r="D7850" i="1"/>
  <c r="A7850" i="1"/>
  <c r="D7849" i="1"/>
  <c r="A7849" i="1"/>
  <c r="D7848" i="1"/>
  <c r="A7848" i="1"/>
  <c r="D7847" i="1"/>
  <c r="A7847" i="1"/>
  <c r="D7846" i="1"/>
  <c r="A7846" i="1"/>
  <c r="D7845" i="1"/>
  <c r="A7845" i="1"/>
  <c r="D7844" i="1"/>
  <c r="A7844" i="1"/>
  <c r="D7843" i="1"/>
  <c r="A7843" i="1"/>
  <c r="D7842" i="1"/>
  <c r="A7842" i="1"/>
  <c r="D7841" i="1"/>
  <c r="A7841" i="1"/>
  <c r="D7840" i="1"/>
  <c r="A7840" i="1"/>
  <c r="D7839" i="1"/>
  <c r="A7839" i="1"/>
  <c r="D7838" i="1"/>
  <c r="A7838" i="1"/>
  <c r="D7837" i="1"/>
  <c r="A7837" i="1"/>
  <c r="D7836" i="1"/>
  <c r="A7836" i="1"/>
  <c r="D7835" i="1"/>
  <c r="A7835" i="1"/>
  <c r="D7834" i="1"/>
  <c r="A7834" i="1"/>
  <c r="D7833" i="1"/>
  <c r="A7833" i="1"/>
  <c r="D7832" i="1"/>
  <c r="A7832" i="1"/>
  <c r="D7831" i="1"/>
  <c r="A7831" i="1"/>
  <c r="D7830" i="1"/>
  <c r="A7830" i="1"/>
  <c r="D7829" i="1"/>
  <c r="A7829" i="1"/>
  <c r="D7828" i="1"/>
  <c r="A7828" i="1"/>
  <c r="D7827" i="1"/>
  <c r="A7827" i="1"/>
  <c r="D7826" i="1"/>
  <c r="A7826" i="1"/>
  <c r="D7825" i="1"/>
  <c r="A7825" i="1"/>
  <c r="D7824" i="1"/>
  <c r="A7824" i="1"/>
  <c r="D7823" i="1"/>
  <c r="A7823" i="1"/>
  <c r="D7822" i="1"/>
  <c r="A7822" i="1"/>
  <c r="D7821" i="1"/>
  <c r="A7821" i="1"/>
  <c r="D7820" i="1"/>
  <c r="A7820" i="1"/>
  <c r="D7819" i="1"/>
  <c r="A7819" i="1"/>
  <c r="D7818" i="1"/>
  <c r="A7818" i="1"/>
  <c r="D7817" i="1"/>
  <c r="A7817" i="1"/>
  <c r="D7816" i="1"/>
  <c r="A7816" i="1"/>
  <c r="D7815" i="1"/>
  <c r="A7815" i="1"/>
  <c r="D7814" i="1"/>
  <c r="A7814" i="1"/>
  <c r="D7813" i="1"/>
  <c r="A7813" i="1"/>
  <c r="D7812" i="1"/>
  <c r="A7812" i="1"/>
  <c r="D7811" i="1"/>
  <c r="A7811" i="1"/>
  <c r="D7810" i="1"/>
  <c r="A7810" i="1"/>
  <c r="D7809" i="1"/>
  <c r="A7809" i="1"/>
  <c r="D7808" i="1"/>
  <c r="A7808" i="1"/>
  <c r="D7807" i="1"/>
  <c r="A7807" i="1"/>
  <c r="D7806" i="1"/>
  <c r="A7806" i="1"/>
  <c r="D7805" i="1"/>
  <c r="A7805" i="1"/>
  <c r="D7804" i="1"/>
  <c r="A7804" i="1"/>
  <c r="D7803" i="1"/>
  <c r="A7803" i="1"/>
  <c r="D7802" i="1"/>
  <c r="A7802" i="1"/>
  <c r="D7801" i="1"/>
  <c r="A7801" i="1"/>
  <c r="D7800" i="1"/>
  <c r="A7800" i="1"/>
  <c r="D7799" i="1"/>
  <c r="A7799" i="1"/>
  <c r="D7798" i="1"/>
  <c r="A7798" i="1"/>
  <c r="D7797" i="1"/>
  <c r="A7797" i="1"/>
  <c r="D7796" i="1"/>
  <c r="A7796" i="1"/>
  <c r="D7795" i="1"/>
  <c r="A7795" i="1"/>
  <c r="D7794" i="1"/>
  <c r="A7794" i="1"/>
  <c r="D7793" i="1"/>
  <c r="A7793" i="1"/>
  <c r="D7792" i="1"/>
  <c r="A7792" i="1"/>
  <c r="D7791" i="1"/>
  <c r="A7791" i="1"/>
  <c r="D7790" i="1"/>
  <c r="A7790" i="1"/>
  <c r="D7789" i="1"/>
  <c r="A7789" i="1"/>
  <c r="D7788" i="1"/>
  <c r="A7788" i="1"/>
  <c r="D7787" i="1"/>
  <c r="A7787" i="1"/>
  <c r="D7786" i="1"/>
  <c r="A7786" i="1"/>
  <c r="D7785" i="1"/>
  <c r="A7785" i="1"/>
  <c r="D7784" i="1"/>
  <c r="A7784" i="1"/>
  <c r="D7783" i="1"/>
  <c r="A7783" i="1"/>
  <c r="D7782" i="1"/>
  <c r="A7782" i="1"/>
  <c r="D7781" i="1"/>
  <c r="A7781" i="1"/>
  <c r="D7780" i="1"/>
  <c r="A7780" i="1"/>
  <c r="D7779" i="1"/>
  <c r="A7779" i="1"/>
  <c r="D7778" i="1"/>
  <c r="A7778" i="1"/>
  <c r="D7777" i="1"/>
  <c r="A7777" i="1"/>
  <c r="D7776" i="1"/>
  <c r="A7776" i="1"/>
  <c r="D7775" i="1"/>
  <c r="A7775" i="1"/>
  <c r="D7774" i="1"/>
  <c r="A7774" i="1"/>
  <c r="D7773" i="1"/>
  <c r="A7773" i="1"/>
  <c r="D7772" i="1"/>
  <c r="A7772" i="1"/>
  <c r="D7771" i="1"/>
  <c r="A7771" i="1"/>
  <c r="D7770" i="1"/>
  <c r="A7770" i="1"/>
  <c r="D7769" i="1"/>
  <c r="A7769" i="1"/>
  <c r="D7768" i="1"/>
  <c r="A7768" i="1"/>
  <c r="D7767" i="1"/>
  <c r="A7767" i="1"/>
  <c r="D7766" i="1"/>
  <c r="A7766" i="1"/>
  <c r="D7765" i="1"/>
  <c r="A7765" i="1"/>
  <c r="D7764" i="1"/>
  <c r="A7764" i="1"/>
  <c r="D7763" i="1"/>
  <c r="A7763" i="1"/>
  <c r="D7762" i="1"/>
  <c r="A7762" i="1"/>
  <c r="D7761" i="1"/>
  <c r="A7761" i="1"/>
  <c r="D7760" i="1"/>
  <c r="A7760" i="1"/>
  <c r="D7759" i="1"/>
  <c r="A7759" i="1"/>
  <c r="D7758" i="1"/>
  <c r="A7758" i="1"/>
  <c r="D7757" i="1"/>
  <c r="A7757" i="1"/>
  <c r="D7756" i="1"/>
  <c r="A7756" i="1"/>
  <c r="D7755" i="1"/>
  <c r="A7755" i="1"/>
  <c r="D7754" i="1"/>
  <c r="A7754" i="1"/>
  <c r="D7753" i="1"/>
  <c r="A7753" i="1"/>
  <c r="D7752" i="1"/>
  <c r="A7752" i="1"/>
  <c r="D7751" i="1"/>
  <c r="A7751" i="1"/>
  <c r="D7750" i="1"/>
  <c r="A7750" i="1"/>
  <c r="D7749" i="1"/>
  <c r="A7749" i="1"/>
  <c r="D7748" i="1"/>
  <c r="A7748" i="1"/>
  <c r="D7747" i="1"/>
  <c r="A7747" i="1"/>
  <c r="D7746" i="1"/>
  <c r="A7746" i="1"/>
  <c r="D7745" i="1"/>
  <c r="A7745" i="1"/>
  <c r="D7744" i="1"/>
  <c r="A7744" i="1"/>
  <c r="D7743" i="1"/>
  <c r="A7743" i="1"/>
  <c r="D7742" i="1"/>
  <c r="A7742" i="1"/>
  <c r="D7741" i="1"/>
  <c r="A7741" i="1"/>
  <c r="D7740" i="1"/>
  <c r="A7740" i="1"/>
  <c r="D7739" i="1"/>
  <c r="A7739" i="1"/>
  <c r="D7738" i="1"/>
  <c r="A7738" i="1"/>
  <c r="D7737" i="1"/>
  <c r="A7737" i="1"/>
  <c r="D7736" i="1"/>
  <c r="A7736" i="1"/>
  <c r="D7735" i="1"/>
  <c r="A7735" i="1"/>
  <c r="D7734" i="1"/>
  <c r="A7734" i="1"/>
  <c r="D7733" i="1"/>
  <c r="A7733" i="1"/>
  <c r="D7732" i="1"/>
  <c r="A7732" i="1"/>
  <c r="D7731" i="1"/>
  <c r="A7731" i="1"/>
  <c r="D7730" i="1"/>
  <c r="A7730" i="1"/>
  <c r="D7729" i="1"/>
  <c r="A7729" i="1"/>
  <c r="D7728" i="1"/>
  <c r="A7728" i="1"/>
  <c r="D7727" i="1"/>
  <c r="A7727" i="1"/>
  <c r="D7726" i="1"/>
  <c r="A7726" i="1"/>
  <c r="D7725" i="1"/>
  <c r="A7725" i="1"/>
  <c r="D7724" i="1"/>
  <c r="A7724" i="1"/>
  <c r="D7723" i="1"/>
  <c r="A7723" i="1"/>
  <c r="D7722" i="1"/>
  <c r="A7722" i="1"/>
  <c r="D7721" i="1"/>
  <c r="A7721" i="1"/>
  <c r="D7720" i="1"/>
  <c r="A7720" i="1"/>
  <c r="D7719" i="1"/>
  <c r="A7719" i="1"/>
  <c r="D7718" i="1"/>
  <c r="A7718" i="1"/>
  <c r="D7717" i="1"/>
  <c r="A7717" i="1"/>
  <c r="D7716" i="1"/>
  <c r="A7716" i="1"/>
  <c r="D7715" i="1"/>
  <c r="A7715" i="1"/>
  <c r="D7714" i="1"/>
  <c r="A7714" i="1"/>
  <c r="D7713" i="1"/>
  <c r="A7713" i="1"/>
  <c r="D7712" i="1"/>
  <c r="A7712" i="1"/>
  <c r="D7711" i="1"/>
  <c r="A7711" i="1"/>
  <c r="D7710" i="1"/>
  <c r="A7710" i="1"/>
  <c r="D7709" i="1"/>
  <c r="A7709" i="1"/>
  <c r="D7708" i="1"/>
  <c r="A7708" i="1"/>
  <c r="D7707" i="1"/>
  <c r="A7707" i="1"/>
  <c r="D7706" i="1"/>
  <c r="A7706" i="1"/>
  <c r="D7705" i="1"/>
  <c r="A7705" i="1"/>
  <c r="D7704" i="1"/>
  <c r="A7704" i="1"/>
  <c r="D7703" i="1"/>
  <c r="A7703" i="1"/>
  <c r="D7702" i="1"/>
  <c r="A7702" i="1"/>
  <c r="D7701" i="1"/>
  <c r="A7701" i="1"/>
  <c r="D7700" i="1"/>
  <c r="A7700" i="1"/>
  <c r="D7699" i="1"/>
  <c r="A7699" i="1"/>
  <c r="D7698" i="1"/>
  <c r="A7698" i="1"/>
  <c r="D7697" i="1"/>
  <c r="A7697" i="1"/>
  <c r="D7696" i="1"/>
  <c r="A7696" i="1"/>
  <c r="D7695" i="1"/>
  <c r="A7695" i="1"/>
  <c r="D7694" i="1"/>
  <c r="A7694" i="1"/>
  <c r="D7693" i="1"/>
  <c r="A7693" i="1"/>
  <c r="D7692" i="1"/>
  <c r="A7692" i="1"/>
  <c r="D7691" i="1"/>
  <c r="A7691" i="1"/>
  <c r="D7690" i="1"/>
  <c r="A7690" i="1"/>
  <c r="D7689" i="1"/>
  <c r="A7689" i="1"/>
  <c r="D7688" i="1"/>
  <c r="A7688" i="1"/>
  <c r="D7687" i="1"/>
  <c r="A7687" i="1"/>
  <c r="D7686" i="1"/>
  <c r="A7686" i="1"/>
  <c r="D7685" i="1"/>
  <c r="A7685" i="1"/>
  <c r="D7684" i="1"/>
  <c r="A7684" i="1"/>
  <c r="D7683" i="1"/>
  <c r="A7683" i="1"/>
  <c r="D7682" i="1"/>
  <c r="A7682" i="1"/>
  <c r="D7681" i="1"/>
  <c r="A7681" i="1"/>
  <c r="D7680" i="1"/>
  <c r="A7680" i="1"/>
  <c r="D7679" i="1"/>
  <c r="A7679" i="1"/>
  <c r="D7678" i="1"/>
  <c r="A7678" i="1"/>
  <c r="D7677" i="1"/>
  <c r="A7677" i="1"/>
  <c r="D7676" i="1"/>
  <c r="A7676" i="1"/>
  <c r="D7675" i="1"/>
  <c r="A7675" i="1"/>
  <c r="D7674" i="1"/>
  <c r="A7674" i="1"/>
  <c r="D7673" i="1"/>
  <c r="A7673" i="1"/>
  <c r="D7672" i="1"/>
  <c r="A7672" i="1"/>
  <c r="D7671" i="1"/>
  <c r="A7671" i="1"/>
  <c r="D7670" i="1"/>
  <c r="A7670" i="1"/>
  <c r="D7669" i="1"/>
  <c r="A7669" i="1"/>
  <c r="D7668" i="1"/>
  <c r="A7668" i="1"/>
  <c r="D7667" i="1"/>
  <c r="A7667" i="1"/>
  <c r="D7666" i="1"/>
  <c r="A7666" i="1"/>
  <c r="D7665" i="1"/>
  <c r="A7665" i="1"/>
  <c r="D7664" i="1"/>
  <c r="A7664" i="1"/>
  <c r="D7663" i="1"/>
  <c r="A7663" i="1"/>
  <c r="D7662" i="1"/>
  <c r="A7662" i="1"/>
  <c r="D7661" i="1"/>
  <c r="A7661" i="1"/>
  <c r="D7660" i="1"/>
  <c r="A7660" i="1"/>
  <c r="D7659" i="1"/>
  <c r="A7659" i="1"/>
  <c r="D7658" i="1"/>
  <c r="A7658" i="1"/>
  <c r="D7657" i="1"/>
  <c r="A7657" i="1"/>
  <c r="D7656" i="1"/>
  <c r="A7656" i="1"/>
  <c r="D7655" i="1"/>
  <c r="A7655" i="1"/>
  <c r="D7654" i="1"/>
  <c r="A7654" i="1"/>
  <c r="D7653" i="1"/>
  <c r="A7653" i="1"/>
  <c r="D7652" i="1"/>
  <c r="A7652" i="1"/>
  <c r="D7651" i="1"/>
  <c r="A7651" i="1"/>
  <c r="D7650" i="1"/>
  <c r="A7650" i="1"/>
  <c r="D7649" i="1"/>
  <c r="A7649" i="1"/>
  <c r="D7648" i="1"/>
  <c r="A7648" i="1"/>
  <c r="D7647" i="1"/>
  <c r="A7647" i="1"/>
  <c r="D7646" i="1"/>
  <c r="A7646" i="1"/>
  <c r="D7645" i="1"/>
  <c r="A7645" i="1"/>
  <c r="D7644" i="1"/>
  <c r="A7644" i="1"/>
  <c r="D7643" i="1"/>
  <c r="A7643" i="1"/>
  <c r="D7642" i="1"/>
  <c r="A7642" i="1"/>
  <c r="D7641" i="1"/>
  <c r="A7641" i="1"/>
  <c r="D7640" i="1"/>
  <c r="A7640" i="1"/>
  <c r="D7639" i="1"/>
  <c r="A7639" i="1"/>
  <c r="D7638" i="1"/>
  <c r="A7638" i="1"/>
  <c r="D7637" i="1"/>
  <c r="A7637" i="1"/>
  <c r="D7636" i="1"/>
  <c r="A7636" i="1"/>
  <c r="D7635" i="1"/>
  <c r="A7635" i="1"/>
  <c r="D7634" i="1"/>
  <c r="A7634" i="1"/>
  <c r="D7633" i="1"/>
  <c r="A7633" i="1"/>
  <c r="D7632" i="1"/>
  <c r="A7632" i="1"/>
  <c r="D7631" i="1"/>
  <c r="A7631" i="1"/>
  <c r="D7630" i="1"/>
  <c r="A7630" i="1"/>
  <c r="D7629" i="1"/>
  <c r="A7629" i="1"/>
  <c r="D7628" i="1"/>
  <c r="A7628" i="1"/>
  <c r="D7627" i="1"/>
  <c r="A7627" i="1"/>
  <c r="D7626" i="1"/>
  <c r="A7626" i="1"/>
  <c r="D7625" i="1"/>
  <c r="A7625" i="1"/>
  <c r="D7624" i="1"/>
  <c r="A7624" i="1"/>
  <c r="D7623" i="1"/>
  <c r="A7623" i="1"/>
  <c r="D7622" i="1"/>
  <c r="A7622" i="1"/>
  <c r="D7621" i="1"/>
  <c r="A7621" i="1"/>
  <c r="D7620" i="1"/>
  <c r="A7620" i="1"/>
  <c r="D7619" i="1"/>
  <c r="A7619" i="1"/>
  <c r="D7618" i="1"/>
  <c r="A7618" i="1"/>
  <c r="D7617" i="1"/>
  <c r="A7617" i="1"/>
  <c r="D7616" i="1"/>
  <c r="A7616" i="1"/>
  <c r="D7615" i="1"/>
  <c r="A7615" i="1"/>
  <c r="D7614" i="1"/>
  <c r="A7614" i="1"/>
  <c r="D7613" i="1"/>
  <c r="A7613" i="1"/>
  <c r="D7612" i="1"/>
  <c r="A7612" i="1"/>
  <c r="D7611" i="1"/>
  <c r="A7611" i="1"/>
  <c r="D7610" i="1"/>
  <c r="A7610" i="1"/>
  <c r="D7609" i="1"/>
  <c r="A7609" i="1"/>
  <c r="D7608" i="1"/>
  <c r="A7608" i="1"/>
  <c r="D7607" i="1"/>
  <c r="A7607" i="1"/>
  <c r="D7606" i="1"/>
  <c r="A7606" i="1"/>
  <c r="D7605" i="1"/>
  <c r="A7605" i="1"/>
  <c r="D7604" i="1"/>
  <c r="A7604" i="1"/>
  <c r="D7603" i="1"/>
  <c r="A7603" i="1"/>
  <c r="D7602" i="1"/>
  <c r="A7602" i="1"/>
  <c r="D7601" i="1"/>
  <c r="A7601" i="1"/>
  <c r="D7600" i="1"/>
  <c r="A7600" i="1"/>
  <c r="D7599" i="1"/>
  <c r="A7599" i="1"/>
  <c r="D7598" i="1"/>
  <c r="A7598" i="1"/>
  <c r="D7597" i="1"/>
  <c r="A7597" i="1"/>
  <c r="D7596" i="1"/>
  <c r="A7596" i="1"/>
  <c r="D7595" i="1"/>
  <c r="A7595" i="1"/>
  <c r="D7594" i="1"/>
  <c r="A7594" i="1"/>
  <c r="D7593" i="1"/>
  <c r="A7593" i="1"/>
  <c r="D7592" i="1"/>
  <c r="A7592" i="1"/>
  <c r="D7591" i="1"/>
  <c r="A7591" i="1"/>
  <c r="D7590" i="1"/>
  <c r="A7590" i="1"/>
  <c r="D7589" i="1"/>
  <c r="A7589" i="1"/>
  <c r="D7588" i="1"/>
  <c r="A7588" i="1"/>
  <c r="D7587" i="1"/>
  <c r="A7587" i="1"/>
  <c r="D7586" i="1"/>
  <c r="A7586" i="1"/>
  <c r="D7585" i="1"/>
  <c r="A7585" i="1"/>
  <c r="D7584" i="1"/>
  <c r="A7584" i="1"/>
  <c r="D7583" i="1"/>
  <c r="A7583" i="1"/>
  <c r="D7582" i="1"/>
  <c r="A7582" i="1"/>
  <c r="D7581" i="1"/>
  <c r="A7581" i="1"/>
  <c r="D7580" i="1"/>
  <c r="A7580" i="1"/>
  <c r="D7579" i="1"/>
  <c r="A7579" i="1"/>
  <c r="D7578" i="1"/>
  <c r="A7578" i="1"/>
  <c r="D7577" i="1"/>
  <c r="A7577" i="1"/>
  <c r="D7576" i="1"/>
  <c r="A7576" i="1"/>
  <c r="D7575" i="1"/>
  <c r="A7575" i="1"/>
  <c r="D7574" i="1"/>
  <c r="A7574" i="1"/>
  <c r="D7573" i="1"/>
  <c r="A7573" i="1"/>
  <c r="D7572" i="1"/>
  <c r="A7572" i="1"/>
  <c r="D7571" i="1"/>
  <c r="A7571" i="1"/>
  <c r="D7570" i="1"/>
  <c r="A7570" i="1"/>
  <c r="D7569" i="1"/>
  <c r="A7569" i="1"/>
  <c r="D7568" i="1"/>
  <c r="A7568" i="1"/>
  <c r="D7567" i="1"/>
  <c r="A7567" i="1"/>
  <c r="D7566" i="1"/>
  <c r="A7566" i="1"/>
  <c r="D7565" i="1"/>
  <c r="A7565" i="1"/>
  <c r="D7564" i="1"/>
  <c r="A7564" i="1"/>
  <c r="D7563" i="1"/>
  <c r="A7563" i="1"/>
  <c r="D7562" i="1"/>
  <c r="A7562" i="1"/>
  <c r="D7561" i="1"/>
  <c r="A7561" i="1"/>
  <c r="D7560" i="1"/>
  <c r="A7560" i="1"/>
  <c r="D7559" i="1"/>
  <c r="A7559" i="1"/>
  <c r="D7558" i="1"/>
  <c r="A7558" i="1"/>
  <c r="D7557" i="1"/>
  <c r="A7557" i="1"/>
  <c r="D7556" i="1"/>
  <c r="A7556" i="1"/>
  <c r="D7555" i="1"/>
  <c r="A7555" i="1"/>
  <c r="D7554" i="1"/>
  <c r="A7554" i="1"/>
  <c r="D7553" i="1"/>
  <c r="A7553" i="1"/>
  <c r="D7552" i="1"/>
  <c r="A7552" i="1"/>
  <c r="D7551" i="1"/>
  <c r="A7551" i="1"/>
  <c r="D7550" i="1"/>
  <c r="A7550" i="1"/>
  <c r="D7549" i="1"/>
  <c r="A7549" i="1"/>
  <c r="D7548" i="1"/>
  <c r="A7548" i="1"/>
  <c r="D7547" i="1"/>
  <c r="A7547" i="1"/>
  <c r="D7546" i="1"/>
  <c r="A7546" i="1"/>
  <c r="D7545" i="1"/>
  <c r="A7545" i="1"/>
  <c r="D7544" i="1"/>
  <c r="A7544" i="1"/>
  <c r="D7543" i="1"/>
  <c r="A7543" i="1"/>
  <c r="D7542" i="1"/>
  <c r="A7542" i="1"/>
  <c r="D7541" i="1"/>
  <c r="A7541" i="1"/>
  <c r="D7540" i="1"/>
  <c r="A7540" i="1"/>
  <c r="D7539" i="1"/>
  <c r="A7539" i="1"/>
  <c r="D7538" i="1"/>
  <c r="A7538" i="1"/>
  <c r="D7537" i="1"/>
  <c r="A7537" i="1"/>
  <c r="D7536" i="1"/>
  <c r="A7536" i="1"/>
  <c r="D7535" i="1"/>
  <c r="A7535" i="1"/>
  <c r="D7534" i="1"/>
  <c r="A7534" i="1"/>
  <c r="D7533" i="1"/>
  <c r="A7533" i="1"/>
  <c r="D7532" i="1"/>
  <c r="A7532" i="1"/>
  <c r="D7531" i="1"/>
  <c r="A7531" i="1"/>
  <c r="D7530" i="1"/>
  <c r="A7530" i="1"/>
  <c r="D7529" i="1"/>
  <c r="A7529" i="1"/>
  <c r="D7528" i="1"/>
  <c r="A7528" i="1"/>
  <c r="D7527" i="1"/>
  <c r="A7527" i="1"/>
  <c r="D7526" i="1"/>
  <c r="A7526" i="1"/>
  <c r="D7525" i="1"/>
  <c r="A7525" i="1"/>
  <c r="D7524" i="1"/>
  <c r="A7524" i="1"/>
  <c r="D7523" i="1"/>
  <c r="A7523" i="1"/>
  <c r="D7522" i="1"/>
  <c r="A7522" i="1"/>
  <c r="D7521" i="1"/>
  <c r="A7521" i="1"/>
  <c r="D7520" i="1"/>
  <c r="A7520" i="1"/>
  <c r="D7519" i="1"/>
  <c r="A7519" i="1"/>
  <c r="D7518" i="1"/>
  <c r="A7518" i="1"/>
  <c r="D7517" i="1"/>
  <c r="A7517" i="1"/>
  <c r="D7516" i="1"/>
  <c r="A7516" i="1"/>
  <c r="D7515" i="1"/>
  <c r="A7515" i="1"/>
  <c r="D7514" i="1"/>
  <c r="A7514" i="1"/>
  <c r="D7513" i="1"/>
  <c r="A7513" i="1"/>
  <c r="D7512" i="1"/>
  <c r="A7512" i="1"/>
  <c r="D7511" i="1"/>
  <c r="A7511" i="1"/>
  <c r="D7510" i="1"/>
  <c r="A7510" i="1"/>
  <c r="D7509" i="1"/>
  <c r="A7509" i="1"/>
  <c r="D7508" i="1"/>
  <c r="A7508" i="1"/>
  <c r="D7507" i="1"/>
  <c r="A7507" i="1"/>
  <c r="D7506" i="1"/>
  <c r="A7506" i="1"/>
  <c r="D7505" i="1"/>
  <c r="A7505" i="1"/>
  <c r="D7504" i="1"/>
  <c r="A7504" i="1"/>
  <c r="D7503" i="1"/>
  <c r="A7503" i="1"/>
  <c r="D7502" i="1"/>
  <c r="A7502" i="1"/>
  <c r="D7501" i="1"/>
  <c r="A7501" i="1"/>
  <c r="D7500" i="1"/>
  <c r="A7500" i="1"/>
  <c r="D7499" i="1"/>
  <c r="A7499" i="1"/>
  <c r="D7498" i="1"/>
  <c r="A7498" i="1"/>
  <c r="D7497" i="1"/>
  <c r="A7497" i="1"/>
  <c r="D7496" i="1"/>
  <c r="A7496" i="1"/>
  <c r="D7495" i="1"/>
  <c r="A7495" i="1"/>
  <c r="D7494" i="1"/>
  <c r="A7494" i="1"/>
  <c r="D7493" i="1"/>
  <c r="A7493" i="1"/>
  <c r="D7492" i="1"/>
  <c r="A7492" i="1"/>
  <c r="D7491" i="1"/>
  <c r="A7491" i="1"/>
  <c r="D7490" i="1"/>
  <c r="A7490" i="1"/>
  <c r="D7489" i="1"/>
  <c r="A7489" i="1"/>
  <c r="D7488" i="1"/>
  <c r="A7488" i="1"/>
  <c r="D7487" i="1"/>
  <c r="A7487" i="1"/>
  <c r="D7486" i="1"/>
  <c r="A7486" i="1"/>
  <c r="D7485" i="1"/>
  <c r="A7485" i="1"/>
  <c r="D7484" i="1"/>
  <c r="A7484" i="1"/>
  <c r="D7483" i="1"/>
  <c r="A7483" i="1"/>
  <c r="D7482" i="1"/>
  <c r="A7482" i="1"/>
  <c r="D7481" i="1"/>
  <c r="A7481" i="1"/>
  <c r="D7480" i="1"/>
  <c r="A7480" i="1"/>
  <c r="D7479" i="1"/>
  <c r="A7479" i="1"/>
  <c r="D7478" i="1"/>
  <c r="A7478" i="1"/>
  <c r="D7477" i="1"/>
  <c r="A7477" i="1"/>
  <c r="D7476" i="1"/>
  <c r="A7476" i="1"/>
  <c r="D7475" i="1"/>
  <c r="A7475" i="1"/>
  <c r="D7474" i="1"/>
  <c r="A7474" i="1"/>
  <c r="D7473" i="1"/>
  <c r="A7473" i="1"/>
  <c r="D7472" i="1"/>
  <c r="A7472" i="1"/>
  <c r="D7471" i="1"/>
  <c r="A7471" i="1"/>
  <c r="D7470" i="1"/>
  <c r="A7470" i="1"/>
  <c r="D7469" i="1"/>
  <c r="A7469" i="1"/>
  <c r="D7468" i="1"/>
  <c r="A7468" i="1"/>
  <c r="D7467" i="1"/>
  <c r="A7467" i="1"/>
  <c r="D7466" i="1"/>
  <c r="A7466" i="1"/>
  <c r="D7465" i="1"/>
  <c r="A7465" i="1"/>
  <c r="D7464" i="1"/>
  <c r="A7464" i="1"/>
  <c r="D7463" i="1"/>
  <c r="A7463" i="1"/>
  <c r="D7462" i="1"/>
  <c r="A7462" i="1"/>
  <c r="D7461" i="1"/>
  <c r="A7461" i="1"/>
  <c r="D7460" i="1"/>
  <c r="A7460" i="1"/>
  <c r="D7459" i="1"/>
  <c r="A7459" i="1"/>
  <c r="D7458" i="1"/>
  <c r="A7458" i="1"/>
  <c r="D7457" i="1"/>
  <c r="A7457" i="1"/>
  <c r="D7456" i="1"/>
  <c r="A7456" i="1"/>
  <c r="D7455" i="1"/>
  <c r="A7455" i="1"/>
  <c r="D7454" i="1"/>
  <c r="A7454" i="1"/>
  <c r="D7453" i="1"/>
  <c r="A7453" i="1"/>
  <c r="D7452" i="1"/>
  <c r="A7452" i="1"/>
  <c r="D7451" i="1"/>
  <c r="A7451" i="1"/>
  <c r="D7450" i="1"/>
  <c r="A7450" i="1"/>
  <c r="D7449" i="1"/>
  <c r="A7449" i="1"/>
  <c r="D7448" i="1"/>
  <c r="A7448" i="1"/>
  <c r="D7447" i="1"/>
  <c r="A7447" i="1"/>
  <c r="D7446" i="1"/>
  <c r="A7446" i="1"/>
  <c r="D7445" i="1"/>
  <c r="A7445" i="1"/>
  <c r="D7444" i="1"/>
  <c r="A7444" i="1"/>
  <c r="D7443" i="1"/>
  <c r="A7443" i="1"/>
  <c r="D7442" i="1"/>
  <c r="A7442" i="1"/>
  <c r="D7441" i="1"/>
  <c r="A7441" i="1"/>
  <c r="D7440" i="1"/>
  <c r="A7440" i="1"/>
  <c r="D7439" i="1"/>
  <c r="A7439" i="1"/>
  <c r="D7438" i="1"/>
  <c r="A7438" i="1"/>
  <c r="D7437" i="1"/>
  <c r="A7437" i="1"/>
  <c r="D7436" i="1"/>
  <c r="A7436" i="1"/>
  <c r="D7435" i="1"/>
  <c r="A7435" i="1"/>
  <c r="D7434" i="1"/>
  <c r="A7434" i="1"/>
  <c r="D7433" i="1"/>
  <c r="A7433" i="1"/>
  <c r="D7432" i="1"/>
  <c r="A7432" i="1"/>
  <c r="D7431" i="1"/>
  <c r="A7431" i="1"/>
  <c r="D7430" i="1"/>
  <c r="A7430" i="1"/>
  <c r="D7429" i="1"/>
  <c r="A7429" i="1"/>
  <c r="D7428" i="1"/>
  <c r="A7428" i="1"/>
  <c r="D7427" i="1"/>
  <c r="A7427" i="1"/>
  <c r="D7426" i="1"/>
  <c r="A7426" i="1"/>
  <c r="D7425" i="1"/>
  <c r="A7425" i="1"/>
  <c r="D7424" i="1"/>
  <c r="A7424" i="1"/>
  <c r="D7423" i="1"/>
  <c r="A7423" i="1"/>
  <c r="D7422" i="1"/>
  <c r="A7422" i="1"/>
  <c r="D7421" i="1"/>
  <c r="A7421" i="1"/>
  <c r="D7420" i="1"/>
  <c r="A7420" i="1"/>
  <c r="D7419" i="1"/>
  <c r="A7419" i="1"/>
  <c r="D7418" i="1"/>
  <c r="A7418" i="1"/>
  <c r="D7417" i="1"/>
  <c r="A7417" i="1"/>
  <c r="D7416" i="1"/>
  <c r="A7416" i="1"/>
  <c r="D7415" i="1"/>
  <c r="A7415" i="1"/>
  <c r="D7414" i="1"/>
  <c r="A7414" i="1"/>
  <c r="D7413" i="1"/>
  <c r="A7413" i="1"/>
  <c r="D7412" i="1"/>
  <c r="A7412" i="1"/>
  <c r="D7411" i="1"/>
  <c r="A7411" i="1"/>
  <c r="D7410" i="1"/>
  <c r="A7410" i="1"/>
  <c r="D7409" i="1"/>
  <c r="A7409" i="1"/>
  <c r="D7408" i="1"/>
  <c r="A7408" i="1"/>
  <c r="D7407" i="1"/>
  <c r="A7407" i="1"/>
  <c r="D7406" i="1"/>
  <c r="A7406" i="1"/>
  <c r="D7405" i="1"/>
  <c r="A7405" i="1"/>
  <c r="D7404" i="1"/>
  <c r="A7404" i="1"/>
  <c r="D7403" i="1"/>
  <c r="A7403" i="1"/>
  <c r="D7402" i="1"/>
  <c r="A7402" i="1"/>
  <c r="D7401" i="1"/>
  <c r="A7401" i="1"/>
  <c r="D7400" i="1"/>
  <c r="A7400" i="1"/>
  <c r="D7399" i="1"/>
  <c r="A7399" i="1"/>
  <c r="D7398" i="1"/>
  <c r="A7398" i="1"/>
  <c r="D7397" i="1"/>
  <c r="A7397" i="1"/>
  <c r="D7396" i="1"/>
  <c r="A7396" i="1"/>
  <c r="D7395" i="1"/>
  <c r="A7395" i="1"/>
  <c r="D7394" i="1"/>
  <c r="A7394" i="1"/>
  <c r="D7393" i="1"/>
  <c r="A7393" i="1"/>
  <c r="D7392" i="1"/>
  <c r="A7392" i="1"/>
  <c r="D7391" i="1"/>
  <c r="A7391" i="1"/>
  <c r="D7390" i="1"/>
  <c r="A7390" i="1"/>
  <c r="D7389" i="1"/>
  <c r="A7389" i="1"/>
  <c r="D7388" i="1"/>
  <c r="A7388" i="1"/>
  <c r="D7387" i="1"/>
  <c r="A7387" i="1"/>
  <c r="D7386" i="1"/>
  <c r="A7386" i="1"/>
  <c r="D7385" i="1"/>
  <c r="A7385" i="1"/>
  <c r="D7384" i="1"/>
  <c r="A7384" i="1"/>
  <c r="D7383" i="1"/>
  <c r="A7383" i="1"/>
  <c r="D7382" i="1"/>
  <c r="A7382" i="1"/>
  <c r="D7381" i="1"/>
  <c r="A7381" i="1"/>
  <c r="D7380" i="1"/>
  <c r="A7380" i="1"/>
  <c r="D7379" i="1"/>
  <c r="A7379" i="1"/>
  <c r="D7378" i="1"/>
  <c r="A7378" i="1"/>
  <c r="D7377" i="1"/>
  <c r="A7377" i="1"/>
  <c r="D7376" i="1"/>
  <c r="A7376" i="1"/>
  <c r="D7375" i="1"/>
  <c r="A7375" i="1"/>
  <c r="D7374" i="1"/>
  <c r="A7374" i="1"/>
  <c r="D7373" i="1"/>
  <c r="A7373" i="1"/>
  <c r="D7372" i="1"/>
  <c r="A7372" i="1"/>
  <c r="D7371" i="1"/>
  <c r="A7371" i="1"/>
  <c r="D7370" i="1"/>
  <c r="A7370" i="1"/>
  <c r="D7369" i="1"/>
  <c r="A7369" i="1"/>
  <c r="D7368" i="1"/>
  <c r="A7368" i="1"/>
  <c r="D7367" i="1"/>
  <c r="A7367" i="1"/>
  <c r="D7366" i="1"/>
  <c r="A7366" i="1"/>
  <c r="D7365" i="1"/>
  <c r="A7365" i="1"/>
  <c r="D7364" i="1"/>
  <c r="A7364" i="1"/>
  <c r="D7363" i="1"/>
  <c r="A7363" i="1"/>
  <c r="D7362" i="1"/>
  <c r="A7362" i="1"/>
  <c r="D7361" i="1"/>
  <c r="A7361" i="1"/>
  <c r="D7360" i="1"/>
  <c r="A7360" i="1"/>
  <c r="D7359" i="1"/>
  <c r="A7359" i="1"/>
  <c r="D7358" i="1"/>
  <c r="A7358" i="1"/>
  <c r="D7357" i="1"/>
  <c r="A7357" i="1"/>
  <c r="D7356" i="1"/>
  <c r="A7356" i="1"/>
  <c r="D7355" i="1"/>
  <c r="A7355" i="1"/>
  <c r="D7354" i="1"/>
  <c r="A7354" i="1"/>
  <c r="D7353" i="1"/>
  <c r="A7353" i="1"/>
  <c r="D7352" i="1"/>
  <c r="A7352" i="1"/>
  <c r="D7351" i="1"/>
  <c r="A7351" i="1"/>
  <c r="D7350" i="1"/>
  <c r="A7350" i="1"/>
  <c r="D7349" i="1"/>
  <c r="A7349" i="1"/>
  <c r="D7348" i="1"/>
  <c r="A7348" i="1"/>
  <c r="D7347" i="1"/>
  <c r="A7347" i="1"/>
  <c r="D7346" i="1"/>
  <c r="A7346" i="1"/>
  <c r="D7345" i="1"/>
  <c r="A7345" i="1"/>
  <c r="D7344" i="1"/>
  <c r="A7344" i="1"/>
  <c r="D7343" i="1"/>
  <c r="A7343" i="1"/>
  <c r="D7342" i="1"/>
  <c r="A7342" i="1"/>
  <c r="D7341" i="1"/>
  <c r="A7341" i="1"/>
  <c r="D7340" i="1"/>
  <c r="A7340" i="1"/>
  <c r="D7339" i="1"/>
  <c r="A7339" i="1"/>
  <c r="D7338" i="1"/>
  <c r="A7338" i="1"/>
  <c r="D7337" i="1"/>
  <c r="A7337" i="1"/>
  <c r="D7336" i="1"/>
  <c r="A7336" i="1"/>
  <c r="D7335" i="1"/>
  <c r="A7335" i="1"/>
  <c r="D7334" i="1"/>
  <c r="A7334" i="1"/>
  <c r="D7333" i="1"/>
  <c r="A7333" i="1"/>
  <c r="D7332" i="1"/>
  <c r="A7332" i="1"/>
  <c r="D7331" i="1"/>
  <c r="A7331" i="1"/>
  <c r="D7330" i="1"/>
  <c r="A7330" i="1"/>
  <c r="D7329" i="1"/>
  <c r="A7329" i="1"/>
  <c r="D7328" i="1"/>
  <c r="A7328" i="1"/>
  <c r="D7327" i="1"/>
  <c r="A7327" i="1"/>
  <c r="D7326" i="1"/>
  <c r="A7326" i="1"/>
  <c r="D7325" i="1"/>
  <c r="A7325" i="1"/>
  <c r="D7324" i="1"/>
  <c r="A7324" i="1"/>
  <c r="D7323" i="1"/>
  <c r="A7323" i="1"/>
  <c r="D7322" i="1"/>
  <c r="A7322" i="1"/>
  <c r="D7321" i="1"/>
  <c r="A7321" i="1"/>
  <c r="D7320" i="1"/>
  <c r="A7320" i="1"/>
  <c r="D7319" i="1"/>
  <c r="A7319" i="1"/>
  <c r="D7318" i="1"/>
  <c r="A7318" i="1"/>
  <c r="D7317" i="1"/>
  <c r="A7317" i="1"/>
  <c r="D7316" i="1"/>
  <c r="A7316" i="1"/>
  <c r="D7315" i="1"/>
  <c r="A7315" i="1"/>
  <c r="D7314" i="1"/>
  <c r="A7314" i="1"/>
  <c r="D7313" i="1"/>
  <c r="A7313" i="1"/>
  <c r="D7312" i="1"/>
  <c r="A7312" i="1"/>
  <c r="D7311" i="1"/>
  <c r="A7311" i="1"/>
  <c r="D7310" i="1"/>
  <c r="A7310" i="1"/>
  <c r="D7309" i="1"/>
  <c r="A7309" i="1"/>
  <c r="D7308" i="1"/>
  <c r="A7308" i="1"/>
  <c r="D7307" i="1"/>
  <c r="A7307" i="1"/>
  <c r="D7306" i="1"/>
  <c r="A7306" i="1"/>
  <c r="D7305" i="1"/>
  <c r="A7305" i="1"/>
  <c r="D7304" i="1"/>
  <c r="A7304" i="1"/>
  <c r="D7303" i="1"/>
  <c r="A7303" i="1"/>
  <c r="D7302" i="1"/>
  <c r="A7302" i="1"/>
  <c r="D7301" i="1"/>
  <c r="A7301" i="1"/>
  <c r="D7300" i="1"/>
  <c r="A7300" i="1"/>
  <c r="D7299" i="1"/>
  <c r="A7299" i="1"/>
  <c r="D7298" i="1"/>
  <c r="A7298" i="1"/>
  <c r="D7297" i="1"/>
  <c r="A7297" i="1"/>
  <c r="D7296" i="1"/>
  <c r="A7296" i="1"/>
  <c r="D7295" i="1"/>
  <c r="A7295" i="1"/>
  <c r="D7294" i="1"/>
  <c r="A7294" i="1"/>
  <c r="D7293" i="1"/>
  <c r="A7293" i="1"/>
  <c r="D7292" i="1"/>
  <c r="A7292" i="1"/>
  <c r="D7291" i="1"/>
  <c r="A7291" i="1"/>
  <c r="D7290" i="1"/>
  <c r="A7290" i="1"/>
  <c r="D7289" i="1"/>
  <c r="A7289" i="1"/>
  <c r="D7288" i="1"/>
  <c r="A7288" i="1"/>
  <c r="D7287" i="1"/>
  <c r="A7287" i="1"/>
  <c r="D7286" i="1"/>
  <c r="A7286" i="1"/>
  <c r="D7285" i="1"/>
  <c r="A7285" i="1"/>
  <c r="D7284" i="1"/>
  <c r="A7284" i="1"/>
  <c r="D7283" i="1"/>
  <c r="A7283" i="1"/>
  <c r="D7282" i="1"/>
  <c r="A7282" i="1"/>
  <c r="D7281" i="1"/>
  <c r="A7281" i="1"/>
  <c r="D7280" i="1"/>
  <c r="A7280" i="1"/>
  <c r="D7279" i="1"/>
  <c r="A7279" i="1"/>
  <c r="D7278" i="1"/>
  <c r="A7278" i="1"/>
  <c r="D7277" i="1"/>
  <c r="A7277" i="1"/>
  <c r="D7276" i="1"/>
  <c r="A7276" i="1"/>
  <c r="D7275" i="1"/>
  <c r="A7275" i="1"/>
  <c r="D7274" i="1"/>
  <c r="A7274" i="1"/>
  <c r="D7273" i="1"/>
  <c r="A7273" i="1"/>
  <c r="D7272" i="1"/>
  <c r="A7272" i="1"/>
  <c r="D7271" i="1"/>
  <c r="A7271" i="1"/>
  <c r="D7270" i="1"/>
  <c r="A7270" i="1"/>
  <c r="D7269" i="1"/>
  <c r="A7269" i="1"/>
  <c r="D7268" i="1"/>
  <c r="A7268" i="1"/>
  <c r="D7267" i="1"/>
  <c r="A7267" i="1"/>
  <c r="D7266" i="1"/>
  <c r="A7266" i="1"/>
  <c r="D7265" i="1"/>
  <c r="A7265" i="1"/>
  <c r="D7264" i="1"/>
  <c r="A7264" i="1"/>
  <c r="D7263" i="1"/>
  <c r="A7263" i="1"/>
  <c r="D7262" i="1"/>
  <c r="A7262" i="1"/>
  <c r="D7261" i="1"/>
  <c r="A7261" i="1"/>
  <c r="D7260" i="1"/>
  <c r="A7260" i="1"/>
  <c r="D7259" i="1"/>
  <c r="A7259" i="1"/>
  <c r="D7258" i="1"/>
  <c r="A7258" i="1"/>
  <c r="D7257" i="1"/>
  <c r="A7257" i="1"/>
  <c r="D7256" i="1"/>
  <c r="A7256" i="1"/>
  <c r="D7255" i="1"/>
  <c r="A7255" i="1"/>
  <c r="D7254" i="1"/>
  <c r="A7254" i="1"/>
  <c r="D7253" i="1"/>
  <c r="A7253" i="1"/>
  <c r="D7252" i="1"/>
  <c r="A7252" i="1"/>
  <c r="D7251" i="1"/>
  <c r="A7251" i="1"/>
  <c r="D7250" i="1"/>
  <c r="A7250" i="1"/>
  <c r="D7249" i="1"/>
  <c r="A7249" i="1"/>
  <c r="D7248" i="1"/>
  <c r="A7248" i="1"/>
  <c r="D7247" i="1"/>
  <c r="A7247" i="1"/>
  <c r="D7246" i="1"/>
  <c r="A7246" i="1"/>
  <c r="D7245" i="1"/>
  <c r="A7245" i="1"/>
  <c r="D7244" i="1"/>
  <c r="A7244" i="1"/>
  <c r="D7243" i="1"/>
  <c r="A7243" i="1"/>
  <c r="D7242" i="1"/>
  <c r="A7242" i="1"/>
  <c r="D7241" i="1"/>
  <c r="A7241" i="1"/>
  <c r="D7240" i="1"/>
  <c r="A7240" i="1"/>
  <c r="D7239" i="1"/>
  <c r="A7239" i="1"/>
  <c r="D7238" i="1"/>
  <c r="A7238" i="1"/>
  <c r="D7237" i="1"/>
  <c r="A7237" i="1"/>
  <c r="D7236" i="1"/>
  <c r="A7236" i="1"/>
  <c r="D7235" i="1"/>
  <c r="A7235" i="1"/>
  <c r="D7234" i="1"/>
  <c r="A7234" i="1"/>
  <c r="D7233" i="1"/>
  <c r="A7233" i="1"/>
  <c r="D7232" i="1"/>
  <c r="A7232" i="1"/>
  <c r="D7231" i="1"/>
  <c r="A7231" i="1"/>
  <c r="D7230" i="1"/>
  <c r="A7230" i="1"/>
  <c r="D7229" i="1"/>
  <c r="A7229" i="1"/>
  <c r="D7228" i="1"/>
  <c r="A7228" i="1"/>
  <c r="D7227" i="1"/>
  <c r="A7227" i="1"/>
  <c r="D7226" i="1"/>
  <c r="A7226" i="1"/>
  <c r="D7225" i="1"/>
  <c r="A7225" i="1"/>
  <c r="D7224" i="1"/>
  <c r="A7224" i="1"/>
  <c r="D7223" i="1"/>
  <c r="A7223" i="1"/>
  <c r="D7222" i="1"/>
  <c r="A7222" i="1"/>
  <c r="D7221" i="1"/>
  <c r="A7221" i="1"/>
  <c r="D7220" i="1"/>
  <c r="A7220" i="1"/>
  <c r="D7219" i="1"/>
  <c r="A7219" i="1"/>
  <c r="D7218" i="1"/>
  <c r="A7218" i="1"/>
  <c r="D7217" i="1"/>
  <c r="A7217" i="1"/>
  <c r="D7216" i="1"/>
  <c r="A7216" i="1"/>
  <c r="D7215" i="1"/>
  <c r="A7215" i="1"/>
  <c r="D7214" i="1"/>
  <c r="A7214" i="1"/>
  <c r="D7213" i="1"/>
  <c r="A7213" i="1"/>
  <c r="D7212" i="1"/>
  <c r="A7212" i="1"/>
  <c r="D7211" i="1"/>
  <c r="A7211" i="1"/>
  <c r="D7210" i="1"/>
  <c r="A7210" i="1"/>
  <c r="D7209" i="1"/>
  <c r="A7209" i="1"/>
  <c r="D7208" i="1"/>
  <c r="A7208" i="1"/>
  <c r="D7207" i="1"/>
  <c r="A7207" i="1"/>
  <c r="D7206" i="1"/>
  <c r="A7206" i="1"/>
  <c r="D7205" i="1"/>
  <c r="A7205" i="1"/>
  <c r="D7204" i="1"/>
  <c r="A7204" i="1"/>
  <c r="D7203" i="1"/>
  <c r="A7203" i="1"/>
  <c r="D7202" i="1"/>
  <c r="A7202" i="1"/>
  <c r="D7201" i="1"/>
  <c r="A7201" i="1"/>
  <c r="D7200" i="1"/>
  <c r="A7200" i="1"/>
  <c r="D7199" i="1"/>
  <c r="A7199" i="1"/>
  <c r="D7198" i="1"/>
  <c r="A7198" i="1"/>
  <c r="D7197" i="1"/>
  <c r="A7197" i="1"/>
  <c r="D7196" i="1"/>
  <c r="A7196" i="1"/>
  <c r="D7195" i="1"/>
  <c r="A7195" i="1"/>
  <c r="D7194" i="1"/>
  <c r="A7194" i="1"/>
  <c r="D7193" i="1"/>
  <c r="A7193" i="1"/>
  <c r="D7192" i="1"/>
  <c r="A7192" i="1"/>
  <c r="D7191" i="1"/>
  <c r="A7191" i="1"/>
  <c r="D7190" i="1"/>
  <c r="A7190" i="1"/>
  <c r="D7189" i="1"/>
  <c r="A7189" i="1"/>
  <c r="D7188" i="1"/>
  <c r="A7188" i="1"/>
  <c r="D7187" i="1"/>
  <c r="A7187" i="1"/>
  <c r="D7186" i="1"/>
  <c r="A7186" i="1"/>
  <c r="D7185" i="1"/>
  <c r="A7185" i="1"/>
  <c r="D7184" i="1"/>
  <c r="A7184" i="1"/>
  <c r="D7183" i="1"/>
  <c r="A7183" i="1"/>
  <c r="D7182" i="1"/>
  <c r="A7182" i="1"/>
  <c r="D7181" i="1"/>
  <c r="A7181" i="1"/>
  <c r="D7180" i="1"/>
  <c r="A7180" i="1"/>
  <c r="D7179" i="1"/>
  <c r="A7179" i="1"/>
  <c r="D7178" i="1"/>
  <c r="A7178" i="1"/>
  <c r="D7177" i="1"/>
  <c r="A7177" i="1"/>
  <c r="D7176" i="1"/>
  <c r="A7176" i="1"/>
  <c r="D7175" i="1"/>
  <c r="A7175" i="1"/>
  <c r="D7174" i="1"/>
  <c r="A7174" i="1"/>
  <c r="D7173" i="1"/>
  <c r="A7173" i="1"/>
  <c r="D7172" i="1"/>
  <c r="A7172" i="1"/>
  <c r="D7171" i="1"/>
  <c r="A7171" i="1"/>
  <c r="D7170" i="1"/>
  <c r="A7170" i="1"/>
  <c r="D7169" i="1"/>
  <c r="A7169" i="1"/>
  <c r="D7168" i="1"/>
  <c r="A7168" i="1"/>
  <c r="D7167" i="1"/>
  <c r="A7167" i="1"/>
  <c r="D7166" i="1"/>
  <c r="A7166" i="1"/>
  <c r="D7165" i="1"/>
  <c r="A7165" i="1"/>
  <c r="D7164" i="1"/>
  <c r="A7164" i="1"/>
  <c r="D7163" i="1"/>
  <c r="A7163" i="1"/>
  <c r="D7162" i="1"/>
  <c r="A7162" i="1"/>
  <c r="D7161" i="1"/>
  <c r="A7161" i="1"/>
  <c r="D7160" i="1"/>
  <c r="A7160" i="1"/>
  <c r="D7159" i="1"/>
  <c r="A7159" i="1"/>
  <c r="D7158" i="1"/>
  <c r="A7158" i="1"/>
  <c r="D7157" i="1"/>
  <c r="A7157" i="1"/>
  <c r="D7156" i="1"/>
  <c r="A7156" i="1"/>
  <c r="D7155" i="1"/>
  <c r="A7155" i="1"/>
  <c r="D7154" i="1"/>
  <c r="A7154" i="1"/>
  <c r="D7153" i="1"/>
  <c r="A7153" i="1"/>
  <c r="D7152" i="1"/>
  <c r="A7152" i="1"/>
  <c r="D7151" i="1"/>
  <c r="A7151" i="1"/>
  <c r="D7150" i="1"/>
  <c r="A7150" i="1"/>
  <c r="D7149" i="1"/>
  <c r="A7149" i="1"/>
  <c r="D7148" i="1"/>
  <c r="A7148" i="1"/>
  <c r="D7147" i="1"/>
  <c r="A7147" i="1"/>
  <c r="D7146" i="1"/>
  <c r="A7146" i="1"/>
  <c r="D7145" i="1"/>
  <c r="A7145" i="1"/>
  <c r="D7144" i="1"/>
  <c r="A7144" i="1"/>
  <c r="D7143" i="1"/>
  <c r="A7143" i="1"/>
  <c r="D7142" i="1"/>
  <c r="A7142" i="1"/>
  <c r="D7141" i="1"/>
  <c r="A7141" i="1"/>
  <c r="D7140" i="1"/>
  <c r="A7140" i="1"/>
  <c r="D7139" i="1"/>
  <c r="A7139" i="1"/>
  <c r="D7138" i="1"/>
  <c r="A7138" i="1"/>
  <c r="D7137" i="1"/>
  <c r="A7137" i="1"/>
  <c r="D7136" i="1"/>
  <c r="A7136" i="1"/>
  <c r="D7135" i="1"/>
  <c r="A7135" i="1"/>
  <c r="D7134" i="1"/>
  <c r="A7134" i="1"/>
  <c r="D7133" i="1"/>
  <c r="A7133" i="1"/>
  <c r="D7132" i="1"/>
  <c r="A7132" i="1"/>
  <c r="D7131" i="1"/>
  <c r="A7131" i="1"/>
  <c r="D7130" i="1"/>
  <c r="A7130" i="1"/>
  <c r="D7129" i="1"/>
  <c r="A7129" i="1"/>
  <c r="D7128" i="1"/>
  <c r="A7128" i="1"/>
  <c r="D7127" i="1"/>
  <c r="A7127" i="1"/>
  <c r="D7126" i="1"/>
  <c r="A7126" i="1"/>
  <c r="D7125" i="1"/>
  <c r="A7125" i="1"/>
  <c r="D7124" i="1"/>
  <c r="A7124" i="1"/>
  <c r="D7123" i="1"/>
  <c r="A7123" i="1"/>
  <c r="D7122" i="1"/>
  <c r="A7122" i="1"/>
  <c r="D7121" i="1"/>
  <c r="A7121" i="1"/>
  <c r="D7120" i="1"/>
  <c r="A7120" i="1"/>
  <c r="D7119" i="1"/>
  <c r="A7119" i="1"/>
  <c r="D7118" i="1"/>
  <c r="A7118" i="1"/>
  <c r="D7117" i="1"/>
  <c r="A7117" i="1"/>
  <c r="D7116" i="1"/>
  <c r="A7116" i="1"/>
  <c r="D7115" i="1"/>
  <c r="A7115" i="1"/>
  <c r="D7114" i="1"/>
  <c r="A7114" i="1"/>
  <c r="D7113" i="1"/>
  <c r="A7113" i="1"/>
  <c r="D7112" i="1"/>
  <c r="A7112" i="1"/>
  <c r="D7111" i="1"/>
  <c r="A7111" i="1"/>
  <c r="D7110" i="1"/>
  <c r="A7110" i="1"/>
  <c r="D7109" i="1"/>
  <c r="A7109" i="1"/>
  <c r="D7108" i="1"/>
  <c r="A7108" i="1"/>
  <c r="D7107" i="1"/>
  <c r="A7107" i="1"/>
  <c r="D7106" i="1"/>
  <c r="A7106" i="1"/>
  <c r="D7105" i="1"/>
  <c r="A7105" i="1"/>
  <c r="D7104" i="1"/>
  <c r="A7104" i="1"/>
  <c r="D7103" i="1"/>
  <c r="A7103" i="1"/>
  <c r="D7102" i="1"/>
  <c r="A7102" i="1"/>
  <c r="D7101" i="1"/>
  <c r="A7101" i="1"/>
  <c r="D7100" i="1"/>
  <c r="A7100" i="1"/>
  <c r="D7099" i="1"/>
  <c r="A7099" i="1"/>
  <c r="D7098" i="1"/>
  <c r="A7098" i="1"/>
  <c r="D7097" i="1"/>
  <c r="A7097" i="1"/>
  <c r="D7096" i="1"/>
  <c r="A7096" i="1"/>
  <c r="D7095" i="1"/>
  <c r="A7095" i="1"/>
  <c r="D7094" i="1"/>
  <c r="A7094" i="1"/>
  <c r="D7093" i="1"/>
  <c r="A7093" i="1"/>
  <c r="D7092" i="1"/>
  <c r="A7092" i="1"/>
  <c r="D7091" i="1"/>
  <c r="A7091" i="1"/>
  <c r="D7090" i="1"/>
  <c r="A7090" i="1"/>
  <c r="D7089" i="1"/>
  <c r="A7089" i="1"/>
  <c r="D7088" i="1"/>
  <c r="A7088" i="1"/>
  <c r="D7087" i="1"/>
  <c r="A7087" i="1"/>
  <c r="D7086" i="1"/>
  <c r="A7086" i="1"/>
  <c r="D7085" i="1"/>
  <c r="A7085" i="1"/>
  <c r="D7084" i="1"/>
  <c r="A7084" i="1"/>
  <c r="D7083" i="1"/>
  <c r="A7083" i="1"/>
  <c r="D7082" i="1"/>
  <c r="A7082" i="1"/>
  <c r="D7081" i="1"/>
  <c r="A7081" i="1"/>
  <c r="D7080" i="1"/>
  <c r="A7080" i="1"/>
  <c r="D7079" i="1"/>
  <c r="A7079" i="1"/>
  <c r="D7078" i="1"/>
  <c r="A7078" i="1"/>
  <c r="D7077" i="1"/>
  <c r="A7077" i="1"/>
  <c r="D7076" i="1"/>
  <c r="A7076" i="1"/>
  <c r="D7075" i="1"/>
  <c r="A7075" i="1"/>
  <c r="D7074" i="1"/>
  <c r="A7074" i="1"/>
  <c r="D7073" i="1"/>
  <c r="A7073" i="1"/>
  <c r="D7072" i="1"/>
  <c r="A7072" i="1"/>
  <c r="D7071" i="1"/>
  <c r="A7071" i="1"/>
  <c r="D7070" i="1"/>
  <c r="A7070" i="1"/>
  <c r="D7069" i="1"/>
  <c r="A7069" i="1"/>
  <c r="D7068" i="1"/>
  <c r="A7068" i="1"/>
  <c r="D7067" i="1"/>
  <c r="A7067" i="1"/>
  <c r="D7066" i="1"/>
  <c r="A7066" i="1"/>
  <c r="D7065" i="1"/>
  <c r="A7065" i="1"/>
  <c r="D7064" i="1"/>
  <c r="A7064" i="1"/>
  <c r="D7063" i="1"/>
  <c r="A7063" i="1"/>
  <c r="D7062" i="1"/>
  <c r="A7062" i="1"/>
  <c r="D7061" i="1"/>
  <c r="A7061" i="1"/>
  <c r="D7060" i="1"/>
  <c r="A7060" i="1"/>
  <c r="D7059" i="1"/>
  <c r="A7059" i="1"/>
  <c r="D7058" i="1"/>
  <c r="A7058" i="1"/>
  <c r="D7057" i="1"/>
  <c r="A7057" i="1"/>
  <c r="D7056" i="1"/>
  <c r="A7056" i="1"/>
  <c r="D7055" i="1"/>
  <c r="A7055" i="1"/>
  <c r="D7054" i="1"/>
  <c r="A7054" i="1"/>
  <c r="D7053" i="1"/>
  <c r="A7053" i="1"/>
  <c r="D7052" i="1"/>
  <c r="A7052" i="1"/>
  <c r="D7051" i="1"/>
  <c r="A7051" i="1"/>
  <c r="D7050" i="1"/>
  <c r="A7050" i="1"/>
  <c r="D7049" i="1"/>
  <c r="A7049" i="1"/>
  <c r="D7048" i="1"/>
  <c r="A7048" i="1"/>
  <c r="D7047" i="1"/>
  <c r="A7047" i="1"/>
  <c r="D7046" i="1"/>
  <c r="A7046" i="1"/>
  <c r="D7045" i="1"/>
  <c r="A7045" i="1"/>
  <c r="D7044" i="1"/>
  <c r="A7044" i="1"/>
  <c r="D7043" i="1"/>
  <c r="A7043" i="1"/>
  <c r="D7042" i="1"/>
  <c r="A7042" i="1"/>
  <c r="D7041" i="1"/>
  <c r="A7041" i="1"/>
  <c r="D7040" i="1"/>
  <c r="A7040" i="1"/>
  <c r="D7039" i="1"/>
  <c r="A7039" i="1"/>
  <c r="D7038" i="1"/>
  <c r="A7038" i="1"/>
  <c r="D7037" i="1"/>
  <c r="A7037" i="1"/>
  <c r="D7036" i="1"/>
  <c r="A7036" i="1"/>
  <c r="D7035" i="1"/>
  <c r="A7035" i="1"/>
  <c r="D7034" i="1"/>
  <c r="A7034" i="1"/>
  <c r="D7033" i="1"/>
  <c r="A7033" i="1"/>
  <c r="D7032" i="1"/>
  <c r="A7032" i="1"/>
  <c r="D7031" i="1"/>
  <c r="A7031" i="1"/>
  <c r="D7030" i="1"/>
  <c r="A7030" i="1"/>
  <c r="D7029" i="1"/>
  <c r="A7029" i="1"/>
  <c r="D7028" i="1"/>
  <c r="A7028" i="1"/>
  <c r="D7027" i="1"/>
  <c r="A7027" i="1"/>
  <c r="D7026" i="1"/>
  <c r="A7026" i="1"/>
  <c r="D7025" i="1"/>
  <c r="A7025" i="1"/>
  <c r="D7024" i="1"/>
  <c r="A7024" i="1"/>
  <c r="D7023" i="1"/>
  <c r="A7023" i="1"/>
  <c r="D7022" i="1"/>
  <c r="A7022" i="1"/>
  <c r="D7021" i="1"/>
  <c r="A7021" i="1"/>
  <c r="D7020" i="1"/>
  <c r="A7020" i="1"/>
  <c r="D7019" i="1"/>
  <c r="A7019" i="1"/>
  <c r="D7018" i="1"/>
  <c r="A7018" i="1"/>
  <c r="D7017" i="1"/>
  <c r="A7017" i="1"/>
  <c r="D7016" i="1"/>
  <c r="A7016" i="1"/>
  <c r="D7015" i="1"/>
  <c r="A7015" i="1"/>
  <c r="D7014" i="1"/>
  <c r="A7014" i="1"/>
  <c r="D7013" i="1"/>
  <c r="A7013" i="1"/>
  <c r="D7012" i="1"/>
  <c r="A7012" i="1"/>
  <c r="D7011" i="1"/>
  <c r="A7011" i="1"/>
  <c r="D7010" i="1"/>
  <c r="A7010" i="1"/>
  <c r="D7009" i="1"/>
  <c r="A7009" i="1"/>
  <c r="D7008" i="1"/>
  <c r="A7008" i="1"/>
  <c r="D7007" i="1"/>
  <c r="A7007" i="1"/>
  <c r="D7006" i="1"/>
  <c r="A7006" i="1"/>
  <c r="D7005" i="1"/>
  <c r="A7005" i="1"/>
  <c r="D7004" i="1"/>
  <c r="A7004" i="1"/>
  <c r="D7003" i="1"/>
  <c r="A7003" i="1"/>
  <c r="D7002" i="1"/>
  <c r="A7002" i="1"/>
  <c r="D7001" i="1"/>
  <c r="A7001" i="1"/>
  <c r="D7000" i="1"/>
  <c r="A7000" i="1"/>
  <c r="D6999" i="1"/>
  <c r="A6999" i="1"/>
  <c r="D6998" i="1"/>
  <c r="A6998" i="1"/>
  <c r="D6997" i="1"/>
  <c r="A6997" i="1"/>
  <c r="D6996" i="1"/>
  <c r="A6996" i="1"/>
  <c r="D6995" i="1"/>
  <c r="A6995" i="1"/>
  <c r="D6994" i="1"/>
  <c r="A6994" i="1"/>
  <c r="D6993" i="1"/>
  <c r="A6993" i="1"/>
  <c r="D6992" i="1"/>
  <c r="A6992" i="1"/>
  <c r="D6991" i="1"/>
  <c r="A6991" i="1"/>
  <c r="D6990" i="1"/>
  <c r="A6990" i="1"/>
  <c r="D6989" i="1"/>
  <c r="A6989" i="1"/>
  <c r="D6988" i="1"/>
  <c r="A6988" i="1"/>
  <c r="D6987" i="1"/>
  <c r="A6987" i="1"/>
  <c r="D6986" i="1"/>
  <c r="A6986" i="1"/>
  <c r="D6985" i="1"/>
  <c r="A6985" i="1"/>
  <c r="D6984" i="1"/>
  <c r="A6984" i="1"/>
  <c r="D6983" i="1"/>
  <c r="A6983" i="1"/>
  <c r="D6982" i="1"/>
  <c r="A6982" i="1"/>
  <c r="D6981" i="1"/>
  <c r="A6981" i="1"/>
  <c r="D6980" i="1"/>
  <c r="A6980" i="1"/>
  <c r="D6979" i="1"/>
  <c r="A6979" i="1"/>
  <c r="D6978" i="1"/>
  <c r="A6978" i="1"/>
  <c r="D6977" i="1"/>
  <c r="A6977" i="1"/>
  <c r="D6976" i="1"/>
  <c r="A6976" i="1"/>
  <c r="D6975" i="1"/>
  <c r="A6975" i="1"/>
  <c r="D6974" i="1"/>
  <c r="A6974" i="1"/>
  <c r="D6973" i="1"/>
  <c r="A6973" i="1"/>
  <c r="D6972" i="1"/>
  <c r="A6972" i="1"/>
  <c r="D6971" i="1"/>
  <c r="A6971" i="1"/>
  <c r="D6970" i="1"/>
  <c r="A6970" i="1"/>
  <c r="D6969" i="1"/>
  <c r="A6969" i="1"/>
  <c r="D6968" i="1"/>
  <c r="A6968" i="1"/>
  <c r="D6967" i="1"/>
  <c r="A6967" i="1"/>
  <c r="D6966" i="1"/>
  <c r="A6966" i="1"/>
  <c r="D6965" i="1"/>
  <c r="A6965" i="1"/>
  <c r="D6964" i="1"/>
  <c r="A6964" i="1"/>
  <c r="D6963" i="1"/>
  <c r="A6963" i="1"/>
  <c r="D6962" i="1"/>
  <c r="A6962" i="1"/>
  <c r="D6961" i="1"/>
  <c r="A6961" i="1"/>
  <c r="D6960" i="1"/>
  <c r="A6960" i="1"/>
  <c r="D6959" i="1"/>
  <c r="A6959" i="1"/>
  <c r="D6958" i="1"/>
  <c r="A6958" i="1"/>
  <c r="D6957" i="1"/>
  <c r="A6957" i="1"/>
  <c r="D6956" i="1"/>
  <c r="A6956" i="1"/>
  <c r="D6955" i="1"/>
  <c r="A6955" i="1"/>
  <c r="D6954" i="1"/>
  <c r="A6954" i="1"/>
  <c r="D6953" i="1"/>
  <c r="A6953" i="1"/>
  <c r="D6952" i="1"/>
  <c r="A6952" i="1"/>
  <c r="D6951" i="1"/>
  <c r="A6951" i="1"/>
  <c r="D6950" i="1"/>
  <c r="A6950" i="1"/>
  <c r="D6949" i="1"/>
  <c r="A6949" i="1"/>
  <c r="D6948" i="1"/>
  <c r="A6948" i="1"/>
  <c r="D6947" i="1"/>
  <c r="A6947" i="1"/>
  <c r="D6946" i="1"/>
  <c r="A6946" i="1"/>
  <c r="D6945" i="1"/>
  <c r="A6945" i="1"/>
  <c r="D6944" i="1"/>
  <c r="A6944" i="1"/>
  <c r="D6943" i="1"/>
  <c r="A6943" i="1"/>
  <c r="D6942" i="1"/>
  <c r="A6942" i="1"/>
  <c r="D6941" i="1"/>
  <c r="A6941" i="1"/>
  <c r="D6940" i="1"/>
  <c r="A6940" i="1"/>
  <c r="D6939" i="1"/>
  <c r="A6939" i="1"/>
  <c r="D6938" i="1"/>
  <c r="A6938" i="1"/>
  <c r="D6937" i="1"/>
  <c r="A6937" i="1"/>
  <c r="D6936" i="1"/>
  <c r="A6936" i="1"/>
  <c r="D6935" i="1"/>
  <c r="A6935" i="1"/>
  <c r="D6934" i="1"/>
  <c r="A6934" i="1"/>
  <c r="D6933" i="1"/>
  <c r="A6933" i="1"/>
  <c r="D6932" i="1"/>
  <c r="A6932" i="1"/>
  <c r="D6931" i="1"/>
  <c r="A6931" i="1"/>
  <c r="D6930" i="1"/>
  <c r="A6930" i="1"/>
  <c r="D6929" i="1"/>
  <c r="A6929" i="1"/>
  <c r="D6928" i="1"/>
  <c r="A6928" i="1"/>
  <c r="D6927" i="1"/>
  <c r="A6927" i="1"/>
  <c r="D6926" i="1"/>
  <c r="A6926" i="1"/>
  <c r="D6925" i="1"/>
  <c r="A6925" i="1"/>
  <c r="D6924" i="1"/>
  <c r="A6924" i="1"/>
  <c r="D6923" i="1"/>
  <c r="A6923" i="1"/>
  <c r="D6922" i="1"/>
  <c r="A6922" i="1"/>
  <c r="D6921" i="1"/>
  <c r="A6921" i="1"/>
  <c r="D6920" i="1"/>
  <c r="A6920" i="1"/>
  <c r="D6919" i="1"/>
  <c r="A6919" i="1"/>
  <c r="D6918" i="1"/>
  <c r="A6918" i="1"/>
  <c r="D6917" i="1"/>
  <c r="A6917" i="1"/>
  <c r="D6916" i="1"/>
  <c r="A6916" i="1"/>
  <c r="D6915" i="1"/>
  <c r="A6915" i="1"/>
  <c r="D6914" i="1"/>
  <c r="A6914" i="1"/>
  <c r="D6913" i="1"/>
  <c r="A6913" i="1"/>
  <c r="D6912" i="1"/>
  <c r="A6912" i="1"/>
  <c r="D6911" i="1"/>
  <c r="A6911" i="1"/>
  <c r="D6910" i="1"/>
  <c r="A6910" i="1"/>
  <c r="D6909" i="1"/>
  <c r="A6909" i="1"/>
  <c r="D6908" i="1"/>
  <c r="A6908" i="1"/>
  <c r="D6907" i="1"/>
  <c r="A6907" i="1"/>
  <c r="D6906" i="1"/>
  <c r="A6906" i="1"/>
  <c r="D6905" i="1"/>
  <c r="A6905" i="1"/>
  <c r="D6904" i="1"/>
  <c r="A6904" i="1"/>
  <c r="D6903" i="1"/>
  <c r="A6903" i="1"/>
  <c r="D6902" i="1"/>
  <c r="A6902" i="1"/>
  <c r="D6901" i="1"/>
  <c r="A6901" i="1"/>
  <c r="D6900" i="1"/>
  <c r="A6900" i="1"/>
  <c r="D6899" i="1"/>
  <c r="A6899" i="1"/>
  <c r="D6898" i="1"/>
  <c r="A6898" i="1"/>
  <c r="D6897" i="1"/>
  <c r="A6897" i="1"/>
  <c r="D6896" i="1"/>
  <c r="A6896" i="1"/>
  <c r="D6895" i="1"/>
  <c r="A6895" i="1"/>
  <c r="D6894" i="1"/>
  <c r="A6894" i="1"/>
  <c r="D6893" i="1"/>
  <c r="A6893" i="1"/>
  <c r="D6892" i="1"/>
  <c r="A6892" i="1"/>
  <c r="D6891" i="1"/>
  <c r="A6891" i="1"/>
  <c r="D6890" i="1"/>
  <c r="A6890" i="1"/>
  <c r="D6889" i="1"/>
  <c r="A6889" i="1"/>
  <c r="D6888" i="1"/>
  <c r="A6888" i="1"/>
  <c r="D6887" i="1"/>
  <c r="A6887" i="1"/>
  <c r="D6886" i="1"/>
  <c r="A6886" i="1"/>
  <c r="D6885" i="1"/>
  <c r="A6885" i="1"/>
  <c r="D6884" i="1"/>
  <c r="A6884" i="1"/>
  <c r="D6883" i="1"/>
  <c r="A6883" i="1"/>
  <c r="D6882" i="1"/>
  <c r="A6882" i="1"/>
  <c r="D6881" i="1"/>
  <c r="A6881" i="1"/>
  <c r="D6880" i="1"/>
  <c r="A6880" i="1"/>
  <c r="D6879" i="1"/>
  <c r="A6879" i="1"/>
  <c r="D6878" i="1"/>
  <c r="A6878" i="1"/>
  <c r="D6877" i="1"/>
  <c r="A6877" i="1"/>
  <c r="D6876" i="1"/>
  <c r="A6876" i="1"/>
  <c r="D6875" i="1"/>
  <c r="A6875" i="1"/>
  <c r="D6874" i="1"/>
  <c r="A6874" i="1"/>
  <c r="D6873" i="1"/>
  <c r="A6873" i="1"/>
  <c r="D6872" i="1"/>
  <c r="A6872" i="1"/>
  <c r="D6871" i="1"/>
  <c r="A6871" i="1"/>
  <c r="D6870" i="1"/>
  <c r="A6870" i="1"/>
  <c r="D6869" i="1"/>
  <c r="A6869" i="1"/>
  <c r="D6868" i="1"/>
  <c r="A6868" i="1"/>
  <c r="D6867" i="1"/>
  <c r="A6867" i="1"/>
  <c r="D6866" i="1"/>
  <c r="A6866" i="1"/>
  <c r="D6865" i="1"/>
  <c r="A6865" i="1"/>
  <c r="D6864" i="1"/>
  <c r="A6864" i="1"/>
  <c r="D6863" i="1"/>
  <c r="A6863" i="1"/>
  <c r="D6862" i="1"/>
  <c r="A6862" i="1"/>
  <c r="D6861" i="1"/>
  <c r="A6861" i="1"/>
  <c r="D6860" i="1"/>
  <c r="A6860" i="1"/>
  <c r="D6859" i="1"/>
  <c r="A6859" i="1"/>
  <c r="D6858" i="1"/>
  <c r="A6858" i="1"/>
  <c r="D6857" i="1"/>
  <c r="A6857" i="1"/>
  <c r="D6856" i="1"/>
  <c r="A6856" i="1"/>
  <c r="D6855" i="1"/>
  <c r="A6855" i="1"/>
  <c r="D6854" i="1"/>
  <c r="A6854" i="1"/>
  <c r="D6853" i="1"/>
  <c r="A6853" i="1"/>
  <c r="D6852" i="1"/>
  <c r="A6852" i="1"/>
  <c r="D6851" i="1"/>
  <c r="A6851" i="1"/>
  <c r="D6850" i="1"/>
  <c r="A6850" i="1"/>
  <c r="D6849" i="1"/>
  <c r="A6849" i="1"/>
  <c r="D6848" i="1"/>
  <c r="A6848" i="1"/>
  <c r="D6847" i="1"/>
  <c r="A6847" i="1"/>
  <c r="D6846" i="1"/>
  <c r="A6846" i="1"/>
  <c r="D6845" i="1"/>
  <c r="A6845" i="1"/>
  <c r="D6844" i="1"/>
  <c r="A6844" i="1"/>
  <c r="D6843" i="1"/>
  <c r="A6843" i="1"/>
  <c r="D6842" i="1"/>
  <c r="A6842" i="1"/>
  <c r="D6841" i="1"/>
  <c r="A6841" i="1"/>
  <c r="D6840" i="1"/>
  <c r="A6840" i="1"/>
  <c r="D6839" i="1"/>
  <c r="A6839" i="1"/>
  <c r="D6838" i="1"/>
  <c r="A6838" i="1"/>
  <c r="D6837" i="1"/>
  <c r="A6837" i="1"/>
  <c r="D6836" i="1"/>
  <c r="A6836" i="1"/>
  <c r="D6835" i="1"/>
  <c r="A6835" i="1"/>
  <c r="D6834" i="1"/>
  <c r="A6834" i="1"/>
  <c r="D6833" i="1"/>
  <c r="A6833" i="1"/>
  <c r="D6832" i="1"/>
  <c r="A6832" i="1"/>
  <c r="D6831" i="1"/>
  <c r="A6831" i="1"/>
  <c r="D6830" i="1"/>
  <c r="A6830" i="1"/>
  <c r="D6829" i="1"/>
  <c r="A6829" i="1"/>
  <c r="D6828" i="1"/>
  <c r="A6828" i="1"/>
  <c r="D6827" i="1"/>
  <c r="A6827" i="1"/>
  <c r="D6826" i="1"/>
  <c r="A6826" i="1"/>
  <c r="D6825" i="1"/>
  <c r="A6825" i="1"/>
  <c r="D6824" i="1"/>
  <c r="A6824" i="1"/>
  <c r="D6823" i="1"/>
  <c r="A6823" i="1"/>
  <c r="D6822" i="1"/>
  <c r="A6822" i="1"/>
  <c r="D6821" i="1"/>
  <c r="A6821" i="1"/>
  <c r="D6820" i="1"/>
  <c r="A6820" i="1"/>
  <c r="D6819" i="1"/>
  <c r="A6819" i="1"/>
  <c r="D6818" i="1"/>
  <c r="A6818" i="1"/>
  <c r="D6817" i="1"/>
  <c r="A6817" i="1"/>
  <c r="D6816" i="1"/>
  <c r="A6816" i="1"/>
  <c r="D6815" i="1"/>
  <c r="A6815" i="1"/>
  <c r="D6814" i="1"/>
  <c r="A6814" i="1"/>
  <c r="D6813" i="1"/>
  <c r="A6813" i="1"/>
  <c r="D6812" i="1"/>
  <c r="A6812" i="1"/>
  <c r="D6811" i="1"/>
  <c r="A6811" i="1"/>
  <c r="D6810" i="1"/>
  <c r="A6810" i="1"/>
  <c r="D6809" i="1"/>
  <c r="A6809" i="1"/>
  <c r="D6808" i="1"/>
  <c r="A6808" i="1"/>
  <c r="D6807" i="1"/>
  <c r="A6807" i="1"/>
  <c r="D6806" i="1"/>
  <c r="A6806" i="1"/>
  <c r="D6805" i="1"/>
  <c r="A6805" i="1"/>
  <c r="D6804" i="1"/>
  <c r="A6804" i="1"/>
  <c r="D6803" i="1"/>
  <c r="A6803" i="1"/>
  <c r="D6802" i="1"/>
  <c r="A6802" i="1"/>
  <c r="D6801" i="1"/>
  <c r="A6801" i="1"/>
  <c r="D6800" i="1"/>
  <c r="A6800" i="1"/>
  <c r="D6799" i="1"/>
  <c r="A6799" i="1"/>
  <c r="D6798" i="1"/>
  <c r="A6798" i="1"/>
  <c r="D6797" i="1"/>
  <c r="A6797" i="1"/>
  <c r="D6796" i="1"/>
  <c r="A6796" i="1"/>
  <c r="D6795" i="1"/>
  <c r="A6795" i="1"/>
  <c r="D6794" i="1"/>
  <c r="A6794" i="1"/>
  <c r="D6793" i="1"/>
  <c r="A6793" i="1"/>
  <c r="D6792" i="1"/>
  <c r="A6792" i="1"/>
  <c r="D6791" i="1"/>
  <c r="A6791" i="1"/>
  <c r="D6790" i="1"/>
  <c r="A6790" i="1"/>
  <c r="D6789" i="1"/>
  <c r="A6789" i="1"/>
  <c r="D6788" i="1"/>
  <c r="A6788" i="1"/>
  <c r="D6787" i="1"/>
  <c r="A6787" i="1"/>
  <c r="D6786" i="1"/>
  <c r="A6786" i="1"/>
  <c r="D6785" i="1"/>
  <c r="A6785" i="1"/>
  <c r="D6784" i="1"/>
  <c r="A6784" i="1"/>
  <c r="D6783" i="1"/>
  <c r="A6783" i="1"/>
  <c r="D6782" i="1"/>
  <c r="A6782" i="1"/>
  <c r="D6781" i="1"/>
  <c r="A6781" i="1"/>
  <c r="D6780" i="1"/>
  <c r="A6780" i="1"/>
  <c r="D6779" i="1"/>
  <c r="A6779" i="1"/>
  <c r="D6778" i="1"/>
  <c r="A6778" i="1"/>
  <c r="D6777" i="1"/>
  <c r="A6777" i="1"/>
  <c r="D6776" i="1"/>
  <c r="A6776" i="1"/>
  <c r="D6775" i="1"/>
  <c r="A6775" i="1"/>
  <c r="D6774" i="1"/>
  <c r="A6774" i="1"/>
  <c r="D6773" i="1"/>
  <c r="A6773" i="1"/>
  <c r="D6772" i="1"/>
  <c r="A6772" i="1"/>
  <c r="D6771" i="1"/>
  <c r="A6771" i="1"/>
  <c r="D6770" i="1"/>
  <c r="A6770" i="1"/>
  <c r="D6769" i="1"/>
  <c r="A6769" i="1"/>
  <c r="D6768" i="1"/>
  <c r="A6768" i="1"/>
  <c r="D6767" i="1"/>
  <c r="A6767" i="1"/>
  <c r="D6766" i="1"/>
  <c r="A6766" i="1"/>
  <c r="D6765" i="1"/>
  <c r="A6765" i="1"/>
  <c r="D6764" i="1"/>
  <c r="A6764" i="1"/>
  <c r="D6763" i="1"/>
  <c r="A6763" i="1"/>
  <c r="D6762" i="1"/>
  <c r="A6762" i="1"/>
  <c r="D6761" i="1"/>
  <c r="A6761" i="1"/>
  <c r="D6760" i="1"/>
  <c r="A6760" i="1"/>
  <c r="D6759" i="1"/>
  <c r="A6759" i="1"/>
  <c r="D6758" i="1"/>
  <c r="A6758" i="1"/>
  <c r="D6757" i="1"/>
  <c r="A6757" i="1"/>
  <c r="D6756" i="1"/>
  <c r="A6756" i="1"/>
  <c r="D6755" i="1"/>
  <c r="A6755" i="1"/>
  <c r="D6754" i="1"/>
  <c r="A6754" i="1"/>
  <c r="D6753" i="1"/>
  <c r="A6753" i="1"/>
  <c r="D6752" i="1"/>
  <c r="A6752" i="1"/>
  <c r="D6751" i="1"/>
  <c r="A6751" i="1"/>
  <c r="D6750" i="1"/>
  <c r="A6750" i="1"/>
  <c r="D6749" i="1"/>
  <c r="A6749" i="1"/>
  <c r="D6748" i="1"/>
  <c r="A6748" i="1"/>
  <c r="D6747" i="1"/>
  <c r="A6747" i="1"/>
  <c r="D6746" i="1"/>
  <c r="A6746" i="1"/>
  <c r="D6745" i="1"/>
  <c r="A6745" i="1"/>
  <c r="D6744" i="1"/>
  <c r="A6744" i="1"/>
  <c r="D6743" i="1"/>
  <c r="A6743" i="1"/>
  <c r="D6742" i="1"/>
  <c r="A6742" i="1"/>
  <c r="D6741" i="1"/>
  <c r="A6741" i="1"/>
  <c r="D6740" i="1"/>
  <c r="A6740" i="1"/>
  <c r="D6739" i="1"/>
  <c r="A6739" i="1"/>
  <c r="D6738" i="1"/>
  <c r="A6738" i="1"/>
  <c r="D6737" i="1"/>
  <c r="A6737" i="1"/>
  <c r="D6736" i="1"/>
  <c r="A6736" i="1"/>
  <c r="D6735" i="1"/>
  <c r="A6735" i="1"/>
  <c r="D6734" i="1"/>
  <c r="A6734" i="1"/>
  <c r="D6733" i="1"/>
  <c r="A6733" i="1"/>
  <c r="D6732" i="1"/>
  <c r="A6732" i="1"/>
  <c r="D6731" i="1"/>
  <c r="A6731" i="1"/>
  <c r="D6730" i="1"/>
  <c r="A6730" i="1"/>
  <c r="D6729" i="1"/>
  <c r="A6729" i="1"/>
  <c r="D6728" i="1"/>
  <c r="A6728" i="1"/>
  <c r="D6727" i="1"/>
  <c r="A6727" i="1"/>
  <c r="D6726" i="1"/>
  <c r="A6726" i="1"/>
  <c r="D6725" i="1"/>
  <c r="A6725" i="1"/>
  <c r="D6724" i="1"/>
  <c r="A6724" i="1"/>
  <c r="D6723" i="1"/>
  <c r="A6723" i="1"/>
  <c r="D6722" i="1"/>
  <c r="A6722" i="1"/>
  <c r="D6721" i="1"/>
  <c r="A6721" i="1"/>
  <c r="D6720" i="1"/>
  <c r="A6720" i="1"/>
  <c r="D6719" i="1"/>
  <c r="A6719" i="1"/>
  <c r="D6718" i="1"/>
  <c r="A6718" i="1"/>
  <c r="D6717" i="1"/>
  <c r="A6717" i="1"/>
  <c r="D6716" i="1"/>
  <c r="A6716" i="1"/>
  <c r="D6715" i="1"/>
  <c r="A6715" i="1"/>
  <c r="D6714" i="1"/>
  <c r="A6714" i="1"/>
  <c r="D6713" i="1"/>
  <c r="A6713" i="1"/>
  <c r="D6712" i="1"/>
  <c r="A6712" i="1"/>
  <c r="D6711" i="1"/>
  <c r="A6711" i="1"/>
  <c r="D6710" i="1"/>
  <c r="A6710" i="1"/>
  <c r="D6709" i="1"/>
  <c r="A6709" i="1"/>
  <c r="D6708" i="1"/>
  <c r="A6708" i="1"/>
  <c r="D6707" i="1"/>
  <c r="A6707" i="1"/>
  <c r="D6706" i="1"/>
  <c r="A6706" i="1"/>
  <c r="D6705" i="1"/>
  <c r="A6705" i="1"/>
  <c r="D6704" i="1"/>
  <c r="A6704" i="1"/>
  <c r="D6703" i="1"/>
  <c r="A6703" i="1"/>
  <c r="D6702" i="1"/>
  <c r="A6702" i="1"/>
  <c r="D6701" i="1"/>
  <c r="A6701" i="1"/>
  <c r="D6700" i="1"/>
  <c r="A6700" i="1"/>
  <c r="D6699" i="1"/>
  <c r="A6699" i="1"/>
  <c r="D6698" i="1"/>
  <c r="A6698" i="1"/>
  <c r="D6697" i="1"/>
  <c r="A6697" i="1"/>
  <c r="D6696" i="1"/>
  <c r="A6696" i="1"/>
  <c r="D6695" i="1"/>
  <c r="A6695" i="1"/>
  <c r="D6694" i="1"/>
  <c r="A6694" i="1"/>
  <c r="D6693" i="1"/>
  <c r="A6693" i="1"/>
  <c r="D6692" i="1"/>
  <c r="A6692" i="1"/>
  <c r="D6691" i="1"/>
  <c r="A6691" i="1"/>
  <c r="D6690" i="1"/>
  <c r="A6690" i="1"/>
  <c r="D6689" i="1"/>
  <c r="A6689" i="1"/>
  <c r="D6688" i="1"/>
  <c r="A6688" i="1"/>
  <c r="D6687" i="1"/>
  <c r="A6687" i="1"/>
  <c r="D6686" i="1"/>
  <c r="A6686" i="1"/>
  <c r="D6685" i="1"/>
  <c r="A6685" i="1"/>
  <c r="D6684" i="1"/>
  <c r="A6684" i="1"/>
  <c r="D6683" i="1"/>
  <c r="A6683" i="1"/>
  <c r="D6682" i="1"/>
  <c r="A6682" i="1"/>
  <c r="D6681" i="1"/>
  <c r="A6681" i="1"/>
  <c r="D6680" i="1"/>
  <c r="A6680" i="1"/>
  <c r="D6679" i="1"/>
  <c r="A6679" i="1"/>
  <c r="D6678" i="1"/>
  <c r="A6678" i="1"/>
  <c r="D6677" i="1"/>
  <c r="A6677" i="1"/>
  <c r="D6676" i="1"/>
  <c r="A6676" i="1"/>
  <c r="D6675" i="1"/>
  <c r="A6675" i="1"/>
  <c r="D6674" i="1"/>
  <c r="A6674" i="1"/>
  <c r="D6673" i="1"/>
  <c r="A6673" i="1"/>
  <c r="D6672" i="1"/>
  <c r="A6672" i="1"/>
  <c r="D6671" i="1"/>
  <c r="A6671" i="1"/>
  <c r="D6670" i="1"/>
  <c r="A6670" i="1"/>
  <c r="D6669" i="1"/>
  <c r="A6669" i="1"/>
  <c r="D6668" i="1"/>
  <c r="A6668" i="1"/>
  <c r="D6667" i="1"/>
  <c r="A6667" i="1"/>
  <c r="D6666" i="1"/>
  <c r="A6666" i="1"/>
  <c r="D6665" i="1"/>
  <c r="A6665" i="1"/>
  <c r="D6664" i="1"/>
  <c r="A6664" i="1"/>
  <c r="D6663" i="1"/>
  <c r="A6663" i="1"/>
  <c r="D6662" i="1"/>
  <c r="A6662" i="1"/>
  <c r="D6661" i="1"/>
  <c r="A6661" i="1"/>
  <c r="D6660" i="1"/>
  <c r="A6660" i="1"/>
  <c r="D6659" i="1"/>
  <c r="A6659" i="1"/>
  <c r="D6658" i="1"/>
  <c r="A6658" i="1"/>
  <c r="D6657" i="1"/>
  <c r="A6657" i="1"/>
  <c r="D6656" i="1"/>
  <c r="A6656" i="1"/>
  <c r="D6655" i="1"/>
  <c r="A6655" i="1"/>
  <c r="D6654" i="1"/>
  <c r="A6654" i="1"/>
  <c r="D6653" i="1"/>
  <c r="A6653" i="1"/>
  <c r="D6652" i="1"/>
  <c r="A6652" i="1"/>
  <c r="D6651" i="1"/>
  <c r="A6651" i="1"/>
  <c r="D6650" i="1"/>
  <c r="A6650" i="1"/>
  <c r="D6649" i="1"/>
  <c r="A6649" i="1"/>
  <c r="D6648" i="1"/>
  <c r="A6648" i="1"/>
  <c r="D6647" i="1"/>
  <c r="A6647" i="1"/>
  <c r="D6646" i="1"/>
  <c r="A6646" i="1"/>
  <c r="D6645" i="1"/>
  <c r="A6645" i="1"/>
  <c r="D6644" i="1"/>
  <c r="A6644" i="1"/>
  <c r="D6643" i="1"/>
  <c r="A6643" i="1"/>
  <c r="D6642" i="1"/>
  <c r="A6642" i="1"/>
  <c r="D6641" i="1"/>
  <c r="A6641" i="1"/>
  <c r="D6640" i="1"/>
  <c r="A6640" i="1"/>
  <c r="D6639" i="1"/>
  <c r="A6639" i="1"/>
  <c r="D6638" i="1"/>
  <c r="A6638" i="1"/>
  <c r="D6637" i="1"/>
  <c r="A6637" i="1"/>
  <c r="D6636" i="1"/>
  <c r="A6636" i="1"/>
  <c r="D6635" i="1"/>
  <c r="A6635" i="1"/>
  <c r="D6634" i="1"/>
  <c r="A6634" i="1"/>
  <c r="D6633" i="1"/>
  <c r="A6633" i="1"/>
  <c r="D6632" i="1"/>
  <c r="A6632" i="1"/>
  <c r="D6631" i="1"/>
  <c r="A6631" i="1"/>
  <c r="D6630" i="1"/>
  <c r="A6630" i="1"/>
  <c r="D6629" i="1"/>
  <c r="A6629" i="1"/>
  <c r="D6628" i="1"/>
  <c r="A6628" i="1"/>
  <c r="D6627" i="1"/>
  <c r="A6627" i="1"/>
  <c r="D6626" i="1"/>
  <c r="A6626" i="1"/>
  <c r="D6625" i="1"/>
  <c r="A6625" i="1"/>
  <c r="D6624" i="1"/>
  <c r="A6624" i="1"/>
  <c r="D6623" i="1"/>
  <c r="A6623" i="1"/>
  <c r="D6622" i="1"/>
  <c r="A6622" i="1"/>
  <c r="D6621" i="1"/>
  <c r="A6621" i="1"/>
  <c r="D6620" i="1"/>
  <c r="A6620" i="1"/>
  <c r="D6619" i="1"/>
  <c r="A6619" i="1"/>
  <c r="D6618" i="1"/>
  <c r="A6618" i="1"/>
  <c r="D6617" i="1"/>
  <c r="A6617" i="1"/>
  <c r="D6616" i="1"/>
  <c r="A6616" i="1"/>
  <c r="D6615" i="1"/>
  <c r="A6615" i="1"/>
  <c r="D6614" i="1"/>
  <c r="A6614" i="1"/>
  <c r="D6613" i="1"/>
  <c r="A6613" i="1"/>
  <c r="D6612" i="1"/>
  <c r="A6612" i="1"/>
  <c r="D6611" i="1"/>
  <c r="A6611" i="1"/>
  <c r="D6610" i="1"/>
  <c r="A6610" i="1"/>
  <c r="D6609" i="1"/>
  <c r="A6609" i="1"/>
  <c r="D6608" i="1"/>
  <c r="A6608" i="1"/>
  <c r="D6607" i="1"/>
  <c r="A6607" i="1"/>
  <c r="D6606" i="1"/>
  <c r="A6606" i="1"/>
  <c r="D6605" i="1"/>
  <c r="A6605" i="1"/>
  <c r="D6604" i="1"/>
  <c r="A6604" i="1"/>
  <c r="D6603" i="1"/>
  <c r="A6603" i="1"/>
  <c r="D6602" i="1"/>
  <c r="A6602" i="1"/>
  <c r="D6601" i="1"/>
  <c r="A6601" i="1"/>
  <c r="D6600" i="1"/>
  <c r="A6600" i="1"/>
  <c r="D6599" i="1"/>
  <c r="A6599" i="1"/>
  <c r="D6598" i="1"/>
  <c r="A6598" i="1"/>
  <c r="D6597" i="1"/>
  <c r="A6597" i="1"/>
  <c r="D6596" i="1"/>
  <c r="A6596" i="1"/>
  <c r="D6595" i="1"/>
  <c r="A6595" i="1"/>
  <c r="D6594" i="1"/>
  <c r="A6594" i="1"/>
  <c r="D6593" i="1"/>
  <c r="A6593" i="1"/>
  <c r="D6592" i="1"/>
  <c r="A6592" i="1"/>
  <c r="D6591" i="1"/>
  <c r="A6591" i="1"/>
  <c r="D6590" i="1"/>
  <c r="A6590" i="1"/>
  <c r="D6589" i="1"/>
  <c r="A6589" i="1"/>
  <c r="D6588" i="1"/>
  <c r="A6588" i="1"/>
  <c r="D6587" i="1"/>
  <c r="A6587" i="1"/>
  <c r="D6586" i="1"/>
  <c r="A6586" i="1"/>
  <c r="D6585" i="1"/>
  <c r="A6585" i="1"/>
  <c r="D6584" i="1"/>
  <c r="A6584" i="1"/>
  <c r="D6583" i="1"/>
  <c r="A6583" i="1"/>
  <c r="D6582" i="1"/>
  <c r="A6582" i="1"/>
  <c r="D6581" i="1"/>
  <c r="A6581" i="1"/>
  <c r="D6580" i="1"/>
  <c r="A6580" i="1"/>
  <c r="D6579" i="1"/>
  <c r="A6579" i="1"/>
  <c r="D6578" i="1"/>
  <c r="A6578" i="1"/>
  <c r="D6577" i="1"/>
  <c r="A6577" i="1"/>
  <c r="D6576" i="1"/>
  <c r="A6576" i="1"/>
  <c r="D6575" i="1"/>
  <c r="A6575" i="1"/>
  <c r="D6574" i="1"/>
  <c r="A6574" i="1"/>
  <c r="D6573" i="1"/>
  <c r="A6573" i="1"/>
  <c r="D6572" i="1"/>
  <c r="A6572" i="1"/>
  <c r="D6571" i="1"/>
  <c r="A6571" i="1"/>
  <c r="D6570" i="1"/>
  <c r="A6570" i="1"/>
  <c r="D6569" i="1"/>
  <c r="A6569" i="1"/>
  <c r="D6568" i="1"/>
  <c r="A6568" i="1"/>
  <c r="D6567" i="1"/>
  <c r="A6567" i="1"/>
  <c r="D6566" i="1"/>
  <c r="A6566" i="1"/>
  <c r="D6565" i="1"/>
  <c r="A6565" i="1"/>
  <c r="D6564" i="1"/>
  <c r="A6564" i="1"/>
  <c r="D6563" i="1"/>
  <c r="A6563" i="1"/>
  <c r="D6562" i="1"/>
  <c r="A6562" i="1"/>
  <c r="D6561" i="1"/>
  <c r="A6561" i="1"/>
  <c r="D6560" i="1"/>
  <c r="A6560" i="1"/>
  <c r="D6559" i="1"/>
  <c r="A6559" i="1"/>
  <c r="D6558" i="1"/>
  <c r="A6558" i="1"/>
  <c r="D6557" i="1"/>
  <c r="A6557" i="1"/>
  <c r="D6556" i="1"/>
  <c r="A6556" i="1"/>
  <c r="D6555" i="1"/>
  <c r="A6555" i="1"/>
  <c r="D6554" i="1"/>
  <c r="A6554" i="1"/>
  <c r="D6553" i="1"/>
  <c r="A6553" i="1"/>
  <c r="D6552" i="1"/>
  <c r="A6552" i="1"/>
  <c r="D6551" i="1"/>
  <c r="A6551" i="1"/>
  <c r="D6550" i="1"/>
  <c r="A6550" i="1"/>
  <c r="D6549" i="1"/>
  <c r="A6549" i="1"/>
  <c r="D6548" i="1"/>
  <c r="A6548" i="1"/>
  <c r="D6547" i="1"/>
  <c r="A6547" i="1"/>
  <c r="D6546" i="1"/>
  <c r="A6546" i="1"/>
  <c r="D6545" i="1"/>
  <c r="A6545" i="1"/>
  <c r="D6544" i="1"/>
  <c r="A6544" i="1"/>
  <c r="D6543" i="1"/>
  <c r="A6543" i="1"/>
  <c r="D6542" i="1"/>
  <c r="A6542" i="1"/>
  <c r="D6541" i="1"/>
  <c r="A6541" i="1"/>
  <c r="D6540" i="1"/>
  <c r="A6540" i="1"/>
  <c r="D6539" i="1"/>
  <c r="A6539" i="1"/>
  <c r="D6538" i="1"/>
  <c r="A6538" i="1"/>
  <c r="D6537" i="1"/>
  <c r="A6537" i="1"/>
  <c r="D6536" i="1"/>
  <c r="A6536" i="1"/>
  <c r="D6535" i="1"/>
  <c r="A6535" i="1"/>
  <c r="D6534" i="1"/>
  <c r="A6534" i="1"/>
  <c r="D6533" i="1"/>
  <c r="A6533" i="1"/>
  <c r="D6532" i="1"/>
  <c r="A6532" i="1"/>
  <c r="D6531" i="1"/>
  <c r="A6531" i="1"/>
  <c r="D6530" i="1"/>
  <c r="A6530" i="1"/>
  <c r="D6529" i="1"/>
  <c r="A6529" i="1"/>
  <c r="D6528" i="1"/>
  <c r="A6528" i="1"/>
  <c r="D6527" i="1"/>
  <c r="A6527" i="1"/>
  <c r="D6526" i="1"/>
  <c r="A6526" i="1"/>
  <c r="D6525" i="1"/>
  <c r="A6525" i="1"/>
  <c r="D6524" i="1"/>
  <c r="A6524" i="1"/>
  <c r="D6523" i="1"/>
  <c r="A6523" i="1"/>
  <c r="D6522" i="1"/>
  <c r="A6522" i="1"/>
  <c r="D6521" i="1"/>
  <c r="A6521" i="1"/>
  <c r="D6520" i="1"/>
  <c r="A6520" i="1"/>
  <c r="D6519" i="1"/>
  <c r="A6519" i="1"/>
  <c r="D6518" i="1"/>
  <c r="A6518" i="1"/>
  <c r="D6517" i="1"/>
  <c r="A6517" i="1"/>
  <c r="D6516" i="1"/>
  <c r="A6516" i="1"/>
  <c r="D6515" i="1"/>
  <c r="A6515" i="1"/>
  <c r="D6514" i="1"/>
  <c r="A6514" i="1"/>
  <c r="D6513" i="1"/>
  <c r="A6513" i="1"/>
  <c r="D6512" i="1"/>
  <c r="A6512" i="1"/>
  <c r="D6511" i="1"/>
  <c r="A6511" i="1"/>
  <c r="D6510" i="1"/>
  <c r="A6510" i="1"/>
  <c r="D6509" i="1"/>
  <c r="A6509" i="1"/>
  <c r="D6508" i="1"/>
  <c r="A6508" i="1"/>
  <c r="D6507" i="1"/>
  <c r="A6507" i="1"/>
  <c r="D6506" i="1"/>
  <c r="A6506" i="1"/>
  <c r="D6505" i="1"/>
  <c r="A6505" i="1"/>
  <c r="D6504" i="1"/>
  <c r="A6504" i="1"/>
  <c r="D6503" i="1"/>
  <c r="A6503" i="1"/>
  <c r="D6502" i="1"/>
  <c r="A6502" i="1"/>
  <c r="D6501" i="1"/>
  <c r="A6501" i="1"/>
  <c r="D6500" i="1"/>
  <c r="A6500" i="1"/>
  <c r="D6499" i="1"/>
  <c r="A6499" i="1"/>
  <c r="D6498" i="1"/>
  <c r="A6498" i="1"/>
  <c r="D6497" i="1"/>
  <c r="A6497" i="1"/>
  <c r="D6496" i="1"/>
  <c r="A6496" i="1"/>
  <c r="D6495" i="1"/>
  <c r="A6495" i="1"/>
  <c r="D6494" i="1"/>
  <c r="A6494" i="1"/>
  <c r="D6493" i="1"/>
  <c r="A6493" i="1"/>
  <c r="D6492" i="1"/>
  <c r="A6492" i="1"/>
  <c r="D6491" i="1"/>
  <c r="A6491" i="1"/>
  <c r="D6490" i="1"/>
  <c r="A6490" i="1"/>
  <c r="D6489" i="1"/>
  <c r="A6489" i="1"/>
  <c r="D6488" i="1"/>
  <c r="A6488" i="1"/>
  <c r="D6487" i="1"/>
  <c r="A6487" i="1"/>
  <c r="D6486" i="1"/>
  <c r="A6486" i="1"/>
  <c r="D6485" i="1"/>
  <c r="A6485" i="1"/>
  <c r="D6484" i="1"/>
  <c r="A6484" i="1"/>
  <c r="D6483" i="1"/>
  <c r="A6483" i="1"/>
  <c r="D6482" i="1"/>
  <c r="A6482" i="1"/>
  <c r="D6481" i="1"/>
  <c r="A6481" i="1"/>
  <c r="D6480" i="1"/>
  <c r="A6480" i="1"/>
  <c r="D6479" i="1"/>
  <c r="A6479" i="1"/>
  <c r="D6478" i="1"/>
  <c r="A6478" i="1"/>
  <c r="D6477" i="1"/>
  <c r="A6477" i="1"/>
  <c r="D6476" i="1"/>
  <c r="A6476" i="1"/>
  <c r="D6475" i="1"/>
  <c r="A6475" i="1"/>
  <c r="D6474" i="1"/>
  <c r="A6474" i="1"/>
  <c r="D6473" i="1"/>
  <c r="A6473" i="1"/>
  <c r="D6472" i="1"/>
  <c r="A6472" i="1"/>
  <c r="D6471" i="1"/>
  <c r="A6471" i="1"/>
  <c r="D6470" i="1"/>
  <c r="A6470" i="1"/>
  <c r="D6469" i="1"/>
  <c r="A6469" i="1"/>
  <c r="D6468" i="1"/>
  <c r="A6468" i="1"/>
  <c r="D6467" i="1"/>
  <c r="A6467" i="1"/>
  <c r="D6466" i="1"/>
  <c r="A6466" i="1"/>
  <c r="D6465" i="1"/>
  <c r="A6465" i="1"/>
  <c r="D6464" i="1"/>
  <c r="A6464" i="1"/>
  <c r="D6463" i="1"/>
  <c r="A6463" i="1"/>
  <c r="D6462" i="1"/>
  <c r="A6462" i="1"/>
  <c r="D6461" i="1"/>
  <c r="A6461" i="1"/>
  <c r="D6460" i="1"/>
  <c r="A6460" i="1"/>
  <c r="D6459" i="1"/>
  <c r="A6459" i="1"/>
  <c r="D6458" i="1"/>
  <c r="A6458" i="1"/>
  <c r="D6457" i="1"/>
  <c r="A6457" i="1"/>
  <c r="D6456" i="1"/>
  <c r="A6456" i="1"/>
  <c r="D6455" i="1"/>
  <c r="A6455" i="1"/>
  <c r="D6454" i="1"/>
  <c r="A6454" i="1"/>
  <c r="D6453" i="1"/>
  <c r="A6453" i="1"/>
  <c r="D6452" i="1"/>
  <c r="A6452" i="1"/>
  <c r="D6451" i="1"/>
  <c r="A6451" i="1"/>
  <c r="D6450" i="1"/>
  <c r="A6450" i="1"/>
  <c r="D6449" i="1"/>
  <c r="A6449" i="1"/>
  <c r="D6448" i="1"/>
  <c r="A6448" i="1"/>
  <c r="D6447" i="1"/>
  <c r="A6447" i="1"/>
  <c r="D6446" i="1"/>
  <c r="A6446" i="1"/>
  <c r="D6445" i="1"/>
  <c r="A6445" i="1"/>
  <c r="D6444" i="1"/>
  <c r="A6444" i="1"/>
  <c r="D6443" i="1"/>
  <c r="A6443" i="1"/>
  <c r="D6442" i="1"/>
  <c r="A6442" i="1"/>
  <c r="D6441" i="1"/>
  <c r="A6441" i="1"/>
  <c r="D6440" i="1"/>
  <c r="A6440" i="1"/>
  <c r="D6439" i="1"/>
  <c r="A6439" i="1"/>
  <c r="D6438" i="1"/>
  <c r="A6438" i="1"/>
  <c r="D6437" i="1"/>
  <c r="A6437" i="1"/>
  <c r="D6436" i="1"/>
  <c r="A6436" i="1"/>
  <c r="D6435" i="1"/>
  <c r="A6435" i="1"/>
  <c r="D6434" i="1"/>
  <c r="A6434" i="1"/>
  <c r="D6433" i="1"/>
  <c r="A6433" i="1"/>
  <c r="D6432" i="1"/>
  <c r="A6432" i="1"/>
  <c r="D6431" i="1"/>
  <c r="A6431" i="1"/>
  <c r="D6430" i="1"/>
  <c r="A6430" i="1"/>
  <c r="D6429" i="1"/>
  <c r="A6429" i="1"/>
  <c r="D6428" i="1"/>
  <c r="A6428" i="1"/>
  <c r="D6427" i="1"/>
  <c r="A6427" i="1"/>
  <c r="D6426" i="1"/>
  <c r="A6426" i="1"/>
  <c r="D6425" i="1"/>
  <c r="A6425" i="1"/>
  <c r="D6424" i="1"/>
  <c r="A6424" i="1"/>
  <c r="D6423" i="1"/>
  <c r="A6423" i="1"/>
  <c r="D6422" i="1"/>
  <c r="A6422" i="1"/>
  <c r="D6421" i="1"/>
  <c r="A6421" i="1"/>
  <c r="D6420" i="1"/>
  <c r="A6420" i="1"/>
  <c r="D6419" i="1"/>
  <c r="A6419" i="1"/>
  <c r="D6418" i="1"/>
  <c r="A6418" i="1"/>
  <c r="D6417" i="1"/>
  <c r="A6417" i="1"/>
  <c r="D6416" i="1"/>
  <c r="A6416" i="1"/>
  <c r="D6415" i="1"/>
  <c r="A6415" i="1"/>
  <c r="D6414" i="1"/>
  <c r="A6414" i="1"/>
  <c r="D6413" i="1"/>
  <c r="A6413" i="1"/>
  <c r="D6412" i="1"/>
  <c r="A6412" i="1"/>
  <c r="D6411" i="1"/>
  <c r="A6411" i="1"/>
  <c r="D6410" i="1"/>
  <c r="A6410" i="1"/>
  <c r="D6409" i="1"/>
  <c r="A6409" i="1"/>
  <c r="D6408" i="1"/>
  <c r="A6408" i="1"/>
  <c r="D6407" i="1"/>
  <c r="A6407" i="1"/>
  <c r="D6406" i="1"/>
  <c r="A6406" i="1"/>
  <c r="D6405" i="1"/>
  <c r="A6405" i="1"/>
  <c r="D6404" i="1"/>
  <c r="A6404" i="1"/>
  <c r="D6403" i="1"/>
  <c r="A6403" i="1"/>
  <c r="D6402" i="1"/>
  <c r="A6402" i="1"/>
  <c r="D6401" i="1"/>
  <c r="A6401" i="1"/>
  <c r="D6400" i="1"/>
  <c r="A6400" i="1"/>
  <c r="D6399" i="1"/>
  <c r="A6399" i="1"/>
  <c r="D6398" i="1"/>
  <c r="A6398" i="1"/>
  <c r="D6397" i="1"/>
  <c r="A6397" i="1"/>
  <c r="D6396" i="1"/>
  <c r="A6396" i="1"/>
  <c r="D6395" i="1"/>
  <c r="A6395" i="1"/>
  <c r="D6394" i="1"/>
  <c r="A6394" i="1"/>
  <c r="D6393" i="1"/>
  <c r="A6393" i="1"/>
  <c r="D6392" i="1"/>
  <c r="A6392" i="1"/>
  <c r="D6391" i="1"/>
  <c r="A6391" i="1"/>
  <c r="D6390" i="1"/>
  <c r="A6390" i="1"/>
  <c r="D6389" i="1"/>
  <c r="A6389" i="1"/>
  <c r="D6388" i="1"/>
  <c r="A6388" i="1"/>
  <c r="D6387" i="1"/>
  <c r="A6387" i="1"/>
  <c r="D6386" i="1"/>
  <c r="A6386" i="1"/>
  <c r="D6385" i="1"/>
  <c r="A6385" i="1"/>
  <c r="D6384" i="1"/>
  <c r="A6384" i="1"/>
  <c r="D6383" i="1"/>
  <c r="A6383" i="1"/>
  <c r="D6382" i="1"/>
  <c r="A6382" i="1"/>
  <c r="D6381" i="1"/>
  <c r="A6381" i="1"/>
  <c r="D6380" i="1"/>
  <c r="A6380" i="1"/>
  <c r="D6379" i="1"/>
  <c r="A6379" i="1"/>
  <c r="D6378" i="1"/>
  <c r="A6378" i="1"/>
  <c r="D6377" i="1"/>
  <c r="A6377" i="1"/>
  <c r="D6376" i="1"/>
  <c r="A6376" i="1"/>
  <c r="D6375" i="1"/>
  <c r="A6375" i="1"/>
  <c r="D6374" i="1"/>
  <c r="A6374" i="1"/>
  <c r="D6373" i="1"/>
  <c r="A6373" i="1"/>
  <c r="D6372" i="1"/>
  <c r="A6372" i="1"/>
  <c r="D6371" i="1"/>
  <c r="A6371" i="1"/>
  <c r="D6370" i="1"/>
  <c r="A6370" i="1"/>
  <c r="D6369" i="1"/>
  <c r="A6369" i="1"/>
  <c r="D6368" i="1"/>
  <c r="A6368" i="1"/>
  <c r="D6367" i="1"/>
  <c r="A6367" i="1"/>
  <c r="D6366" i="1"/>
  <c r="A6366" i="1"/>
  <c r="D6365" i="1"/>
  <c r="A6365" i="1"/>
  <c r="D6364" i="1"/>
  <c r="A6364" i="1"/>
  <c r="D6363" i="1"/>
  <c r="A6363" i="1"/>
  <c r="D6362" i="1"/>
  <c r="A6362" i="1"/>
  <c r="D6361" i="1"/>
  <c r="A6361" i="1"/>
  <c r="D6360" i="1"/>
  <c r="A6360" i="1"/>
  <c r="D6359" i="1"/>
  <c r="A6359" i="1"/>
  <c r="D6358" i="1"/>
  <c r="A6358" i="1"/>
  <c r="D6357" i="1"/>
  <c r="A6357" i="1"/>
  <c r="D6356" i="1"/>
  <c r="A6356" i="1"/>
  <c r="D6355" i="1"/>
  <c r="A6355" i="1"/>
  <c r="D6354" i="1"/>
  <c r="A6354" i="1"/>
  <c r="D6353" i="1"/>
  <c r="A6353" i="1"/>
  <c r="D6352" i="1"/>
  <c r="A6352" i="1"/>
  <c r="D6351" i="1"/>
  <c r="A6351" i="1"/>
  <c r="D6350" i="1"/>
  <c r="A6350" i="1"/>
  <c r="D6349" i="1"/>
  <c r="A6349" i="1"/>
  <c r="D6348" i="1"/>
  <c r="A6348" i="1"/>
  <c r="D6347" i="1"/>
  <c r="A6347" i="1"/>
  <c r="D6346" i="1"/>
  <c r="A6346" i="1"/>
  <c r="D6345" i="1"/>
  <c r="A6345" i="1"/>
  <c r="D6344" i="1"/>
  <c r="A6344" i="1"/>
  <c r="D6343" i="1"/>
  <c r="A6343" i="1"/>
  <c r="D6342" i="1"/>
  <c r="A6342" i="1"/>
  <c r="D6341" i="1"/>
  <c r="A6341" i="1"/>
  <c r="D6340" i="1"/>
  <c r="A6340" i="1"/>
  <c r="D6339" i="1"/>
  <c r="A6339" i="1"/>
  <c r="D6338" i="1"/>
  <c r="A6338" i="1"/>
  <c r="D6337" i="1"/>
  <c r="A6337" i="1"/>
  <c r="D6336" i="1"/>
  <c r="A6336" i="1"/>
  <c r="D6335" i="1"/>
  <c r="A6335" i="1"/>
  <c r="D6334" i="1"/>
  <c r="A6334" i="1"/>
  <c r="D6333" i="1"/>
  <c r="A6333" i="1"/>
  <c r="D6332" i="1"/>
  <c r="A6332" i="1"/>
  <c r="D6331" i="1"/>
  <c r="A6331" i="1"/>
  <c r="D6330" i="1"/>
  <c r="A6330" i="1"/>
  <c r="D6329" i="1"/>
  <c r="A6329" i="1"/>
  <c r="D6328" i="1"/>
  <c r="A6328" i="1"/>
  <c r="D6327" i="1"/>
  <c r="A6327" i="1"/>
  <c r="D6326" i="1"/>
  <c r="A6326" i="1"/>
  <c r="D6325" i="1"/>
  <c r="A6325" i="1"/>
  <c r="D6324" i="1"/>
  <c r="A6324" i="1"/>
  <c r="D6323" i="1"/>
  <c r="A6323" i="1"/>
  <c r="D6322" i="1"/>
  <c r="A6322" i="1"/>
  <c r="D6321" i="1"/>
  <c r="A6321" i="1"/>
  <c r="D6320" i="1"/>
  <c r="A6320" i="1"/>
  <c r="D6319" i="1"/>
  <c r="A6319" i="1"/>
  <c r="D6318" i="1"/>
  <c r="A6318" i="1"/>
  <c r="D6317" i="1"/>
  <c r="A6317" i="1"/>
  <c r="D6316" i="1"/>
  <c r="A6316" i="1"/>
  <c r="D6315" i="1"/>
  <c r="A6315" i="1"/>
  <c r="D6314" i="1"/>
  <c r="A6314" i="1"/>
  <c r="D6313" i="1"/>
  <c r="A6313" i="1"/>
  <c r="D6312" i="1"/>
  <c r="A6312" i="1"/>
  <c r="D6311" i="1"/>
  <c r="A6311" i="1"/>
  <c r="D6310" i="1"/>
  <c r="A6310" i="1"/>
  <c r="D6309" i="1"/>
  <c r="A6309" i="1"/>
  <c r="D6308" i="1"/>
  <c r="A6308" i="1"/>
  <c r="D6307" i="1"/>
  <c r="A6307" i="1"/>
  <c r="D6306" i="1"/>
  <c r="A6306" i="1"/>
  <c r="D6305" i="1"/>
  <c r="A6305" i="1"/>
  <c r="D6304" i="1"/>
  <c r="A6304" i="1"/>
  <c r="D6303" i="1"/>
  <c r="A6303" i="1"/>
  <c r="D6302" i="1"/>
  <c r="A6302" i="1"/>
  <c r="D6301" i="1"/>
  <c r="A6301" i="1"/>
  <c r="D6300" i="1"/>
  <c r="A6300" i="1"/>
  <c r="D6299" i="1"/>
  <c r="A6299" i="1"/>
  <c r="D6298" i="1"/>
  <c r="A6298" i="1"/>
  <c r="D6297" i="1"/>
  <c r="A6297" i="1"/>
  <c r="D6296" i="1"/>
  <c r="A6296" i="1"/>
  <c r="D6295" i="1"/>
  <c r="A6295" i="1"/>
  <c r="D6294" i="1"/>
  <c r="A6294" i="1"/>
  <c r="D6293" i="1"/>
  <c r="A6293" i="1"/>
  <c r="D6292" i="1"/>
  <c r="A6292" i="1"/>
  <c r="D6291" i="1"/>
  <c r="A6291" i="1"/>
  <c r="D6290" i="1"/>
  <c r="A6290" i="1"/>
  <c r="D6289" i="1"/>
  <c r="A6289" i="1"/>
  <c r="D6288" i="1"/>
  <c r="A6288" i="1"/>
  <c r="D6287" i="1"/>
  <c r="A6287" i="1"/>
  <c r="D6286" i="1"/>
  <c r="A6286" i="1"/>
  <c r="D6285" i="1"/>
  <c r="A6285" i="1"/>
  <c r="D6284" i="1"/>
  <c r="A6284" i="1"/>
  <c r="D6283" i="1"/>
  <c r="A6283" i="1"/>
  <c r="D6282" i="1"/>
  <c r="A6282" i="1"/>
  <c r="D6281" i="1"/>
  <c r="A6281" i="1"/>
  <c r="D6280" i="1"/>
  <c r="A6280" i="1"/>
  <c r="D6279" i="1"/>
  <c r="A6279" i="1"/>
  <c r="D6278" i="1"/>
  <c r="A6278" i="1"/>
  <c r="D6277" i="1"/>
  <c r="A6277" i="1"/>
  <c r="D6276" i="1"/>
  <c r="A6276" i="1"/>
  <c r="D6275" i="1"/>
  <c r="A6275" i="1"/>
  <c r="D6274" i="1"/>
  <c r="A6274" i="1"/>
  <c r="D6273" i="1"/>
  <c r="A6273" i="1"/>
  <c r="D6272" i="1"/>
  <c r="A6272" i="1"/>
  <c r="D6271" i="1"/>
  <c r="A6271" i="1"/>
  <c r="D6270" i="1"/>
  <c r="A6270" i="1"/>
  <c r="D6269" i="1"/>
  <c r="A6269" i="1"/>
  <c r="D6268" i="1"/>
  <c r="A6268" i="1"/>
  <c r="D6267" i="1"/>
  <c r="A6267" i="1"/>
  <c r="D6266" i="1"/>
  <c r="A6266" i="1"/>
  <c r="D6265" i="1"/>
  <c r="A6265" i="1"/>
  <c r="D6264" i="1"/>
  <c r="A6264" i="1"/>
  <c r="D6263" i="1"/>
  <c r="A6263" i="1"/>
  <c r="D6262" i="1"/>
  <c r="A6262" i="1"/>
  <c r="D6261" i="1"/>
  <c r="A6261" i="1"/>
  <c r="D6260" i="1"/>
  <c r="A6260" i="1"/>
  <c r="D6259" i="1"/>
  <c r="A6259" i="1"/>
  <c r="D6258" i="1"/>
  <c r="A6258" i="1"/>
  <c r="D6257" i="1"/>
  <c r="A6257" i="1"/>
  <c r="D6256" i="1"/>
  <c r="A6256" i="1"/>
  <c r="D6255" i="1"/>
  <c r="A6255" i="1"/>
  <c r="D6254" i="1"/>
  <c r="A6254" i="1"/>
  <c r="D6253" i="1"/>
  <c r="A6253" i="1"/>
  <c r="D6252" i="1"/>
  <c r="A6252" i="1"/>
  <c r="D6251" i="1"/>
  <c r="A6251" i="1"/>
  <c r="D6250" i="1"/>
  <c r="A6250" i="1"/>
  <c r="D6249" i="1"/>
  <c r="A6249" i="1"/>
  <c r="D6248" i="1"/>
  <c r="A6248" i="1"/>
  <c r="D6247" i="1"/>
  <c r="A6247" i="1"/>
  <c r="D6246" i="1"/>
  <c r="A6246" i="1"/>
  <c r="D6245" i="1"/>
  <c r="A6245" i="1"/>
  <c r="D6244" i="1"/>
  <c r="A6244" i="1"/>
  <c r="D6243" i="1"/>
  <c r="A6243" i="1"/>
  <c r="D6242" i="1"/>
  <c r="A6242" i="1"/>
  <c r="D6241" i="1"/>
  <c r="A6241" i="1"/>
  <c r="D6240" i="1"/>
  <c r="A6240" i="1"/>
  <c r="D6239" i="1"/>
  <c r="A6239" i="1"/>
  <c r="D6238" i="1"/>
  <c r="A6238" i="1"/>
  <c r="D6237" i="1"/>
  <c r="A6237" i="1"/>
  <c r="D6236" i="1"/>
  <c r="A6236" i="1"/>
  <c r="D6235" i="1"/>
  <c r="A6235" i="1"/>
  <c r="D6234" i="1"/>
  <c r="A6234" i="1"/>
  <c r="D6233" i="1"/>
  <c r="A6233" i="1"/>
  <c r="D6232" i="1"/>
  <c r="A6232" i="1"/>
  <c r="D6231" i="1"/>
  <c r="A6231" i="1"/>
  <c r="D6230" i="1"/>
  <c r="A6230" i="1"/>
  <c r="D6229" i="1"/>
  <c r="A6229" i="1"/>
  <c r="D6228" i="1"/>
  <c r="A6228" i="1"/>
  <c r="D6227" i="1"/>
  <c r="A6227" i="1"/>
  <c r="D6226" i="1"/>
  <c r="A6226" i="1"/>
  <c r="D6225" i="1"/>
  <c r="A6225" i="1"/>
  <c r="D6224" i="1"/>
  <c r="A6224" i="1"/>
  <c r="D6223" i="1"/>
  <c r="A6223" i="1"/>
  <c r="D6222" i="1"/>
  <c r="A6222" i="1"/>
  <c r="D6221" i="1"/>
  <c r="A6221" i="1"/>
  <c r="D6220" i="1"/>
  <c r="A6220" i="1"/>
  <c r="D6219" i="1"/>
  <c r="A6219" i="1"/>
  <c r="D6218" i="1"/>
  <c r="A6218" i="1"/>
  <c r="D6217" i="1"/>
  <c r="A6217" i="1"/>
  <c r="D6216" i="1"/>
  <c r="A6216" i="1"/>
  <c r="D6215" i="1"/>
  <c r="A6215" i="1"/>
  <c r="D6214" i="1"/>
  <c r="A6214" i="1"/>
  <c r="D6213" i="1"/>
  <c r="A6213" i="1"/>
  <c r="D6212" i="1"/>
  <c r="A6212" i="1"/>
  <c r="D6211" i="1"/>
  <c r="A6211" i="1"/>
  <c r="D6210" i="1"/>
  <c r="A6210" i="1"/>
  <c r="D6209" i="1"/>
  <c r="A6209" i="1"/>
  <c r="D6208" i="1"/>
  <c r="A6208" i="1"/>
  <c r="D6207" i="1"/>
  <c r="A6207" i="1"/>
  <c r="D6206" i="1"/>
  <c r="A6206" i="1"/>
  <c r="D6205" i="1"/>
  <c r="A6205" i="1"/>
  <c r="D6204" i="1"/>
  <c r="A6204" i="1"/>
  <c r="D6203" i="1"/>
  <c r="A6203" i="1"/>
  <c r="D6202" i="1"/>
  <c r="A6202" i="1"/>
  <c r="D6201" i="1"/>
  <c r="A6201" i="1"/>
  <c r="D6200" i="1"/>
  <c r="A6200" i="1"/>
  <c r="D6199" i="1"/>
  <c r="A6199" i="1"/>
  <c r="D6198" i="1"/>
  <c r="A6198" i="1"/>
  <c r="D6197" i="1"/>
  <c r="A6197" i="1"/>
  <c r="D6196" i="1"/>
  <c r="A6196" i="1"/>
  <c r="D6195" i="1"/>
  <c r="A6195" i="1"/>
  <c r="D6194" i="1"/>
  <c r="A6194" i="1"/>
  <c r="D6193" i="1"/>
  <c r="A6193" i="1"/>
  <c r="D6192" i="1"/>
  <c r="A6192" i="1"/>
  <c r="D6191" i="1"/>
  <c r="A6191" i="1"/>
  <c r="D6190" i="1"/>
  <c r="A6190" i="1"/>
  <c r="D6189" i="1"/>
  <c r="A6189" i="1"/>
  <c r="D6188" i="1"/>
  <c r="A6188" i="1"/>
  <c r="D6187" i="1"/>
  <c r="A6187" i="1"/>
  <c r="D6186" i="1"/>
  <c r="A6186" i="1"/>
  <c r="D6185" i="1"/>
  <c r="A6185" i="1"/>
  <c r="D6184" i="1"/>
  <c r="A6184" i="1"/>
  <c r="D6183" i="1"/>
  <c r="A6183" i="1"/>
  <c r="D6182" i="1"/>
  <c r="A6182" i="1"/>
  <c r="D6181" i="1"/>
  <c r="A6181" i="1"/>
  <c r="D6180" i="1"/>
  <c r="A6180" i="1"/>
  <c r="D6179" i="1"/>
  <c r="A6179" i="1"/>
  <c r="D6178" i="1"/>
  <c r="A6178" i="1"/>
  <c r="D6177" i="1"/>
  <c r="A6177" i="1"/>
  <c r="D6176" i="1"/>
  <c r="A6176" i="1"/>
  <c r="D6175" i="1"/>
  <c r="A6175" i="1"/>
  <c r="D6174" i="1"/>
  <c r="A6174" i="1"/>
  <c r="D6173" i="1"/>
  <c r="A6173" i="1"/>
  <c r="D6172" i="1"/>
  <c r="A6172" i="1"/>
  <c r="D6171" i="1"/>
  <c r="A6171" i="1"/>
  <c r="D6170" i="1"/>
  <c r="A6170" i="1"/>
  <c r="D6169" i="1"/>
  <c r="A6169" i="1"/>
  <c r="D6168" i="1"/>
  <c r="A6168" i="1"/>
  <c r="D6167" i="1"/>
  <c r="A6167" i="1"/>
  <c r="D6166" i="1"/>
  <c r="A6166" i="1"/>
  <c r="D6165" i="1"/>
  <c r="A6165" i="1"/>
  <c r="D6164" i="1"/>
  <c r="A6164" i="1"/>
  <c r="D6163" i="1"/>
  <c r="A6163" i="1"/>
  <c r="D6162" i="1"/>
  <c r="A6162" i="1"/>
  <c r="D6161" i="1"/>
  <c r="A6161" i="1"/>
  <c r="D6160" i="1"/>
  <c r="A6160" i="1"/>
  <c r="D6159" i="1"/>
  <c r="A6159" i="1"/>
  <c r="D6158" i="1"/>
  <c r="A6158" i="1"/>
  <c r="D6157" i="1"/>
  <c r="A6157" i="1"/>
  <c r="D6156" i="1"/>
  <c r="A6156" i="1"/>
  <c r="D6155" i="1"/>
  <c r="A6155" i="1"/>
  <c r="D6154" i="1"/>
  <c r="A6154" i="1"/>
  <c r="D6153" i="1"/>
  <c r="A6153" i="1"/>
  <c r="D6152" i="1"/>
  <c r="A6152" i="1"/>
  <c r="D6151" i="1"/>
  <c r="A6151" i="1"/>
  <c r="D6150" i="1"/>
  <c r="A6150" i="1"/>
  <c r="D6149" i="1"/>
  <c r="A6149" i="1"/>
  <c r="D6148" i="1"/>
  <c r="A6148" i="1"/>
  <c r="D6147" i="1"/>
  <c r="A6147" i="1"/>
  <c r="D6146" i="1"/>
  <c r="A6146" i="1"/>
  <c r="D6145" i="1"/>
  <c r="A6145" i="1"/>
  <c r="D6144" i="1"/>
  <c r="A6144" i="1"/>
  <c r="D6143" i="1"/>
  <c r="A6143" i="1"/>
  <c r="D6142" i="1"/>
  <c r="A6142" i="1"/>
  <c r="D6141" i="1"/>
  <c r="A6141" i="1"/>
  <c r="D6140" i="1"/>
  <c r="A6140" i="1"/>
  <c r="D6139" i="1"/>
  <c r="A6139" i="1"/>
  <c r="D6138" i="1"/>
  <c r="A6138" i="1"/>
  <c r="D6137" i="1"/>
  <c r="A6137" i="1"/>
  <c r="D6136" i="1"/>
  <c r="A6136" i="1"/>
  <c r="D6135" i="1"/>
  <c r="A6135" i="1"/>
  <c r="D6134" i="1"/>
  <c r="A6134" i="1"/>
  <c r="D6133" i="1"/>
  <c r="A6133" i="1"/>
  <c r="D6132" i="1"/>
  <c r="A6132" i="1"/>
  <c r="D6131" i="1"/>
  <c r="A6131" i="1"/>
  <c r="D6130" i="1"/>
  <c r="A6130" i="1"/>
  <c r="D6129" i="1"/>
  <c r="A6129" i="1"/>
  <c r="D6128" i="1"/>
  <c r="A6128" i="1"/>
  <c r="D6127" i="1"/>
  <c r="A6127" i="1"/>
  <c r="D6126" i="1"/>
  <c r="A6126" i="1"/>
  <c r="D6125" i="1"/>
  <c r="A6125" i="1"/>
  <c r="D6124" i="1"/>
  <c r="A6124" i="1"/>
  <c r="D6123" i="1"/>
  <c r="A6123" i="1"/>
  <c r="D6122" i="1"/>
  <c r="A6122" i="1"/>
  <c r="D6121" i="1"/>
  <c r="A6121" i="1"/>
  <c r="D6120" i="1"/>
  <c r="A6120" i="1"/>
  <c r="D6119" i="1"/>
  <c r="A6119" i="1"/>
  <c r="D6118" i="1"/>
  <c r="A6118" i="1"/>
  <c r="D6117" i="1"/>
  <c r="A6117" i="1"/>
  <c r="D6116" i="1"/>
  <c r="A6116" i="1"/>
  <c r="D6115" i="1"/>
  <c r="A6115" i="1"/>
  <c r="D6114" i="1"/>
  <c r="A6114" i="1"/>
  <c r="D6113" i="1"/>
  <c r="A6113" i="1"/>
  <c r="D6112" i="1"/>
  <c r="A6112" i="1"/>
  <c r="D6111" i="1"/>
  <c r="A6111" i="1"/>
  <c r="D6110" i="1"/>
  <c r="A6110" i="1"/>
  <c r="D6109" i="1"/>
  <c r="A6109" i="1"/>
  <c r="D6108" i="1"/>
  <c r="A6108" i="1"/>
  <c r="D6107" i="1"/>
  <c r="A6107" i="1"/>
  <c r="D6106" i="1"/>
  <c r="A6106" i="1"/>
  <c r="D6105" i="1"/>
  <c r="A6105" i="1"/>
  <c r="D6104" i="1"/>
  <c r="A6104" i="1"/>
  <c r="D6103" i="1"/>
  <c r="A6103" i="1"/>
  <c r="D6102" i="1"/>
  <c r="A6102" i="1"/>
  <c r="D6101" i="1"/>
  <c r="A6101" i="1"/>
  <c r="D6100" i="1"/>
  <c r="A6100" i="1"/>
  <c r="D6099" i="1"/>
  <c r="A6099" i="1"/>
  <c r="D6098" i="1"/>
  <c r="A6098" i="1"/>
  <c r="D6097" i="1"/>
  <c r="A6097" i="1"/>
  <c r="D6096" i="1"/>
  <c r="A6096" i="1"/>
  <c r="D6095" i="1"/>
  <c r="A6095" i="1"/>
  <c r="D6094" i="1"/>
  <c r="A6094" i="1"/>
  <c r="D6093" i="1"/>
  <c r="A6093" i="1"/>
  <c r="D6092" i="1"/>
  <c r="A6092" i="1"/>
  <c r="D6091" i="1"/>
  <c r="A6091" i="1"/>
  <c r="D6090" i="1"/>
  <c r="A6090" i="1"/>
  <c r="D6089" i="1"/>
  <c r="A6089" i="1"/>
  <c r="D6088" i="1"/>
  <c r="A6088" i="1"/>
  <c r="D6087" i="1"/>
  <c r="A6087" i="1"/>
  <c r="D6086" i="1"/>
  <c r="A6086" i="1"/>
  <c r="D6085" i="1"/>
  <c r="A6085" i="1"/>
  <c r="D6084" i="1"/>
  <c r="A6084" i="1"/>
  <c r="D6083" i="1"/>
  <c r="A6083" i="1"/>
  <c r="D6082" i="1"/>
  <c r="A6082" i="1"/>
  <c r="D6081" i="1"/>
  <c r="A6081" i="1"/>
  <c r="D6080" i="1"/>
  <c r="A6080" i="1"/>
  <c r="D6079" i="1"/>
  <c r="A6079" i="1"/>
  <c r="D6078" i="1"/>
  <c r="A6078" i="1"/>
  <c r="D6077" i="1"/>
  <c r="A6077" i="1"/>
  <c r="D6076" i="1"/>
  <c r="A6076" i="1"/>
  <c r="D6075" i="1"/>
  <c r="A6075" i="1"/>
  <c r="D6074" i="1"/>
  <c r="A6074" i="1"/>
  <c r="D6073" i="1"/>
  <c r="A6073" i="1"/>
  <c r="D6072" i="1"/>
  <c r="A6072" i="1"/>
  <c r="D6071" i="1"/>
  <c r="A6071" i="1"/>
  <c r="D6070" i="1"/>
  <c r="A6070" i="1"/>
  <c r="D6069" i="1"/>
  <c r="A6069" i="1"/>
  <c r="D6068" i="1"/>
  <c r="A6068" i="1"/>
  <c r="D6067" i="1"/>
  <c r="A6067" i="1"/>
  <c r="D6066" i="1"/>
  <c r="A6066" i="1"/>
  <c r="D6065" i="1"/>
  <c r="A6065" i="1"/>
  <c r="D6064" i="1"/>
  <c r="A6064" i="1"/>
  <c r="D6063" i="1"/>
  <c r="A6063" i="1"/>
  <c r="D6062" i="1"/>
  <c r="A6062" i="1"/>
  <c r="D6061" i="1"/>
  <c r="A6061" i="1"/>
  <c r="D6060" i="1"/>
  <c r="A6060" i="1"/>
  <c r="D6059" i="1"/>
  <c r="A6059" i="1"/>
  <c r="D6058" i="1"/>
  <c r="A6058" i="1"/>
  <c r="D6057" i="1"/>
  <c r="A6057" i="1"/>
  <c r="D6056" i="1"/>
  <c r="A6056" i="1"/>
  <c r="D6055" i="1"/>
  <c r="A6055" i="1"/>
  <c r="D6054" i="1"/>
  <c r="A6054" i="1"/>
  <c r="D6053" i="1"/>
  <c r="A6053" i="1"/>
  <c r="D6052" i="1"/>
  <c r="A6052" i="1"/>
  <c r="D6051" i="1"/>
  <c r="A6051" i="1"/>
  <c r="D6050" i="1"/>
  <c r="A6050" i="1"/>
  <c r="D6049" i="1"/>
  <c r="A6049" i="1"/>
  <c r="D6048" i="1"/>
  <c r="A6048" i="1"/>
  <c r="D6047" i="1"/>
  <c r="A6047" i="1"/>
  <c r="D6046" i="1"/>
  <c r="A6046" i="1"/>
  <c r="D6045" i="1"/>
  <c r="A6045" i="1"/>
  <c r="D6044" i="1"/>
  <c r="A6044" i="1"/>
  <c r="D6043" i="1"/>
  <c r="A6043" i="1"/>
  <c r="D6042" i="1"/>
  <c r="A6042" i="1"/>
  <c r="D6041" i="1"/>
  <c r="A6041" i="1"/>
  <c r="D6040" i="1"/>
  <c r="A6040" i="1"/>
  <c r="D6039" i="1"/>
  <c r="A6039" i="1"/>
  <c r="D6038" i="1"/>
  <c r="A6038" i="1"/>
  <c r="D6037" i="1"/>
  <c r="A6037" i="1"/>
  <c r="D6036" i="1"/>
  <c r="A6036" i="1"/>
  <c r="D6035" i="1"/>
  <c r="A6035" i="1"/>
  <c r="D6034" i="1"/>
  <c r="A6034" i="1"/>
  <c r="D6033" i="1"/>
  <c r="A6033" i="1"/>
  <c r="D6032" i="1"/>
  <c r="A6032" i="1"/>
  <c r="D6031" i="1"/>
  <c r="A6031" i="1"/>
  <c r="D6030" i="1"/>
  <c r="A6030" i="1"/>
  <c r="D6029" i="1"/>
  <c r="A6029" i="1"/>
  <c r="D6028" i="1"/>
  <c r="A6028" i="1"/>
  <c r="D6027" i="1"/>
  <c r="A6027" i="1"/>
  <c r="D6026" i="1"/>
  <c r="A6026" i="1"/>
  <c r="D6025" i="1"/>
  <c r="A6025" i="1"/>
  <c r="D6024" i="1"/>
  <c r="A6024" i="1"/>
  <c r="D6023" i="1"/>
  <c r="A6023" i="1"/>
  <c r="D6022" i="1"/>
  <c r="A6022" i="1"/>
  <c r="D6021" i="1"/>
  <c r="A6021" i="1"/>
  <c r="D6020" i="1"/>
  <c r="A6020" i="1"/>
  <c r="D6019" i="1"/>
  <c r="A6019" i="1"/>
  <c r="D6018" i="1"/>
  <c r="A6018" i="1"/>
  <c r="D6017" i="1"/>
  <c r="A6017" i="1"/>
  <c r="D6016" i="1"/>
  <c r="A6016" i="1"/>
  <c r="D6015" i="1"/>
  <c r="A6015" i="1"/>
  <c r="D6014" i="1"/>
  <c r="A6014" i="1"/>
  <c r="D6013" i="1"/>
  <c r="A6013" i="1"/>
  <c r="D6012" i="1"/>
  <c r="A6012" i="1"/>
  <c r="D6011" i="1"/>
  <c r="A6011" i="1"/>
  <c r="D6010" i="1"/>
  <c r="A6010" i="1"/>
  <c r="D6009" i="1"/>
  <c r="A6009" i="1"/>
  <c r="D6008" i="1"/>
  <c r="A6008" i="1"/>
  <c r="D6007" i="1"/>
  <c r="A6007" i="1"/>
  <c r="D6006" i="1"/>
  <c r="A6006" i="1"/>
  <c r="D6005" i="1"/>
  <c r="A6005" i="1"/>
  <c r="D6004" i="1"/>
  <c r="A6004" i="1"/>
  <c r="D6003" i="1"/>
  <c r="A6003" i="1"/>
  <c r="D6002" i="1"/>
  <c r="A6002" i="1"/>
  <c r="D6001" i="1"/>
  <c r="A6001" i="1"/>
  <c r="D6000" i="1"/>
  <c r="A6000" i="1"/>
  <c r="D5999" i="1"/>
  <c r="A5999" i="1"/>
  <c r="D5998" i="1"/>
  <c r="A5998" i="1"/>
  <c r="D5997" i="1"/>
  <c r="A5997" i="1"/>
  <c r="D5996" i="1"/>
  <c r="A5996" i="1"/>
  <c r="D5995" i="1"/>
  <c r="A5995" i="1"/>
  <c r="D5994" i="1"/>
  <c r="A5994" i="1"/>
  <c r="D5993" i="1"/>
  <c r="A5993" i="1"/>
  <c r="D5992" i="1"/>
  <c r="A5992" i="1"/>
  <c r="D5991" i="1"/>
  <c r="A5991" i="1"/>
  <c r="D5990" i="1"/>
  <c r="A5990" i="1"/>
  <c r="D5989" i="1"/>
  <c r="A5989" i="1"/>
  <c r="D5988" i="1"/>
  <c r="A5988" i="1"/>
  <c r="D5987" i="1"/>
  <c r="A5987" i="1"/>
  <c r="D5986" i="1"/>
  <c r="A5986" i="1"/>
  <c r="D5985" i="1"/>
  <c r="A5985" i="1"/>
  <c r="D5984" i="1"/>
  <c r="A5984" i="1"/>
  <c r="D5983" i="1"/>
  <c r="A5983" i="1"/>
  <c r="D5982" i="1"/>
  <c r="A5982" i="1"/>
  <c r="D5981" i="1"/>
  <c r="A5981" i="1"/>
  <c r="D5980" i="1"/>
  <c r="A5980" i="1"/>
  <c r="D5979" i="1"/>
  <c r="A5979" i="1"/>
  <c r="D5978" i="1"/>
  <c r="A5978" i="1"/>
  <c r="D5977" i="1"/>
  <c r="A5977" i="1"/>
  <c r="D5976" i="1"/>
  <c r="A5976" i="1"/>
  <c r="D5975" i="1"/>
  <c r="A5975" i="1"/>
  <c r="D5974" i="1"/>
  <c r="A5974" i="1"/>
  <c r="D5973" i="1"/>
  <c r="A5973" i="1"/>
  <c r="D5972" i="1"/>
  <c r="A5972" i="1"/>
  <c r="D5971" i="1"/>
  <c r="A5971" i="1"/>
  <c r="D5970" i="1"/>
  <c r="A5970" i="1"/>
  <c r="D5969" i="1"/>
  <c r="A5969" i="1"/>
  <c r="D5968" i="1"/>
  <c r="A5968" i="1"/>
  <c r="D5967" i="1"/>
  <c r="A5967" i="1"/>
  <c r="D5966" i="1"/>
  <c r="A5966" i="1"/>
  <c r="D5965" i="1"/>
  <c r="A5965" i="1"/>
  <c r="D5964" i="1"/>
  <c r="A5964" i="1"/>
  <c r="D5963" i="1"/>
  <c r="A5963" i="1"/>
  <c r="D5962" i="1"/>
  <c r="A5962" i="1"/>
  <c r="D5961" i="1"/>
  <c r="A5961" i="1"/>
  <c r="D5960" i="1"/>
  <c r="A5960" i="1"/>
  <c r="D5959" i="1"/>
  <c r="A5959" i="1"/>
  <c r="D5958" i="1"/>
  <c r="A5958" i="1"/>
  <c r="D5957" i="1"/>
  <c r="A5957" i="1"/>
  <c r="D5956" i="1"/>
  <c r="A5956" i="1"/>
  <c r="D5955" i="1"/>
  <c r="A5955" i="1"/>
  <c r="D5954" i="1"/>
  <c r="A5954" i="1"/>
  <c r="D5953" i="1"/>
  <c r="A5953" i="1"/>
  <c r="D5952" i="1"/>
  <c r="A5952" i="1"/>
  <c r="D5951" i="1"/>
  <c r="A5951" i="1"/>
  <c r="D5950" i="1"/>
  <c r="A5950" i="1"/>
  <c r="D5949" i="1"/>
  <c r="A5949" i="1"/>
  <c r="D5948" i="1"/>
  <c r="A5948" i="1"/>
  <c r="D5947" i="1"/>
  <c r="A5947" i="1"/>
  <c r="D5946" i="1"/>
  <c r="A5946" i="1"/>
  <c r="D5945" i="1"/>
  <c r="A5945" i="1"/>
  <c r="D5944" i="1"/>
  <c r="A5944" i="1"/>
  <c r="D5943" i="1"/>
  <c r="A5943" i="1"/>
  <c r="D5942" i="1"/>
  <c r="A5942" i="1"/>
  <c r="D5941" i="1"/>
  <c r="A5941" i="1"/>
  <c r="D5940" i="1"/>
  <c r="A5940" i="1"/>
  <c r="D5939" i="1"/>
  <c r="A5939" i="1"/>
  <c r="D5938" i="1"/>
  <c r="A5938" i="1"/>
  <c r="D5937" i="1"/>
  <c r="A5937" i="1"/>
  <c r="D5936" i="1"/>
  <c r="A5936" i="1"/>
  <c r="D5935" i="1"/>
  <c r="A5935" i="1"/>
  <c r="D5934" i="1"/>
  <c r="A5934" i="1"/>
  <c r="D5933" i="1"/>
  <c r="A5933" i="1"/>
  <c r="D5932" i="1"/>
  <c r="A5932" i="1"/>
  <c r="D5931" i="1"/>
  <c r="A5931" i="1"/>
  <c r="D5930" i="1"/>
  <c r="A5930" i="1"/>
  <c r="D5929" i="1"/>
  <c r="A5929" i="1"/>
  <c r="D5928" i="1"/>
  <c r="A5928" i="1"/>
  <c r="D5927" i="1"/>
  <c r="A5927" i="1"/>
  <c r="D5926" i="1"/>
  <c r="A5926" i="1"/>
  <c r="D5925" i="1"/>
  <c r="A5925" i="1"/>
  <c r="D5924" i="1"/>
  <c r="A5924" i="1"/>
  <c r="D5923" i="1"/>
  <c r="A5923" i="1"/>
  <c r="D5922" i="1"/>
  <c r="A5922" i="1"/>
  <c r="D5921" i="1"/>
  <c r="A5921" i="1"/>
  <c r="D5920" i="1"/>
  <c r="A5920" i="1"/>
  <c r="D5919" i="1"/>
  <c r="A5919" i="1"/>
  <c r="D5918" i="1"/>
  <c r="A5918" i="1"/>
  <c r="D5917" i="1"/>
  <c r="A5917" i="1"/>
  <c r="D5916" i="1"/>
  <c r="A5916" i="1"/>
  <c r="D5915" i="1"/>
  <c r="A5915" i="1"/>
  <c r="D5914" i="1"/>
  <c r="A5914" i="1"/>
  <c r="D5913" i="1"/>
  <c r="A5913" i="1"/>
  <c r="D5912" i="1"/>
  <c r="A5912" i="1"/>
  <c r="D5911" i="1"/>
  <c r="A5911" i="1"/>
  <c r="D5910" i="1"/>
  <c r="A5910" i="1"/>
  <c r="D5909" i="1"/>
  <c r="A5909" i="1"/>
  <c r="D5908" i="1"/>
  <c r="A5908" i="1"/>
  <c r="D5907" i="1"/>
  <c r="A5907" i="1"/>
  <c r="D5906" i="1"/>
  <c r="A5906" i="1"/>
  <c r="D5905" i="1"/>
  <c r="A5905" i="1"/>
  <c r="D5904" i="1"/>
  <c r="A5904" i="1"/>
  <c r="D5903" i="1"/>
  <c r="A5903" i="1"/>
  <c r="D5902" i="1"/>
  <c r="A5902" i="1"/>
  <c r="D5901" i="1"/>
  <c r="A5901" i="1"/>
  <c r="D5900" i="1"/>
  <c r="A5900" i="1"/>
  <c r="D5899" i="1"/>
  <c r="A5899" i="1"/>
  <c r="D5898" i="1"/>
  <c r="A5898" i="1"/>
  <c r="D5897" i="1"/>
  <c r="A5897" i="1"/>
  <c r="D5896" i="1"/>
  <c r="A5896" i="1"/>
  <c r="D5895" i="1"/>
  <c r="A5895" i="1"/>
  <c r="D5894" i="1"/>
  <c r="A5894" i="1"/>
  <c r="D5893" i="1"/>
  <c r="A5893" i="1"/>
  <c r="D5892" i="1"/>
  <c r="A5892" i="1"/>
  <c r="D5891" i="1"/>
  <c r="A5891" i="1"/>
  <c r="D5890" i="1"/>
  <c r="A5890" i="1"/>
  <c r="D5889" i="1"/>
  <c r="A5889" i="1"/>
  <c r="D5888" i="1"/>
  <c r="A5888" i="1"/>
  <c r="D5887" i="1"/>
  <c r="A5887" i="1"/>
  <c r="D5886" i="1"/>
  <c r="A5886" i="1"/>
  <c r="D5885" i="1"/>
  <c r="A5885" i="1"/>
  <c r="D5884" i="1"/>
  <c r="A5884" i="1"/>
  <c r="D5883" i="1"/>
  <c r="A5883" i="1"/>
  <c r="D5882" i="1"/>
  <c r="A5882" i="1"/>
  <c r="D5881" i="1"/>
  <c r="A5881" i="1"/>
  <c r="D5880" i="1"/>
  <c r="A5880" i="1"/>
  <c r="D5879" i="1"/>
  <c r="A5879" i="1"/>
  <c r="D5878" i="1"/>
  <c r="A5878" i="1"/>
  <c r="D5877" i="1"/>
  <c r="A5877" i="1"/>
  <c r="D5876" i="1"/>
  <c r="A5876" i="1"/>
  <c r="D5875" i="1"/>
  <c r="A5875" i="1"/>
  <c r="D5874" i="1"/>
  <c r="A5874" i="1"/>
  <c r="D5873" i="1"/>
  <c r="A5873" i="1"/>
  <c r="D5872" i="1"/>
  <c r="A5872" i="1"/>
  <c r="D5871" i="1"/>
  <c r="A5871" i="1"/>
  <c r="D5870" i="1"/>
  <c r="A5870" i="1"/>
  <c r="D5869" i="1"/>
  <c r="A5869" i="1"/>
  <c r="D5868" i="1"/>
  <c r="A5868" i="1"/>
  <c r="D5867" i="1"/>
  <c r="A5867" i="1"/>
  <c r="D5866" i="1"/>
  <c r="A5866" i="1"/>
  <c r="D5865" i="1"/>
  <c r="A5865" i="1"/>
  <c r="D5864" i="1"/>
  <c r="A5864" i="1"/>
  <c r="D5863" i="1"/>
  <c r="A5863" i="1"/>
  <c r="D5862" i="1"/>
  <c r="A5862" i="1"/>
  <c r="D5861" i="1"/>
  <c r="A5861" i="1"/>
  <c r="D5860" i="1"/>
  <c r="A5860" i="1"/>
  <c r="D5859" i="1"/>
  <c r="A5859" i="1"/>
  <c r="D5858" i="1"/>
  <c r="A5858" i="1"/>
  <c r="D5857" i="1"/>
  <c r="A5857" i="1"/>
  <c r="D5856" i="1"/>
  <c r="A5856" i="1"/>
  <c r="D5855" i="1"/>
  <c r="A5855" i="1"/>
  <c r="D5854" i="1"/>
  <c r="A5854" i="1"/>
  <c r="D5853" i="1"/>
  <c r="A5853" i="1"/>
  <c r="D5852" i="1"/>
  <c r="A5852" i="1"/>
  <c r="D5851" i="1"/>
  <c r="A5851" i="1"/>
  <c r="D5850" i="1"/>
  <c r="A5850" i="1"/>
  <c r="D5849" i="1"/>
  <c r="A5849" i="1"/>
  <c r="D5848" i="1"/>
  <c r="A5848" i="1"/>
  <c r="D5847" i="1"/>
  <c r="A5847" i="1"/>
  <c r="D5846" i="1"/>
  <c r="A5846" i="1"/>
  <c r="D5845" i="1"/>
  <c r="A5845" i="1"/>
  <c r="D5844" i="1"/>
  <c r="A5844" i="1"/>
  <c r="D5843" i="1"/>
  <c r="A5843" i="1"/>
  <c r="D5842" i="1"/>
  <c r="A5842" i="1"/>
  <c r="D5841" i="1"/>
  <c r="A5841" i="1"/>
  <c r="D5840" i="1"/>
  <c r="A5840" i="1"/>
  <c r="D5839" i="1"/>
  <c r="A5839" i="1"/>
  <c r="D5838" i="1"/>
  <c r="A5838" i="1"/>
  <c r="D5837" i="1"/>
  <c r="A5837" i="1"/>
  <c r="D5836" i="1"/>
  <c r="A5836" i="1"/>
  <c r="D5835" i="1"/>
  <c r="A5835" i="1"/>
  <c r="D5834" i="1"/>
  <c r="A5834" i="1"/>
  <c r="D5833" i="1"/>
  <c r="A5833" i="1"/>
  <c r="D5832" i="1"/>
  <c r="A5832" i="1"/>
  <c r="D5831" i="1"/>
  <c r="A5831" i="1"/>
  <c r="D5830" i="1"/>
  <c r="A5830" i="1"/>
  <c r="D5829" i="1"/>
  <c r="A5829" i="1"/>
  <c r="D5828" i="1"/>
  <c r="A5828" i="1"/>
  <c r="D5827" i="1"/>
  <c r="A5827" i="1"/>
  <c r="D5826" i="1"/>
  <c r="A5826" i="1"/>
  <c r="D5825" i="1"/>
  <c r="A5825" i="1"/>
  <c r="D5824" i="1"/>
  <c r="A5824" i="1"/>
  <c r="D5823" i="1"/>
  <c r="A5823" i="1"/>
  <c r="D5822" i="1"/>
  <c r="A5822" i="1"/>
  <c r="D5821" i="1"/>
  <c r="A5821" i="1"/>
  <c r="D5820" i="1"/>
  <c r="A5820" i="1"/>
  <c r="D5819" i="1"/>
  <c r="A5819" i="1"/>
  <c r="D5818" i="1"/>
  <c r="A5818" i="1"/>
  <c r="D5817" i="1"/>
  <c r="A5817" i="1"/>
  <c r="D5816" i="1"/>
  <c r="A5816" i="1"/>
  <c r="D5815" i="1"/>
  <c r="A5815" i="1"/>
  <c r="D5814" i="1"/>
  <c r="A5814" i="1"/>
  <c r="D5813" i="1"/>
  <c r="A5813" i="1"/>
  <c r="D5812" i="1"/>
  <c r="A5812" i="1"/>
  <c r="D5811" i="1"/>
  <c r="A5811" i="1"/>
  <c r="D5810" i="1"/>
  <c r="A5810" i="1"/>
  <c r="D5809" i="1"/>
  <c r="A5809" i="1"/>
  <c r="D5808" i="1"/>
  <c r="A5808" i="1"/>
  <c r="D5807" i="1"/>
  <c r="A5807" i="1"/>
  <c r="D5806" i="1"/>
  <c r="A5806" i="1"/>
  <c r="D5805" i="1"/>
  <c r="A5805" i="1"/>
  <c r="D5804" i="1"/>
  <c r="A5804" i="1"/>
  <c r="D5803" i="1"/>
  <c r="A5803" i="1"/>
  <c r="D5802" i="1"/>
  <c r="A5802" i="1"/>
  <c r="D5801" i="1"/>
  <c r="A5801" i="1"/>
  <c r="D5800" i="1"/>
  <c r="A5800" i="1"/>
  <c r="D5799" i="1"/>
  <c r="A5799" i="1"/>
  <c r="D5798" i="1"/>
  <c r="A5798" i="1"/>
  <c r="D5797" i="1"/>
  <c r="A5797" i="1"/>
  <c r="D5796" i="1"/>
  <c r="A5796" i="1"/>
  <c r="D5795" i="1"/>
  <c r="A5795" i="1"/>
  <c r="D5794" i="1"/>
  <c r="A5794" i="1"/>
  <c r="D5793" i="1"/>
  <c r="A5793" i="1"/>
  <c r="D5792" i="1"/>
  <c r="A5792" i="1"/>
  <c r="D5791" i="1"/>
  <c r="A5791" i="1"/>
  <c r="D5790" i="1"/>
  <c r="A5790" i="1"/>
  <c r="D5789" i="1"/>
  <c r="A5789" i="1"/>
  <c r="D5788" i="1"/>
  <c r="A5788" i="1"/>
  <c r="D5787" i="1"/>
  <c r="A5787" i="1"/>
  <c r="D5786" i="1"/>
  <c r="A5786" i="1"/>
  <c r="D5785" i="1"/>
  <c r="A5785" i="1"/>
  <c r="D5784" i="1"/>
  <c r="A5784" i="1"/>
  <c r="D5783" i="1"/>
  <c r="A5783" i="1"/>
  <c r="D5782" i="1"/>
  <c r="A5782" i="1"/>
  <c r="D5781" i="1"/>
  <c r="A5781" i="1"/>
  <c r="D5780" i="1"/>
  <c r="A5780" i="1"/>
  <c r="D5779" i="1"/>
  <c r="A5779" i="1"/>
  <c r="D5778" i="1"/>
  <c r="A5778" i="1"/>
  <c r="D5777" i="1"/>
  <c r="A5777" i="1"/>
  <c r="D5776" i="1"/>
  <c r="A5776" i="1"/>
  <c r="D5775" i="1"/>
  <c r="A5775" i="1"/>
  <c r="D5774" i="1"/>
  <c r="A5774" i="1"/>
  <c r="D5773" i="1"/>
  <c r="A5773" i="1"/>
  <c r="D5772" i="1"/>
  <c r="A5772" i="1"/>
  <c r="D5771" i="1"/>
  <c r="A5771" i="1"/>
  <c r="D5770" i="1"/>
  <c r="A5770" i="1"/>
  <c r="D5769" i="1"/>
  <c r="A5769" i="1"/>
  <c r="D5768" i="1"/>
  <c r="A5768" i="1"/>
  <c r="D5767" i="1"/>
  <c r="A5767" i="1"/>
  <c r="D5766" i="1"/>
  <c r="A5766" i="1"/>
  <c r="D5765" i="1"/>
  <c r="A5765" i="1"/>
  <c r="D5764" i="1"/>
  <c r="A5764" i="1"/>
  <c r="D5763" i="1"/>
  <c r="A5763" i="1"/>
  <c r="D5762" i="1"/>
  <c r="A5762" i="1"/>
  <c r="D5761" i="1"/>
  <c r="A5761" i="1"/>
  <c r="D5760" i="1"/>
  <c r="A5760" i="1"/>
  <c r="D5759" i="1"/>
  <c r="A5759" i="1"/>
  <c r="D5758" i="1"/>
  <c r="A5758" i="1"/>
  <c r="D5757" i="1"/>
  <c r="A5757" i="1"/>
  <c r="D5756" i="1"/>
  <c r="A5756" i="1"/>
  <c r="D5755" i="1"/>
  <c r="A5755" i="1"/>
  <c r="D5754" i="1"/>
  <c r="A5754" i="1"/>
  <c r="D5753" i="1"/>
  <c r="A5753" i="1"/>
  <c r="D5752" i="1"/>
  <c r="A5752" i="1"/>
  <c r="D5751" i="1"/>
  <c r="A5751" i="1"/>
  <c r="D5750" i="1"/>
  <c r="A5750" i="1"/>
  <c r="D5749" i="1"/>
  <c r="A5749" i="1"/>
  <c r="D5748" i="1"/>
  <c r="A5748" i="1"/>
  <c r="D5747" i="1"/>
  <c r="A5747" i="1"/>
  <c r="D5746" i="1"/>
  <c r="A5746" i="1"/>
  <c r="D5745" i="1"/>
  <c r="A5745" i="1"/>
  <c r="D5744" i="1"/>
  <c r="A5744" i="1"/>
  <c r="D5743" i="1"/>
  <c r="A5743" i="1"/>
  <c r="D5742" i="1"/>
  <c r="A5742" i="1"/>
  <c r="D5741" i="1"/>
  <c r="A5741" i="1"/>
  <c r="D5740" i="1"/>
  <c r="A5740" i="1"/>
  <c r="D5739" i="1"/>
  <c r="A5739" i="1"/>
  <c r="D5738" i="1"/>
  <c r="A5738" i="1"/>
  <c r="D5737" i="1"/>
  <c r="A5737" i="1"/>
  <c r="D5736" i="1"/>
  <c r="A5736" i="1"/>
  <c r="D5735" i="1"/>
  <c r="A5735" i="1"/>
  <c r="D5734" i="1"/>
  <c r="A5734" i="1"/>
  <c r="D5733" i="1"/>
  <c r="A5733" i="1"/>
  <c r="D5732" i="1"/>
  <c r="A5732" i="1"/>
  <c r="D5731" i="1"/>
  <c r="A5731" i="1"/>
  <c r="D5730" i="1"/>
  <c r="A5730" i="1"/>
  <c r="D5729" i="1"/>
  <c r="A5729" i="1"/>
  <c r="D5728" i="1"/>
  <c r="A5728" i="1"/>
  <c r="D5727" i="1"/>
  <c r="A5727" i="1"/>
  <c r="D5726" i="1"/>
  <c r="A5726" i="1"/>
  <c r="D5725" i="1"/>
  <c r="A5725" i="1"/>
  <c r="D5724" i="1"/>
  <c r="A5724" i="1"/>
  <c r="D5723" i="1"/>
  <c r="A5723" i="1"/>
  <c r="D5722" i="1"/>
  <c r="A5722" i="1"/>
  <c r="D5721" i="1"/>
  <c r="A5721" i="1"/>
  <c r="D5720" i="1"/>
  <c r="A5720" i="1"/>
  <c r="D5719" i="1"/>
  <c r="A5719" i="1"/>
  <c r="D5718" i="1"/>
  <c r="A5718" i="1"/>
  <c r="D5717" i="1"/>
  <c r="A5717" i="1"/>
  <c r="D5716" i="1"/>
  <c r="A5716" i="1"/>
  <c r="D5715" i="1"/>
  <c r="A5715" i="1"/>
  <c r="D5714" i="1"/>
  <c r="A5714" i="1"/>
  <c r="D5713" i="1"/>
  <c r="A5713" i="1"/>
  <c r="D5712" i="1"/>
  <c r="A5712" i="1"/>
  <c r="D5711" i="1"/>
  <c r="A5711" i="1"/>
  <c r="D5710" i="1"/>
  <c r="A5710" i="1"/>
  <c r="D5709" i="1"/>
  <c r="A5709" i="1"/>
  <c r="D5708" i="1"/>
  <c r="A5708" i="1"/>
  <c r="D5707" i="1"/>
  <c r="A5707" i="1"/>
  <c r="D5706" i="1"/>
  <c r="A5706" i="1"/>
  <c r="D5705" i="1"/>
  <c r="A5705" i="1"/>
  <c r="D5704" i="1"/>
  <c r="A5704" i="1"/>
  <c r="D5703" i="1"/>
  <c r="A5703" i="1"/>
  <c r="D5702" i="1"/>
  <c r="A5702" i="1"/>
  <c r="D5701" i="1"/>
  <c r="A5701" i="1"/>
  <c r="D5700" i="1"/>
  <c r="A5700" i="1"/>
  <c r="D5699" i="1"/>
  <c r="A5699" i="1"/>
  <c r="D5698" i="1"/>
  <c r="A5698" i="1"/>
  <c r="D5697" i="1"/>
  <c r="A5697" i="1"/>
  <c r="D5696" i="1"/>
  <c r="A5696" i="1"/>
  <c r="D5695" i="1"/>
  <c r="A5695" i="1"/>
  <c r="D5694" i="1"/>
  <c r="A5694" i="1"/>
  <c r="D5693" i="1"/>
  <c r="A5693" i="1"/>
  <c r="D5692" i="1"/>
  <c r="A5692" i="1"/>
  <c r="D5691" i="1"/>
  <c r="A5691" i="1"/>
  <c r="D5690" i="1"/>
  <c r="A5690" i="1"/>
  <c r="D5689" i="1"/>
  <c r="A5689" i="1"/>
  <c r="D5688" i="1"/>
  <c r="A5688" i="1"/>
  <c r="D5687" i="1"/>
  <c r="A5687" i="1"/>
  <c r="D5686" i="1"/>
  <c r="A5686" i="1"/>
  <c r="D5685" i="1"/>
  <c r="A5685" i="1"/>
  <c r="D5684" i="1"/>
  <c r="A5684" i="1"/>
  <c r="D5683" i="1"/>
  <c r="A5683" i="1"/>
  <c r="D5682" i="1"/>
  <c r="A5682" i="1"/>
  <c r="D5681" i="1"/>
  <c r="A5681" i="1"/>
  <c r="D5680" i="1"/>
  <c r="A5680" i="1"/>
  <c r="D5679" i="1"/>
  <c r="A5679" i="1"/>
  <c r="D5678" i="1"/>
  <c r="A5678" i="1"/>
  <c r="D5677" i="1"/>
  <c r="A5677" i="1"/>
  <c r="D5676" i="1"/>
  <c r="A5676" i="1"/>
  <c r="D5675" i="1"/>
  <c r="A5675" i="1"/>
  <c r="D5674" i="1"/>
  <c r="A5674" i="1"/>
  <c r="D5673" i="1"/>
  <c r="A5673" i="1"/>
  <c r="D5672" i="1"/>
  <c r="A5672" i="1"/>
  <c r="D5671" i="1"/>
  <c r="A5671" i="1"/>
  <c r="D5670" i="1"/>
  <c r="A5670" i="1"/>
  <c r="D5669" i="1"/>
  <c r="A5669" i="1"/>
  <c r="D5668" i="1"/>
  <c r="A5668" i="1"/>
  <c r="D5667" i="1"/>
  <c r="A5667" i="1"/>
  <c r="D5666" i="1"/>
  <c r="A5666" i="1"/>
  <c r="D5665" i="1"/>
  <c r="A5665" i="1"/>
  <c r="D5664" i="1"/>
  <c r="A5664" i="1"/>
  <c r="D5663" i="1"/>
  <c r="A5663" i="1"/>
  <c r="D5662" i="1"/>
  <c r="A5662" i="1"/>
  <c r="D5661" i="1"/>
  <c r="A5661" i="1"/>
  <c r="D5660" i="1"/>
  <c r="A5660" i="1"/>
  <c r="D5659" i="1"/>
  <c r="A5659" i="1"/>
  <c r="D5658" i="1"/>
  <c r="A5658" i="1"/>
  <c r="D5657" i="1"/>
  <c r="A5657" i="1"/>
  <c r="D5656" i="1"/>
  <c r="A5656" i="1"/>
  <c r="D5655" i="1"/>
  <c r="A5655" i="1"/>
  <c r="D5654" i="1"/>
  <c r="A5654" i="1"/>
  <c r="D5653" i="1"/>
  <c r="A5653" i="1"/>
  <c r="D5652" i="1"/>
  <c r="A5652" i="1"/>
  <c r="D5651" i="1"/>
  <c r="A5651" i="1"/>
  <c r="D5650" i="1"/>
  <c r="A5650" i="1"/>
  <c r="D5649" i="1"/>
  <c r="A5649" i="1"/>
  <c r="D5648" i="1"/>
  <c r="A5648" i="1"/>
  <c r="D5647" i="1"/>
  <c r="A5647" i="1"/>
  <c r="D5646" i="1"/>
  <c r="A5646" i="1"/>
  <c r="D5645" i="1"/>
  <c r="A5645" i="1"/>
  <c r="D5644" i="1"/>
  <c r="A5644" i="1"/>
  <c r="D5643" i="1"/>
  <c r="A5643" i="1"/>
  <c r="D5642" i="1"/>
  <c r="A5642" i="1"/>
  <c r="D5641" i="1"/>
  <c r="A5641" i="1"/>
  <c r="D5640" i="1"/>
  <c r="A5640" i="1"/>
  <c r="D5639" i="1"/>
  <c r="A5639" i="1"/>
  <c r="D5638" i="1"/>
  <c r="A5638" i="1"/>
  <c r="D5637" i="1"/>
  <c r="A5637" i="1"/>
  <c r="D5636" i="1"/>
  <c r="A5636" i="1"/>
  <c r="D5635" i="1"/>
  <c r="A5635" i="1"/>
  <c r="D5634" i="1"/>
  <c r="A5634" i="1"/>
  <c r="D5633" i="1"/>
  <c r="A5633" i="1"/>
  <c r="D5632" i="1"/>
  <c r="A5632" i="1"/>
  <c r="D5631" i="1"/>
  <c r="A5631" i="1"/>
  <c r="D5630" i="1"/>
  <c r="A5630" i="1"/>
  <c r="D5629" i="1"/>
  <c r="A5629" i="1"/>
  <c r="D5628" i="1"/>
  <c r="A5628" i="1"/>
  <c r="D5627" i="1"/>
  <c r="A5627" i="1"/>
  <c r="D5626" i="1"/>
  <c r="A5626" i="1"/>
  <c r="D5625" i="1"/>
  <c r="A5625" i="1"/>
  <c r="D5624" i="1"/>
  <c r="A5624" i="1"/>
  <c r="D5623" i="1"/>
  <c r="A5623" i="1"/>
  <c r="D5622" i="1"/>
  <c r="A5622" i="1"/>
  <c r="D5621" i="1"/>
  <c r="A5621" i="1"/>
  <c r="D5620" i="1"/>
  <c r="A5620" i="1"/>
  <c r="D5619" i="1"/>
  <c r="A5619" i="1"/>
  <c r="D5618" i="1"/>
  <c r="A5618" i="1"/>
  <c r="D5617" i="1"/>
  <c r="A5617" i="1"/>
  <c r="D5616" i="1"/>
  <c r="A5616" i="1"/>
  <c r="D5615" i="1"/>
  <c r="A5615" i="1"/>
  <c r="D5614" i="1"/>
  <c r="A5614" i="1"/>
  <c r="D5613" i="1"/>
  <c r="A5613" i="1"/>
  <c r="D5612" i="1"/>
  <c r="A5612" i="1"/>
  <c r="D5611" i="1"/>
  <c r="A5611" i="1"/>
  <c r="D5610" i="1"/>
  <c r="A5610" i="1"/>
  <c r="D5609" i="1"/>
  <c r="A5609" i="1"/>
  <c r="D5608" i="1"/>
  <c r="A5608" i="1"/>
  <c r="D5607" i="1"/>
  <c r="A5607" i="1"/>
  <c r="D5606" i="1"/>
  <c r="A5606" i="1"/>
  <c r="D5605" i="1"/>
  <c r="A5605" i="1"/>
  <c r="D5604" i="1"/>
  <c r="A5604" i="1"/>
  <c r="D5603" i="1"/>
  <c r="A5603" i="1"/>
  <c r="D5602" i="1"/>
  <c r="A5602" i="1"/>
  <c r="D5601" i="1"/>
  <c r="A5601" i="1"/>
  <c r="D5600" i="1"/>
  <c r="A5600" i="1"/>
  <c r="D5599" i="1"/>
  <c r="A5599" i="1"/>
  <c r="D5598" i="1"/>
  <c r="A5598" i="1"/>
  <c r="D5597" i="1"/>
  <c r="A5597" i="1"/>
  <c r="D5596" i="1"/>
  <c r="A5596" i="1"/>
  <c r="D5595" i="1"/>
  <c r="A5595" i="1"/>
  <c r="D5594" i="1"/>
  <c r="A5594" i="1"/>
  <c r="D5593" i="1"/>
  <c r="A5593" i="1"/>
  <c r="D5592" i="1"/>
  <c r="A5592" i="1"/>
  <c r="D5591" i="1"/>
  <c r="A5591" i="1"/>
  <c r="D5590" i="1"/>
  <c r="A5590" i="1"/>
  <c r="D5589" i="1"/>
  <c r="A5589" i="1"/>
  <c r="D5588" i="1"/>
  <c r="A5588" i="1"/>
  <c r="D5587" i="1"/>
  <c r="A5587" i="1"/>
  <c r="D5586" i="1"/>
  <c r="A5586" i="1"/>
  <c r="D5585" i="1"/>
  <c r="A5585" i="1"/>
  <c r="D5584" i="1"/>
  <c r="A5584" i="1"/>
  <c r="D5583" i="1"/>
  <c r="A5583" i="1"/>
  <c r="D5582" i="1"/>
  <c r="A5582" i="1"/>
  <c r="D5581" i="1"/>
  <c r="A5581" i="1"/>
  <c r="D5580" i="1"/>
  <c r="A5580" i="1"/>
  <c r="D5579" i="1"/>
  <c r="A5579" i="1"/>
  <c r="D5578" i="1"/>
  <c r="A5578" i="1"/>
  <c r="D5577" i="1"/>
  <c r="A5577" i="1"/>
  <c r="D5576" i="1"/>
  <c r="A5576" i="1"/>
  <c r="D5575" i="1"/>
  <c r="A5575" i="1"/>
  <c r="D5574" i="1"/>
  <c r="A5574" i="1"/>
  <c r="D5573" i="1"/>
  <c r="A5573" i="1"/>
  <c r="D5572" i="1"/>
  <c r="A5572" i="1"/>
  <c r="D5571" i="1"/>
  <c r="A5571" i="1"/>
  <c r="D5570" i="1"/>
  <c r="A5570" i="1"/>
  <c r="D5569" i="1"/>
  <c r="A5569" i="1"/>
  <c r="D5568" i="1"/>
  <c r="A5568" i="1"/>
  <c r="D5567" i="1"/>
  <c r="A5567" i="1"/>
  <c r="D5566" i="1"/>
  <c r="A5566" i="1"/>
  <c r="D5565" i="1"/>
  <c r="A5565" i="1"/>
  <c r="D5564" i="1"/>
  <c r="A5564" i="1"/>
  <c r="D5563" i="1"/>
  <c r="A5563" i="1"/>
  <c r="D5562" i="1"/>
  <c r="A5562" i="1"/>
  <c r="D5561" i="1"/>
  <c r="A5561" i="1"/>
  <c r="D5560" i="1"/>
  <c r="A5560" i="1"/>
  <c r="D5559" i="1"/>
  <c r="A5559" i="1"/>
  <c r="D5558" i="1"/>
  <c r="A5558" i="1"/>
  <c r="D5557" i="1"/>
  <c r="A5557" i="1"/>
  <c r="D5556" i="1"/>
  <c r="A5556" i="1"/>
  <c r="D5555" i="1"/>
  <c r="A5555" i="1"/>
  <c r="D5554" i="1"/>
  <c r="A5554" i="1"/>
  <c r="D5553" i="1"/>
  <c r="A5553" i="1"/>
  <c r="D5552" i="1"/>
  <c r="A5552" i="1"/>
  <c r="D5551" i="1"/>
  <c r="A5551" i="1"/>
  <c r="D5550" i="1"/>
  <c r="A5550" i="1"/>
  <c r="D5549" i="1"/>
  <c r="A5549" i="1"/>
  <c r="D5548" i="1"/>
  <c r="A5548" i="1"/>
  <c r="D5547" i="1"/>
  <c r="A5547" i="1"/>
  <c r="D5546" i="1"/>
  <c r="A5546" i="1"/>
  <c r="D5545" i="1"/>
  <c r="A5545" i="1"/>
  <c r="D5544" i="1"/>
  <c r="A5544" i="1"/>
  <c r="D5543" i="1"/>
  <c r="A5543" i="1"/>
  <c r="D5542" i="1"/>
  <c r="A5542" i="1"/>
  <c r="D5541" i="1"/>
  <c r="A5541" i="1"/>
  <c r="D5540" i="1"/>
  <c r="A5540" i="1"/>
  <c r="D5539" i="1"/>
  <c r="A5539" i="1"/>
  <c r="D5538" i="1"/>
  <c r="A5538" i="1"/>
  <c r="D5537" i="1"/>
  <c r="A5537" i="1"/>
  <c r="D5536" i="1"/>
  <c r="A5536" i="1"/>
  <c r="D5535" i="1"/>
  <c r="A5535" i="1"/>
  <c r="D5534" i="1"/>
  <c r="A5534" i="1"/>
  <c r="D5533" i="1"/>
  <c r="A5533" i="1"/>
  <c r="D5532" i="1"/>
  <c r="A5532" i="1"/>
  <c r="D5531" i="1"/>
  <c r="A5531" i="1"/>
  <c r="D5530" i="1"/>
  <c r="A5530" i="1"/>
  <c r="D5529" i="1"/>
  <c r="A5529" i="1"/>
  <c r="D5528" i="1"/>
  <c r="A5528" i="1"/>
  <c r="D5527" i="1"/>
  <c r="A5527" i="1"/>
  <c r="D5526" i="1"/>
  <c r="A5526" i="1"/>
  <c r="D5525" i="1"/>
  <c r="A5525" i="1"/>
  <c r="D5524" i="1"/>
  <c r="A5524" i="1"/>
  <c r="D5523" i="1"/>
  <c r="A5523" i="1"/>
  <c r="D5522" i="1"/>
  <c r="A5522" i="1"/>
  <c r="D5521" i="1"/>
  <c r="A5521" i="1"/>
  <c r="D5520" i="1"/>
  <c r="A5520" i="1"/>
  <c r="D5519" i="1"/>
  <c r="A5519" i="1"/>
  <c r="D5518" i="1"/>
  <c r="A5518" i="1"/>
  <c r="D5517" i="1"/>
  <c r="A5517" i="1"/>
  <c r="D5516" i="1"/>
  <c r="A5516" i="1"/>
  <c r="D5515" i="1"/>
  <c r="A5515" i="1"/>
  <c r="D5514" i="1"/>
  <c r="A5514" i="1"/>
  <c r="D5513" i="1"/>
  <c r="A5513" i="1"/>
  <c r="D5512" i="1"/>
  <c r="A5512" i="1"/>
  <c r="D5511" i="1"/>
  <c r="A5511" i="1"/>
  <c r="D5510" i="1"/>
  <c r="A5510" i="1"/>
  <c r="D5509" i="1"/>
  <c r="A5509" i="1"/>
  <c r="D5508" i="1"/>
  <c r="A5508" i="1"/>
  <c r="D5507" i="1"/>
  <c r="A5507" i="1"/>
  <c r="D5506" i="1"/>
  <c r="A5506" i="1"/>
  <c r="D5505" i="1"/>
  <c r="A5505" i="1"/>
  <c r="D5504" i="1"/>
  <c r="A5504" i="1"/>
  <c r="D5503" i="1"/>
  <c r="A5503" i="1"/>
  <c r="D5502" i="1"/>
  <c r="A5502" i="1"/>
  <c r="D5501" i="1"/>
  <c r="A5501" i="1"/>
  <c r="D5500" i="1"/>
  <c r="A5500" i="1"/>
  <c r="D5499" i="1"/>
  <c r="A5499" i="1"/>
  <c r="D5498" i="1"/>
  <c r="A5498" i="1"/>
  <c r="D5497" i="1"/>
  <c r="A5497" i="1"/>
  <c r="D5496" i="1"/>
  <c r="A5496" i="1"/>
  <c r="D5495" i="1"/>
  <c r="A5495" i="1"/>
  <c r="D5494" i="1"/>
  <c r="A5494" i="1"/>
  <c r="D5493" i="1"/>
  <c r="A5493" i="1"/>
  <c r="D5492" i="1"/>
  <c r="A5492" i="1"/>
  <c r="D5491" i="1"/>
  <c r="A5491" i="1"/>
  <c r="D5490" i="1"/>
  <c r="A5490" i="1"/>
  <c r="D5489" i="1"/>
  <c r="A5489" i="1"/>
  <c r="D5488" i="1"/>
  <c r="A5488" i="1"/>
  <c r="D5487" i="1"/>
  <c r="A5487" i="1"/>
  <c r="D5486" i="1"/>
  <c r="A5486" i="1"/>
  <c r="D5485" i="1"/>
  <c r="A5485" i="1"/>
  <c r="D5484" i="1"/>
  <c r="A5484" i="1"/>
  <c r="D5483" i="1"/>
  <c r="A5483" i="1"/>
  <c r="D5482" i="1"/>
  <c r="A5482" i="1"/>
  <c r="D5481" i="1"/>
  <c r="A5481" i="1"/>
  <c r="D5480" i="1"/>
  <c r="A5480" i="1"/>
  <c r="D5479" i="1"/>
  <c r="A5479" i="1"/>
  <c r="D5478" i="1"/>
  <c r="A5478" i="1"/>
  <c r="D5477" i="1"/>
  <c r="A5477" i="1"/>
  <c r="D5476" i="1"/>
  <c r="A5476" i="1"/>
  <c r="D5475" i="1"/>
  <c r="A5475" i="1"/>
  <c r="D5474" i="1"/>
  <c r="A5474" i="1"/>
  <c r="D5473" i="1"/>
  <c r="A5473" i="1"/>
  <c r="D5472" i="1"/>
  <c r="A5472" i="1"/>
  <c r="D5471" i="1"/>
  <c r="A5471" i="1"/>
  <c r="D5470" i="1"/>
  <c r="A5470" i="1"/>
  <c r="D5469" i="1"/>
  <c r="A5469" i="1"/>
  <c r="D5468" i="1"/>
  <c r="A5468" i="1"/>
  <c r="D5467" i="1"/>
  <c r="A5467" i="1"/>
  <c r="D5466" i="1"/>
  <c r="A5466" i="1"/>
  <c r="D5465" i="1"/>
  <c r="A5465" i="1"/>
  <c r="D5464" i="1"/>
  <c r="A5464" i="1"/>
  <c r="D5463" i="1"/>
  <c r="A5463" i="1"/>
  <c r="D5462" i="1"/>
  <c r="A5462" i="1"/>
  <c r="D5461" i="1"/>
  <c r="A5461" i="1"/>
  <c r="D5460" i="1"/>
  <c r="A5460" i="1"/>
  <c r="D5459" i="1"/>
  <c r="A5459" i="1"/>
  <c r="D5458" i="1"/>
  <c r="A5458" i="1"/>
  <c r="D5457" i="1"/>
  <c r="A5457" i="1"/>
  <c r="D5456" i="1"/>
  <c r="A5456" i="1"/>
  <c r="D5455" i="1"/>
  <c r="A5455" i="1"/>
  <c r="D5454" i="1"/>
  <c r="A5454" i="1"/>
  <c r="D5453" i="1"/>
  <c r="A5453" i="1"/>
  <c r="D5452" i="1"/>
  <c r="A5452" i="1"/>
  <c r="D5451" i="1"/>
  <c r="A5451" i="1"/>
  <c r="D5450" i="1"/>
  <c r="A5450" i="1"/>
  <c r="D5449" i="1"/>
  <c r="A5449" i="1"/>
  <c r="D5448" i="1"/>
  <c r="A5448" i="1"/>
  <c r="D5447" i="1"/>
  <c r="A5447" i="1"/>
  <c r="D5446" i="1"/>
  <c r="A5446" i="1"/>
  <c r="D5445" i="1"/>
  <c r="A5445" i="1"/>
  <c r="D5444" i="1"/>
  <c r="A5444" i="1"/>
  <c r="D5443" i="1"/>
  <c r="A5443" i="1"/>
  <c r="D5442" i="1"/>
  <c r="A5442" i="1"/>
  <c r="D5441" i="1"/>
  <c r="A5441" i="1"/>
  <c r="D5440" i="1"/>
  <c r="A5440" i="1"/>
  <c r="D5439" i="1"/>
  <c r="A5439" i="1"/>
  <c r="D5438" i="1"/>
  <c r="A5438" i="1"/>
  <c r="D5437" i="1"/>
  <c r="A5437" i="1"/>
  <c r="D5436" i="1"/>
  <c r="A5436" i="1"/>
  <c r="D5435" i="1"/>
  <c r="A5435" i="1"/>
  <c r="D5434" i="1"/>
  <c r="A5434" i="1"/>
  <c r="D5433" i="1"/>
  <c r="A5433" i="1"/>
  <c r="D5432" i="1"/>
  <c r="A5432" i="1"/>
  <c r="D5431" i="1"/>
  <c r="A5431" i="1"/>
  <c r="D5430" i="1"/>
  <c r="A5430" i="1"/>
  <c r="D5429" i="1"/>
  <c r="A5429" i="1"/>
  <c r="D5428" i="1"/>
  <c r="A5428" i="1"/>
  <c r="D5427" i="1"/>
  <c r="A5427" i="1"/>
  <c r="D5426" i="1"/>
  <c r="A5426" i="1"/>
  <c r="D5425" i="1"/>
  <c r="A5425" i="1"/>
  <c r="D5424" i="1"/>
  <c r="A5424" i="1"/>
  <c r="D5423" i="1"/>
  <c r="A5423" i="1"/>
  <c r="D5422" i="1"/>
  <c r="A5422" i="1"/>
  <c r="D5421" i="1"/>
  <c r="A5421" i="1"/>
  <c r="D5420" i="1"/>
  <c r="A5420" i="1"/>
  <c r="D5419" i="1"/>
  <c r="A5419" i="1"/>
  <c r="D5418" i="1"/>
  <c r="A5418" i="1"/>
  <c r="D5417" i="1"/>
  <c r="A5417" i="1"/>
  <c r="D5416" i="1"/>
  <c r="A5416" i="1"/>
  <c r="D5415" i="1"/>
  <c r="A5415" i="1"/>
  <c r="D5414" i="1"/>
  <c r="A5414" i="1"/>
  <c r="D5413" i="1"/>
  <c r="A5413" i="1"/>
  <c r="D5412" i="1"/>
  <c r="A5412" i="1"/>
  <c r="D5411" i="1"/>
  <c r="A5411" i="1"/>
  <c r="D5410" i="1"/>
  <c r="A5410" i="1"/>
  <c r="D5409" i="1"/>
  <c r="A5409" i="1"/>
  <c r="D5408" i="1"/>
  <c r="A5408" i="1"/>
  <c r="D5407" i="1"/>
  <c r="A5407" i="1"/>
  <c r="D5406" i="1"/>
  <c r="A5406" i="1"/>
  <c r="D5405" i="1"/>
  <c r="A5405" i="1"/>
  <c r="D5404" i="1"/>
  <c r="A5404" i="1"/>
  <c r="D5403" i="1"/>
  <c r="A5403" i="1"/>
  <c r="D5402" i="1"/>
  <c r="A5402" i="1"/>
  <c r="D5401" i="1"/>
  <c r="A5401" i="1"/>
  <c r="D5400" i="1"/>
  <c r="A5400" i="1"/>
  <c r="D5399" i="1"/>
  <c r="A5399" i="1"/>
  <c r="D5398" i="1"/>
  <c r="A5398" i="1"/>
  <c r="D5397" i="1"/>
  <c r="A5397" i="1"/>
  <c r="D5396" i="1"/>
  <c r="A5396" i="1"/>
  <c r="D5395" i="1"/>
  <c r="A5395" i="1"/>
  <c r="D5394" i="1"/>
  <c r="A5394" i="1"/>
  <c r="D5393" i="1"/>
  <c r="A5393" i="1"/>
  <c r="D5392" i="1"/>
  <c r="A5392" i="1"/>
  <c r="D5391" i="1"/>
  <c r="A5391" i="1"/>
  <c r="D5390" i="1"/>
  <c r="A5390" i="1"/>
  <c r="D5389" i="1"/>
  <c r="A5389" i="1"/>
  <c r="D5388" i="1"/>
  <c r="A5388" i="1"/>
  <c r="D5387" i="1"/>
  <c r="A5387" i="1"/>
  <c r="D5386" i="1"/>
  <c r="A5386" i="1"/>
  <c r="D5385" i="1"/>
  <c r="A5385" i="1"/>
  <c r="D5384" i="1"/>
  <c r="A5384" i="1"/>
  <c r="D5383" i="1"/>
  <c r="A5383" i="1"/>
  <c r="D5382" i="1"/>
  <c r="A5382" i="1"/>
  <c r="D5381" i="1"/>
  <c r="A5381" i="1"/>
  <c r="D5380" i="1"/>
  <c r="A5380" i="1"/>
  <c r="D5379" i="1"/>
  <c r="A5379" i="1"/>
  <c r="D5378" i="1"/>
  <c r="A5378" i="1"/>
  <c r="D5377" i="1"/>
  <c r="A5377" i="1"/>
  <c r="D5376" i="1"/>
  <c r="A5376" i="1"/>
  <c r="D5375" i="1"/>
  <c r="A5375" i="1"/>
  <c r="D5374" i="1"/>
  <c r="A5374" i="1"/>
  <c r="D5373" i="1"/>
  <c r="A5373" i="1"/>
  <c r="D5372" i="1"/>
  <c r="A5372" i="1"/>
  <c r="D5371" i="1"/>
  <c r="A5371" i="1"/>
  <c r="D5370" i="1"/>
  <c r="A5370" i="1"/>
  <c r="D5369" i="1"/>
  <c r="A5369" i="1"/>
  <c r="D5368" i="1"/>
  <c r="A5368" i="1"/>
  <c r="D5367" i="1"/>
  <c r="A5367" i="1"/>
  <c r="D5366" i="1"/>
  <c r="A5366" i="1"/>
  <c r="D5365" i="1"/>
  <c r="A5365" i="1"/>
  <c r="D5364" i="1"/>
  <c r="A5364" i="1"/>
  <c r="D5363" i="1"/>
  <c r="A5363" i="1"/>
  <c r="D5362" i="1"/>
  <c r="A5362" i="1"/>
  <c r="D5361" i="1"/>
  <c r="A5361" i="1"/>
  <c r="D5360" i="1"/>
  <c r="A5360" i="1"/>
  <c r="D5359" i="1"/>
  <c r="A5359" i="1"/>
  <c r="D5358" i="1"/>
  <c r="A5358" i="1"/>
  <c r="D5357" i="1"/>
  <c r="A5357" i="1"/>
  <c r="D5356" i="1"/>
  <c r="A5356" i="1"/>
  <c r="D5355" i="1"/>
  <c r="A5355" i="1"/>
  <c r="D5354" i="1"/>
  <c r="A5354" i="1"/>
  <c r="D5353" i="1"/>
  <c r="A5353" i="1"/>
  <c r="D5352" i="1"/>
  <c r="A5352" i="1"/>
  <c r="D5351" i="1"/>
  <c r="A5351" i="1"/>
  <c r="D5350" i="1"/>
  <c r="A5350" i="1"/>
  <c r="D5349" i="1"/>
  <c r="A5349" i="1"/>
  <c r="D5348" i="1"/>
  <c r="A5348" i="1"/>
  <c r="D5347" i="1"/>
  <c r="A5347" i="1"/>
  <c r="D5346" i="1"/>
  <c r="A5346" i="1"/>
  <c r="D5345" i="1"/>
  <c r="A5345" i="1"/>
  <c r="D5344" i="1"/>
  <c r="A5344" i="1"/>
  <c r="D5343" i="1"/>
  <c r="A5343" i="1"/>
  <c r="D5342" i="1"/>
  <c r="A5342" i="1"/>
  <c r="D5341" i="1"/>
  <c r="A5341" i="1"/>
  <c r="D5340" i="1"/>
  <c r="A5340" i="1"/>
  <c r="D5339" i="1"/>
  <c r="A5339" i="1"/>
  <c r="D5338" i="1"/>
  <c r="A5338" i="1"/>
  <c r="D5337" i="1"/>
  <c r="A5337" i="1"/>
  <c r="D5336" i="1"/>
  <c r="A5336" i="1"/>
  <c r="D5335" i="1"/>
  <c r="A5335" i="1"/>
  <c r="D5334" i="1"/>
  <c r="A5334" i="1"/>
  <c r="D5333" i="1"/>
  <c r="A5333" i="1"/>
  <c r="D5332" i="1"/>
  <c r="A5332" i="1"/>
  <c r="D5331" i="1"/>
  <c r="A5331" i="1"/>
  <c r="D5330" i="1"/>
  <c r="A5330" i="1"/>
  <c r="D5329" i="1"/>
  <c r="A5329" i="1"/>
  <c r="D5328" i="1"/>
  <c r="A5328" i="1"/>
  <c r="D5327" i="1"/>
  <c r="A5327" i="1"/>
  <c r="D5326" i="1"/>
  <c r="A5326" i="1"/>
  <c r="D5325" i="1"/>
  <c r="A5325" i="1"/>
  <c r="D5324" i="1"/>
  <c r="A5324" i="1"/>
  <c r="D5323" i="1"/>
  <c r="A5323" i="1"/>
  <c r="D5322" i="1"/>
  <c r="A5322" i="1"/>
  <c r="D5321" i="1"/>
  <c r="A5321" i="1"/>
  <c r="D5320" i="1"/>
  <c r="A5320" i="1"/>
  <c r="D5319" i="1"/>
  <c r="A5319" i="1"/>
  <c r="D5318" i="1"/>
  <c r="A5318" i="1"/>
  <c r="D5317" i="1"/>
  <c r="A5317" i="1"/>
  <c r="D5316" i="1"/>
  <c r="A5316" i="1"/>
  <c r="D5315" i="1"/>
  <c r="A5315" i="1"/>
  <c r="D5314" i="1"/>
  <c r="A5314" i="1"/>
  <c r="D5313" i="1"/>
  <c r="A5313" i="1"/>
  <c r="D5312" i="1"/>
  <c r="A5312" i="1"/>
  <c r="D5311" i="1"/>
  <c r="A5311" i="1"/>
  <c r="D5310" i="1"/>
  <c r="A5310" i="1"/>
  <c r="D5309" i="1"/>
  <c r="A5309" i="1"/>
  <c r="D5308" i="1"/>
  <c r="A5308" i="1"/>
  <c r="D5307" i="1"/>
  <c r="A5307" i="1"/>
  <c r="D5306" i="1"/>
  <c r="A5306" i="1"/>
  <c r="D5305" i="1"/>
  <c r="A5305" i="1"/>
  <c r="D5304" i="1"/>
  <c r="A5304" i="1"/>
  <c r="D5303" i="1"/>
  <c r="A5303" i="1"/>
  <c r="D5302" i="1"/>
  <c r="A5302" i="1"/>
  <c r="D5301" i="1"/>
  <c r="A5301" i="1"/>
  <c r="D5300" i="1"/>
  <c r="A5300" i="1"/>
  <c r="D5299" i="1"/>
  <c r="A5299" i="1"/>
  <c r="D5298" i="1"/>
  <c r="A5298" i="1"/>
  <c r="D5297" i="1"/>
  <c r="A5297" i="1"/>
  <c r="D5296" i="1"/>
  <c r="A5296" i="1"/>
  <c r="D5295" i="1"/>
  <c r="A5295" i="1"/>
  <c r="D5294" i="1"/>
  <c r="A5294" i="1"/>
  <c r="D5293" i="1"/>
  <c r="A5293" i="1"/>
  <c r="D5292" i="1"/>
  <c r="A5292" i="1"/>
  <c r="D5291" i="1"/>
  <c r="A5291" i="1"/>
  <c r="D5290" i="1"/>
  <c r="A5290" i="1"/>
  <c r="D5289" i="1"/>
  <c r="A5289" i="1"/>
  <c r="D5288" i="1"/>
  <c r="A5288" i="1"/>
  <c r="D5287" i="1"/>
  <c r="A5287" i="1"/>
  <c r="D5286" i="1"/>
  <c r="A5286" i="1"/>
  <c r="D5285" i="1"/>
  <c r="A5285" i="1"/>
  <c r="D5284" i="1"/>
  <c r="A5284" i="1"/>
  <c r="D5283" i="1"/>
  <c r="A5283" i="1"/>
  <c r="D5282" i="1"/>
  <c r="A5282" i="1"/>
  <c r="D5281" i="1"/>
  <c r="A5281" i="1"/>
  <c r="D5280" i="1"/>
  <c r="A5280" i="1"/>
  <c r="D5279" i="1"/>
  <c r="A5279" i="1"/>
  <c r="D5278" i="1"/>
  <c r="A5278" i="1"/>
  <c r="D5277" i="1"/>
  <c r="A5277" i="1"/>
  <c r="D5276" i="1"/>
  <c r="A5276" i="1"/>
  <c r="D5275" i="1"/>
  <c r="A5275" i="1"/>
  <c r="D5274" i="1"/>
  <c r="A5274" i="1"/>
  <c r="D5273" i="1"/>
  <c r="A5273" i="1"/>
  <c r="D5272" i="1"/>
  <c r="A5272" i="1"/>
  <c r="D5271" i="1"/>
  <c r="A5271" i="1"/>
  <c r="D5270" i="1"/>
  <c r="A5270" i="1"/>
  <c r="D5269" i="1"/>
  <c r="A5269" i="1"/>
  <c r="D5268" i="1"/>
  <c r="A5268" i="1"/>
  <c r="D5267" i="1"/>
  <c r="A5267" i="1"/>
  <c r="D5266" i="1"/>
  <c r="A5266" i="1"/>
  <c r="D5265" i="1"/>
  <c r="A5265" i="1"/>
  <c r="D5264" i="1"/>
  <c r="A5264" i="1"/>
  <c r="D5263" i="1"/>
  <c r="A5263" i="1"/>
  <c r="D5262" i="1"/>
  <c r="A5262" i="1"/>
  <c r="D5261" i="1"/>
  <c r="A5261" i="1"/>
  <c r="D5260" i="1"/>
  <c r="A5260" i="1"/>
  <c r="D5259" i="1"/>
  <c r="A5259" i="1"/>
  <c r="D5258" i="1"/>
  <c r="A5258" i="1"/>
  <c r="D5257" i="1"/>
  <c r="A5257" i="1"/>
  <c r="D5256" i="1"/>
  <c r="A5256" i="1"/>
  <c r="D5255" i="1"/>
  <c r="A5255" i="1"/>
  <c r="D5254" i="1"/>
  <c r="A5254" i="1"/>
  <c r="D5253" i="1"/>
  <c r="A5253" i="1"/>
  <c r="D5252" i="1"/>
  <c r="A5252" i="1"/>
  <c r="D5251" i="1"/>
  <c r="A5251" i="1"/>
  <c r="D5250" i="1"/>
  <c r="A5250" i="1"/>
  <c r="D5249" i="1"/>
  <c r="A5249" i="1"/>
  <c r="D5248" i="1"/>
  <c r="A5248" i="1"/>
  <c r="D5247" i="1"/>
  <c r="A5247" i="1"/>
  <c r="D5246" i="1"/>
  <c r="A5246" i="1"/>
  <c r="D5245" i="1"/>
  <c r="A5245" i="1"/>
  <c r="D5244" i="1"/>
  <c r="A5244" i="1"/>
  <c r="D5243" i="1"/>
  <c r="A5243" i="1"/>
  <c r="D5242" i="1"/>
  <c r="A5242" i="1"/>
  <c r="D5241" i="1"/>
  <c r="A5241" i="1"/>
  <c r="D5240" i="1"/>
  <c r="A5240" i="1"/>
  <c r="D5239" i="1"/>
  <c r="A5239" i="1"/>
  <c r="D5238" i="1"/>
  <c r="A5238" i="1"/>
  <c r="D5237" i="1"/>
  <c r="A5237" i="1"/>
  <c r="D5236" i="1"/>
  <c r="A5236" i="1"/>
  <c r="D5235" i="1"/>
  <c r="A5235" i="1"/>
  <c r="D5234" i="1"/>
  <c r="A5234" i="1"/>
  <c r="D5233" i="1"/>
  <c r="A5233" i="1"/>
  <c r="D5232" i="1"/>
  <c r="A5232" i="1"/>
  <c r="D5231" i="1"/>
  <c r="A5231" i="1"/>
  <c r="D5230" i="1"/>
  <c r="A5230" i="1"/>
  <c r="D5229" i="1"/>
  <c r="A5229" i="1"/>
  <c r="D5228" i="1"/>
  <c r="A5228" i="1"/>
  <c r="D5227" i="1"/>
  <c r="A5227" i="1"/>
  <c r="D5226" i="1"/>
  <c r="A5226" i="1"/>
  <c r="D5225" i="1"/>
  <c r="A5225" i="1"/>
  <c r="D5224" i="1"/>
  <c r="A5224" i="1"/>
  <c r="D5223" i="1"/>
  <c r="A5223" i="1"/>
  <c r="D5222" i="1"/>
  <c r="A5222" i="1"/>
  <c r="D5221" i="1"/>
  <c r="A5221" i="1"/>
  <c r="D5220" i="1"/>
  <c r="A5220" i="1"/>
  <c r="D5219" i="1"/>
  <c r="A5219" i="1"/>
  <c r="D5218" i="1"/>
  <c r="A5218" i="1"/>
  <c r="D5217" i="1"/>
  <c r="A5217" i="1"/>
  <c r="D5216" i="1"/>
  <c r="A5216" i="1"/>
  <c r="D5215" i="1"/>
  <c r="A5215" i="1"/>
  <c r="D5214" i="1"/>
  <c r="A5214" i="1"/>
  <c r="D5213" i="1"/>
  <c r="A5213" i="1"/>
  <c r="D5212" i="1"/>
  <c r="A5212" i="1"/>
  <c r="D5211" i="1"/>
  <c r="A5211" i="1"/>
  <c r="D5210" i="1"/>
  <c r="A5210" i="1"/>
  <c r="D5209" i="1"/>
  <c r="A5209" i="1"/>
  <c r="D5208" i="1"/>
  <c r="A5208" i="1"/>
  <c r="D5207" i="1"/>
  <c r="A5207" i="1"/>
  <c r="D5206" i="1"/>
  <c r="A5206" i="1"/>
  <c r="D5205" i="1"/>
  <c r="A5205" i="1"/>
  <c r="D5204" i="1"/>
  <c r="A5204" i="1"/>
  <c r="D5203" i="1"/>
  <c r="A5203" i="1"/>
  <c r="D5202" i="1"/>
  <c r="A5202" i="1"/>
  <c r="D5201" i="1"/>
  <c r="A5201" i="1"/>
  <c r="D5200" i="1"/>
  <c r="A5200" i="1"/>
  <c r="D5199" i="1"/>
  <c r="A5199" i="1"/>
  <c r="D5198" i="1"/>
  <c r="A5198" i="1"/>
  <c r="D5197" i="1"/>
  <c r="A5197" i="1"/>
  <c r="D5196" i="1"/>
  <c r="A5196" i="1"/>
  <c r="D5195" i="1"/>
  <c r="A5195" i="1"/>
  <c r="D5194" i="1"/>
  <c r="A5194" i="1"/>
  <c r="D5193" i="1"/>
  <c r="A5193" i="1"/>
  <c r="D5192" i="1"/>
  <c r="A5192" i="1"/>
  <c r="D5191" i="1"/>
  <c r="A5191" i="1"/>
  <c r="D5190" i="1"/>
  <c r="A5190" i="1"/>
  <c r="D5189" i="1"/>
  <c r="A5189" i="1"/>
  <c r="D5188" i="1"/>
  <c r="A5188" i="1"/>
  <c r="D5187" i="1"/>
  <c r="A5187" i="1"/>
  <c r="D5186" i="1"/>
  <c r="A5186" i="1"/>
  <c r="D5185" i="1"/>
  <c r="A5185" i="1"/>
  <c r="D5184" i="1"/>
  <c r="A5184" i="1"/>
  <c r="D5183" i="1"/>
  <c r="A5183" i="1"/>
  <c r="D5182" i="1"/>
  <c r="A5182" i="1"/>
  <c r="D5181" i="1"/>
  <c r="A5181" i="1"/>
  <c r="D5180" i="1"/>
  <c r="A5180" i="1"/>
  <c r="D5179" i="1"/>
  <c r="A5179" i="1"/>
  <c r="D5178" i="1"/>
  <c r="A5178" i="1"/>
  <c r="D5177" i="1"/>
  <c r="A5177" i="1"/>
  <c r="D5176" i="1"/>
  <c r="A5176" i="1"/>
  <c r="D5175" i="1"/>
  <c r="A5175" i="1"/>
  <c r="D5174" i="1"/>
  <c r="A5174" i="1"/>
  <c r="D5173" i="1"/>
  <c r="A5173" i="1"/>
  <c r="D5172" i="1"/>
  <c r="A5172" i="1"/>
  <c r="D5171" i="1"/>
  <c r="A5171" i="1"/>
  <c r="D5170" i="1"/>
  <c r="A5170" i="1"/>
  <c r="D5169" i="1"/>
  <c r="A5169" i="1"/>
  <c r="D5168" i="1"/>
  <c r="A5168" i="1"/>
  <c r="D5167" i="1"/>
  <c r="A5167" i="1"/>
  <c r="D5166" i="1"/>
  <c r="A5166" i="1"/>
  <c r="D5165" i="1"/>
  <c r="A5165" i="1"/>
  <c r="D5164" i="1"/>
  <c r="A5164" i="1"/>
  <c r="D5163" i="1"/>
  <c r="A5163" i="1"/>
  <c r="D5162" i="1"/>
  <c r="A5162" i="1"/>
  <c r="D5161" i="1"/>
  <c r="A5161" i="1"/>
  <c r="D5160" i="1"/>
  <c r="A5160" i="1"/>
  <c r="D5159" i="1"/>
  <c r="A5159" i="1"/>
  <c r="D5158" i="1"/>
  <c r="A5158" i="1"/>
  <c r="D5157" i="1"/>
  <c r="A5157" i="1"/>
  <c r="D5156" i="1"/>
  <c r="A5156" i="1"/>
  <c r="D5155" i="1"/>
  <c r="A5155" i="1"/>
  <c r="D5154" i="1"/>
  <c r="A5154" i="1"/>
  <c r="D5153" i="1"/>
  <c r="A5153" i="1"/>
  <c r="D5152" i="1"/>
  <c r="A5152" i="1"/>
  <c r="D5151" i="1"/>
  <c r="A5151" i="1"/>
  <c r="D5150" i="1"/>
  <c r="A5150" i="1"/>
  <c r="D5149" i="1"/>
  <c r="A5149" i="1"/>
  <c r="D5148" i="1"/>
  <c r="A5148" i="1"/>
  <c r="D5147" i="1"/>
  <c r="A5147" i="1"/>
  <c r="D5146" i="1"/>
  <c r="A5146" i="1"/>
  <c r="D5145" i="1"/>
  <c r="A5145" i="1"/>
  <c r="D5144" i="1"/>
  <c r="A5144" i="1"/>
  <c r="D5143" i="1"/>
  <c r="A5143" i="1"/>
  <c r="D5142" i="1"/>
  <c r="A5142" i="1"/>
  <c r="D5141" i="1"/>
  <c r="A5141" i="1"/>
  <c r="D5140" i="1"/>
  <c r="A5140" i="1"/>
  <c r="D5139" i="1"/>
  <c r="A5139" i="1"/>
  <c r="D5138" i="1"/>
  <c r="A5138" i="1"/>
  <c r="D5137" i="1"/>
  <c r="A5137" i="1"/>
  <c r="D5136" i="1"/>
  <c r="A5136" i="1"/>
  <c r="D5135" i="1"/>
  <c r="A5135" i="1"/>
  <c r="D5134" i="1"/>
  <c r="A5134" i="1"/>
  <c r="D5133" i="1"/>
  <c r="A5133" i="1"/>
  <c r="D5132" i="1"/>
  <c r="A5132" i="1"/>
  <c r="D5131" i="1"/>
  <c r="A5131" i="1"/>
  <c r="D5130" i="1"/>
  <c r="A5130" i="1"/>
  <c r="D5129" i="1"/>
  <c r="A5129" i="1"/>
  <c r="D5128" i="1"/>
  <c r="A5128" i="1"/>
  <c r="D5127" i="1"/>
  <c r="A5127" i="1"/>
  <c r="D5126" i="1"/>
  <c r="A5126" i="1"/>
  <c r="D5125" i="1"/>
  <c r="A5125" i="1"/>
  <c r="D5124" i="1"/>
  <c r="A5124" i="1"/>
  <c r="D5123" i="1"/>
  <c r="A5123" i="1"/>
  <c r="D5122" i="1"/>
  <c r="A5122" i="1"/>
  <c r="D5121" i="1"/>
  <c r="A5121" i="1"/>
  <c r="D5120" i="1"/>
  <c r="A5120" i="1"/>
  <c r="D5119" i="1"/>
  <c r="A5119" i="1"/>
  <c r="D5118" i="1"/>
  <c r="A5118" i="1"/>
  <c r="D5117" i="1"/>
  <c r="A5117" i="1"/>
  <c r="D5116" i="1"/>
  <c r="A5116" i="1"/>
  <c r="D5115" i="1"/>
  <c r="A5115" i="1"/>
  <c r="D5114" i="1"/>
  <c r="A5114" i="1"/>
  <c r="D5113" i="1"/>
  <c r="A5113" i="1"/>
  <c r="D5112" i="1"/>
  <c r="A5112" i="1"/>
  <c r="D5111" i="1"/>
  <c r="A5111" i="1"/>
  <c r="D5110" i="1"/>
  <c r="A5110" i="1"/>
  <c r="D5109" i="1"/>
  <c r="A5109" i="1"/>
  <c r="D5108" i="1"/>
  <c r="A5108" i="1"/>
  <c r="D5107" i="1"/>
  <c r="A5107" i="1"/>
  <c r="D5106" i="1"/>
  <c r="A5106" i="1"/>
  <c r="D5105" i="1"/>
  <c r="A5105" i="1"/>
  <c r="D5104" i="1"/>
  <c r="A5104" i="1"/>
  <c r="D5103" i="1"/>
  <c r="A5103" i="1"/>
  <c r="D5102" i="1"/>
  <c r="A5102" i="1"/>
  <c r="D5101" i="1"/>
  <c r="A5101" i="1"/>
  <c r="D5100" i="1"/>
  <c r="A5100" i="1"/>
  <c r="D5099" i="1"/>
  <c r="A5099" i="1"/>
  <c r="D5098" i="1"/>
  <c r="A5098" i="1"/>
  <c r="D5097" i="1"/>
  <c r="A5097" i="1"/>
  <c r="D5096" i="1"/>
  <c r="A5096" i="1"/>
  <c r="D5095" i="1"/>
  <c r="A5095" i="1"/>
  <c r="D5094" i="1"/>
  <c r="A5094" i="1"/>
  <c r="D5093" i="1"/>
  <c r="A5093" i="1"/>
  <c r="D5092" i="1"/>
  <c r="A5092" i="1"/>
  <c r="D5091" i="1"/>
  <c r="A5091" i="1"/>
  <c r="D5090" i="1"/>
  <c r="A5090" i="1"/>
  <c r="D5089" i="1"/>
  <c r="A5089" i="1"/>
  <c r="D5088" i="1"/>
  <c r="A5088" i="1"/>
  <c r="D5087" i="1"/>
  <c r="A5087" i="1"/>
  <c r="D5086" i="1"/>
  <c r="A5086" i="1"/>
  <c r="D5085" i="1"/>
  <c r="A5085" i="1"/>
  <c r="D5084" i="1"/>
  <c r="A5084" i="1"/>
  <c r="D5083" i="1"/>
  <c r="A5083" i="1"/>
  <c r="D5082" i="1"/>
  <c r="A5082" i="1"/>
  <c r="D5081" i="1"/>
  <c r="A5081" i="1"/>
  <c r="D5080" i="1"/>
  <c r="A5080" i="1"/>
  <c r="D5079" i="1"/>
  <c r="A5079" i="1"/>
  <c r="D5078" i="1"/>
  <c r="A5078" i="1"/>
  <c r="D5077" i="1"/>
  <c r="A5077" i="1"/>
  <c r="D5076" i="1"/>
  <c r="A5076" i="1"/>
  <c r="D5075" i="1"/>
  <c r="A5075" i="1"/>
  <c r="D5074" i="1"/>
  <c r="A5074" i="1"/>
  <c r="D5073" i="1"/>
  <c r="A5073" i="1"/>
  <c r="D5072" i="1"/>
  <c r="A5072" i="1"/>
  <c r="D5071" i="1"/>
  <c r="A5071" i="1"/>
  <c r="D5070" i="1"/>
  <c r="A5070" i="1"/>
  <c r="D5069" i="1"/>
  <c r="A5069" i="1"/>
  <c r="D5068" i="1"/>
  <c r="A5068" i="1"/>
  <c r="D5067" i="1"/>
  <c r="A5067" i="1"/>
  <c r="D5066" i="1"/>
  <c r="A5066" i="1"/>
  <c r="D5065" i="1"/>
  <c r="A5065" i="1"/>
  <c r="D5064" i="1"/>
  <c r="A5064" i="1"/>
  <c r="D5063" i="1"/>
  <c r="A5063" i="1"/>
  <c r="D5062" i="1"/>
  <c r="A5062" i="1"/>
  <c r="D5061" i="1"/>
  <c r="A5061" i="1"/>
  <c r="D5060" i="1"/>
  <c r="A5060" i="1"/>
  <c r="D5059" i="1"/>
  <c r="A5059" i="1"/>
  <c r="D5058" i="1"/>
  <c r="A5058" i="1"/>
  <c r="D5057" i="1"/>
  <c r="A5057" i="1"/>
  <c r="D5056" i="1"/>
  <c r="A5056" i="1"/>
  <c r="D5055" i="1"/>
  <c r="A5055" i="1"/>
  <c r="D5054" i="1"/>
  <c r="A5054" i="1"/>
  <c r="D5053" i="1"/>
  <c r="A5053" i="1"/>
  <c r="D5052" i="1"/>
  <c r="A5052" i="1"/>
  <c r="D5051" i="1"/>
  <c r="A5051" i="1"/>
  <c r="D5050" i="1"/>
  <c r="A5050" i="1"/>
  <c r="D5049" i="1"/>
  <c r="A5049" i="1"/>
  <c r="D5048" i="1"/>
  <c r="A5048" i="1"/>
  <c r="D5047" i="1"/>
  <c r="A5047" i="1"/>
  <c r="D5046" i="1"/>
  <c r="A5046" i="1"/>
  <c r="D5045" i="1"/>
  <c r="A5045" i="1"/>
  <c r="D5044" i="1"/>
  <c r="A5044" i="1"/>
  <c r="D5043" i="1"/>
  <c r="A5043" i="1"/>
  <c r="D5042" i="1"/>
  <c r="A5042" i="1"/>
  <c r="D5041" i="1"/>
  <c r="A5041" i="1"/>
  <c r="D5040" i="1"/>
  <c r="A5040" i="1"/>
  <c r="D5039" i="1"/>
  <c r="A5039" i="1"/>
  <c r="D5038" i="1"/>
  <c r="A5038" i="1"/>
  <c r="D5037" i="1"/>
  <c r="A5037" i="1"/>
  <c r="D5036" i="1"/>
  <c r="A5036" i="1"/>
  <c r="D5035" i="1"/>
  <c r="A5035" i="1"/>
  <c r="D5034" i="1"/>
  <c r="A5034" i="1"/>
  <c r="D5033" i="1"/>
  <c r="A5033" i="1"/>
  <c r="D5032" i="1"/>
  <c r="A5032" i="1"/>
  <c r="D5031" i="1"/>
  <c r="A5031" i="1"/>
  <c r="D5030" i="1"/>
  <c r="A5030" i="1"/>
  <c r="D5029" i="1"/>
  <c r="A5029" i="1"/>
  <c r="D5028" i="1"/>
  <c r="A5028" i="1"/>
  <c r="D5027" i="1"/>
  <c r="A5027" i="1"/>
  <c r="D5026" i="1"/>
  <c r="A5026" i="1"/>
  <c r="D5025" i="1"/>
  <c r="A5025" i="1"/>
  <c r="D5024" i="1"/>
  <c r="A5024" i="1"/>
  <c r="D5023" i="1"/>
  <c r="A5023" i="1"/>
  <c r="D5022" i="1"/>
  <c r="A5022" i="1"/>
  <c r="D5021" i="1"/>
  <c r="A5021" i="1"/>
  <c r="D5020" i="1"/>
  <c r="A5020" i="1"/>
  <c r="D5019" i="1"/>
  <c r="A5019" i="1"/>
  <c r="D5018" i="1"/>
  <c r="A5018" i="1"/>
  <c r="D5017" i="1"/>
  <c r="A5017" i="1"/>
  <c r="D5016" i="1"/>
  <c r="A5016" i="1"/>
  <c r="D5015" i="1"/>
  <c r="A5015" i="1"/>
  <c r="D5014" i="1"/>
  <c r="A5014" i="1"/>
  <c r="D5013" i="1"/>
  <c r="A5013" i="1"/>
  <c r="D5012" i="1"/>
  <c r="A5012" i="1"/>
  <c r="D5011" i="1"/>
  <c r="A5011" i="1"/>
  <c r="D5010" i="1"/>
  <c r="A5010" i="1"/>
  <c r="D5009" i="1"/>
  <c r="A5009" i="1"/>
  <c r="D5008" i="1"/>
  <c r="A5008" i="1"/>
  <c r="D5007" i="1"/>
  <c r="A5007" i="1"/>
  <c r="D5006" i="1"/>
  <c r="A5006" i="1"/>
  <c r="D5005" i="1"/>
  <c r="A5005" i="1"/>
  <c r="D5004" i="1"/>
  <c r="A5004" i="1"/>
  <c r="D5003" i="1"/>
  <c r="A5003" i="1"/>
  <c r="D5002" i="1"/>
  <c r="A5002" i="1"/>
  <c r="D5001" i="1"/>
  <c r="A5001" i="1"/>
  <c r="D5000" i="1"/>
  <c r="A5000" i="1"/>
  <c r="D4999" i="1"/>
  <c r="A4999" i="1"/>
  <c r="D4998" i="1"/>
  <c r="A4998" i="1"/>
  <c r="D4997" i="1"/>
  <c r="A4997" i="1"/>
  <c r="D4996" i="1"/>
  <c r="A4996" i="1"/>
  <c r="D4995" i="1"/>
  <c r="A4995" i="1"/>
  <c r="D4994" i="1"/>
  <c r="A4994" i="1"/>
  <c r="D4993" i="1"/>
  <c r="A4993" i="1"/>
  <c r="D4992" i="1"/>
  <c r="A4992" i="1"/>
  <c r="D4991" i="1"/>
  <c r="A4991" i="1"/>
  <c r="D4990" i="1"/>
  <c r="A4990" i="1"/>
  <c r="D4989" i="1"/>
  <c r="A4989" i="1"/>
  <c r="D4988" i="1"/>
  <c r="A4988" i="1"/>
  <c r="D4987" i="1"/>
  <c r="A4987" i="1"/>
  <c r="D4986" i="1"/>
  <c r="A4986" i="1"/>
  <c r="D4985" i="1"/>
  <c r="A4985" i="1"/>
  <c r="D4984" i="1"/>
  <c r="A4984" i="1"/>
  <c r="D4983" i="1"/>
  <c r="A4983" i="1"/>
  <c r="D4982" i="1"/>
  <c r="A4982" i="1"/>
  <c r="D4981" i="1"/>
  <c r="A4981" i="1"/>
  <c r="D4980" i="1"/>
  <c r="A4980" i="1"/>
  <c r="D4979" i="1"/>
  <c r="A4979" i="1"/>
  <c r="D4978" i="1"/>
  <c r="A4978" i="1"/>
  <c r="D4977" i="1"/>
  <c r="A4977" i="1"/>
  <c r="D4976" i="1"/>
  <c r="A4976" i="1"/>
  <c r="D4975" i="1"/>
  <c r="A4975" i="1"/>
  <c r="D4974" i="1"/>
  <c r="A4974" i="1"/>
  <c r="D4973" i="1"/>
  <c r="A4973" i="1"/>
  <c r="D4972" i="1"/>
  <c r="A4972" i="1"/>
  <c r="D4971" i="1"/>
  <c r="A4971" i="1"/>
  <c r="D4970" i="1"/>
  <c r="A4970" i="1"/>
  <c r="D4969" i="1"/>
  <c r="A4969" i="1"/>
  <c r="D4968" i="1"/>
  <c r="A4968" i="1"/>
  <c r="D4967" i="1"/>
  <c r="A4967" i="1"/>
  <c r="D4966" i="1"/>
  <c r="A4966" i="1"/>
  <c r="D4965" i="1"/>
  <c r="A4965" i="1"/>
  <c r="D4964" i="1"/>
  <c r="A4964" i="1"/>
  <c r="D4963" i="1"/>
  <c r="A4963" i="1"/>
  <c r="D4962" i="1"/>
  <c r="A4962" i="1"/>
  <c r="D4961" i="1"/>
  <c r="A4961" i="1"/>
  <c r="D4960" i="1"/>
  <c r="A4960" i="1"/>
  <c r="D4959" i="1"/>
  <c r="A4959" i="1"/>
  <c r="D4958" i="1"/>
  <c r="A4958" i="1"/>
  <c r="D4957" i="1"/>
  <c r="A4957" i="1"/>
  <c r="D4956" i="1"/>
  <c r="A4956" i="1"/>
  <c r="D4955" i="1"/>
  <c r="A4955" i="1"/>
  <c r="D4954" i="1"/>
  <c r="A4954" i="1"/>
  <c r="D4953" i="1"/>
  <c r="A4953" i="1"/>
  <c r="D4952" i="1"/>
  <c r="A4952" i="1"/>
  <c r="D4951" i="1"/>
  <c r="A4951" i="1"/>
  <c r="D4950" i="1"/>
  <c r="A4950" i="1"/>
  <c r="D4949" i="1"/>
  <c r="A4949" i="1"/>
  <c r="D4948" i="1"/>
  <c r="A4948" i="1"/>
  <c r="D4947" i="1"/>
  <c r="A4947" i="1"/>
  <c r="D4946" i="1"/>
  <c r="A4946" i="1"/>
  <c r="D4945" i="1"/>
  <c r="A4945" i="1"/>
  <c r="D4944" i="1"/>
  <c r="A4944" i="1"/>
  <c r="D4943" i="1"/>
  <c r="A4943" i="1"/>
  <c r="D4942" i="1"/>
  <c r="A4942" i="1"/>
  <c r="D4941" i="1"/>
  <c r="A4941" i="1"/>
  <c r="D4940" i="1"/>
  <c r="A4940" i="1"/>
  <c r="D4939" i="1"/>
  <c r="A4939" i="1"/>
  <c r="D4938" i="1"/>
  <c r="A4938" i="1"/>
  <c r="D4937" i="1"/>
  <c r="A4937" i="1"/>
  <c r="D4936" i="1"/>
  <c r="A4936" i="1"/>
  <c r="D4935" i="1"/>
  <c r="A4935" i="1"/>
  <c r="D4934" i="1"/>
  <c r="A4934" i="1"/>
  <c r="D4933" i="1"/>
  <c r="A4933" i="1"/>
  <c r="D4932" i="1"/>
  <c r="A4932" i="1"/>
  <c r="D4931" i="1"/>
  <c r="A4931" i="1"/>
  <c r="D4930" i="1"/>
  <c r="A4930" i="1"/>
  <c r="D4929" i="1"/>
  <c r="A4929" i="1"/>
  <c r="D4928" i="1"/>
  <c r="A4928" i="1"/>
  <c r="D4927" i="1"/>
  <c r="A4927" i="1"/>
  <c r="D4926" i="1"/>
  <c r="A4926" i="1"/>
  <c r="D4925" i="1"/>
  <c r="A4925" i="1"/>
  <c r="D4924" i="1"/>
  <c r="A4924" i="1"/>
  <c r="D4923" i="1"/>
  <c r="A4923" i="1"/>
  <c r="D4922" i="1"/>
  <c r="A4922" i="1"/>
  <c r="D4921" i="1"/>
  <c r="A4921" i="1"/>
  <c r="D4920" i="1"/>
  <c r="A4920" i="1"/>
  <c r="D4919" i="1"/>
  <c r="A4919" i="1"/>
  <c r="D4918" i="1"/>
  <c r="A4918" i="1"/>
  <c r="D4917" i="1"/>
  <c r="A4917" i="1"/>
  <c r="D4916" i="1"/>
  <c r="A4916" i="1"/>
  <c r="D4915" i="1"/>
  <c r="A4915" i="1"/>
  <c r="D4914" i="1"/>
  <c r="A4914" i="1"/>
  <c r="D4913" i="1"/>
  <c r="A4913" i="1"/>
  <c r="D4912" i="1"/>
  <c r="A4912" i="1"/>
  <c r="D4911" i="1"/>
  <c r="A4911" i="1"/>
  <c r="D4910" i="1"/>
  <c r="A4910" i="1"/>
  <c r="D4909" i="1"/>
  <c r="A4909" i="1"/>
  <c r="D4908" i="1"/>
  <c r="A4908" i="1"/>
  <c r="D4907" i="1"/>
  <c r="A4907" i="1"/>
  <c r="D4906" i="1"/>
  <c r="A4906" i="1"/>
  <c r="D4905" i="1"/>
  <c r="A4905" i="1"/>
  <c r="D4904" i="1"/>
  <c r="A4904" i="1"/>
  <c r="D4903" i="1"/>
  <c r="A4903" i="1"/>
  <c r="D4902" i="1"/>
  <c r="A4902" i="1"/>
  <c r="D4901" i="1"/>
  <c r="A4901" i="1"/>
  <c r="D4900" i="1"/>
  <c r="A4900" i="1"/>
  <c r="D4899" i="1"/>
  <c r="A4899" i="1"/>
  <c r="D4898" i="1"/>
  <c r="A4898" i="1"/>
  <c r="D4897" i="1"/>
  <c r="A4897" i="1"/>
  <c r="D4896" i="1"/>
  <c r="A4896" i="1"/>
  <c r="D4895" i="1"/>
  <c r="A4895" i="1"/>
  <c r="D4894" i="1"/>
  <c r="A4894" i="1"/>
  <c r="D4893" i="1"/>
  <c r="A4893" i="1"/>
  <c r="D4892" i="1"/>
  <c r="A4892" i="1"/>
  <c r="D4891" i="1"/>
  <c r="A4891" i="1"/>
  <c r="D4890" i="1"/>
  <c r="A4890" i="1"/>
  <c r="D4889" i="1"/>
  <c r="A4889" i="1"/>
  <c r="D4888" i="1"/>
  <c r="A4888" i="1"/>
  <c r="D4887" i="1"/>
  <c r="A4887" i="1"/>
  <c r="D4886" i="1"/>
  <c r="A4886" i="1"/>
  <c r="D4885" i="1"/>
  <c r="A4885" i="1"/>
  <c r="D4884" i="1"/>
  <c r="A4884" i="1"/>
  <c r="D4883" i="1"/>
  <c r="A4883" i="1"/>
  <c r="D4882" i="1"/>
  <c r="A4882" i="1"/>
  <c r="D4881" i="1"/>
  <c r="A4881" i="1"/>
  <c r="D4880" i="1"/>
  <c r="A4880" i="1"/>
  <c r="D4879" i="1"/>
  <c r="A4879" i="1"/>
  <c r="D4878" i="1"/>
  <c r="A4878" i="1"/>
  <c r="D4877" i="1"/>
  <c r="A4877" i="1"/>
  <c r="D4876" i="1"/>
  <c r="A4876" i="1"/>
  <c r="D4875" i="1"/>
  <c r="A4875" i="1"/>
  <c r="D4874" i="1"/>
  <c r="A4874" i="1"/>
  <c r="D4873" i="1"/>
  <c r="A4873" i="1"/>
  <c r="D4872" i="1"/>
  <c r="A4872" i="1"/>
  <c r="D4871" i="1"/>
  <c r="A4871" i="1"/>
  <c r="D4870" i="1"/>
  <c r="A4870" i="1"/>
  <c r="D4869" i="1"/>
  <c r="A4869" i="1"/>
  <c r="D4868" i="1"/>
  <c r="A4868" i="1"/>
  <c r="D4867" i="1"/>
  <c r="A4867" i="1"/>
  <c r="D4866" i="1"/>
  <c r="A4866" i="1"/>
  <c r="D4865" i="1"/>
  <c r="A4865" i="1"/>
  <c r="D4864" i="1"/>
  <c r="A4864" i="1"/>
  <c r="D4863" i="1"/>
  <c r="A4863" i="1"/>
  <c r="D4862" i="1"/>
  <c r="A4862" i="1"/>
  <c r="D4861" i="1"/>
  <c r="A4861" i="1"/>
  <c r="D4860" i="1"/>
  <c r="A4860" i="1"/>
  <c r="D4859" i="1"/>
  <c r="A4859" i="1"/>
  <c r="D4858" i="1"/>
  <c r="A4858" i="1"/>
  <c r="D4857" i="1"/>
  <c r="A4857" i="1"/>
  <c r="D4856" i="1"/>
  <c r="A4856" i="1"/>
  <c r="D4855" i="1"/>
  <c r="A4855" i="1"/>
  <c r="D4854" i="1"/>
  <c r="A4854" i="1"/>
  <c r="D4853" i="1"/>
  <c r="A4853" i="1"/>
  <c r="D4852" i="1"/>
  <c r="A4852" i="1"/>
  <c r="D4851" i="1"/>
  <c r="A4851" i="1"/>
  <c r="D4850" i="1"/>
  <c r="A4850" i="1"/>
  <c r="D4849" i="1"/>
  <c r="A4849" i="1"/>
  <c r="D4848" i="1"/>
  <c r="A4848" i="1"/>
  <c r="D4847" i="1"/>
  <c r="A4847" i="1"/>
  <c r="D4846" i="1"/>
  <c r="A4846" i="1"/>
  <c r="D4845" i="1"/>
  <c r="A4845" i="1"/>
  <c r="D4844" i="1"/>
  <c r="A4844" i="1"/>
  <c r="D4843" i="1"/>
  <c r="A4843" i="1"/>
  <c r="D4842" i="1"/>
  <c r="A4842" i="1"/>
  <c r="D4841" i="1"/>
  <c r="A4841" i="1"/>
  <c r="D4840" i="1"/>
  <c r="A4840" i="1"/>
  <c r="D4839" i="1"/>
  <c r="A4839" i="1"/>
  <c r="D4838" i="1"/>
  <c r="A4838" i="1"/>
  <c r="D4837" i="1"/>
  <c r="A4837" i="1"/>
  <c r="D4836" i="1"/>
  <c r="A4836" i="1"/>
  <c r="D4835" i="1"/>
  <c r="A4835" i="1"/>
  <c r="D4834" i="1"/>
  <c r="A4834" i="1"/>
  <c r="D4833" i="1"/>
  <c r="A4833" i="1"/>
  <c r="D4832" i="1"/>
  <c r="A4832" i="1"/>
  <c r="D4831" i="1"/>
  <c r="A4831" i="1"/>
  <c r="D4830" i="1"/>
  <c r="A4830" i="1"/>
  <c r="D4829" i="1"/>
  <c r="A4829" i="1"/>
  <c r="D4828" i="1"/>
  <c r="A4828" i="1"/>
  <c r="D4827" i="1"/>
  <c r="A4827" i="1"/>
  <c r="D4826" i="1"/>
  <c r="A4826" i="1"/>
  <c r="D4825" i="1"/>
  <c r="A4825" i="1"/>
  <c r="D4824" i="1"/>
  <c r="A4824" i="1"/>
  <c r="D4823" i="1"/>
  <c r="A4823" i="1"/>
  <c r="D4822" i="1"/>
  <c r="A4822" i="1"/>
  <c r="D4821" i="1"/>
  <c r="A4821" i="1"/>
  <c r="D4820" i="1"/>
  <c r="A4820" i="1"/>
  <c r="D4819" i="1"/>
  <c r="A4819" i="1"/>
  <c r="D4818" i="1"/>
  <c r="A4818" i="1"/>
  <c r="D4817" i="1"/>
  <c r="A4817" i="1"/>
  <c r="D4816" i="1"/>
  <c r="A4816" i="1"/>
  <c r="D4815" i="1"/>
  <c r="A4815" i="1"/>
  <c r="D4814" i="1"/>
  <c r="A4814" i="1"/>
  <c r="D4813" i="1"/>
  <c r="A4813" i="1"/>
  <c r="D4812" i="1"/>
  <c r="A4812" i="1"/>
  <c r="D4811" i="1"/>
  <c r="A4811" i="1"/>
  <c r="D4810" i="1"/>
  <c r="A4810" i="1"/>
  <c r="D4809" i="1"/>
  <c r="A4809" i="1"/>
  <c r="D4808" i="1"/>
  <c r="A4808" i="1"/>
  <c r="D4807" i="1"/>
  <c r="A4807" i="1"/>
  <c r="D4806" i="1"/>
  <c r="A4806" i="1"/>
  <c r="D4805" i="1"/>
  <c r="A4805" i="1"/>
  <c r="D4804" i="1"/>
  <c r="A4804" i="1"/>
  <c r="D4803" i="1"/>
  <c r="A4803" i="1"/>
  <c r="D4802" i="1"/>
  <c r="A4802" i="1"/>
  <c r="D4801" i="1"/>
  <c r="A4801" i="1"/>
  <c r="D4800" i="1"/>
  <c r="A4800" i="1"/>
  <c r="D4799" i="1"/>
  <c r="A4799" i="1"/>
  <c r="D4798" i="1"/>
  <c r="A4798" i="1"/>
  <c r="D4797" i="1"/>
  <c r="A4797" i="1"/>
  <c r="D4796" i="1"/>
  <c r="A4796" i="1"/>
  <c r="D4795" i="1"/>
  <c r="A4795" i="1"/>
  <c r="D4794" i="1"/>
  <c r="A4794" i="1"/>
  <c r="D4793" i="1"/>
  <c r="A4793" i="1"/>
  <c r="D4792" i="1"/>
  <c r="A4792" i="1"/>
  <c r="D4791" i="1"/>
  <c r="A4791" i="1"/>
  <c r="D4790" i="1"/>
  <c r="A4790" i="1"/>
  <c r="D4789" i="1"/>
  <c r="A4789" i="1"/>
  <c r="D4788" i="1"/>
  <c r="A4788" i="1"/>
  <c r="D4787" i="1"/>
  <c r="A4787" i="1"/>
  <c r="D4786" i="1"/>
  <c r="A4786" i="1"/>
  <c r="D4785" i="1"/>
  <c r="A4785" i="1"/>
  <c r="D4784" i="1"/>
  <c r="A4784" i="1"/>
  <c r="D4783" i="1"/>
  <c r="A4783" i="1"/>
  <c r="D4782" i="1"/>
  <c r="A4782" i="1"/>
  <c r="D4781" i="1"/>
  <c r="A4781" i="1"/>
  <c r="D4780" i="1"/>
  <c r="A4780" i="1"/>
  <c r="D4779" i="1"/>
  <c r="A4779" i="1"/>
  <c r="D4778" i="1"/>
  <c r="A4778" i="1"/>
  <c r="D4777" i="1"/>
  <c r="A4777" i="1"/>
  <c r="D4776" i="1"/>
  <c r="A4776" i="1"/>
  <c r="D4775" i="1"/>
  <c r="A4775" i="1"/>
  <c r="D4774" i="1"/>
  <c r="A4774" i="1"/>
  <c r="D4773" i="1"/>
  <c r="A4773" i="1"/>
  <c r="D4772" i="1"/>
  <c r="A4772" i="1"/>
  <c r="D4771" i="1"/>
  <c r="A4771" i="1"/>
  <c r="D4770" i="1"/>
  <c r="A4770" i="1"/>
  <c r="D4769" i="1"/>
  <c r="A4769" i="1"/>
  <c r="D4768" i="1"/>
  <c r="A4768" i="1"/>
  <c r="D4767" i="1"/>
  <c r="A4767" i="1"/>
  <c r="D4766" i="1"/>
  <c r="A4766" i="1"/>
  <c r="D4765" i="1"/>
  <c r="A4765" i="1"/>
  <c r="D4764" i="1"/>
  <c r="A4764" i="1"/>
  <c r="D4763" i="1"/>
  <c r="A4763" i="1"/>
  <c r="D4762" i="1"/>
  <c r="A4762" i="1"/>
  <c r="D4761" i="1"/>
  <c r="A4761" i="1"/>
  <c r="D4760" i="1"/>
  <c r="A4760" i="1"/>
  <c r="D4759" i="1"/>
  <c r="A4759" i="1"/>
  <c r="D4758" i="1"/>
  <c r="A4758" i="1"/>
  <c r="D4757" i="1"/>
  <c r="A4757" i="1"/>
  <c r="D4756" i="1"/>
  <c r="A4756" i="1"/>
  <c r="D4755" i="1"/>
  <c r="A4755" i="1"/>
  <c r="D4754" i="1"/>
  <c r="A4754" i="1"/>
  <c r="D4753" i="1"/>
  <c r="A4753" i="1"/>
  <c r="D4752" i="1"/>
  <c r="A4752" i="1"/>
  <c r="D4751" i="1"/>
  <c r="A4751" i="1"/>
  <c r="D4750" i="1"/>
  <c r="A4750" i="1"/>
  <c r="D4749" i="1"/>
  <c r="A4749" i="1"/>
  <c r="D4748" i="1"/>
  <c r="A4748" i="1"/>
  <c r="D4747" i="1"/>
  <c r="A4747" i="1"/>
  <c r="D4746" i="1"/>
  <c r="A4746" i="1"/>
  <c r="D4745" i="1"/>
  <c r="A4745" i="1"/>
  <c r="D4744" i="1"/>
  <c r="A4744" i="1"/>
  <c r="D4743" i="1"/>
  <c r="A4743" i="1"/>
  <c r="D4742" i="1"/>
  <c r="A4742" i="1"/>
  <c r="D4741" i="1"/>
  <c r="A4741" i="1"/>
  <c r="D4740" i="1"/>
  <c r="A4740" i="1"/>
  <c r="D4739" i="1"/>
  <c r="A4739" i="1"/>
  <c r="D4738" i="1"/>
  <c r="A4738" i="1"/>
  <c r="D4737" i="1"/>
  <c r="A4737" i="1"/>
  <c r="D4736" i="1"/>
  <c r="A4736" i="1"/>
  <c r="D4735" i="1"/>
  <c r="A4735" i="1"/>
  <c r="D4734" i="1"/>
  <c r="A4734" i="1"/>
  <c r="D4733" i="1"/>
  <c r="A4733" i="1"/>
  <c r="D4732" i="1"/>
  <c r="A4732" i="1"/>
  <c r="D4731" i="1"/>
  <c r="A4731" i="1"/>
  <c r="D4730" i="1"/>
  <c r="A4730" i="1"/>
  <c r="D4729" i="1"/>
  <c r="A4729" i="1"/>
  <c r="D4728" i="1"/>
  <c r="A4728" i="1"/>
  <c r="D4727" i="1"/>
  <c r="A4727" i="1"/>
  <c r="D4726" i="1"/>
  <c r="A4726" i="1"/>
  <c r="D4725" i="1"/>
  <c r="A4725" i="1"/>
  <c r="D4724" i="1"/>
  <c r="A4724" i="1"/>
  <c r="D4723" i="1"/>
  <c r="A4723" i="1"/>
  <c r="D4722" i="1"/>
  <c r="A4722" i="1"/>
  <c r="D4721" i="1"/>
  <c r="A4721" i="1"/>
  <c r="D4720" i="1"/>
  <c r="A4720" i="1"/>
  <c r="D4719" i="1"/>
  <c r="A4719" i="1"/>
  <c r="D4718" i="1"/>
  <c r="A4718" i="1"/>
  <c r="D4717" i="1"/>
  <c r="A4717" i="1"/>
  <c r="D4716" i="1"/>
  <c r="A4716" i="1"/>
  <c r="D4715" i="1"/>
  <c r="A4715" i="1"/>
  <c r="D4714" i="1"/>
  <c r="A4714" i="1"/>
  <c r="D4713" i="1"/>
  <c r="A4713" i="1"/>
  <c r="D4712" i="1"/>
  <c r="A4712" i="1"/>
  <c r="D4711" i="1"/>
  <c r="A4711" i="1"/>
  <c r="D4710" i="1"/>
  <c r="A4710" i="1"/>
  <c r="D4709" i="1"/>
  <c r="A4709" i="1"/>
  <c r="D4708" i="1"/>
  <c r="A4708" i="1"/>
  <c r="D4707" i="1"/>
  <c r="A4707" i="1"/>
  <c r="D4706" i="1"/>
  <c r="A4706" i="1"/>
  <c r="D4705" i="1"/>
  <c r="A4705" i="1"/>
  <c r="D4704" i="1"/>
  <c r="A4704" i="1"/>
  <c r="D4703" i="1"/>
  <c r="A4703" i="1"/>
  <c r="D4702" i="1"/>
  <c r="A4702" i="1"/>
  <c r="D4701" i="1"/>
  <c r="A4701" i="1"/>
  <c r="D4700" i="1"/>
  <c r="A4700" i="1"/>
  <c r="D4699" i="1"/>
  <c r="A4699" i="1"/>
  <c r="D4698" i="1"/>
  <c r="A4698" i="1"/>
  <c r="D4697" i="1"/>
  <c r="A4697" i="1"/>
  <c r="D4696" i="1"/>
  <c r="A4696" i="1"/>
  <c r="D4695" i="1"/>
  <c r="A4695" i="1"/>
  <c r="D4694" i="1"/>
  <c r="A4694" i="1"/>
  <c r="D4693" i="1"/>
  <c r="A4693" i="1"/>
  <c r="D4692" i="1"/>
  <c r="A4692" i="1"/>
  <c r="D4691" i="1"/>
  <c r="A4691" i="1"/>
  <c r="D4690" i="1"/>
  <c r="A4690" i="1"/>
  <c r="D4689" i="1"/>
  <c r="A4689" i="1"/>
  <c r="D4688" i="1"/>
  <c r="A4688" i="1"/>
  <c r="D4687" i="1"/>
  <c r="A4687" i="1"/>
  <c r="D4686" i="1"/>
  <c r="A4686" i="1"/>
  <c r="D4685" i="1"/>
  <c r="A4685" i="1"/>
  <c r="D4684" i="1"/>
  <c r="A4684" i="1"/>
  <c r="D4683" i="1"/>
  <c r="A4683" i="1"/>
  <c r="D4682" i="1"/>
  <c r="A4682" i="1"/>
  <c r="D4681" i="1"/>
  <c r="A4681" i="1"/>
  <c r="D4680" i="1"/>
  <c r="A4680" i="1"/>
  <c r="D4679" i="1"/>
  <c r="A4679" i="1"/>
  <c r="D4678" i="1"/>
  <c r="A4678" i="1"/>
  <c r="D4677" i="1"/>
  <c r="A4677" i="1"/>
  <c r="D4676" i="1"/>
  <c r="A4676" i="1"/>
  <c r="D4675" i="1"/>
  <c r="A4675" i="1"/>
  <c r="D4674" i="1"/>
  <c r="A4674" i="1"/>
  <c r="D4673" i="1"/>
  <c r="A4673" i="1"/>
  <c r="D4672" i="1"/>
  <c r="A4672" i="1"/>
  <c r="D4671" i="1"/>
  <c r="A4671" i="1"/>
  <c r="D4670" i="1"/>
  <c r="A4670" i="1"/>
  <c r="D4669" i="1"/>
  <c r="A4669" i="1"/>
  <c r="D4668" i="1"/>
  <c r="A4668" i="1"/>
  <c r="D4667" i="1"/>
  <c r="A4667" i="1"/>
  <c r="D4666" i="1"/>
  <c r="A4666" i="1"/>
  <c r="D4665" i="1"/>
  <c r="A4665" i="1"/>
  <c r="D4664" i="1"/>
  <c r="A4664" i="1"/>
  <c r="D4663" i="1"/>
  <c r="A4663" i="1"/>
  <c r="D4662" i="1"/>
  <c r="A4662" i="1"/>
  <c r="D4661" i="1"/>
  <c r="A4661" i="1"/>
  <c r="D4660" i="1"/>
  <c r="A4660" i="1"/>
  <c r="D4659" i="1"/>
  <c r="A4659" i="1"/>
  <c r="D4658" i="1"/>
  <c r="A4658" i="1"/>
  <c r="D4657" i="1"/>
  <c r="A4657" i="1"/>
  <c r="D4656" i="1"/>
  <c r="A4656" i="1"/>
  <c r="D4655" i="1"/>
  <c r="A4655" i="1"/>
  <c r="D4654" i="1"/>
  <c r="A4654" i="1"/>
  <c r="D4653" i="1"/>
  <c r="A4653" i="1"/>
  <c r="D4652" i="1"/>
  <c r="A4652" i="1"/>
  <c r="D4651" i="1"/>
  <c r="A4651" i="1"/>
  <c r="D4650" i="1"/>
  <c r="A4650" i="1"/>
  <c r="D4649" i="1"/>
  <c r="A4649" i="1"/>
  <c r="D4648" i="1"/>
  <c r="A4648" i="1"/>
  <c r="D4647" i="1"/>
  <c r="A4647" i="1"/>
  <c r="D4646" i="1"/>
  <c r="A4646" i="1"/>
  <c r="D4645" i="1"/>
  <c r="A4645" i="1"/>
  <c r="D4644" i="1"/>
  <c r="A4644" i="1"/>
  <c r="D4643" i="1"/>
  <c r="A4643" i="1"/>
  <c r="D4642" i="1"/>
  <c r="A4642" i="1"/>
  <c r="D4641" i="1"/>
  <c r="A4641" i="1"/>
  <c r="D4640" i="1"/>
  <c r="A4640" i="1"/>
  <c r="D4639" i="1"/>
  <c r="A4639" i="1"/>
  <c r="D4638" i="1"/>
  <c r="A4638" i="1"/>
  <c r="D4637" i="1"/>
  <c r="A4637" i="1"/>
  <c r="D4636" i="1"/>
  <c r="A4636" i="1"/>
  <c r="D4635" i="1"/>
  <c r="A4635" i="1"/>
  <c r="D4634" i="1"/>
  <c r="A4634" i="1"/>
  <c r="D4633" i="1"/>
  <c r="A4633" i="1"/>
  <c r="D4632" i="1"/>
  <c r="A4632" i="1"/>
  <c r="D4631" i="1"/>
  <c r="A4631" i="1"/>
  <c r="D4630" i="1"/>
  <c r="A4630" i="1"/>
  <c r="D4629" i="1"/>
  <c r="A4629" i="1"/>
  <c r="D4628" i="1"/>
  <c r="A4628" i="1"/>
  <c r="D4627" i="1"/>
  <c r="A4627" i="1"/>
  <c r="D4626" i="1"/>
  <c r="A4626" i="1"/>
  <c r="D4625" i="1"/>
  <c r="A4625" i="1"/>
  <c r="D4624" i="1"/>
  <c r="A4624" i="1"/>
  <c r="D4623" i="1"/>
  <c r="A4623" i="1"/>
  <c r="D4622" i="1"/>
  <c r="A4622" i="1"/>
  <c r="D4621" i="1"/>
  <c r="A4621" i="1"/>
  <c r="D4620" i="1"/>
  <c r="A4620" i="1"/>
  <c r="D4619" i="1"/>
  <c r="A4619" i="1"/>
  <c r="D4618" i="1"/>
  <c r="A4618" i="1"/>
  <c r="D4617" i="1"/>
  <c r="A4617" i="1"/>
  <c r="D4616" i="1"/>
  <c r="A4616" i="1"/>
  <c r="D4615" i="1"/>
  <c r="A4615" i="1"/>
  <c r="D4614" i="1"/>
  <c r="A4614" i="1"/>
  <c r="D4613" i="1"/>
  <c r="A4613" i="1"/>
  <c r="D4612" i="1"/>
  <c r="A4612" i="1"/>
  <c r="D4611" i="1"/>
  <c r="A4611" i="1"/>
  <c r="D4610" i="1"/>
  <c r="A4610" i="1"/>
  <c r="D4609" i="1"/>
  <c r="A4609" i="1"/>
  <c r="D4608" i="1"/>
  <c r="A4608" i="1"/>
  <c r="D4607" i="1"/>
  <c r="A4607" i="1"/>
  <c r="D4606" i="1"/>
  <c r="A4606" i="1"/>
  <c r="D4605" i="1"/>
  <c r="A4605" i="1"/>
  <c r="D4604" i="1"/>
  <c r="A4604" i="1"/>
  <c r="D4603" i="1"/>
  <c r="A4603" i="1"/>
  <c r="D4602" i="1"/>
  <c r="A4602" i="1"/>
  <c r="D4601" i="1"/>
  <c r="A4601" i="1"/>
  <c r="D4600" i="1"/>
  <c r="A4600" i="1"/>
  <c r="D4599" i="1"/>
  <c r="A4599" i="1"/>
  <c r="D4598" i="1"/>
  <c r="A4598" i="1"/>
  <c r="D4597" i="1"/>
  <c r="A4597" i="1"/>
  <c r="D4596" i="1"/>
  <c r="A4596" i="1"/>
  <c r="D4595" i="1"/>
  <c r="A4595" i="1"/>
  <c r="D4594" i="1"/>
  <c r="A4594" i="1"/>
  <c r="D4593" i="1"/>
  <c r="A4593" i="1"/>
  <c r="D4592" i="1"/>
  <c r="A4592" i="1"/>
  <c r="D4591" i="1"/>
  <c r="A4591" i="1"/>
  <c r="D4590" i="1"/>
  <c r="A4590" i="1"/>
  <c r="D4589" i="1"/>
  <c r="A4589" i="1"/>
  <c r="D4588" i="1"/>
  <c r="A4588" i="1"/>
  <c r="D4587" i="1"/>
  <c r="A4587" i="1"/>
  <c r="D4586" i="1"/>
  <c r="A4586" i="1"/>
  <c r="D4585" i="1"/>
  <c r="A4585" i="1"/>
  <c r="D4584" i="1"/>
  <c r="A4584" i="1"/>
  <c r="D4583" i="1"/>
  <c r="A4583" i="1"/>
  <c r="D4582" i="1"/>
  <c r="A4582" i="1"/>
  <c r="D4581" i="1"/>
  <c r="A4581" i="1"/>
  <c r="D4580" i="1"/>
  <c r="A4580" i="1"/>
  <c r="D4579" i="1"/>
  <c r="A4579" i="1"/>
  <c r="D4578" i="1"/>
  <c r="A4578" i="1"/>
  <c r="D4577" i="1"/>
  <c r="A4577" i="1"/>
  <c r="D4576" i="1"/>
  <c r="A4576" i="1"/>
  <c r="D4575" i="1"/>
  <c r="A4575" i="1"/>
  <c r="D4574" i="1"/>
  <c r="A4574" i="1"/>
  <c r="D4573" i="1"/>
  <c r="A4573" i="1"/>
  <c r="D4572" i="1"/>
  <c r="A4572" i="1"/>
  <c r="D4571" i="1"/>
  <c r="A4571" i="1"/>
  <c r="D4570" i="1"/>
  <c r="A4570" i="1"/>
  <c r="D4569" i="1"/>
  <c r="A4569" i="1"/>
  <c r="D4568" i="1"/>
  <c r="A4568" i="1"/>
  <c r="D4567" i="1"/>
  <c r="A4567" i="1"/>
  <c r="D4566" i="1"/>
  <c r="A4566" i="1"/>
  <c r="D4565" i="1"/>
  <c r="A4565" i="1"/>
  <c r="D4564" i="1"/>
  <c r="A4564" i="1"/>
  <c r="D4563" i="1"/>
  <c r="A4563" i="1"/>
  <c r="D4562" i="1"/>
  <c r="A4562" i="1"/>
  <c r="D4561" i="1"/>
  <c r="A4561" i="1"/>
  <c r="D4560" i="1"/>
  <c r="A4560" i="1"/>
  <c r="D4559" i="1"/>
  <c r="A4559" i="1"/>
  <c r="D4558" i="1"/>
  <c r="A4558" i="1"/>
  <c r="D4557" i="1"/>
  <c r="A4557" i="1"/>
  <c r="D4556" i="1"/>
  <c r="A4556" i="1"/>
  <c r="D4555" i="1"/>
  <c r="A4555" i="1"/>
  <c r="D4554" i="1"/>
  <c r="A4554" i="1"/>
  <c r="D4553" i="1"/>
  <c r="A4553" i="1"/>
  <c r="D4552" i="1"/>
  <c r="A4552" i="1"/>
  <c r="D4551" i="1"/>
  <c r="A4551" i="1"/>
  <c r="D4550" i="1"/>
  <c r="A4550" i="1"/>
  <c r="D4549" i="1"/>
  <c r="A4549" i="1"/>
  <c r="D4548" i="1"/>
  <c r="A4548" i="1"/>
  <c r="D4547" i="1"/>
  <c r="A4547" i="1"/>
  <c r="D4546" i="1"/>
  <c r="A4546" i="1"/>
  <c r="D4545" i="1"/>
  <c r="A4545" i="1"/>
  <c r="D4544" i="1"/>
  <c r="A4544" i="1"/>
  <c r="D4543" i="1"/>
  <c r="A4543" i="1"/>
  <c r="D4542" i="1"/>
  <c r="A4542" i="1"/>
  <c r="D4541" i="1"/>
  <c r="A4541" i="1"/>
  <c r="D4540" i="1"/>
  <c r="A4540" i="1"/>
  <c r="D4539" i="1"/>
  <c r="A4539" i="1"/>
  <c r="D4538" i="1"/>
  <c r="A4538" i="1"/>
  <c r="D4537" i="1"/>
  <c r="A4537" i="1"/>
  <c r="D4536" i="1"/>
  <c r="A4536" i="1"/>
  <c r="D4535" i="1"/>
  <c r="A4535" i="1"/>
  <c r="D4534" i="1"/>
  <c r="A4534" i="1"/>
  <c r="D4533" i="1"/>
  <c r="A4533" i="1"/>
  <c r="D4532" i="1"/>
  <c r="A4532" i="1"/>
  <c r="D4531" i="1"/>
  <c r="A4531" i="1"/>
  <c r="D4530" i="1"/>
  <c r="A4530" i="1"/>
  <c r="D4529" i="1"/>
  <c r="A4529" i="1"/>
  <c r="D4528" i="1"/>
  <c r="A4528" i="1"/>
  <c r="D4527" i="1"/>
  <c r="A4527" i="1"/>
  <c r="D4526" i="1"/>
  <c r="A4526" i="1"/>
  <c r="D4525" i="1"/>
  <c r="A4525" i="1"/>
  <c r="D4524" i="1"/>
  <c r="A4524" i="1"/>
  <c r="D4523" i="1"/>
  <c r="A4523" i="1"/>
  <c r="D4522" i="1"/>
  <c r="A4522" i="1"/>
  <c r="D4521" i="1"/>
  <c r="A4521" i="1"/>
  <c r="D4520" i="1"/>
  <c r="A4520" i="1"/>
  <c r="D4519" i="1"/>
  <c r="A4519" i="1"/>
  <c r="D4518" i="1"/>
  <c r="A4518" i="1"/>
  <c r="D4517" i="1"/>
  <c r="A4517" i="1"/>
  <c r="D4516" i="1"/>
  <c r="A4516" i="1"/>
  <c r="D4515" i="1"/>
  <c r="A4515" i="1"/>
  <c r="D4514" i="1"/>
  <c r="A4514" i="1"/>
  <c r="D4513" i="1"/>
  <c r="A4513" i="1"/>
  <c r="D4512" i="1"/>
  <c r="A4512" i="1"/>
  <c r="D4511" i="1"/>
  <c r="A4511" i="1"/>
  <c r="D4510" i="1"/>
  <c r="A4510" i="1"/>
  <c r="D4509" i="1"/>
  <c r="A4509" i="1"/>
  <c r="D4508" i="1"/>
  <c r="A4508" i="1"/>
  <c r="D4507" i="1"/>
  <c r="A4507" i="1"/>
  <c r="D4506" i="1"/>
  <c r="A4506" i="1"/>
  <c r="D4505" i="1"/>
  <c r="A4505" i="1"/>
  <c r="D4504" i="1"/>
  <c r="A4504" i="1"/>
  <c r="D4503" i="1"/>
  <c r="A4503" i="1"/>
  <c r="D4502" i="1"/>
  <c r="A4502" i="1"/>
  <c r="D4501" i="1"/>
  <c r="A4501" i="1"/>
  <c r="D4500" i="1"/>
  <c r="A4500" i="1"/>
  <c r="D4499" i="1"/>
  <c r="A4499" i="1"/>
  <c r="D4498" i="1"/>
  <c r="A4498" i="1"/>
  <c r="D4497" i="1"/>
  <c r="A4497" i="1"/>
  <c r="D4496" i="1"/>
  <c r="A4496" i="1"/>
  <c r="D4495" i="1"/>
  <c r="A4495" i="1"/>
  <c r="D4494" i="1"/>
  <c r="A4494" i="1"/>
  <c r="D4493" i="1"/>
  <c r="A4493" i="1"/>
  <c r="D4492" i="1"/>
  <c r="A4492" i="1"/>
  <c r="D4491" i="1"/>
  <c r="A4491" i="1"/>
  <c r="D4490" i="1"/>
  <c r="A4490" i="1"/>
  <c r="D4489" i="1"/>
  <c r="A4489" i="1"/>
  <c r="D4488" i="1"/>
  <c r="A4488" i="1"/>
  <c r="D4487" i="1"/>
  <c r="A4487" i="1"/>
  <c r="D4486" i="1"/>
  <c r="A4486" i="1"/>
  <c r="D4485" i="1"/>
  <c r="A4485" i="1"/>
  <c r="D4484" i="1"/>
  <c r="A4484" i="1"/>
  <c r="D4483" i="1"/>
  <c r="A4483" i="1"/>
  <c r="D4482" i="1"/>
  <c r="A4482" i="1"/>
  <c r="D4481" i="1"/>
  <c r="A4481" i="1"/>
  <c r="D4480" i="1"/>
  <c r="A4480" i="1"/>
  <c r="D4479" i="1"/>
  <c r="A4479" i="1"/>
  <c r="D4478" i="1"/>
  <c r="A4478" i="1"/>
  <c r="D4477" i="1"/>
  <c r="A4477" i="1"/>
  <c r="D4476" i="1"/>
  <c r="A4476" i="1"/>
  <c r="D4475" i="1"/>
  <c r="A4475" i="1"/>
  <c r="D4474" i="1"/>
  <c r="A4474" i="1"/>
  <c r="D4473" i="1"/>
  <c r="A4473" i="1"/>
  <c r="D4472" i="1"/>
  <c r="A4472" i="1"/>
  <c r="D4471" i="1"/>
  <c r="A4471" i="1"/>
  <c r="D4470" i="1"/>
  <c r="A4470" i="1"/>
  <c r="D4469" i="1"/>
  <c r="A4469" i="1"/>
  <c r="D4468" i="1"/>
  <c r="A4468" i="1"/>
  <c r="D4467" i="1"/>
  <c r="A4467" i="1"/>
  <c r="D4466" i="1"/>
  <c r="A4466" i="1"/>
  <c r="D4465" i="1"/>
  <c r="A4465" i="1"/>
  <c r="D4464" i="1"/>
  <c r="A4464" i="1"/>
  <c r="D4463" i="1"/>
  <c r="A4463" i="1"/>
  <c r="D4462" i="1"/>
  <c r="A4462" i="1"/>
  <c r="D4461" i="1"/>
  <c r="A4461" i="1"/>
  <c r="D4460" i="1"/>
  <c r="A4460" i="1"/>
  <c r="D4459" i="1"/>
  <c r="A4459" i="1"/>
  <c r="D4458" i="1"/>
  <c r="A4458" i="1"/>
  <c r="D4457" i="1"/>
  <c r="A4457" i="1"/>
  <c r="D4456" i="1"/>
  <c r="A4456" i="1"/>
  <c r="D4455" i="1"/>
  <c r="A4455" i="1"/>
  <c r="D4454" i="1"/>
  <c r="A4454" i="1"/>
  <c r="D4453" i="1"/>
  <c r="A4453" i="1"/>
  <c r="D4452" i="1"/>
  <c r="A4452" i="1"/>
  <c r="D4451" i="1"/>
  <c r="A4451" i="1"/>
  <c r="D4450" i="1"/>
  <c r="A4450" i="1"/>
  <c r="D4449" i="1"/>
  <c r="A4449" i="1"/>
  <c r="D4448" i="1"/>
  <c r="A4448" i="1"/>
  <c r="D4447" i="1"/>
  <c r="A4447" i="1"/>
  <c r="D4446" i="1"/>
  <c r="A4446" i="1"/>
  <c r="D4445" i="1"/>
  <c r="A4445" i="1"/>
  <c r="D4444" i="1"/>
  <c r="A4444" i="1"/>
  <c r="D4443" i="1"/>
  <c r="A4443" i="1"/>
  <c r="D4442" i="1"/>
  <c r="A4442" i="1"/>
  <c r="D4441" i="1"/>
  <c r="A4441" i="1"/>
  <c r="D4440" i="1"/>
  <c r="A4440" i="1"/>
  <c r="D4439" i="1"/>
  <c r="A4439" i="1"/>
  <c r="D4438" i="1"/>
  <c r="A4438" i="1"/>
  <c r="D4437" i="1"/>
  <c r="A4437" i="1"/>
  <c r="D4436" i="1"/>
  <c r="A4436" i="1"/>
  <c r="D4435" i="1"/>
  <c r="A4435" i="1"/>
  <c r="D4434" i="1"/>
  <c r="A4434" i="1"/>
  <c r="D4433" i="1"/>
  <c r="A4433" i="1"/>
  <c r="D4432" i="1"/>
  <c r="A4432" i="1"/>
  <c r="D4431" i="1"/>
  <c r="A4431" i="1"/>
  <c r="D4430" i="1"/>
  <c r="A4430" i="1"/>
  <c r="D4429" i="1"/>
  <c r="A4429" i="1"/>
  <c r="D4428" i="1"/>
  <c r="A4428" i="1"/>
  <c r="D4427" i="1"/>
  <c r="A4427" i="1"/>
  <c r="D4426" i="1"/>
  <c r="A4426" i="1"/>
  <c r="D4425" i="1"/>
  <c r="A4425" i="1"/>
  <c r="D4424" i="1"/>
  <c r="A4424" i="1"/>
  <c r="D4423" i="1"/>
  <c r="A4423" i="1"/>
  <c r="D4422" i="1"/>
  <c r="A4422" i="1"/>
  <c r="D4421" i="1"/>
  <c r="A4421" i="1"/>
  <c r="D4420" i="1"/>
  <c r="A4420" i="1"/>
  <c r="D4419" i="1"/>
  <c r="A4419" i="1"/>
  <c r="D4418" i="1"/>
  <c r="A4418" i="1"/>
  <c r="D4417" i="1"/>
  <c r="A4417" i="1"/>
  <c r="D4416" i="1"/>
  <c r="A4416" i="1"/>
  <c r="D4415" i="1"/>
  <c r="A4415" i="1"/>
  <c r="D4414" i="1"/>
  <c r="A4414" i="1"/>
  <c r="D4413" i="1"/>
  <c r="A4413" i="1"/>
  <c r="D4412" i="1"/>
  <c r="A4412" i="1"/>
  <c r="D4411" i="1"/>
  <c r="A4411" i="1"/>
  <c r="D4410" i="1"/>
  <c r="A4410" i="1"/>
  <c r="D4409" i="1"/>
  <c r="A4409" i="1"/>
  <c r="D4408" i="1"/>
  <c r="A4408" i="1"/>
  <c r="D4407" i="1"/>
  <c r="A4407" i="1"/>
  <c r="D4406" i="1"/>
  <c r="A4406" i="1"/>
  <c r="D4405" i="1"/>
  <c r="A4405" i="1"/>
  <c r="D4404" i="1"/>
  <c r="A4404" i="1"/>
  <c r="D4403" i="1"/>
  <c r="A4403" i="1"/>
  <c r="D4402" i="1"/>
  <c r="A4402" i="1"/>
  <c r="D4401" i="1"/>
  <c r="A4401" i="1"/>
  <c r="D4400" i="1"/>
  <c r="A4400" i="1"/>
  <c r="D4399" i="1"/>
  <c r="A4399" i="1"/>
  <c r="D4398" i="1"/>
  <c r="A4398" i="1"/>
  <c r="D4397" i="1"/>
  <c r="A4397" i="1"/>
  <c r="D4396" i="1"/>
  <c r="A4396" i="1"/>
  <c r="D4395" i="1"/>
  <c r="A4395" i="1"/>
  <c r="D4394" i="1"/>
  <c r="A4394" i="1"/>
  <c r="D4393" i="1"/>
  <c r="A4393" i="1"/>
  <c r="D4392" i="1"/>
  <c r="A4392" i="1"/>
  <c r="D4391" i="1"/>
  <c r="A4391" i="1"/>
  <c r="D4390" i="1"/>
  <c r="A4390" i="1"/>
  <c r="D4389" i="1"/>
  <c r="A4389" i="1"/>
  <c r="D4388" i="1"/>
  <c r="A4388" i="1"/>
  <c r="D4387" i="1"/>
  <c r="A4387" i="1"/>
  <c r="D4386" i="1"/>
  <c r="A4386" i="1"/>
  <c r="D4385" i="1"/>
  <c r="A4385" i="1"/>
  <c r="D4384" i="1"/>
  <c r="A4384" i="1"/>
  <c r="D4383" i="1"/>
  <c r="A4383" i="1"/>
  <c r="D4382" i="1"/>
  <c r="A4382" i="1"/>
  <c r="D4381" i="1"/>
  <c r="A4381" i="1"/>
  <c r="D4380" i="1"/>
  <c r="A4380" i="1"/>
  <c r="D4379" i="1"/>
  <c r="A4379" i="1"/>
  <c r="D4378" i="1"/>
  <c r="A4378" i="1"/>
  <c r="D4377" i="1"/>
  <c r="A4377" i="1"/>
  <c r="D4376" i="1"/>
  <c r="A4376" i="1"/>
  <c r="D4375" i="1"/>
  <c r="A4375" i="1"/>
  <c r="D4374" i="1"/>
  <c r="A4374" i="1"/>
  <c r="D4373" i="1"/>
  <c r="A4373" i="1"/>
  <c r="D4372" i="1"/>
  <c r="A4372" i="1"/>
  <c r="D4371" i="1"/>
  <c r="A4371" i="1"/>
  <c r="D4370" i="1"/>
  <c r="A4370" i="1"/>
  <c r="D4369" i="1"/>
  <c r="A4369" i="1"/>
  <c r="D4368" i="1"/>
  <c r="A4368" i="1"/>
  <c r="D4367" i="1"/>
  <c r="A4367" i="1"/>
  <c r="D4366" i="1"/>
  <c r="A4366" i="1"/>
  <c r="D4365" i="1"/>
  <c r="A4365" i="1"/>
  <c r="D4364" i="1"/>
  <c r="A4364" i="1"/>
  <c r="D4363" i="1"/>
  <c r="A4363" i="1"/>
  <c r="D4362" i="1"/>
  <c r="A4362" i="1"/>
  <c r="D4361" i="1"/>
  <c r="A4361" i="1"/>
  <c r="D4360" i="1"/>
  <c r="A4360" i="1"/>
  <c r="D4359" i="1"/>
  <c r="A4359" i="1"/>
  <c r="D4358" i="1"/>
  <c r="A4358" i="1"/>
  <c r="D4357" i="1"/>
  <c r="A4357" i="1"/>
  <c r="D4356" i="1"/>
  <c r="A4356" i="1"/>
  <c r="D4355" i="1"/>
  <c r="A4355" i="1"/>
  <c r="D4354" i="1"/>
  <c r="A4354" i="1"/>
  <c r="D4353" i="1"/>
  <c r="A4353" i="1"/>
  <c r="D4352" i="1"/>
  <c r="A4352" i="1"/>
  <c r="D4351" i="1"/>
  <c r="A4351" i="1"/>
  <c r="D4350" i="1"/>
  <c r="A4350" i="1"/>
  <c r="D4349" i="1"/>
  <c r="A4349" i="1"/>
  <c r="D4348" i="1"/>
  <c r="A4348" i="1"/>
  <c r="D4347" i="1"/>
  <c r="A4347" i="1"/>
  <c r="D4346" i="1"/>
  <c r="A4346" i="1"/>
  <c r="D4345" i="1"/>
  <c r="A4345" i="1"/>
  <c r="D4344" i="1"/>
  <c r="A4344" i="1"/>
  <c r="D4343" i="1"/>
  <c r="A4343" i="1"/>
  <c r="D4342" i="1"/>
  <c r="A4342" i="1"/>
  <c r="D4341" i="1"/>
  <c r="A4341" i="1"/>
  <c r="D4340" i="1"/>
  <c r="A4340" i="1"/>
  <c r="D4339" i="1"/>
  <c r="A4339" i="1"/>
  <c r="D4338" i="1"/>
  <c r="A4338" i="1"/>
  <c r="D4337" i="1"/>
  <c r="A4337" i="1"/>
  <c r="D4336" i="1"/>
  <c r="A4336" i="1"/>
  <c r="D4335" i="1"/>
  <c r="A4335" i="1"/>
  <c r="D4334" i="1"/>
  <c r="A4334" i="1"/>
  <c r="D4333" i="1"/>
  <c r="A4333" i="1"/>
  <c r="D4332" i="1"/>
  <c r="A4332" i="1"/>
  <c r="D4331" i="1"/>
  <c r="A4331" i="1"/>
  <c r="D4330" i="1"/>
  <c r="A4330" i="1"/>
  <c r="D4329" i="1"/>
  <c r="A4329" i="1"/>
  <c r="D4328" i="1"/>
  <c r="A4328" i="1"/>
  <c r="D4327" i="1"/>
  <c r="A4327" i="1"/>
  <c r="D4326" i="1"/>
  <c r="A4326" i="1"/>
  <c r="D4325" i="1"/>
  <c r="A4325" i="1"/>
  <c r="D4324" i="1"/>
  <c r="A4324" i="1"/>
  <c r="D4323" i="1"/>
  <c r="A4323" i="1"/>
  <c r="D4322" i="1"/>
  <c r="A4322" i="1"/>
  <c r="D4321" i="1"/>
  <c r="A4321" i="1"/>
  <c r="D4320" i="1"/>
  <c r="A4320" i="1"/>
  <c r="D4319" i="1"/>
  <c r="A4319" i="1"/>
  <c r="D4318" i="1"/>
  <c r="A4318" i="1"/>
  <c r="D4317" i="1"/>
  <c r="A4317" i="1"/>
  <c r="D4316" i="1"/>
  <c r="A4316" i="1"/>
  <c r="E4315" i="1"/>
  <c r="D4315" i="1"/>
  <c r="A4315" i="1"/>
  <c r="D4314" i="1"/>
  <c r="A4314" i="1"/>
  <c r="D4313" i="1"/>
  <c r="A4313" i="1"/>
  <c r="D4312" i="1"/>
  <c r="A4312" i="1"/>
  <c r="D4311" i="1"/>
  <c r="A4311" i="1"/>
  <c r="D4310" i="1"/>
  <c r="A4310" i="1"/>
  <c r="D4309" i="1"/>
  <c r="A4309" i="1"/>
  <c r="D4308" i="1"/>
  <c r="A4308" i="1"/>
  <c r="D4307" i="1"/>
  <c r="A4307" i="1"/>
  <c r="D4306" i="1"/>
  <c r="A4306" i="1"/>
  <c r="D4305" i="1"/>
  <c r="A4305" i="1"/>
  <c r="D4304" i="1"/>
  <c r="A4304" i="1"/>
  <c r="D4303" i="1"/>
  <c r="A4303" i="1"/>
  <c r="D4302" i="1"/>
  <c r="A4302" i="1"/>
  <c r="D4301" i="1"/>
  <c r="A4301" i="1"/>
  <c r="D4300" i="1"/>
  <c r="A4300" i="1"/>
  <c r="D4299" i="1"/>
  <c r="A4299" i="1"/>
  <c r="D4298" i="1"/>
  <c r="A4298" i="1"/>
  <c r="D4297" i="1"/>
  <c r="A4297" i="1"/>
  <c r="D4296" i="1"/>
  <c r="A4296" i="1"/>
  <c r="D4295" i="1"/>
  <c r="A4295" i="1"/>
  <c r="D4294" i="1"/>
  <c r="A4294" i="1"/>
  <c r="D4293" i="1"/>
  <c r="A4293" i="1"/>
  <c r="D4292" i="1"/>
  <c r="A4292" i="1"/>
  <c r="D4291" i="1"/>
  <c r="A4291" i="1"/>
  <c r="D4290" i="1"/>
  <c r="A4290" i="1"/>
  <c r="D4289" i="1"/>
  <c r="A4289" i="1"/>
  <c r="D4288" i="1"/>
  <c r="A4288" i="1"/>
  <c r="D4287" i="1"/>
  <c r="A4287" i="1"/>
  <c r="D4286" i="1"/>
  <c r="A4286" i="1"/>
  <c r="D4285" i="1"/>
  <c r="A4285" i="1"/>
  <c r="D4284" i="1"/>
  <c r="A4284" i="1"/>
  <c r="D4283" i="1"/>
  <c r="A4283" i="1"/>
  <c r="D4282" i="1"/>
  <c r="A4282" i="1"/>
  <c r="D4281" i="1"/>
  <c r="A4281" i="1"/>
  <c r="D4280" i="1"/>
  <c r="A4280" i="1"/>
  <c r="D4279" i="1"/>
  <c r="A4279" i="1"/>
  <c r="D4278" i="1"/>
  <c r="A4278" i="1"/>
  <c r="D4277" i="1"/>
  <c r="A4277" i="1"/>
  <c r="D4276" i="1"/>
  <c r="A4276" i="1"/>
  <c r="D4275" i="1"/>
  <c r="A4275" i="1"/>
  <c r="D4274" i="1"/>
  <c r="A4274" i="1"/>
  <c r="D4273" i="1"/>
  <c r="A4273" i="1"/>
  <c r="D4272" i="1"/>
  <c r="A4272" i="1"/>
  <c r="D4271" i="1"/>
  <c r="A4271" i="1"/>
  <c r="D4270" i="1"/>
  <c r="A4270" i="1"/>
  <c r="D4269" i="1"/>
  <c r="A4269" i="1"/>
  <c r="D4268" i="1"/>
  <c r="A4268" i="1"/>
  <c r="D4267" i="1"/>
  <c r="A4267" i="1"/>
  <c r="D4266" i="1"/>
  <c r="A4266" i="1"/>
  <c r="D4265" i="1"/>
  <c r="A4265" i="1"/>
  <c r="D4264" i="1"/>
  <c r="A4264" i="1"/>
  <c r="D4263" i="1"/>
  <c r="A4263" i="1"/>
  <c r="D4262" i="1"/>
  <c r="A4262" i="1"/>
  <c r="D4261" i="1"/>
  <c r="A4261" i="1"/>
  <c r="D4260" i="1"/>
  <c r="A4260" i="1"/>
  <c r="D4259" i="1"/>
  <c r="A4259" i="1"/>
  <c r="D4258" i="1"/>
  <c r="A4258" i="1"/>
  <c r="D4257" i="1"/>
  <c r="A4257" i="1"/>
  <c r="D4256" i="1"/>
  <c r="A4256" i="1"/>
  <c r="D4255" i="1"/>
  <c r="A4255" i="1"/>
  <c r="D4254" i="1"/>
  <c r="A4254" i="1"/>
  <c r="D4253" i="1"/>
  <c r="A4253" i="1"/>
  <c r="D4252" i="1"/>
  <c r="A4252" i="1"/>
  <c r="D4251" i="1"/>
  <c r="A4251" i="1"/>
  <c r="D4250" i="1"/>
  <c r="A4250" i="1"/>
  <c r="D4249" i="1"/>
  <c r="A4249" i="1"/>
  <c r="D4248" i="1"/>
  <c r="A4248" i="1"/>
  <c r="D4247" i="1"/>
  <c r="A4247" i="1"/>
  <c r="E4246" i="1"/>
  <c r="D4246" i="1"/>
  <c r="A4246" i="1"/>
  <c r="E4245" i="1"/>
  <c r="D4245" i="1"/>
  <c r="A4245" i="1"/>
  <c r="E4244" i="1"/>
  <c r="D4244" i="1"/>
  <c r="A4244" i="1"/>
  <c r="E4243" i="1"/>
  <c r="D4243" i="1"/>
  <c r="A4243" i="1"/>
  <c r="E4242" i="1"/>
  <c r="D4242" i="1"/>
  <c r="A4242" i="1"/>
  <c r="E4241" i="1"/>
  <c r="D4241" i="1"/>
  <c r="A4241" i="1"/>
  <c r="E4240" i="1"/>
  <c r="D4240" i="1"/>
  <c r="A4240" i="1"/>
  <c r="D4239" i="1"/>
  <c r="A4239" i="1"/>
  <c r="E4238" i="1"/>
  <c r="D4238" i="1"/>
  <c r="A4238" i="1"/>
  <c r="E4237" i="1"/>
  <c r="D4237" i="1"/>
  <c r="A4237" i="1"/>
  <c r="E4236" i="1"/>
  <c r="D4236" i="1"/>
  <c r="A4236" i="1"/>
  <c r="E4235" i="1"/>
  <c r="D4235" i="1"/>
  <c r="A4235" i="1"/>
  <c r="D4234" i="1"/>
  <c r="A4234" i="1"/>
  <c r="D4233" i="1"/>
  <c r="A4233" i="1"/>
  <c r="D4232" i="1"/>
  <c r="A4232" i="1"/>
  <c r="D4231" i="1"/>
  <c r="A4231" i="1"/>
  <c r="D4230" i="1"/>
  <c r="A4230" i="1"/>
  <c r="D4229" i="1"/>
  <c r="A4229" i="1"/>
  <c r="E4228" i="1"/>
  <c r="D4228" i="1"/>
  <c r="A4228" i="1"/>
  <c r="E4227" i="1"/>
  <c r="D4227" i="1"/>
  <c r="A4227" i="1"/>
  <c r="D4226" i="1"/>
  <c r="A4226" i="1"/>
  <c r="D4225" i="1"/>
  <c r="A4225" i="1"/>
  <c r="D4224" i="1"/>
  <c r="A4224" i="1"/>
  <c r="D4223" i="1"/>
  <c r="A4223" i="1"/>
  <c r="D4222" i="1"/>
  <c r="A4222" i="1"/>
  <c r="D4221" i="1"/>
  <c r="A4221" i="1"/>
  <c r="D4220" i="1"/>
  <c r="A4220" i="1"/>
  <c r="D4219" i="1"/>
  <c r="A4219" i="1"/>
  <c r="D4218" i="1"/>
  <c r="A4218" i="1"/>
  <c r="D4217" i="1"/>
  <c r="A4217" i="1"/>
  <c r="D4216" i="1"/>
  <c r="A4216" i="1"/>
  <c r="D4215" i="1"/>
  <c r="A4215" i="1"/>
  <c r="D4214" i="1"/>
  <c r="A4214" i="1"/>
  <c r="D4213" i="1"/>
  <c r="A4213" i="1"/>
  <c r="D4212" i="1"/>
  <c r="A4212" i="1"/>
  <c r="D4211" i="1"/>
  <c r="A4211" i="1"/>
  <c r="D4210" i="1"/>
  <c r="A4210" i="1"/>
  <c r="D4209" i="1"/>
  <c r="A4209" i="1"/>
  <c r="D4208" i="1"/>
  <c r="A4208" i="1"/>
  <c r="D4207" i="1"/>
  <c r="A4207" i="1"/>
  <c r="D4206" i="1"/>
  <c r="A4206" i="1"/>
  <c r="D4205" i="1"/>
  <c r="A4205" i="1"/>
  <c r="D4204" i="1"/>
  <c r="A4204" i="1"/>
  <c r="D4203" i="1"/>
  <c r="A4203" i="1"/>
  <c r="D4202" i="1"/>
  <c r="A4202" i="1"/>
  <c r="D4201" i="1"/>
  <c r="A4201" i="1"/>
  <c r="D4200" i="1"/>
  <c r="A4200" i="1"/>
  <c r="D4199" i="1"/>
  <c r="A4199" i="1"/>
  <c r="D4198" i="1"/>
  <c r="A4198" i="1"/>
  <c r="D4197" i="1"/>
  <c r="A4197" i="1"/>
  <c r="D4196" i="1"/>
  <c r="A4196" i="1"/>
  <c r="D4195" i="1"/>
  <c r="A4195" i="1"/>
  <c r="D4194" i="1"/>
  <c r="A4194" i="1"/>
  <c r="D4193" i="1"/>
  <c r="A4193" i="1"/>
  <c r="D4192" i="1"/>
  <c r="A4192" i="1"/>
  <c r="D4191" i="1"/>
  <c r="A4191" i="1"/>
  <c r="D4190" i="1"/>
  <c r="A4190" i="1"/>
  <c r="D4189" i="1"/>
  <c r="A4189" i="1"/>
  <c r="D4188" i="1"/>
  <c r="A4188" i="1"/>
  <c r="D4187" i="1"/>
  <c r="A4187" i="1"/>
  <c r="D4186" i="1"/>
  <c r="A4186" i="1"/>
  <c r="D4185" i="1"/>
  <c r="A4185" i="1"/>
  <c r="D4184" i="1"/>
  <c r="A4184" i="1"/>
  <c r="D4183" i="1"/>
  <c r="A4183" i="1"/>
  <c r="D4182" i="1"/>
  <c r="A4182" i="1"/>
  <c r="D4181" i="1"/>
  <c r="A4181" i="1"/>
  <c r="D4180" i="1"/>
  <c r="A4180" i="1"/>
  <c r="D4179" i="1"/>
  <c r="A4179" i="1"/>
  <c r="D4178" i="1"/>
  <c r="A4178" i="1"/>
  <c r="D4177" i="1"/>
  <c r="A4177" i="1"/>
  <c r="D4176" i="1"/>
  <c r="A4176" i="1"/>
  <c r="D4175" i="1"/>
  <c r="A4175" i="1"/>
  <c r="D4174" i="1"/>
  <c r="A4174" i="1"/>
  <c r="D4173" i="1"/>
  <c r="A4173" i="1"/>
  <c r="D4172" i="1"/>
  <c r="A4172" i="1"/>
  <c r="D4171" i="1"/>
  <c r="A4171" i="1"/>
  <c r="D4170" i="1"/>
  <c r="A4170" i="1"/>
  <c r="D4169" i="1"/>
  <c r="A4169" i="1"/>
  <c r="E4168" i="1"/>
  <c r="D4168" i="1"/>
  <c r="A4168" i="1"/>
  <c r="D4167" i="1"/>
  <c r="A4167" i="1"/>
  <c r="D4166" i="1"/>
  <c r="A4166" i="1"/>
  <c r="E4165" i="1"/>
  <c r="D4165" i="1"/>
  <c r="A4165" i="1"/>
  <c r="D4164" i="1"/>
  <c r="A4164" i="1"/>
  <c r="D4163" i="1"/>
  <c r="A4163" i="1"/>
  <c r="D4162" i="1"/>
  <c r="A4162" i="1"/>
  <c r="D4161" i="1"/>
  <c r="A4161" i="1"/>
  <c r="D4160" i="1"/>
  <c r="A4160" i="1"/>
  <c r="D4159" i="1"/>
  <c r="A4159" i="1"/>
  <c r="D4158" i="1"/>
  <c r="A4158" i="1"/>
  <c r="E4157" i="1"/>
  <c r="D4157" i="1"/>
  <c r="A4157" i="1"/>
  <c r="D4156" i="1"/>
  <c r="A4156" i="1"/>
  <c r="D4155" i="1"/>
  <c r="A4155" i="1"/>
  <c r="D4154" i="1"/>
  <c r="A4154" i="1"/>
  <c r="D4153" i="1"/>
  <c r="A4153" i="1"/>
  <c r="D4152" i="1"/>
  <c r="A4152" i="1"/>
  <c r="D4151" i="1"/>
  <c r="A4151" i="1"/>
  <c r="D4150" i="1"/>
  <c r="A4150" i="1"/>
  <c r="D4149" i="1"/>
  <c r="A4149" i="1"/>
  <c r="D4148" i="1"/>
  <c r="A4148" i="1"/>
  <c r="D4147" i="1"/>
  <c r="A4147" i="1"/>
  <c r="D4146" i="1"/>
  <c r="A4146" i="1"/>
  <c r="D4145" i="1"/>
  <c r="A4145" i="1"/>
  <c r="D4144" i="1"/>
  <c r="A4144" i="1"/>
  <c r="D4143" i="1"/>
  <c r="A4143" i="1"/>
  <c r="D4142" i="1"/>
  <c r="A4142" i="1"/>
  <c r="D4141" i="1"/>
  <c r="A4141" i="1"/>
  <c r="D4140" i="1"/>
  <c r="A4140" i="1"/>
  <c r="D4139" i="1"/>
  <c r="A4139" i="1"/>
  <c r="D4138" i="1"/>
  <c r="A4138" i="1"/>
  <c r="D4137" i="1"/>
  <c r="A4137" i="1"/>
  <c r="D4136" i="1"/>
  <c r="A4136" i="1"/>
  <c r="D4135" i="1"/>
  <c r="A4135" i="1"/>
  <c r="D4134" i="1"/>
  <c r="A4134" i="1"/>
  <c r="D4133" i="1"/>
  <c r="A4133" i="1"/>
  <c r="D4132" i="1"/>
  <c r="A4132" i="1"/>
  <c r="D4131" i="1"/>
  <c r="A4131" i="1"/>
  <c r="D4130" i="1"/>
  <c r="A4130" i="1"/>
  <c r="D4129" i="1"/>
  <c r="A4129" i="1"/>
  <c r="D4128" i="1"/>
  <c r="A4128" i="1"/>
  <c r="D4127" i="1"/>
  <c r="A4127" i="1"/>
  <c r="D4126" i="1"/>
  <c r="A4126" i="1"/>
  <c r="D4125" i="1"/>
  <c r="A4125" i="1"/>
  <c r="D4124" i="1"/>
  <c r="A4124" i="1"/>
  <c r="D4123" i="1"/>
  <c r="A4123" i="1"/>
  <c r="D4122" i="1"/>
  <c r="A4122" i="1"/>
  <c r="D4121" i="1"/>
  <c r="A4121" i="1"/>
  <c r="D4120" i="1"/>
  <c r="A4120" i="1"/>
  <c r="D4119" i="1"/>
  <c r="A4119" i="1"/>
  <c r="D4118" i="1"/>
  <c r="A4118" i="1"/>
  <c r="D4117" i="1"/>
  <c r="A4117" i="1"/>
  <c r="D4116" i="1"/>
  <c r="A4116" i="1"/>
  <c r="D4115" i="1"/>
  <c r="A4115" i="1"/>
  <c r="D4114" i="1"/>
  <c r="A4114" i="1"/>
  <c r="D4113" i="1"/>
  <c r="A4113" i="1"/>
  <c r="D4112" i="1"/>
  <c r="A4112" i="1"/>
  <c r="D4111" i="1"/>
  <c r="A4111" i="1"/>
  <c r="D4110" i="1"/>
  <c r="A4110" i="1"/>
  <c r="D4109" i="1"/>
  <c r="A4109" i="1"/>
  <c r="D4108" i="1"/>
  <c r="A4108" i="1"/>
  <c r="D4107" i="1"/>
  <c r="A4107" i="1"/>
  <c r="D4106" i="1"/>
  <c r="A4106" i="1"/>
  <c r="D4105" i="1"/>
  <c r="A4105" i="1"/>
  <c r="D4104" i="1"/>
  <c r="A4104" i="1"/>
  <c r="D4103" i="1"/>
  <c r="A4103" i="1"/>
  <c r="D4102" i="1"/>
  <c r="A4102" i="1"/>
  <c r="D4101" i="1"/>
  <c r="A4101" i="1"/>
  <c r="D4100" i="1"/>
  <c r="A4100" i="1"/>
  <c r="D4099" i="1"/>
  <c r="A4099" i="1"/>
  <c r="D4098" i="1"/>
  <c r="A4098" i="1"/>
  <c r="D4097" i="1"/>
  <c r="A4097" i="1"/>
  <c r="D4096" i="1"/>
  <c r="A4096" i="1"/>
  <c r="D4095" i="1"/>
  <c r="A4095" i="1"/>
  <c r="D4094" i="1"/>
  <c r="A4094" i="1"/>
  <c r="D4093" i="1"/>
  <c r="A4093" i="1"/>
  <c r="D4092" i="1"/>
  <c r="A4092" i="1"/>
  <c r="D4091" i="1"/>
  <c r="A4091" i="1"/>
  <c r="D4090" i="1"/>
  <c r="A4090" i="1"/>
  <c r="D4089" i="1"/>
  <c r="A4089" i="1"/>
  <c r="D4088" i="1"/>
  <c r="A4088" i="1"/>
  <c r="E4087" i="1"/>
  <c r="D4087" i="1"/>
  <c r="A4087" i="1"/>
  <c r="E4086" i="1"/>
  <c r="D4086" i="1"/>
  <c r="A4086" i="1"/>
  <c r="D4085" i="1"/>
  <c r="A4085" i="1"/>
  <c r="D4084" i="1"/>
  <c r="A4084" i="1"/>
  <c r="D4083" i="1"/>
  <c r="A4083" i="1"/>
  <c r="D4082" i="1"/>
  <c r="A4082" i="1"/>
  <c r="D4081" i="1"/>
  <c r="A4081" i="1"/>
  <c r="D4080" i="1"/>
  <c r="A4080" i="1"/>
  <c r="D4079" i="1"/>
  <c r="A4079" i="1"/>
  <c r="D4078" i="1"/>
  <c r="A4078" i="1"/>
  <c r="D4077" i="1"/>
  <c r="A4077" i="1"/>
  <c r="D4076" i="1"/>
  <c r="A4076" i="1"/>
  <c r="D4075" i="1"/>
  <c r="A4075" i="1"/>
  <c r="D4074" i="1"/>
  <c r="A4074" i="1"/>
  <c r="D4073" i="1"/>
  <c r="A4073" i="1"/>
  <c r="D4072" i="1"/>
  <c r="A4072" i="1"/>
  <c r="E4071" i="1"/>
  <c r="D4071" i="1"/>
  <c r="A4071" i="1"/>
  <c r="E4070" i="1"/>
  <c r="D4070" i="1"/>
  <c r="A4070" i="1"/>
  <c r="E4069" i="1"/>
  <c r="D4069" i="1"/>
  <c r="A4069" i="1"/>
  <c r="E4068" i="1"/>
  <c r="D4068" i="1"/>
  <c r="A4068" i="1"/>
  <c r="E4067" i="1"/>
  <c r="D4067" i="1"/>
  <c r="A4067" i="1"/>
  <c r="E4066" i="1"/>
  <c r="D4066" i="1"/>
  <c r="A4066" i="1"/>
  <c r="E4065" i="1"/>
  <c r="D4065" i="1"/>
  <c r="A4065" i="1"/>
  <c r="E4064" i="1"/>
  <c r="D4064" i="1"/>
  <c r="A4064" i="1"/>
  <c r="E4063" i="1"/>
  <c r="D4063" i="1"/>
  <c r="A4063" i="1"/>
  <c r="E4062" i="1"/>
  <c r="D4062" i="1"/>
  <c r="A4062" i="1"/>
  <c r="E4061" i="1"/>
  <c r="D4061" i="1"/>
  <c r="A4061" i="1"/>
  <c r="E4060" i="1"/>
  <c r="D4060" i="1"/>
  <c r="A4060" i="1"/>
  <c r="E4059" i="1"/>
  <c r="D4059" i="1"/>
  <c r="A4059" i="1"/>
  <c r="E4058" i="1"/>
  <c r="D4058" i="1"/>
  <c r="A4058" i="1"/>
  <c r="E4057" i="1"/>
  <c r="D4057" i="1"/>
  <c r="A4057" i="1"/>
  <c r="E4056" i="1"/>
  <c r="D4056" i="1"/>
  <c r="A4056" i="1"/>
  <c r="E4055" i="1"/>
  <c r="D4055" i="1"/>
  <c r="A4055" i="1"/>
  <c r="E4054" i="1"/>
  <c r="D4054" i="1"/>
  <c r="A4054" i="1"/>
  <c r="E4053" i="1"/>
  <c r="D4053" i="1"/>
  <c r="A4053" i="1"/>
  <c r="E4052" i="1"/>
  <c r="D4052" i="1"/>
  <c r="A4052" i="1"/>
  <c r="E4051" i="1"/>
  <c r="D4051" i="1"/>
  <c r="A4051" i="1"/>
  <c r="E4050" i="1"/>
  <c r="D4050" i="1"/>
  <c r="A4050" i="1"/>
  <c r="E4049" i="1"/>
  <c r="D4049" i="1"/>
  <c r="A4049" i="1"/>
  <c r="E4048" i="1"/>
  <c r="D4048" i="1"/>
  <c r="A4048" i="1"/>
  <c r="E4047" i="1"/>
  <c r="D4047" i="1"/>
  <c r="A4047" i="1"/>
  <c r="E4046" i="1"/>
  <c r="D4046" i="1"/>
  <c r="A4046" i="1"/>
  <c r="E4045" i="1"/>
  <c r="D4045" i="1"/>
  <c r="A4045" i="1"/>
  <c r="E4044" i="1"/>
  <c r="D4044" i="1"/>
  <c r="A4044" i="1"/>
  <c r="E4043" i="1"/>
  <c r="D4043" i="1"/>
  <c r="A4043" i="1"/>
  <c r="E4042" i="1"/>
  <c r="D4042" i="1"/>
  <c r="A4042" i="1"/>
  <c r="E4041" i="1"/>
  <c r="D4041" i="1"/>
  <c r="A4041" i="1"/>
  <c r="E4040" i="1"/>
  <c r="D4040" i="1"/>
  <c r="A4040" i="1"/>
  <c r="E4039" i="1"/>
  <c r="D4039" i="1"/>
  <c r="A4039" i="1"/>
  <c r="E4038" i="1"/>
  <c r="D4038" i="1"/>
  <c r="A4038" i="1"/>
  <c r="E4037" i="1"/>
  <c r="D4037" i="1"/>
  <c r="A4037" i="1"/>
  <c r="E4036" i="1"/>
  <c r="D4036" i="1"/>
  <c r="A4036" i="1"/>
  <c r="E4035" i="1"/>
  <c r="D4035" i="1"/>
  <c r="A4035" i="1"/>
  <c r="E4034" i="1"/>
  <c r="D4034" i="1"/>
  <c r="A4034" i="1"/>
  <c r="E4033" i="1"/>
  <c r="D4033" i="1"/>
  <c r="A4033" i="1"/>
  <c r="E4032" i="1"/>
  <c r="D4032" i="1"/>
  <c r="A4032" i="1"/>
  <c r="E4031" i="1"/>
  <c r="D4031" i="1"/>
  <c r="A4031" i="1"/>
  <c r="E4030" i="1"/>
  <c r="D4030" i="1"/>
  <c r="A4030" i="1"/>
  <c r="E4029" i="1"/>
  <c r="D4029" i="1"/>
  <c r="A4029" i="1"/>
  <c r="E4028" i="1"/>
  <c r="D4028" i="1"/>
  <c r="A4028" i="1"/>
  <c r="E4027" i="1"/>
  <c r="D4027" i="1"/>
  <c r="A4027" i="1"/>
  <c r="E4026" i="1"/>
  <c r="D4026" i="1"/>
  <c r="A4026" i="1"/>
  <c r="E4025" i="1"/>
  <c r="D4025" i="1"/>
  <c r="A4025" i="1"/>
  <c r="E4024" i="1"/>
  <c r="D4024" i="1"/>
  <c r="A4024" i="1"/>
  <c r="E4023" i="1"/>
  <c r="D4023" i="1"/>
  <c r="A4023" i="1"/>
  <c r="E4022" i="1"/>
  <c r="D4022" i="1"/>
  <c r="A4022" i="1"/>
  <c r="E4021" i="1"/>
  <c r="D4021" i="1"/>
  <c r="A4021" i="1"/>
  <c r="E4020" i="1"/>
  <c r="D4020" i="1"/>
  <c r="A4020" i="1"/>
  <c r="E4019" i="1"/>
  <c r="D4019" i="1"/>
  <c r="A4019" i="1"/>
  <c r="E4018" i="1"/>
  <c r="D4018" i="1"/>
  <c r="A4018" i="1"/>
  <c r="E4017" i="1"/>
  <c r="D4017" i="1"/>
  <c r="A4017" i="1"/>
  <c r="E4016" i="1"/>
  <c r="D4016" i="1"/>
  <c r="A4016" i="1"/>
  <c r="E4015" i="1"/>
  <c r="D4015" i="1"/>
  <c r="A4015" i="1"/>
  <c r="E4014" i="1"/>
  <c r="D4014" i="1"/>
  <c r="A4014" i="1"/>
  <c r="E4013" i="1"/>
  <c r="D4013" i="1"/>
  <c r="A4013" i="1"/>
  <c r="E4012" i="1"/>
  <c r="D4012" i="1"/>
  <c r="A4012" i="1"/>
  <c r="E4011" i="1"/>
  <c r="D4011" i="1"/>
  <c r="A4011" i="1"/>
  <c r="E4010" i="1"/>
  <c r="D4010" i="1"/>
  <c r="A4010" i="1"/>
  <c r="E4009" i="1"/>
  <c r="D4009" i="1"/>
  <c r="A4009" i="1"/>
  <c r="E4008" i="1"/>
  <c r="D4008" i="1"/>
  <c r="A4008" i="1"/>
  <c r="E4007" i="1"/>
  <c r="D4007" i="1"/>
  <c r="A4007" i="1"/>
  <c r="E4006" i="1"/>
  <c r="D4006" i="1"/>
  <c r="A4006" i="1"/>
  <c r="E4005" i="1"/>
  <c r="D4005" i="1"/>
  <c r="A4005" i="1"/>
  <c r="E4004" i="1"/>
  <c r="D4004" i="1"/>
  <c r="A4004" i="1"/>
  <c r="E4003" i="1"/>
  <c r="D4003" i="1"/>
  <c r="A4003" i="1"/>
  <c r="E4002" i="1"/>
  <c r="D4002" i="1"/>
  <c r="A4002" i="1"/>
  <c r="E4001" i="1"/>
  <c r="D4001" i="1"/>
  <c r="A4001" i="1"/>
  <c r="E4000" i="1"/>
  <c r="D4000" i="1"/>
  <c r="A4000" i="1"/>
  <c r="E3999" i="1"/>
  <c r="D3999" i="1"/>
  <c r="A3999" i="1"/>
  <c r="E3998" i="1"/>
  <c r="D3998" i="1"/>
  <c r="A3998" i="1"/>
  <c r="E3997" i="1"/>
  <c r="D3997" i="1"/>
  <c r="A3997" i="1"/>
  <c r="E3996" i="1"/>
  <c r="D3996" i="1"/>
  <c r="A3996" i="1"/>
  <c r="D3995" i="1"/>
  <c r="A3995" i="1"/>
  <c r="D3994" i="1"/>
  <c r="A3994" i="1"/>
  <c r="D3993" i="1"/>
  <c r="A3993" i="1"/>
  <c r="D3992" i="1"/>
  <c r="A3992" i="1"/>
  <c r="E3991" i="1"/>
  <c r="D3991" i="1"/>
  <c r="A3991" i="1"/>
  <c r="E3990" i="1"/>
  <c r="D3990" i="1"/>
  <c r="A3990" i="1"/>
  <c r="D3989" i="1"/>
  <c r="A3989" i="1"/>
  <c r="E3988" i="1"/>
  <c r="D3988" i="1"/>
  <c r="A3988" i="1"/>
  <c r="E3987" i="1"/>
  <c r="D3987" i="1"/>
  <c r="A3987" i="1"/>
  <c r="E3986" i="1"/>
  <c r="D3986" i="1"/>
  <c r="A3986" i="1"/>
  <c r="E3985" i="1"/>
  <c r="D3985" i="1"/>
  <c r="A3985" i="1"/>
  <c r="E3984" i="1"/>
  <c r="D3984" i="1"/>
  <c r="A3984" i="1"/>
  <c r="E3983" i="1"/>
  <c r="D3983" i="1"/>
  <c r="A3983" i="1"/>
  <c r="D3982" i="1"/>
  <c r="A3982" i="1"/>
  <c r="E3981" i="1"/>
  <c r="D3981" i="1"/>
  <c r="A3981" i="1"/>
  <c r="E3980" i="1"/>
  <c r="D3980" i="1"/>
  <c r="A3980" i="1"/>
  <c r="D3979" i="1"/>
  <c r="A3979" i="1"/>
  <c r="D3978" i="1"/>
  <c r="A3978" i="1"/>
  <c r="E3977" i="1"/>
  <c r="D3977" i="1"/>
  <c r="A3977" i="1"/>
  <c r="E3976" i="1"/>
  <c r="D3976" i="1"/>
  <c r="A3976" i="1"/>
  <c r="E3975" i="1"/>
  <c r="D3975" i="1"/>
  <c r="A3975" i="1"/>
  <c r="E3974" i="1"/>
  <c r="D3974" i="1"/>
  <c r="A3974" i="1"/>
  <c r="E3973" i="1"/>
  <c r="D3973" i="1"/>
  <c r="A3973" i="1"/>
  <c r="E3972" i="1"/>
  <c r="D3972" i="1"/>
  <c r="A3972" i="1"/>
  <c r="E3971" i="1"/>
  <c r="D3971" i="1"/>
  <c r="A3971" i="1"/>
  <c r="E3970" i="1"/>
  <c r="D3970" i="1"/>
  <c r="A3970" i="1"/>
  <c r="E3969" i="1"/>
  <c r="D3969" i="1"/>
  <c r="A3969" i="1"/>
  <c r="E3968" i="1"/>
  <c r="D3968" i="1"/>
  <c r="A3968" i="1"/>
  <c r="E3967" i="1"/>
  <c r="D3967" i="1"/>
  <c r="A3967" i="1"/>
  <c r="E3966" i="1"/>
  <c r="D3966" i="1"/>
  <c r="A3966" i="1"/>
  <c r="E3965" i="1"/>
  <c r="D3965" i="1"/>
  <c r="A3965" i="1"/>
  <c r="E3964" i="1"/>
  <c r="D3964" i="1"/>
  <c r="A3964" i="1"/>
  <c r="E3963" i="1"/>
  <c r="D3963" i="1"/>
  <c r="A3963" i="1"/>
  <c r="E3962" i="1"/>
  <c r="D3962" i="1"/>
  <c r="A3962" i="1"/>
  <c r="E3961" i="1"/>
  <c r="D3961" i="1"/>
  <c r="A3961" i="1"/>
  <c r="D3960" i="1"/>
  <c r="A3960" i="1"/>
  <c r="D3959" i="1"/>
  <c r="A3959" i="1"/>
  <c r="E3958" i="1"/>
  <c r="D3958" i="1"/>
  <c r="A3958" i="1"/>
  <c r="D3957" i="1"/>
  <c r="A3957" i="1"/>
  <c r="D3956" i="1"/>
  <c r="A3956" i="1"/>
  <c r="D3955" i="1"/>
  <c r="A3955" i="1"/>
  <c r="E3954" i="1"/>
  <c r="D3954" i="1"/>
  <c r="A3954" i="1"/>
  <c r="D3953" i="1"/>
  <c r="A3953" i="1"/>
  <c r="D3952" i="1"/>
  <c r="A3952" i="1"/>
  <c r="D3951" i="1"/>
  <c r="A3951" i="1"/>
  <c r="D3950" i="1"/>
  <c r="A3950" i="1"/>
  <c r="D3949" i="1"/>
  <c r="A3949" i="1"/>
  <c r="D3948" i="1"/>
  <c r="A3948" i="1"/>
  <c r="D3947" i="1"/>
  <c r="A3947" i="1"/>
  <c r="D3946" i="1"/>
  <c r="A3946" i="1"/>
  <c r="D3945" i="1"/>
  <c r="A3945" i="1"/>
  <c r="D3944" i="1"/>
  <c r="A3944" i="1"/>
  <c r="D3943" i="1"/>
  <c r="A3943" i="1"/>
  <c r="D3942" i="1"/>
  <c r="A3942" i="1"/>
  <c r="D3941" i="1"/>
  <c r="A3941" i="1"/>
  <c r="D3940" i="1"/>
  <c r="A3940" i="1"/>
  <c r="D3939" i="1"/>
  <c r="A3939" i="1"/>
  <c r="D3938" i="1"/>
  <c r="A3938" i="1"/>
  <c r="D3937" i="1"/>
  <c r="A3937" i="1"/>
  <c r="D3936" i="1"/>
  <c r="A3936" i="1"/>
  <c r="D3935" i="1"/>
  <c r="A3935" i="1"/>
  <c r="D3934" i="1"/>
  <c r="A3934" i="1"/>
  <c r="D3933" i="1"/>
  <c r="A3933" i="1"/>
  <c r="E3932" i="1"/>
  <c r="D3932" i="1"/>
  <c r="A3932" i="1"/>
  <c r="E3931" i="1"/>
  <c r="D3931" i="1"/>
  <c r="A3931" i="1"/>
  <c r="D3930" i="1"/>
  <c r="A3930" i="1"/>
  <c r="E3929" i="1"/>
  <c r="D3929" i="1"/>
  <c r="A3929" i="1"/>
  <c r="E3928" i="1"/>
  <c r="D3928" i="1"/>
  <c r="A3928" i="1"/>
  <c r="E3927" i="1"/>
  <c r="D3927" i="1"/>
  <c r="A3927" i="1"/>
  <c r="E3926" i="1"/>
  <c r="D3926" i="1"/>
  <c r="A3926" i="1"/>
  <c r="E3925" i="1"/>
  <c r="D3925" i="1"/>
  <c r="A3925" i="1"/>
  <c r="D3924" i="1"/>
  <c r="A3924" i="1"/>
  <c r="D3923" i="1"/>
  <c r="A3923" i="1"/>
  <c r="D3922" i="1"/>
  <c r="A3922" i="1"/>
  <c r="D3921" i="1"/>
  <c r="A3921" i="1"/>
  <c r="D3920" i="1"/>
  <c r="A3920" i="1"/>
  <c r="E3919" i="1"/>
  <c r="D3919" i="1"/>
  <c r="A3919" i="1"/>
  <c r="E3918" i="1"/>
  <c r="D3918" i="1"/>
  <c r="A3918" i="1"/>
  <c r="E3917" i="1"/>
  <c r="D3917" i="1"/>
  <c r="A3917" i="1"/>
  <c r="E3916" i="1"/>
  <c r="D3916" i="1"/>
  <c r="A3916" i="1"/>
  <c r="E3915" i="1"/>
  <c r="D3915" i="1"/>
  <c r="A3915" i="1"/>
  <c r="E3914" i="1"/>
  <c r="D3914" i="1"/>
  <c r="A3914" i="1"/>
  <c r="E3913" i="1"/>
  <c r="D3913" i="1"/>
  <c r="A3913" i="1"/>
  <c r="D3912" i="1"/>
  <c r="A3912" i="1"/>
  <c r="D3911" i="1"/>
  <c r="A3911" i="1"/>
  <c r="D3910" i="1"/>
  <c r="A3910" i="1"/>
  <c r="D3909" i="1"/>
  <c r="A3909" i="1"/>
  <c r="D3908" i="1"/>
  <c r="A3908" i="1"/>
  <c r="D3907" i="1"/>
  <c r="A3907" i="1"/>
  <c r="D3906" i="1"/>
  <c r="A3906" i="1"/>
  <c r="D3905" i="1"/>
  <c r="A3905" i="1"/>
  <c r="D3904" i="1"/>
  <c r="A3904" i="1"/>
  <c r="D3903" i="1"/>
  <c r="A3903" i="1"/>
  <c r="D3902" i="1"/>
  <c r="A3902" i="1"/>
  <c r="D3901" i="1"/>
  <c r="A3901" i="1"/>
  <c r="D3900" i="1"/>
  <c r="A3900" i="1"/>
  <c r="D3899" i="1"/>
  <c r="A3899" i="1"/>
  <c r="D3898" i="1"/>
  <c r="A3898" i="1"/>
  <c r="D3897" i="1"/>
  <c r="A3897" i="1"/>
  <c r="D3896" i="1"/>
  <c r="A3896" i="1"/>
  <c r="E3895" i="1"/>
  <c r="D3895" i="1"/>
  <c r="A3895" i="1"/>
  <c r="E3894" i="1"/>
  <c r="D3894" i="1"/>
  <c r="A3894" i="1"/>
  <c r="E3893" i="1"/>
  <c r="D3893" i="1"/>
  <c r="A3893" i="1"/>
  <c r="E3892" i="1"/>
  <c r="D3892" i="1"/>
  <c r="A3892" i="1"/>
  <c r="E3891" i="1"/>
  <c r="D3891" i="1"/>
  <c r="A3891" i="1"/>
  <c r="E3890" i="1"/>
  <c r="D3890" i="1"/>
  <c r="A3890" i="1"/>
  <c r="D3889" i="1"/>
  <c r="A3889" i="1"/>
  <c r="D3888" i="1"/>
  <c r="A3888" i="1"/>
  <c r="D3887" i="1"/>
  <c r="A3887" i="1"/>
  <c r="D3886" i="1"/>
  <c r="A3886" i="1"/>
  <c r="E3885" i="1"/>
  <c r="D3885" i="1"/>
  <c r="A3885" i="1"/>
  <c r="E3884" i="1"/>
  <c r="D3884" i="1"/>
  <c r="A3884" i="1"/>
  <c r="D3883" i="1"/>
  <c r="A3883" i="1"/>
  <c r="E3882" i="1"/>
  <c r="D3882" i="1"/>
  <c r="A3882" i="1"/>
  <c r="E3881" i="1"/>
  <c r="D3881" i="1"/>
  <c r="A3881" i="1"/>
  <c r="E3880" i="1"/>
  <c r="D3880" i="1"/>
  <c r="A3880" i="1"/>
  <c r="D3879" i="1"/>
  <c r="A3879" i="1"/>
  <c r="D3878" i="1"/>
  <c r="A3878" i="1"/>
  <c r="D3877" i="1"/>
  <c r="A3877" i="1"/>
  <c r="D3876" i="1"/>
  <c r="A3876" i="1"/>
  <c r="E3875" i="1"/>
  <c r="D3875" i="1"/>
  <c r="A3875" i="1"/>
  <c r="E3874" i="1"/>
  <c r="D3874" i="1"/>
  <c r="A3874" i="1"/>
  <c r="E3873" i="1"/>
  <c r="D3873" i="1"/>
  <c r="A3873" i="1"/>
  <c r="D3872" i="1"/>
  <c r="A3872" i="1"/>
  <c r="E3871" i="1"/>
  <c r="D3871" i="1"/>
  <c r="A3871" i="1"/>
  <c r="E3870" i="1"/>
  <c r="D3870" i="1"/>
  <c r="A3870" i="1"/>
  <c r="D3869" i="1"/>
  <c r="A3869" i="1"/>
  <c r="D3868" i="1"/>
  <c r="A3868" i="1"/>
  <c r="D3867" i="1"/>
  <c r="A3867" i="1"/>
  <c r="E3866" i="1"/>
  <c r="D3866" i="1"/>
  <c r="A3866" i="1"/>
  <c r="E3865" i="1"/>
  <c r="D3865" i="1"/>
  <c r="A3865" i="1"/>
  <c r="D3864" i="1"/>
  <c r="A3864" i="1"/>
  <c r="D3863" i="1"/>
  <c r="A3863" i="1"/>
  <c r="D3862" i="1"/>
  <c r="A3862" i="1"/>
  <c r="E3861" i="1"/>
  <c r="D3861" i="1"/>
  <c r="A3861" i="1"/>
  <c r="D3860" i="1"/>
  <c r="A3860" i="1"/>
  <c r="E3859" i="1"/>
  <c r="D3859" i="1"/>
  <c r="A3859" i="1"/>
  <c r="E3858" i="1"/>
  <c r="D3858" i="1"/>
  <c r="A3858" i="1"/>
  <c r="E3857" i="1"/>
  <c r="D3857" i="1"/>
  <c r="A3857" i="1"/>
  <c r="E3856" i="1"/>
  <c r="D3856" i="1"/>
  <c r="A3856" i="1"/>
  <c r="E3855" i="1"/>
  <c r="D3855" i="1"/>
  <c r="A3855" i="1"/>
  <c r="E3854" i="1"/>
  <c r="D3854" i="1"/>
  <c r="A3854" i="1"/>
  <c r="E3853" i="1"/>
  <c r="D3853" i="1"/>
  <c r="A3853" i="1"/>
  <c r="D3852" i="1"/>
  <c r="A3852" i="1"/>
  <c r="D3851" i="1"/>
  <c r="A3851" i="1"/>
  <c r="D3850" i="1"/>
  <c r="A3850" i="1"/>
  <c r="E3849" i="1"/>
  <c r="D3849" i="1"/>
  <c r="A3849" i="1"/>
  <c r="E3848" i="1"/>
  <c r="D3848" i="1"/>
  <c r="A3848" i="1"/>
  <c r="E3847" i="1"/>
  <c r="D3847" i="1"/>
  <c r="A3847" i="1"/>
  <c r="E3846" i="1"/>
  <c r="D3846" i="1"/>
  <c r="A3846" i="1"/>
  <c r="D3845" i="1"/>
  <c r="A3845" i="1"/>
  <c r="E3844" i="1"/>
  <c r="D3844" i="1"/>
  <c r="A3844" i="1"/>
  <c r="E3843" i="1"/>
  <c r="D3843" i="1"/>
  <c r="A3843" i="1"/>
  <c r="E3842" i="1"/>
  <c r="D3842" i="1"/>
  <c r="A3842" i="1"/>
  <c r="E3841" i="1"/>
  <c r="D3841" i="1"/>
  <c r="A3841" i="1"/>
  <c r="E3840" i="1"/>
  <c r="D3840" i="1"/>
  <c r="A3840" i="1"/>
  <c r="E3839" i="1"/>
  <c r="D3839" i="1"/>
  <c r="A3839" i="1"/>
  <c r="E3838" i="1"/>
  <c r="D3838" i="1"/>
  <c r="A3838" i="1"/>
  <c r="E3837" i="1"/>
  <c r="D3837" i="1"/>
  <c r="A3837" i="1"/>
  <c r="D3836" i="1"/>
  <c r="A3836" i="1"/>
  <c r="E3835" i="1"/>
  <c r="D3835" i="1"/>
  <c r="A3835" i="1"/>
  <c r="E3834" i="1"/>
  <c r="D3834" i="1"/>
  <c r="A3834" i="1"/>
  <c r="D3833" i="1"/>
  <c r="A3833" i="1"/>
  <c r="D3832" i="1"/>
  <c r="A3832" i="1"/>
  <c r="E3831" i="1"/>
  <c r="D3831" i="1"/>
  <c r="A3831" i="1"/>
  <c r="E3830" i="1"/>
  <c r="D3830" i="1"/>
  <c r="A3830" i="1"/>
  <c r="E3829" i="1"/>
  <c r="D3829" i="1"/>
  <c r="A3829" i="1"/>
  <c r="E3828" i="1"/>
  <c r="D3828" i="1"/>
  <c r="A3828" i="1"/>
  <c r="E3827" i="1"/>
  <c r="D3827" i="1"/>
  <c r="A3827" i="1"/>
  <c r="E3826" i="1"/>
  <c r="D3826" i="1"/>
  <c r="A3826" i="1"/>
  <c r="E3825" i="1"/>
  <c r="D3825" i="1"/>
  <c r="A3825" i="1"/>
  <c r="E3824" i="1"/>
  <c r="D3824" i="1"/>
  <c r="A3824" i="1"/>
  <c r="D3823" i="1"/>
  <c r="A3823" i="1"/>
  <c r="D3822" i="1"/>
  <c r="A3822" i="1"/>
  <c r="E3821" i="1"/>
  <c r="D3821" i="1"/>
  <c r="A3821" i="1"/>
  <c r="E3820" i="1"/>
  <c r="D3820" i="1"/>
  <c r="A3820" i="1"/>
  <c r="E3819" i="1"/>
  <c r="D3819" i="1"/>
  <c r="A3819" i="1"/>
  <c r="D3818" i="1"/>
  <c r="A3818" i="1"/>
  <c r="D3817" i="1"/>
  <c r="A3817" i="1"/>
  <c r="D3816" i="1"/>
  <c r="A3816" i="1"/>
  <c r="D3815" i="1"/>
  <c r="A3815" i="1"/>
  <c r="D3814" i="1"/>
  <c r="A3814" i="1"/>
  <c r="D3813" i="1"/>
  <c r="A3813" i="1"/>
  <c r="D3812" i="1"/>
  <c r="A3812" i="1"/>
  <c r="D3811" i="1"/>
  <c r="A3811" i="1"/>
  <c r="D3810" i="1"/>
  <c r="A3810" i="1"/>
  <c r="D3809" i="1"/>
  <c r="A3809" i="1"/>
  <c r="E3808" i="1"/>
  <c r="D3808" i="1"/>
  <c r="A3808" i="1"/>
  <c r="E3807" i="1"/>
  <c r="D3807" i="1"/>
  <c r="A3807" i="1"/>
  <c r="E3806" i="1"/>
  <c r="D3806" i="1"/>
  <c r="A3806" i="1"/>
  <c r="D3805" i="1"/>
  <c r="A3805" i="1"/>
  <c r="E3804" i="1"/>
  <c r="D3804" i="1"/>
  <c r="A3804" i="1"/>
  <c r="D3803" i="1"/>
  <c r="A3803" i="1"/>
  <c r="E3802" i="1"/>
  <c r="D3802" i="1"/>
  <c r="A3802" i="1"/>
  <c r="E3801" i="1"/>
  <c r="D3801" i="1"/>
  <c r="A3801" i="1"/>
  <c r="D3800" i="1"/>
  <c r="A3800" i="1"/>
  <c r="D3799" i="1"/>
  <c r="A3799" i="1"/>
  <c r="D3798" i="1"/>
  <c r="A3798" i="1"/>
  <c r="E3797" i="1"/>
  <c r="D3797" i="1"/>
  <c r="A3797" i="1"/>
  <c r="E3796" i="1"/>
  <c r="D3796" i="1"/>
  <c r="A3796" i="1"/>
  <c r="E3795" i="1"/>
  <c r="D3795" i="1"/>
  <c r="A3795" i="1"/>
  <c r="D3794" i="1"/>
  <c r="A3794" i="1"/>
  <c r="E3793" i="1"/>
  <c r="D3793" i="1"/>
  <c r="A3793" i="1"/>
  <c r="E3792" i="1"/>
  <c r="D3792" i="1"/>
  <c r="A3792" i="1"/>
  <c r="E3791" i="1"/>
  <c r="D3791" i="1"/>
  <c r="A3791" i="1"/>
  <c r="E3790" i="1"/>
  <c r="D3790" i="1"/>
  <c r="A3790" i="1"/>
  <c r="D3789" i="1"/>
  <c r="A3789" i="1"/>
  <c r="D3788" i="1"/>
  <c r="A3788" i="1"/>
  <c r="E3787" i="1"/>
  <c r="D3787" i="1"/>
  <c r="A3787" i="1"/>
  <c r="E3786" i="1"/>
  <c r="D3786" i="1"/>
  <c r="A3786" i="1"/>
  <c r="E3785" i="1"/>
  <c r="D3785" i="1"/>
  <c r="A3785" i="1"/>
  <c r="E3784" i="1"/>
  <c r="D3784" i="1"/>
  <c r="A3784" i="1"/>
  <c r="E3783" i="1"/>
  <c r="D3783" i="1"/>
  <c r="A3783" i="1"/>
  <c r="E3782" i="1"/>
  <c r="D3782" i="1"/>
  <c r="A3782" i="1"/>
  <c r="D3781" i="1"/>
  <c r="A3781" i="1"/>
  <c r="D3780" i="1"/>
  <c r="A3780" i="1"/>
  <c r="D3779" i="1"/>
  <c r="A3779" i="1"/>
  <c r="D3778" i="1"/>
  <c r="A3778" i="1"/>
  <c r="E3777" i="1"/>
  <c r="D3777" i="1"/>
  <c r="A3777" i="1"/>
  <c r="D3776" i="1"/>
  <c r="A3776" i="1"/>
  <c r="E3775" i="1"/>
  <c r="D3775" i="1"/>
  <c r="A3775" i="1"/>
  <c r="E3774" i="1"/>
  <c r="D3774" i="1"/>
  <c r="A3774" i="1"/>
  <c r="D3773" i="1"/>
  <c r="A3773" i="1"/>
  <c r="D3772" i="1"/>
  <c r="A3772" i="1"/>
  <c r="D3771" i="1"/>
  <c r="A3771" i="1"/>
  <c r="D3770" i="1"/>
  <c r="A3770" i="1"/>
  <c r="D3769" i="1"/>
  <c r="A3769" i="1"/>
  <c r="D3768" i="1"/>
  <c r="A3768" i="1"/>
  <c r="D3767" i="1"/>
  <c r="A3767" i="1"/>
  <c r="D3766" i="1"/>
  <c r="A3766" i="1"/>
  <c r="D3765" i="1"/>
  <c r="A3765" i="1"/>
  <c r="E3764" i="1"/>
  <c r="D3764" i="1"/>
  <c r="A3764" i="1"/>
  <c r="E3763" i="1"/>
  <c r="D3763" i="1"/>
  <c r="A3763" i="1"/>
  <c r="D3762" i="1"/>
  <c r="A3762" i="1"/>
  <c r="D3761" i="1"/>
  <c r="A3761" i="1"/>
  <c r="D3760" i="1"/>
  <c r="A3760" i="1"/>
  <c r="D3759" i="1"/>
  <c r="A3759" i="1"/>
  <c r="D3758" i="1"/>
  <c r="A3758" i="1"/>
  <c r="D3757" i="1"/>
  <c r="A3757" i="1"/>
  <c r="D3756" i="1"/>
  <c r="A3756" i="1"/>
  <c r="D3755" i="1"/>
  <c r="A3755" i="1"/>
  <c r="D3754" i="1"/>
  <c r="A3754" i="1"/>
  <c r="D3753" i="1"/>
  <c r="A3753" i="1"/>
  <c r="D3752" i="1"/>
  <c r="A3752" i="1"/>
  <c r="D3751" i="1"/>
  <c r="A3751" i="1"/>
  <c r="D3750" i="1"/>
  <c r="A3750" i="1"/>
  <c r="D3749" i="1"/>
  <c r="A3749" i="1"/>
  <c r="D3748" i="1"/>
  <c r="A3748" i="1"/>
  <c r="D3747" i="1"/>
  <c r="A3747" i="1"/>
  <c r="D3746" i="1"/>
  <c r="A3746" i="1"/>
  <c r="E3745" i="1"/>
  <c r="D3745" i="1"/>
  <c r="A3745" i="1"/>
  <c r="E3744" i="1"/>
  <c r="D3744" i="1"/>
  <c r="A3744" i="1"/>
  <c r="E3743" i="1"/>
  <c r="D3743" i="1"/>
  <c r="A3743" i="1"/>
  <c r="E3742" i="1"/>
  <c r="D3742" i="1"/>
  <c r="A3742" i="1"/>
  <c r="E3741" i="1"/>
  <c r="D3741" i="1"/>
  <c r="A3741" i="1"/>
  <c r="E3740" i="1"/>
  <c r="D3740" i="1"/>
  <c r="A3740" i="1"/>
  <c r="E3739" i="1"/>
  <c r="D3739" i="1"/>
  <c r="A3739" i="1"/>
  <c r="D3738" i="1"/>
  <c r="A3738" i="1"/>
  <c r="D3737" i="1"/>
  <c r="A3737" i="1"/>
  <c r="D3736" i="1"/>
  <c r="A3736" i="1"/>
  <c r="D3735" i="1"/>
  <c r="A3735" i="1"/>
  <c r="E3734" i="1"/>
  <c r="D3734" i="1"/>
  <c r="A3734" i="1"/>
  <c r="D3733" i="1"/>
  <c r="A3733" i="1"/>
  <c r="D3732" i="1"/>
  <c r="A3732" i="1"/>
  <c r="D3731" i="1"/>
  <c r="A3731" i="1"/>
  <c r="D3730" i="1"/>
  <c r="A3730" i="1"/>
  <c r="D3729" i="1"/>
  <c r="A3729" i="1"/>
  <c r="D3728" i="1"/>
  <c r="A3728" i="1"/>
  <c r="D3727" i="1"/>
  <c r="A3727" i="1"/>
  <c r="E3726" i="1"/>
  <c r="D3726" i="1"/>
  <c r="A3726" i="1"/>
  <c r="D3725" i="1"/>
  <c r="A3725" i="1"/>
  <c r="D3724" i="1"/>
  <c r="A3724" i="1"/>
  <c r="D3723" i="1"/>
  <c r="A3723" i="1"/>
  <c r="D3722" i="1"/>
  <c r="A3722" i="1"/>
  <c r="D3721" i="1"/>
  <c r="A3721" i="1"/>
  <c r="D3720" i="1"/>
  <c r="A3720" i="1"/>
  <c r="D3719" i="1"/>
  <c r="A3719" i="1"/>
  <c r="D3718" i="1"/>
  <c r="A3718" i="1"/>
  <c r="D3717" i="1"/>
  <c r="A3717" i="1"/>
  <c r="E3716" i="1"/>
  <c r="D3716" i="1"/>
  <c r="A3716" i="1"/>
  <c r="E3715" i="1"/>
  <c r="D3715" i="1"/>
  <c r="A3715" i="1"/>
  <c r="D3714" i="1"/>
  <c r="A3714" i="1"/>
  <c r="D3713" i="1"/>
  <c r="A3713" i="1"/>
  <c r="D3712" i="1"/>
  <c r="A3712" i="1"/>
  <c r="D3711" i="1"/>
  <c r="A3711" i="1"/>
  <c r="D3710" i="1"/>
  <c r="A3710" i="1"/>
  <c r="D3709" i="1"/>
  <c r="A3709" i="1"/>
  <c r="D3708" i="1"/>
  <c r="A3708" i="1"/>
  <c r="D3707" i="1"/>
  <c r="A3707" i="1"/>
  <c r="D3706" i="1"/>
  <c r="A3706" i="1"/>
  <c r="D3705" i="1"/>
  <c r="A3705" i="1"/>
  <c r="D3704" i="1"/>
  <c r="A3704" i="1"/>
  <c r="D3703" i="1"/>
  <c r="A3703" i="1"/>
  <c r="D3702" i="1"/>
  <c r="A3702" i="1"/>
  <c r="D3701" i="1"/>
  <c r="A3701" i="1"/>
  <c r="E3700" i="1"/>
  <c r="D3700" i="1"/>
  <c r="A3700" i="1"/>
  <c r="D3699" i="1"/>
  <c r="A3699" i="1"/>
  <c r="D3698" i="1"/>
  <c r="A3698" i="1"/>
  <c r="D3697" i="1"/>
  <c r="A3697" i="1"/>
  <c r="D3696" i="1"/>
  <c r="A3696" i="1"/>
  <c r="D3695" i="1"/>
  <c r="A3695" i="1"/>
  <c r="D3694" i="1"/>
  <c r="A3694" i="1"/>
  <c r="D3693" i="1"/>
  <c r="A3693" i="1"/>
  <c r="D3692" i="1"/>
  <c r="A3692" i="1"/>
  <c r="D3691" i="1"/>
  <c r="A3691" i="1"/>
  <c r="D3690" i="1"/>
  <c r="A3690" i="1"/>
  <c r="D3689" i="1"/>
  <c r="A3689" i="1"/>
  <c r="D3688" i="1"/>
  <c r="A3688" i="1"/>
  <c r="D3687" i="1"/>
  <c r="A3687" i="1"/>
  <c r="D3686" i="1"/>
  <c r="A3686" i="1"/>
  <c r="D3685" i="1"/>
  <c r="A3685" i="1"/>
  <c r="D3684" i="1"/>
  <c r="A3684" i="1"/>
  <c r="D3683" i="1"/>
  <c r="A3683" i="1"/>
  <c r="D3682" i="1"/>
  <c r="A3682" i="1"/>
  <c r="D3681" i="1"/>
  <c r="A3681" i="1"/>
  <c r="D3680" i="1"/>
  <c r="A3680" i="1"/>
  <c r="E3679" i="1"/>
  <c r="D3679" i="1"/>
  <c r="A3679" i="1"/>
  <c r="E3678" i="1"/>
  <c r="D3678" i="1"/>
  <c r="A3678" i="1"/>
  <c r="D3677" i="1"/>
  <c r="A3677" i="1"/>
  <c r="D3676" i="1"/>
  <c r="A3676" i="1"/>
  <c r="D3675" i="1"/>
  <c r="A3675" i="1"/>
  <c r="E3674" i="1"/>
  <c r="D3674" i="1"/>
  <c r="A3674" i="1"/>
  <c r="D3673" i="1"/>
  <c r="A3673" i="1"/>
  <c r="D3672" i="1"/>
  <c r="A3672" i="1"/>
  <c r="D3671" i="1"/>
  <c r="A3671" i="1"/>
  <c r="D3670" i="1"/>
  <c r="A3670" i="1"/>
  <c r="D3669" i="1"/>
  <c r="A3669" i="1"/>
  <c r="D3668" i="1"/>
  <c r="A3668" i="1"/>
  <c r="E3667" i="1"/>
  <c r="D3667" i="1"/>
  <c r="A3667" i="1"/>
  <c r="E3666" i="1"/>
  <c r="D3666" i="1"/>
  <c r="A3666" i="1"/>
  <c r="E3665" i="1"/>
  <c r="D3665" i="1"/>
  <c r="A3665" i="1"/>
  <c r="E3664" i="1"/>
  <c r="D3664" i="1"/>
  <c r="A3664" i="1"/>
  <c r="E3663" i="1"/>
  <c r="D3663" i="1"/>
  <c r="A3663" i="1"/>
  <c r="E3662" i="1"/>
  <c r="D3662" i="1"/>
  <c r="A3662" i="1"/>
  <c r="E3661" i="1"/>
  <c r="D3661" i="1"/>
  <c r="A3661" i="1"/>
  <c r="E3660" i="1"/>
  <c r="D3660" i="1"/>
  <c r="A3660" i="1"/>
  <c r="E3659" i="1"/>
  <c r="D3659" i="1"/>
  <c r="A3659" i="1"/>
  <c r="E3658" i="1"/>
  <c r="D3658" i="1"/>
  <c r="A3658" i="1"/>
  <c r="D3657" i="1"/>
  <c r="A3657" i="1"/>
  <c r="D3656" i="1"/>
  <c r="A3656" i="1"/>
  <c r="D3655" i="1"/>
  <c r="A3655" i="1"/>
  <c r="D3654" i="1"/>
  <c r="A3654" i="1"/>
  <c r="D3653" i="1"/>
  <c r="A3653" i="1"/>
  <c r="D3652" i="1"/>
  <c r="A3652" i="1"/>
  <c r="D3651" i="1"/>
  <c r="A3651" i="1"/>
  <c r="E3650" i="1"/>
  <c r="D3650" i="1"/>
  <c r="A3650" i="1"/>
  <c r="E3649" i="1"/>
  <c r="D3649" i="1"/>
  <c r="A3649" i="1"/>
  <c r="D3648" i="1"/>
  <c r="A3648" i="1"/>
  <c r="D3647" i="1"/>
  <c r="A3647" i="1"/>
  <c r="D3646" i="1"/>
  <c r="A3646" i="1"/>
  <c r="D3645" i="1"/>
  <c r="A3645" i="1"/>
  <c r="D3644" i="1"/>
  <c r="A3644" i="1"/>
  <c r="D3643" i="1"/>
  <c r="A3643" i="1"/>
  <c r="D3642" i="1"/>
  <c r="A3642" i="1"/>
  <c r="D3641" i="1"/>
  <c r="A3641" i="1"/>
  <c r="D3640" i="1"/>
  <c r="A3640" i="1"/>
  <c r="D3639" i="1"/>
  <c r="A3639" i="1"/>
  <c r="D3638" i="1"/>
  <c r="A3638" i="1"/>
  <c r="D3637" i="1"/>
  <c r="A3637" i="1"/>
  <c r="D3636" i="1"/>
  <c r="A3636" i="1"/>
  <c r="D3635" i="1"/>
  <c r="A3635" i="1"/>
  <c r="D3634" i="1"/>
  <c r="A3634" i="1"/>
  <c r="D3633" i="1"/>
  <c r="A3633" i="1"/>
  <c r="E3632" i="1"/>
  <c r="D3632" i="1"/>
  <c r="A3632" i="1"/>
  <c r="E3631" i="1"/>
  <c r="D3631" i="1"/>
  <c r="A3631" i="1"/>
  <c r="E3630" i="1"/>
  <c r="D3630" i="1"/>
  <c r="A3630" i="1"/>
  <c r="E3629" i="1"/>
  <c r="D3629" i="1"/>
  <c r="A3629" i="1"/>
  <c r="E3628" i="1"/>
  <c r="D3628" i="1"/>
  <c r="A3628" i="1"/>
  <c r="E3627" i="1"/>
  <c r="D3627" i="1"/>
  <c r="A3627" i="1"/>
  <c r="E3626" i="1"/>
  <c r="D3626" i="1"/>
  <c r="A3626" i="1"/>
  <c r="E3625" i="1"/>
  <c r="D3625" i="1"/>
  <c r="A3625" i="1"/>
  <c r="E3624" i="1"/>
  <c r="D3624" i="1"/>
  <c r="A3624" i="1"/>
  <c r="E3623" i="1"/>
  <c r="D3623" i="1"/>
  <c r="A3623" i="1"/>
  <c r="D3622" i="1"/>
  <c r="A3622" i="1"/>
  <c r="D3621" i="1"/>
  <c r="A3621" i="1"/>
  <c r="D3620" i="1"/>
  <c r="A3620" i="1"/>
  <c r="D3619" i="1"/>
  <c r="A3619" i="1"/>
  <c r="D3618" i="1"/>
  <c r="A3618" i="1"/>
  <c r="D3617" i="1"/>
  <c r="A3617" i="1"/>
  <c r="D3616" i="1"/>
  <c r="A3616" i="1"/>
  <c r="D3615" i="1"/>
  <c r="A3615" i="1"/>
  <c r="D3614" i="1"/>
  <c r="A3614" i="1"/>
  <c r="D3613" i="1"/>
  <c r="A3613" i="1"/>
  <c r="D3612" i="1"/>
  <c r="A3612" i="1"/>
  <c r="D3611" i="1"/>
  <c r="A3611" i="1"/>
  <c r="D3610" i="1"/>
  <c r="A3610" i="1"/>
  <c r="E3609" i="1"/>
  <c r="D3609" i="1"/>
  <c r="A3609" i="1"/>
  <c r="D3608" i="1"/>
  <c r="A3608" i="1"/>
  <c r="D3607" i="1"/>
  <c r="A3607" i="1"/>
  <c r="E3606" i="1"/>
  <c r="D3606" i="1"/>
  <c r="A3606" i="1"/>
  <c r="D3605" i="1"/>
  <c r="A3605" i="1"/>
  <c r="E3604" i="1"/>
  <c r="D3604" i="1"/>
  <c r="A3604" i="1"/>
  <c r="E3603" i="1"/>
  <c r="D3603" i="1"/>
  <c r="A3603" i="1"/>
  <c r="E3602" i="1"/>
  <c r="D3602" i="1"/>
  <c r="A3602" i="1"/>
  <c r="D3601" i="1"/>
  <c r="A3601" i="1"/>
  <c r="D3600" i="1"/>
  <c r="A3600" i="1"/>
  <c r="D3599" i="1"/>
  <c r="A3599" i="1"/>
  <c r="D3598" i="1"/>
  <c r="A3598" i="1"/>
  <c r="D3597" i="1"/>
  <c r="A3597" i="1"/>
  <c r="D3596" i="1"/>
  <c r="A3596" i="1"/>
  <c r="D3595" i="1"/>
  <c r="A3595" i="1"/>
  <c r="D3594" i="1"/>
  <c r="A3594" i="1"/>
  <c r="D3593" i="1"/>
  <c r="A3593" i="1"/>
  <c r="D3592" i="1"/>
  <c r="A3592" i="1"/>
  <c r="D3591" i="1"/>
  <c r="A3591" i="1"/>
  <c r="D3590" i="1"/>
  <c r="A3590" i="1"/>
  <c r="D3589" i="1"/>
  <c r="A3589" i="1"/>
  <c r="E3588" i="1"/>
  <c r="D3588" i="1"/>
  <c r="A3588" i="1"/>
  <c r="E3587" i="1"/>
  <c r="D3587" i="1"/>
  <c r="A3587" i="1"/>
  <c r="E3586" i="1"/>
  <c r="D3586" i="1"/>
  <c r="A3586" i="1"/>
  <c r="D3585" i="1"/>
  <c r="A3585" i="1"/>
  <c r="D3584" i="1"/>
  <c r="A3584" i="1"/>
  <c r="D3583" i="1"/>
  <c r="A3583" i="1"/>
  <c r="D3582" i="1"/>
  <c r="A3582" i="1"/>
  <c r="D3581" i="1"/>
  <c r="A3581" i="1"/>
  <c r="E3580" i="1"/>
  <c r="D3580" i="1"/>
  <c r="A3580" i="1"/>
  <c r="E3579" i="1"/>
  <c r="D3579" i="1"/>
  <c r="A3579" i="1"/>
  <c r="E3578" i="1"/>
  <c r="D3578" i="1"/>
  <c r="A3578" i="1"/>
  <c r="E3577" i="1"/>
  <c r="D3577" i="1"/>
  <c r="A3577" i="1"/>
  <c r="D3576" i="1"/>
  <c r="A3576" i="1"/>
  <c r="D3575" i="1"/>
  <c r="A3575" i="1"/>
  <c r="D3574" i="1"/>
  <c r="A3574" i="1"/>
  <c r="E3573" i="1"/>
  <c r="D3573" i="1"/>
  <c r="A3573" i="1"/>
  <c r="D3572" i="1"/>
  <c r="A3572" i="1"/>
  <c r="E3571" i="1"/>
  <c r="D3571" i="1"/>
  <c r="A3571" i="1"/>
  <c r="D3570" i="1"/>
  <c r="A3570" i="1"/>
  <c r="D3569" i="1"/>
  <c r="A3569" i="1"/>
  <c r="D3568" i="1"/>
  <c r="A3568" i="1"/>
  <c r="D3567" i="1"/>
  <c r="A3567" i="1"/>
  <c r="D3566" i="1"/>
  <c r="A3566" i="1"/>
  <c r="D3565" i="1"/>
  <c r="A3565" i="1"/>
  <c r="D3564" i="1"/>
  <c r="A3564" i="1"/>
  <c r="D3563" i="1"/>
  <c r="A3563" i="1"/>
  <c r="D3562" i="1"/>
  <c r="A3562" i="1"/>
  <c r="D3561" i="1"/>
  <c r="A3561" i="1"/>
  <c r="D3560" i="1"/>
  <c r="A3560" i="1"/>
  <c r="D3559" i="1"/>
  <c r="A3559" i="1"/>
  <c r="D3558" i="1"/>
  <c r="A3558" i="1"/>
  <c r="D3557" i="1"/>
  <c r="A3557" i="1"/>
  <c r="D3556" i="1"/>
  <c r="A3556" i="1"/>
  <c r="D3555" i="1"/>
  <c r="A3555" i="1"/>
  <c r="E3554" i="1"/>
  <c r="D3554" i="1"/>
  <c r="A3554" i="1"/>
  <c r="D3553" i="1"/>
  <c r="A3553" i="1"/>
  <c r="D3552" i="1"/>
  <c r="A3552" i="1"/>
  <c r="D3551" i="1"/>
  <c r="A3551" i="1"/>
  <c r="D3550" i="1"/>
  <c r="A3550" i="1"/>
  <c r="D3549" i="1"/>
  <c r="A3549" i="1"/>
  <c r="D3548" i="1"/>
  <c r="A3548" i="1"/>
  <c r="E3547" i="1"/>
  <c r="D3547" i="1"/>
  <c r="A3547" i="1"/>
  <c r="D3546" i="1"/>
  <c r="A3546" i="1"/>
  <c r="D3545" i="1"/>
  <c r="A3545" i="1"/>
  <c r="D3544" i="1"/>
  <c r="A3544" i="1"/>
  <c r="D3543" i="1"/>
  <c r="A3543" i="1"/>
  <c r="D3542" i="1"/>
  <c r="A3542" i="1"/>
  <c r="D3541" i="1"/>
  <c r="A3541" i="1"/>
  <c r="D3540" i="1"/>
  <c r="A3540" i="1"/>
  <c r="D3539" i="1"/>
  <c r="A3539" i="1"/>
  <c r="D3538" i="1"/>
  <c r="A3538" i="1"/>
  <c r="D3537" i="1"/>
  <c r="A3537" i="1"/>
  <c r="D3536" i="1"/>
  <c r="A3536" i="1"/>
  <c r="D3535" i="1"/>
  <c r="A3535" i="1"/>
  <c r="D3534" i="1"/>
  <c r="A3534" i="1"/>
  <c r="D3533" i="1"/>
  <c r="A3533" i="1"/>
  <c r="D3532" i="1"/>
  <c r="A3532" i="1"/>
  <c r="D3531" i="1"/>
  <c r="A3531" i="1"/>
  <c r="D3530" i="1"/>
  <c r="A3530" i="1"/>
  <c r="D3529" i="1"/>
  <c r="A3529" i="1"/>
  <c r="D3528" i="1"/>
  <c r="A3528" i="1"/>
  <c r="D3527" i="1"/>
  <c r="A3527" i="1"/>
  <c r="D3526" i="1"/>
  <c r="A3526" i="1"/>
  <c r="D3525" i="1"/>
  <c r="A3525" i="1"/>
  <c r="D3524" i="1"/>
  <c r="A3524" i="1"/>
  <c r="D3523" i="1"/>
  <c r="A3523" i="1"/>
  <c r="D3522" i="1"/>
  <c r="A3522" i="1"/>
  <c r="D3521" i="1"/>
  <c r="A3521" i="1"/>
  <c r="D3520" i="1"/>
  <c r="A3520" i="1"/>
  <c r="D3519" i="1"/>
  <c r="A3519" i="1"/>
  <c r="D3518" i="1"/>
  <c r="A3518" i="1"/>
  <c r="D3517" i="1"/>
  <c r="A3517" i="1"/>
  <c r="D3516" i="1"/>
  <c r="A3516" i="1"/>
  <c r="D3515" i="1"/>
  <c r="A3515" i="1"/>
  <c r="D3514" i="1"/>
  <c r="A3514" i="1"/>
  <c r="D3513" i="1"/>
  <c r="A3513" i="1"/>
  <c r="D3512" i="1"/>
  <c r="A3512" i="1"/>
  <c r="D3511" i="1"/>
  <c r="A3511" i="1"/>
  <c r="D3510" i="1"/>
  <c r="A3510" i="1"/>
  <c r="D3509" i="1"/>
  <c r="A3509" i="1"/>
  <c r="D3508" i="1"/>
  <c r="A3508" i="1"/>
  <c r="D3507" i="1"/>
  <c r="A3507" i="1"/>
  <c r="D3506" i="1"/>
  <c r="A3506" i="1"/>
  <c r="D3505" i="1"/>
  <c r="A3505" i="1"/>
  <c r="D3504" i="1"/>
  <c r="A3504" i="1"/>
  <c r="D3503" i="1"/>
  <c r="A3503" i="1"/>
  <c r="D3502" i="1"/>
  <c r="A3502" i="1"/>
  <c r="D3501" i="1"/>
  <c r="A3501" i="1"/>
  <c r="D3500" i="1"/>
  <c r="A3500" i="1"/>
  <c r="D3499" i="1"/>
  <c r="A3499" i="1"/>
  <c r="D3498" i="1"/>
  <c r="A3498" i="1"/>
  <c r="D3497" i="1"/>
  <c r="A3497" i="1"/>
  <c r="D3496" i="1"/>
  <c r="A3496" i="1"/>
  <c r="D3495" i="1"/>
  <c r="A3495" i="1"/>
  <c r="D3494" i="1"/>
  <c r="A3494" i="1"/>
  <c r="D3493" i="1"/>
  <c r="A3493" i="1"/>
  <c r="D3492" i="1"/>
  <c r="A3492" i="1"/>
  <c r="D3491" i="1"/>
  <c r="A3491" i="1"/>
  <c r="D3490" i="1"/>
  <c r="A3490" i="1"/>
  <c r="D3489" i="1"/>
  <c r="A3489" i="1"/>
  <c r="D3488" i="1"/>
  <c r="A3488" i="1"/>
  <c r="D3487" i="1"/>
  <c r="A3487" i="1"/>
  <c r="D3486" i="1"/>
  <c r="A3486" i="1"/>
  <c r="D3485" i="1"/>
  <c r="A3485" i="1"/>
  <c r="D3484" i="1"/>
  <c r="A3484" i="1"/>
  <c r="D3483" i="1"/>
  <c r="A3483" i="1"/>
  <c r="D3482" i="1"/>
  <c r="A3482" i="1"/>
  <c r="D3481" i="1"/>
  <c r="A3481" i="1"/>
  <c r="D3480" i="1"/>
  <c r="A3480" i="1"/>
  <c r="D3479" i="1"/>
  <c r="A3479" i="1"/>
  <c r="D3478" i="1"/>
  <c r="A3478" i="1"/>
  <c r="D3477" i="1"/>
  <c r="A3477" i="1"/>
  <c r="D3476" i="1"/>
  <c r="A3476" i="1"/>
  <c r="D3475" i="1"/>
  <c r="A3475" i="1"/>
  <c r="D3474" i="1"/>
  <c r="A3474" i="1"/>
  <c r="D3473" i="1"/>
  <c r="A3473" i="1"/>
  <c r="D3472" i="1"/>
  <c r="A3472" i="1"/>
  <c r="D3471" i="1"/>
  <c r="A3471" i="1"/>
  <c r="D3470" i="1"/>
  <c r="A3470" i="1"/>
  <c r="E3469" i="1"/>
  <c r="D3469" i="1"/>
  <c r="A3469" i="1"/>
  <c r="D3468" i="1"/>
  <c r="A3468" i="1"/>
  <c r="D3467" i="1"/>
  <c r="A3467" i="1"/>
  <c r="D3466" i="1"/>
  <c r="A3466" i="1"/>
  <c r="D3465" i="1"/>
  <c r="A3465" i="1"/>
  <c r="D3464" i="1"/>
  <c r="A3464" i="1"/>
  <c r="D3463" i="1"/>
  <c r="A3463" i="1"/>
  <c r="D3462" i="1"/>
  <c r="A3462" i="1"/>
  <c r="D3461" i="1"/>
  <c r="A3461" i="1"/>
  <c r="D3460" i="1"/>
  <c r="A3460" i="1"/>
  <c r="D3459" i="1"/>
  <c r="A3459" i="1"/>
  <c r="D3458" i="1"/>
  <c r="A3458" i="1"/>
  <c r="D3457" i="1"/>
  <c r="A3457" i="1"/>
  <c r="D3456" i="1"/>
  <c r="A3456" i="1"/>
  <c r="D3455" i="1"/>
  <c r="A3455" i="1"/>
  <c r="D3454" i="1"/>
  <c r="A3454" i="1"/>
  <c r="D3453" i="1"/>
  <c r="A3453" i="1"/>
  <c r="D3452" i="1"/>
  <c r="A3452" i="1"/>
  <c r="D3451" i="1"/>
  <c r="A3451" i="1"/>
  <c r="D3450" i="1"/>
  <c r="A3450" i="1"/>
  <c r="D3449" i="1"/>
  <c r="A3449" i="1"/>
  <c r="D3448" i="1"/>
  <c r="A3448" i="1"/>
  <c r="D3447" i="1"/>
  <c r="A3447" i="1"/>
  <c r="D3446" i="1"/>
  <c r="A3446" i="1"/>
  <c r="D3445" i="1"/>
  <c r="A3445" i="1"/>
  <c r="D3444" i="1"/>
  <c r="A3444" i="1"/>
  <c r="D3443" i="1"/>
  <c r="A3443" i="1"/>
  <c r="D3442" i="1"/>
  <c r="A3442" i="1"/>
  <c r="D3441" i="1"/>
  <c r="A3441" i="1"/>
  <c r="D3440" i="1"/>
  <c r="A3440" i="1"/>
  <c r="D3439" i="1"/>
  <c r="A3439" i="1"/>
  <c r="D3438" i="1"/>
  <c r="A3438" i="1"/>
  <c r="D3437" i="1"/>
  <c r="A3437" i="1"/>
  <c r="D3436" i="1"/>
  <c r="A3436" i="1"/>
  <c r="D3435" i="1"/>
  <c r="A3435" i="1"/>
  <c r="D3434" i="1"/>
  <c r="A3434" i="1"/>
  <c r="D3433" i="1"/>
  <c r="A3433" i="1"/>
  <c r="D3432" i="1"/>
  <c r="A3432" i="1"/>
  <c r="D3431" i="1"/>
  <c r="A3431" i="1"/>
  <c r="D3430" i="1"/>
  <c r="A3430" i="1"/>
  <c r="D3429" i="1"/>
  <c r="A3429" i="1"/>
  <c r="D3428" i="1"/>
  <c r="A3428" i="1"/>
  <c r="D3427" i="1"/>
  <c r="A3427" i="1"/>
  <c r="D3426" i="1"/>
  <c r="A3426" i="1"/>
  <c r="D3425" i="1"/>
  <c r="A3425" i="1"/>
  <c r="D3424" i="1"/>
  <c r="A3424" i="1"/>
  <c r="D3423" i="1"/>
  <c r="A3423" i="1"/>
  <c r="D3422" i="1"/>
  <c r="A3422" i="1"/>
  <c r="D3421" i="1"/>
  <c r="A3421" i="1"/>
  <c r="D3420" i="1"/>
  <c r="A3420" i="1"/>
  <c r="D3419" i="1"/>
  <c r="A3419" i="1"/>
  <c r="D3418" i="1"/>
  <c r="A3418" i="1"/>
  <c r="D3417" i="1"/>
  <c r="A3417" i="1"/>
  <c r="D3416" i="1"/>
  <c r="A3416" i="1"/>
  <c r="D3415" i="1"/>
  <c r="A3415" i="1"/>
  <c r="D3414" i="1"/>
  <c r="A3414" i="1"/>
  <c r="D3413" i="1"/>
  <c r="A3413" i="1"/>
  <c r="D3412" i="1"/>
  <c r="A3412" i="1"/>
  <c r="D3411" i="1"/>
  <c r="A3411" i="1"/>
  <c r="D3410" i="1"/>
  <c r="A3410" i="1"/>
  <c r="D3409" i="1"/>
  <c r="A3409" i="1"/>
  <c r="D3408" i="1"/>
  <c r="A3408" i="1"/>
  <c r="D3407" i="1"/>
  <c r="A3407" i="1"/>
  <c r="D3406" i="1"/>
  <c r="A3406" i="1"/>
  <c r="E3405" i="1"/>
  <c r="D3405" i="1"/>
  <c r="A3405" i="1"/>
  <c r="D3404" i="1"/>
  <c r="A3404" i="1"/>
  <c r="D3403" i="1"/>
  <c r="A3403" i="1"/>
  <c r="D3402" i="1"/>
  <c r="A3402" i="1"/>
  <c r="D3401" i="1"/>
  <c r="A3401" i="1"/>
  <c r="D3400" i="1"/>
  <c r="A3400" i="1"/>
  <c r="D3399" i="1"/>
  <c r="A3399" i="1"/>
  <c r="D3398" i="1"/>
  <c r="A3398" i="1"/>
  <c r="D3397" i="1"/>
  <c r="A3397" i="1"/>
  <c r="D3396" i="1"/>
  <c r="A3396" i="1"/>
  <c r="D3395" i="1"/>
  <c r="A3395" i="1"/>
  <c r="D3394" i="1"/>
  <c r="A3394" i="1"/>
  <c r="D3393" i="1"/>
  <c r="A3393" i="1"/>
  <c r="D3392" i="1"/>
  <c r="A3392" i="1"/>
  <c r="E3391" i="1"/>
  <c r="D3391" i="1"/>
  <c r="A3391" i="1"/>
  <c r="D3390" i="1"/>
  <c r="A3390" i="1"/>
  <c r="D3389" i="1"/>
  <c r="A3389" i="1"/>
  <c r="D3388" i="1"/>
  <c r="A3388" i="1"/>
  <c r="D3387" i="1"/>
  <c r="A3387" i="1"/>
  <c r="D3386" i="1"/>
  <c r="A3386" i="1"/>
  <c r="E3385" i="1"/>
  <c r="D3385" i="1"/>
  <c r="A3385" i="1"/>
  <c r="D3384" i="1"/>
  <c r="A3384" i="1"/>
  <c r="D3383" i="1"/>
  <c r="A3383" i="1"/>
  <c r="E3382" i="1"/>
  <c r="D3382" i="1"/>
  <c r="A3382" i="1"/>
  <c r="D3381" i="1"/>
  <c r="A3381" i="1"/>
  <c r="D3380" i="1"/>
  <c r="A3380" i="1"/>
  <c r="D3379" i="1"/>
  <c r="A3379" i="1"/>
  <c r="D3378" i="1"/>
  <c r="A3378" i="1"/>
  <c r="D3377" i="1"/>
  <c r="A3377" i="1"/>
  <c r="D3376" i="1"/>
  <c r="A3376" i="1"/>
  <c r="D3375" i="1"/>
  <c r="A3375" i="1"/>
  <c r="D3374" i="1"/>
  <c r="A3374" i="1"/>
  <c r="D3373" i="1"/>
  <c r="A3373" i="1"/>
  <c r="D3372" i="1"/>
  <c r="A3372" i="1"/>
  <c r="D3371" i="1"/>
  <c r="A3371" i="1"/>
  <c r="E3370" i="1"/>
  <c r="D3370" i="1"/>
  <c r="A3370" i="1"/>
  <c r="D3369" i="1"/>
  <c r="A3369" i="1"/>
  <c r="E3368" i="1"/>
  <c r="D3368" i="1"/>
  <c r="A3368" i="1"/>
  <c r="D3367" i="1"/>
  <c r="A3367" i="1"/>
  <c r="E3366" i="1"/>
  <c r="D3366" i="1"/>
  <c r="A3366" i="1"/>
  <c r="D3365" i="1"/>
  <c r="A3365" i="1"/>
  <c r="D3364" i="1"/>
  <c r="A3364" i="1"/>
  <c r="D3363" i="1"/>
  <c r="A3363" i="1"/>
  <c r="D3362" i="1"/>
  <c r="A3362" i="1"/>
  <c r="D3361" i="1"/>
  <c r="A3361" i="1"/>
  <c r="E3360" i="1"/>
  <c r="D3360" i="1"/>
  <c r="A3360" i="1"/>
  <c r="E3359" i="1"/>
  <c r="D3359" i="1"/>
  <c r="A3359" i="1"/>
  <c r="D3358" i="1"/>
  <c r="A3358" i="1"/>
  <c r="D3357" i="1"/>
  <c r="A3357" i="1"/>
  <c r="D3356" i="1"/>
  <c r="A3356" i="1"/>
  <c r="D3355" i="1"/>
  <c r="A3355" i="1"/>
  <c r="E3354" i="1"/>
  <c r="D3354" i="1"/>
  <c r="A3354" i="1"/>
  <c r="E3353" i="1"/>
  <c r="D3353" i="1"/>
  <c r="A3353" i="1"/>
  <c r="E3352" i="1"/>
  <c r="D3352" i="1"/>
  <c r="A3352" i="1"/>
  <c r="E3351" i="1"/>
  <c r="D3351" i="1"/>
  <c r="A3351" i="1"/>
  <c r="D3350" i="1"/>
  <c r="A3350" i="1"/>
  <c r="D3349" i="1"/>
  <c r="A3349" i="1"/>
  <c r="E3348" i="1"/>
  <c r="D3348" i="1"/>
  <c r="A3348" i="1"/>
  <c r="D3347" i="1"/>
  <c r="A3347" i="1"/>
  <c r="D3346" i="1"/>
  <c r="A3346" i="1"/>
  <c r="E3345" i="1"/>
  <c r="D3345" i="1"/>
  <c r="A3345" i="1"/>
  <c r="D3344" i="1"/>
  <c r="A3344" i="1"/>
  <c r="D3343" i="1"/>
  <c r="A3343" i="1"/>
  <c r="D3342" i="1"/>
  <c r="A3342" i="1"/>
  <c r="D3341" i="1"/>
  <c r="A3341" i="1"/>
  <c r="D3340" i="1"/>
  <c r="A3340" i="1"/>
  <c r="D3339" i="1"/>
  <c r="A3339" i="1"/>
  <c r="D3338" i="1"/>
  <c r="A3338" i="1"/>
  <c r="D3337" i="1"/>
  <c r="A3337" i="1"/>
  <c r="D3336" i="1"/>
  <c r="A3336" i="1"/>
  <c r="D3335" i="1"/>
  <c r="A3335" i="1"/>
  <c r="E3334" i="1"/>
  <c r="D3334" i="1"/>
  <c r="A3334" i="1"/>
  <c r="D3333" i="1"/>
  <c r="A3333" i="1"/>
  <c r="D3332" i="1"/>
  <c r="A3332" i="1"/>
  <c r="E3331" i="1"/>
  <c r="D3331" i="1"/>
  <c r="A3331" i="1"/>
  <c r="D3330" i="1"/>
  <c r="A3330" i="1"/>
  <c r="D3329" i="1"/>
  <c r="A3329" i="1"/>
  <c r="D3328" i="1"/>
  <c r="A3328" i="1"/>
  <c r="D3327" i="1"/>
  <c r="A3327" i="1"/>
  <c r="D3326" i="1"/>
  <c r="A3326" i="1"/>
  <c r="D3325" i="1"/>
  <c r="A3325" i="1"/>
  <c r="D3324" i="1"/>
  <c r="A3324" i="1"/>
  <c r="D3323" i="1"/>
  <c r="A3323" i="1"/>
  <c r="D3322" i="1"/>
  <c r="A3322" i="1"/>
  <c r="D3321" i="1"/>
  <c r="A3321" i="1"/>
  <c r="D3320" i="1"/>
  <c r="A3320" i="1"/>
  <c r="D3319" i="1"/>
  <c r="A3319" i="1"/>
  <c r="D3318" i="1"/>
  <c r="A3318" i="1"/>
  <c r="D3317" i="1"/>
  <c r="A3317" i="1"/>
  <c r="D3316" i="1"/>
  <c r="A3316" i="1"/>
  <c r="D3315" i="1"/>
  <c r="A3315" i="1"/>
  <c r="D3314" i="1"/>
  <c r="A3314" i="1"/>
  <c r="D3313" i="1"/>
  <c r="A3313" i="1"/>
  <c r="D3312" i="1"/>
  <c r="A3312" i="1"/>
  <c r="D3311" i="1"/>
  <c r="A3311" i="1"/>
  <c r="D3310" i="1"/>
  <c r="A3310" i="1"/>
  <c r="D3309" i="1"/>
  <c r="A3309" i="1"/>
  <c r="D3308" i="1"/>
  <c r="A3308" i="1"/>
  <c r="E3307" i="1"/>
  <c r="D3307" i="1"/>
  <c r="A3307" i="1"/>
  <c r="D3306" i="1"/>
  <c r="A3306" i="1"/>
  <c r="D3305" i="1"/>
  <c r="A3305" i="1"/>
  <c r="D3304" i="1"/>
  <c r="A3304" i="1"/>
  <c r="D3303" i="1"/>
  <c r="A3303" i="1"/>
  <c r="D3302" i="1"/>
  <c r="A3302" i="1"/>
  <c r="D3301" i="1"/>
  <c r="A3301" i="1"/>
  <c r="D3300" i="1"/>
  <c r="A3300" i="1"/>
  <c r="D3299" i="1"/>
  <c r="A3299" i="1"/>
  <c r="D3298" i="1"/>
  <c r="A3298" i="1"/>
  <c r="D3297" i="1"/>
  <c r="A3297" i="1"/>
  <c r="D3296" i="1"/>
  <c r="A3296" i="1"/>
  <c r="D3295" i="1"/>
  <c r="A3295" i="1"/>
  <c r="D3294" i="1"/>
  <c r="A3294" i="1"/>
  <c r="D3293" i="1"/>
  <c r="A3293" i="1"/>
  <c r="D3292" i="1"/>
  <c r="A3292" i="1"/>
  <c r="D3291" i="1"/>
  <c r="A3291" i="1"/>
  <c r="D3290" i="1"/>
  <c r="A3290" i="1"/>
  <c r="D3289" i="1"/>
  <c r="A3289" i="1"/>
  <c r="D3288" i="1"/>
  <c r="A3288" i="1"/>
  <c r="D3287" i="1"/>
  <c r="A3287" i="1"/>
  <c r="D3286" i="1"/>
  <c r="A3286" i="1"/>
  <c r="D3285" i="1"/>
  <c r="A3285" i="1"/>
  <c r="D3284" i="1"/>
  <c r="A3284" i="1"/>
  <c r="D3283" i="1"/>
  <c r="A3283" i="1"/>
  <c r="D3282" i="1"/>
  <c r="A3282" i="1"/>
  <c r="D3281" i="1"/>
  <c r="A3281" i="1"/>
  <c r="D3280" i="1"/>
  <c r="A3280" i="1"/>
  <c r="D3279" i="1"/>
  <c r="A3279" i="1"/>
  <c r="D3278" i="1"/>
  <c r="A3278" i="1"/>
  <c r="D3277" i="1"/>
  <c r="A3277" i="1"/>
  <c r="D3276" i="1"/>
  <c r="A3276" i="1"/>
  <c r="E3275" i="1"/>
  <c r="D3275" i="1"/>
  <c r="A3275" i="1"/>
  <c r="D3274" i="1"/>
  <c r="A3274" i="1"/>
  <c r="D3273" i="1"/>
  <c r="A3273" i="1"/>
  <c r="D3272" i="1"/>
  <c r="A3272" i="1"/>
  <c r="D3271" i="1"/>
  <c r="A3271" i="1"/>
  <c r="D3270" i="1"/>
  <c r="A3270" i="1"/>
  <c r="D3269" i="1"/>
  <c r="A3269" i="1"/>
  <c r="D3268" i="1"/>
  <c r="A3268" i="1"/>
  <c r="D3267" i="1"/>
  <c r="A3267" i="1"/>
  <c r="D3266" i="1"/>
  <c r="A3266" i="1"/>
  <c r="D3265" i="1"/>
  <c r="A3265" i="1"/>
  <c r="D3264" i="1"/>
  <c r="A3264" i="1"/>
  <c r="D3263" i="1"/>
  <c r="A3263" i="1"/>
  <c r="D3262" i="1"/>
  <c r="A3262" i="1"/>
  <c r="D3261" i="1"/>
  <c r="A3261" i="1"/>
  <c r="D3260" i="1"/>
  <c r="A3260" i="1"/>
  <c r="D3259" i="1"/>
  <c r="A3259" i="1"/>
  <c r="D3258" i="1"/>
  <c r="A3258" i="1"/>
  <c r="D3257" i="1"/>
  <c r="A3257" i="1"/>
  <c r="D3256" i="1"/>
  <c r="A3256" i="1"/>
  <c r="D3255" i="1"/>
  <c r="A3255" i="1"/>
  <c r="D3254" i="1"/>
  <c r="A3254" i="1"/>
  <c r="D3253" i="1"/>
  <c r="A3253" i="1"/>
  <c r="D3252" i="1"/>
  <c r="A3252" i="1"/>
  <c r="D3251" i="1"/>
  <c r="A3251" i="1"/>
  <c r="D3250" i="1"/>
  <c r="A3250" i="1"/>
  <c r="D3249" i="1"/>
  <c r="A3249" i="1"/>
  <c r="D3248" i="1"/>
  <c r="A3248" i="1"/>
  <c r="D3247" i="1"/>
  <c r="A3247" i="1"/>
  <c r="D3246" i="1"/>
  <c r="A3246" i="1"/>
  <c r="D3245" i="1"/>
  <c r="A3245" i="1"/>
  <c r="D3244" i="1"/>
  <c r="A3244" i="1"/>
  <c r="D3243" i="1"/>
  <c r="A3243" i="1"/>
  <c r="D3242" i="1"/>
  <c r="A3242" i="1"/>
  <c r="D3241" i="1"/>
  <c r="A3241" i="1"/>
  <c r="D3240" i="1"/>
  <c r="A3240" i="1"/>
  <c r="D3239" i="1"/>
  <c r="A3239" i="1"/>
  <c r="D3238" i="1"/>
  <c r="A3238" i="1"/>
  <c r="D3237" i="1"/>
  <c r="A3237" i="1"/>
  <c r="D3236" i="1"/>
  <c r="A3236" i="1"/>
  <c r="D3235" i="1"/>
  <c r="A3235" i="1"/>
  <c r="D3234" i="1"/>
  <c r="A3234" i="1"/>
  <c r="D3233" i="1"/>
  <c r="A3233" i="1"/>
  <c r="D3232" i="1"/>
  <c r="A3232" i="1"/>
  <c r="D3231" i="1"/>
  <c r="A3231" i="1"/>
  <c r="D3230" i="1"/>
  <c r="A3230" i="1"/>
  <c r="D3229" i="1"/>
  <c r="A3229" i="1"/>
  <c r="D3228" i="1"/>
  <c r="A3228" i="1"/>
  <c r="D3227" i="1"/>
  <c r="A3227" i="1"/>
  <c r="D3226" i="1"/>
  <c r="A3226" i="1"/>
  <c r="D3225" i="1"/>
  <c r="A3225" i="1"/>
  <c r="D3224" i="1"/>
  <c r="A3224" i="1"/>
  <c r="E3223" i="1"/>
  <c r="D3223" i="1"/>
  <c r="A3223" i="1"/>
  <c r="E3222" i="1"/>
  <c r="D3222" i="1"/>
  <c r="A3222" i="1"/>
  <c r="E3221" i="1"/>
  <c r="D3221" i="1"/>
  <c r="A3221" i="1"/>
  <c r="D3220" i="1"/>
  <c r="A3220" i="1"/>
  <c r="E3219" i="1"/>
  <c r="D3219" i="1"/>
  <c r="A3219" i="1"/>
  <c r="D3218" i="1"/>
  <c r="A3218" i="1"/>
  <c r="E3217" i="1"/>
  <c r="D3217" i="1"/>
  <c r="A3217" i="1"/>
  <c r="D3216" i="1"/>
  <c r="A3216" i="1"/>
  <c r="D3215" i="1"/>
  <c r="A3215" i="1"/>
  <c r="D3214" i="1"/>
  <c r="A3214" i="1"/>
  <c r="D3213" i="1"/>
  <c r="A3213" i="1"/>
  <c r="D3212" i="1"/>
  <c r="A3212" i="1"/>
  <c r="D3211" i="1"/>
  <c r="A3211" i="1"/>
  <c r="D3210" i="1"/>
  <c r="A3210" i="1"/>
  <c r="D3209" i="1"/>
  <c r="A3209" i="1"/>
  <c r="D3208" i="1"/>
  <c r="A3208" i="1"/>
  <c r="D3207" i="1"/>
  <c r="A3207" i="1"/>
  <c r="D3206" i="1"/>
  <c r="A3206" i="1"/>
  <c r="D3205" i="1"/>
  <c r="A3205" i="1"/>
  <c r="D3204" i="1"/>
  <c r="A3204" i="1"/>
  <c r="D3203" i="1"/>
  <c r="A3203" i="1"/>
  <c r="E3202" i="1"/>
  <c r="D3202" i="1"/>
  <c r="A3202" i="1"/>
  <c r="E3201" i="1"/>
  <c r="D3201" i="1"/>
  <c r="A3201" i="1"/>
  <c r="E3200" i="1"/>
  <c r="D3200" i="1"/>
  <c r="A3200" i="1"/>
  <c r="D3199" i="1"/>
  <c r="A3199" i="1"/>
  <c r="D3198" i="1"/>
  <c r="A3198" i="1"/>
  <c r="D3197" i="1"/>
  <c r="A3197" i="1"/>
  <c r="D3196" i="1"/>
  <c r="A3196" i="1"/>
  <c r="D3195" i="1"/>
  <c r="A3195" i="1"/>
  <c r="E3194" i="1"/>
  <c r="D3194" i="1"/>
  <c r="A3194" i="1"/>
  <c r="E3193" i="1"/>
  <c r="D3193" i="1"/>
  <c r="A3193" i="1"/>
  <c r="E3192" i="1"/>
  <c r="D3192" i="1"/>
  <c r="A3192" i="1"/>
  <c r="E3191" i="1"/>
  <c r="D3191" i="1"/>
  <c r="A3191" i="1"/>
  <c r="D3190" i="1"/>
  <c r="A3190" i="1"/>
  <c r="E3189" i="1"/>
  <c r="D3189" i="1"/>
  <c r="A3189" i="1"/>
  <c r="D3188" i="1"/>
  <c r="A3188" i="1"/>
  <c r="D3187" i="1"/>
  <c r="A3187" i="1"/>
  <c r="D3186" i="1"/>
  <c r="A3186" i="1"/>
  <c r="D3185" i="1"/>
  <c r="A3185" i="1"/>
  <c r="D3184" i="1"/>
  <c r="A3184" i="1"/>
  <c r="D3183" i="1"/>
  <c r="A3183" i="1"/>
  <c r="D3182" i="1"/>
  <c r="A3182" i="1"/>
  <c r="D3181" i="1"/>
  <c r="A3181" i="1"/>
  <c r="D3180" i="1"/>
  <c r="A3180" i="1"/>
  <c r="D3179" i="1"/>
  <c r="A3179" i="1"/>
  <c r="D3178" i="1"/>
  <c r="A3178" i="1"/>
  <c r="D3177" i="1"/>
  <c r="A3177" i="1"/>
  <c r="D3176" i="1"/>
  <c r="A3176" i="1"/>
  <c r="D3175" i="1"/>
  <c r="A3175" i="1"/>
  <c r="D3174" i="1"/>
  <c r="A3174" i="1"/>
  <c r="E3173" i="1"/>
  <c r="D3173" i="1"/>
  <c r="A3173" i="1"/>
  <c r="D3172" i="1"/>
  <c r="A3172" i="1"/>
  <c r="D3171" i="1"/>
  <c r="A3171" i="1"/>
  <c r="D3170" i="1"/>
  <c r="A3170" i="1"/>
  <c r="D3169" i="1"/>
  <c r="A3169" i="1"/>
  <c r="E3168" i="1"/>
  <c r="D3168" i="1"/>
  <c r="A3168" i="1"/>
  <c r="E3167" i="1"/>
  <c r="D3167" i="1"/>
  <c r="A3167" i="1"/>
  <c r="D3166" i="1"/>
  <c r="A3166" i="1"/>
  <c r="E3165" i="1"/>
  <c r="D3165" i="1"/>
  <c r="A3165" i="1"/>
  <c r="E3164" i="1"/>
  <c r="D3164" i="1"/>
  <c r="A3164" i="1"/>
  <c r="D3163" i="1"/>
  <c r="A3163" i="1"/>
  <c r="D3162" i="1"/>
  <c r="A3162" i="1"/>
  <c r="E3161" i="1"/>
  <c r="D3161" i="1"/>
  <c r="A3161" i="1"/>
  <c r="D3160" i="1"/>
  <c r="A3160" i="1"/>
  <c r="D3159" i="1"/>
  <c r="A3159" i="1"/>
  <c r="D3158" i="1"/>
  <c r="A3158" i="1"/>
  <c r="E3157" i="1"/>
  <c r="D3157" i="1"/>
  <c r="A3157" i="1"/>
  <c r="E3156" i="1"/>
  <c r="D3156" i="1"/>
  <c r="A3156" i="1"/>
  <c r="E3155" i="1"/>
  <c r="D3155" i="1"/>
  <c r="A3155" i="1"/>
  <c r="D3154" i="1"/>
  <c r="A3154" i="1"/>
  <c r="D3153" i="1"/>
  <c r="A3153" i="1"/>
  <c r="D3152" i="1"/>
  <c r="A3152" i="1"/>
  <c r="D3151" i="1"/>
  <c r="A3151" i="1"/>
  <c r="D3150" i="1"/>
  <c r="A3150" i="1"/>
  <c r="D3149" i="1"/>
  <c r="A3149" i="1"/>
  <c r="D3148" i="1"/>
  <c r="A3148" i="1"/>
  <c r="D3147" i="1"/>
  <c r="A3147" i="1"/>
  <c r="D3146" i="1"/>
  <c r="A3146" i="1"/>
  <c r="D3145" i="1"/>
  <c r="A3145" i="1"/>
  <c r="D3144" i="1"/>
  <c r="A3144" i="1"/>
  <c r="D3143" i="1"/>
  <c r="A3143" i="1"/>
  <c r="D3142" i="1"/>
  <c r="A3142" i="1"/>
  <c r="D3141" i="1"/>
  <c r="A3141" i="1"/>
  <c r="D3140" i="1"/>
  <c r="A3140" i="1"/>
  <c r="D3139" i="1"/>
  <c r="A3139" i="1"/>
  <c r="D3138" i="1"/>
  <c r="A3138" i="1"/>
  <c r="D3137" i="1"/>
  <c r="A3137" i="1"/>
  <c r="D3136" i="1"/>
  <c r="A3136" i="1"/>
  <c r="D3135" i="1"/>
  <c r="A3135" i="1"/>
  <c r="D3134" i="1"/>
  <c r="A3134" i="1"/>
  <c r="D3133" i="1"/>
  <c r="A3133" i="1"/>
  <c r="D3132" i="1"/>
  <c r="A3132" i="1"/>
  <c r="D3131" i="1"/>
  <c r="A3131" i="1"/>
  <c r="D3130" i="1"/>
  <c r="A3130" i="1"/>
  <c r="D3129" i="1"/>
  <c r="A3129" i="1"/>
  <c r="D3128" i="1"/>
  <c r="A3128" i="1"/>
  <c r="D3127" i="1"/>
  <c r="A3127" i="1"/>
  <c r="D3126" i="1"/>
  <c r="A3126" i="1"/>
  <c r="D3125" i="1"/>
  <c r="A3125" i="1"/>
  <c r="D3124" i="1"/>
  <c r="A3124" i="1"/>
  <c r="D3123" i="1"/>
  <c r="A3123" i="1"/>
  <c r="D3122" i="1"/>
  <c r="A3122" i="1"/>
  <c r="D3121" i="1"/>
  <c r="A3121" i="1"/>
  <c r="D3120" i="1"/>
  <c r="A3120" i="1"/>
  <c r="D3119" i="1"/>
  <c r="A3119" i="1"/>
  <c r="D3118" i="1"/>
  <c r="A3118" i="1"/>
  <c r="D3117" i="1"/>
  <c r="A3117" i="1"/>
  <c r="D3116" i="1"/>
  <c r="A3116" i="1"/>
  <c r="D3115" i="1"/>
  <c r="A3115" i="1"/>
  <c r="D3114" i="1"/>
  <c r="A3114" i="1"/>
  <c r="D3113" i="1"/>
  <c r="A3113" i="1"/>
  <c r="D3112" i="1"/>
  <c r="A3112" i="1"/>
  <c r="D3111" i="1"/>
  <c r="A3111" i="1"/>
  <c r="D3110" i="1"/>
  <c r="A3110" i="1"/>
  <c r="D3109" i="1"/>
  <c r="A3109" i="1"/>
  <c r="D3108" i="1"/>
  <c r="A3108" i="1"/>
  <c r="D3107" i="1"/>
  <c r="A3107" i="1"/>
  <c r="D3106" i="1"/>
  <c r="A3106" i="1"/>
  <c r="D3105" i="1"/>
  <c r="A3105" i="1"/>
  <c r="D3104" i="1"/>
  <c r="A3104" i="1"/>
  <c r="D3103" i="1"/>
  <c r="A3103" i="1"/>
  <c r="D3102" i="1"/>
  <c r="A3102" i="1"/>
  <c r="D3101" i="1"/>
  <c r="A3101" i="1"/>
  <c r="D3100" i="1"/>
  <c r="A3100" i="1"/>
  <c r="D3099" i="1"/>
  <c r="A3099" i="1"/>
  <c r="D3098" i="1"/>
  <c r="A3098" i="1"/>
  <c r="D3097" i="1"/>
  <c r="A3097" i="1"/>
  <c r="D3096" i="1"/>
  <c r="A3096" i="1"/>
  <c r="D3095" i="1"/>
  <c r="A3095" i="1"/>
  <c r="D3094" i="1"/>
  <c r="A3094" i="1"/>
  <c r="D3093" i="1"/>
  <c r="A3093" i="1"/>
  <c r="D3092" i="1"/>
  <c r="A3092" i="1"/>
  <c r="D3091" i="1"/>
  <c r="A3091" i="1"/>
  <c r="D3090" i="1"/>
  <c r="A3090" i="1"/>
  <c r="D3089" i="1"/>
  <c r="A3089" i="1"/>
  <c r="D3088" i="1"/>
  <c r="A3088" i="1"/>
  <c r="D3087" i="1"/>
  <c r="A3087" i="1"/>
  <c r="D3086" i="1"/>
  <c r="A3086" i="1"/>
  <c r="D3085" i="1"/>
  <c r="A3085" i="1"/>
  <c r="D3084" i="1"/>
  <c r="A3084" i="1"/>
  <c r="D3083" i="1"/>
  <c r="A3083" i="1"/>
  <c r="D3082" i="1"/>
  <c r="A3082" i="1"/>
  <c r="D3081" i="1"/>
  <c r="A3081" i="1"/>
  <c r="D3080" i="1"/>
  <c r="A3080" i="1"/>
  <c r="D3079" i="1"/>
  <c r="A3079" i="1"/>
  <c r="D3078" i="1"/>
  <c r="A3078" i="1"/>
  <c r="D3077" i="1"/>
  <c r="A3077" i="1"/>
  <c r="D3076" i="1"/>
  <c r="A3076" i="1"/>
  <c r="E3075" i="1"/>
  <c r="D3075" i="1"/>
  <c r="A3075" i="1"/>
  <c r="D3074" i="1"/>
  <c r="A3074" i="1"/>
  <c r="D3073" i="1"/>
  <c r="A3073" i="1"/>
  <c r="D3072" i="1"/>
  <c r="A3072" i="1"/>
  <c r="D3071" i="1"/>
  <c r="A3071" i="1"/>
  <c r="D3070" i="1"/>
  <c r="A3070" i="1"/>
  <c r="D3069" i="1"/>
  <c r="A3069" i="1"/>
  <c r="D3068" i="1"/>
  <c r="A3068" i="1"/>
  <c r="D3067" i="1"/>
  <c r="A3067" i="1"/>
  <c r="D3066" i="1"/>
  <c r="A3066" i="1"/>
  <c r="D3065" i="1"/>
  <c r="A3065" i="1"/>
  <c r="E3064" i="1"/>
  <c r="D3064" i="1"/>
  <c r="A3064" i="1"/>
  <c r="D3063" i="1"/>
  <c r="A3063" i="1"/>
  <c r="E3062" i="1"/>
  <c r="D3062" i="1"/>
  <c r="A3062" i="1"/>
  <c r="E3061" i="1"/>
  <c r="D3061" i="1"/>
  <c r="A3061" i="1"/>
  <c r="D3060" i="1"/>
  <c r="A3060" i="1"/>
  <c r="E3059" i="1"/>
  <c r="D3059" i="1"/>
  <c r="A3059" i="1"/>
  <c r="E3058" i="1"/>
  <c r="D3058" i="1"/>
  <c r="A3058" i="1"/>
  <c r="D3057" i="1"/>
  <c r="A3057" i="1"/>
  <c r="E3056" i="1"/>
  <c r="D3056" i="1"/>
  <c r="A3056" i="1"/>
  <c r="E3055" i="1"/>
  <c r="D3055" i="1"/>
  <c r="A3055" i="1"/>
  <c r="E3054" i="1"/>
  <c r="D3054" i="1"/>
  <c r="A3054" i="1"/>
  <c r="D3053" i="1"/>
  <c r="A3053" i="1"/>
  <c r="D3052" i="1"/>
  <c r="A3052" i="1"/>
  <c r="D3051" i="1"/>
  <c r="A3051" i="1"/>
  <c r="D3050" i="1"/>
  <c r="A3050" i="1"/>
  <c r="D3049" i="1"/>
  <c r="A3049" i="1"/>
  <c r="D3048" i="1"/>
  <c r="A3048" i="1"/>
  <c r="D3047" i="1"/>
  <c r="A3047" i="1"/>
  <c r="D3046" i="1"/>
  <c r="A3046" i="1"/>
  <c r="D3045" i="1"/>
  <c r="A3045" i="1"/>
  <c r="D3044" i="1"/>
  <c r="A3044" i="1"/>
  <c r="D3043" i="1"/>
  <c r="A3043" i="1"/>
  <c r="D3042" i="1"/>
  <c r="A3042" i="1"/>
  <c r="D3041" i="1"/>
  <c r="A3041" i="1"/>
  <c r="D3040" i="1"/>
  <c r="A3040" i="1"/>
  <c r="D3039" i="1"/>
  <c r="A3039" i="1"/>
  <c r="D3038" i="1"/>
  <c r="A3038" i="1"/>
  <c r="D3037" i="1"/>
  <c r="A3037" i="1"/>
  <c r="D3036" i="1"/>
  <c r="A3036" i="1"/>
  <c r="D3035" i="1"/>
  <c r="A3035" i="1"/>
  <c r="D3034" i="1"/>
  <c r="A3034" i="1"/>
  <c r="D3033" i="1"/>
  <c r="A3033" i="1"/>
  <c r="D3032" i="1"/>
  <c r="A3032" i="1"/>
  <c r="D3031" i="1"/>
  <c r="A3031" i="1"/>
  <c r="D3030" i="1"/>
  <c r="A3030" i="1"/>
  <c r="D3029" i="1"/>
  <c r="A3029" i="1"/>
  <c r="D3028" i="1"/>
  <c r="A3028" i="1"/>
  <c r="D3027" i="1"/>
  <c r="A3027" i="1"/>
  <c r="D3026" i="1"/>
  <c r="A3026" i="1"/>
  <c r="D3025" i="1"/>
  <c r="A3025" i="1"/>
  <c r="D3024" i="1"/>
  <c r="A3024" i="1"/>
  <c r="D3023" i="1"/>
  <c r="A3023" i="1"/>
  <c r="D3022" i="1"/>
  <c r="A3022" i="1"/>
  <c r="D3021" i="1"/>
  <c r="A3021" i="1"/>
  <c r="D3020" i="1"/>
  <c r="A3020" i="1"/>
  <c r="D3019" i="1"/>
  <c r="A3019" i="1"/>
  <c r="D3018" i="1"/>
  <c r="A3018" i="1"/>
  <c r="D3017" i="1"/>
  <c r="A3017" i="1"/>
  <c r="D3016" i="1"/>
  <c r="A3016" i="1"/>
  <c r="D3015" i="1"/>
  <c r="A3015" i="1"/>
  <c r="D3014" i="1"/>
  <c r="A3014" i="1"/>
  <c r="D3013" i="1"/>
  <c r="A3013" i="1"/>
  <c r="D3012" i="1"/>
  <c r="A3012" i="1"/>
  <c r="D3011" i="1"/>
  <c r="A3011" i="1"/>
  <c r="D3010" i="1"/>
  <c r="A3010" i="1"/>
  <c r="D3009" i="1"/>
  <c r="A3009" i="1"/>
  <c r="D3008" i="1"/>
  <c r="A3008" i="1"/>
  <c r="D3007" i="1"/>
  <c r="A3007" i="1"/>
  <c r="E3006" i="1"/>
  <c r="D3006" i="1"/>
  <c r="A3006" i="1"/>
  <c r="E3005" i="1"/>
  <c r="D3005" i="1"/>
  <c r="A3005" i="1"/>
  <c r="E3004" i="1"/>
  <c r="D3004" i="1"/>
  <c r="A3004" i="1"/>
  <c r="D3003" i="1"/>
  <c r="A3003" i="1"/>
  <c r="D3002" i="1"/>
  <c r="A3002" i="1"/>
  <c r="E3001" i="1"/>
  <c r="D3001" i="1"/>
  <c r="A3001" i="1"/>
  <c r="E3000" i="1"/>
  <c r="D3000" i="1"/>
  <c r="A3000" i="1"/>
  <c r="D2999" i="1"/>
  <c r="A2999" i="1"/>
  <c r="D2998" i="1"/>
  <c r="A2998" i="1"/>
  <c r="D2997" i="1"/>
  <c r="A2997" i="1"/>
  <c r="E2996" i="1"/>
  <c r="D2996" i="1"/>
  <c r="A2996" i="1"/>
  <c r="E2995" i="1"/>
  <c r="D2995" i="1"/>
  <c r="A2995" i="1"/>
  <c r="D2994" i="1"/>
  <c r="A2994" i="1"/>
  <c r="D2993" i="1"/>
  <c r="A2993" i="1"/>
  <c r="D2992" i="1"/>
  <c r="A2992" i="1"/>
  <c r="D2991" i="1"/>
  <c r="A2991" i="1"/>
  <c r="E2990" i="1"/>
  <c r="D2990" i="1"/>
  <c r="A2990" i="1"/>
  <c r="D2989" i="1"/>
  <c r="A2989" i="1"/>
  <c r="E2988" i="1"/>
  <c r="D2988" i="1"/>
  <c r="A2988" i="1"/>
  <c r="E2987" i="1"/>
  <c r="D2987" i="1"/>
  <c r="A2987" i="1"/>
  <c r="D2986" i="1"/>
  <c r="A2986" i="1"/>
  <c r="D2985" i="1"/>
  <c r="A2985" i="1"/>
  <c r="D2984" i="1"/>
  <c r="A2984" i="1"/>
  <c r="D2983" i="1"/>
  <c r="A2983" i="1"/>
  <c r="D2982" i="1"/>
  <c r="A2982" i="1"/>
  <c r="D2981" i="1"/>
  <c r="A2981" i="1"/>
  <c r="D2980" i="1"/>
  <c r="A2980" i="1"/>
  <c r="D2979" i="1"/>
  <c r="A2979" i="1"/>
  <c r="D2978" i="1"/>
  <c r="A2978" i="1"/>
  <c r="D2977" i="1"/>
  <c r="A2977" i="1"/>
  <c r="D2976" i="1"/>
  <c r="A2976" i="1"/>
  <c r="D2975" i="1"/>
  <c r="A2975" i="1"/>
  <c r="E2974" i="1"/>
  <c r="D2974" i="1"/>
  <c r="A2974" i="1"/>
  <c r="D2973" i="1"/>
  <c r="A2973" i="1"/>
  <c r="D2972" i="1"/>
  <c r="A2972" i="1"/>
  <c r="D2971" i="1"/>
  <c r="A2971" i="1"/>
  <c r="D2970" i="1"/>
  <c r="A2970" i="1"/>
  <c r="D2969" i="1"/>
  <c r="A2969" i="1"/>
  <c r="D2968" i="1"/>
  <c r="A2968" i="1"/>
  <c r="D2967" i="1"/>
  <c r="A2967" i="1"/>
  <c r="D2966" i="1"/>
  <c r="A2966" i="1"/>
  <c r="D2965" i="1"/>
  <c r="A2965" i="1"/>
  <c r="D2964" i="1"/>
  <c r="A2964" i="1"/>
  <c r="D2963" i="1"/>
  <c r="A2963" i="1"/>
  <c r="D2962" i="1"/>
  <c r="A2962" i="1"/>
  <c r="D2961" i="1"/>
  <c r="A2961" i="1"/>
  <c r="D2960" i="1"/>
  <c r="A2960" i="1"/>
  <c r="D2959" i="1"/>
  <c r="A2959" i="1"/>
  <c r="D2958" i="1"/>
  <c r="A2958" i="1"/>
  <c r="D2957" i="1"/>
  <c r="A2957" i="1"/>
  <c r="E2956" i="1"/>
  <c r="D2956" i="1"/>
  <c r="A2956" i="1"/>
  <c r="D2955" i="1"/>
  <c r="A2955" i="1"/>
  <c r="D2954" i="1"/>
  <c r="A2954" i="1"/>
  <c r="D2953" i="1"/>
  <c r="A2953" i="1"/>
  <c r="D2952" i="1"/>
  <c r="A2952" i="1"/>
  <c r="D2951" i="1"/>
  <c r="A2951" i="1"/>
  <c r="D2950" i="1"/>
  <c r="A2950" i="1"/>
  <c r="D2949" i="1"/>
  <c r="A2949" i="1"/>
  <c r="D2948" i="1"/>
  <c r="A2948" i="1"/>
  <c r="D2947" i="1"/>
  <c r="A2947" i="1"/>
  <c r="D2946" i="1"/>
  <c r="A2946" i="1"/>
  <c r="D2945" i="1"/>
  <c r="A2945" i="1"/>
  <c r="D2944" i="1"/>
  <c r="A2944" i="1"/>
  <c r="D2943" i="1"/>
  <c r="A2943" i="1"/>
  <c r="E2942" i="1"/>
  <c r="D2942" i="1"/>
  <c r="A2942" i="1"/>
  <c r="D2941" i="1"/>
  <c r="A2941" i="1"/>
  <c r="D2940" i="1"/>
  <c r="A2940" i="1"/>
  <c r="D2939" i="1"/>
  <c r="A2939" i="1"/>
  <c r="D2938" i="1"/>
  <c r="A2938" i="1"/>
  <c r="D2937" i="1"/>
  <c r="A2937" i="1"/>
  <c r="D2936" i="1"/>
  <c r="A2936" i="1"/>
  <c r="D2935" i="1"/>
  <c r="A2935" i="1"/>
  <c r="D2934" i="1"/>
  <c r="A2934" i="1"/>
  <c r="D2933" i="1"/>
  <c r="A2933" i="1"/>
  <c r="E2932" i="1"/>
  <c r="D2932" i="1"/>
  <c r="A2932" i="1"/>
  <c r="D2931" i="1"/>
  <c r="A2931" i="1"/>
  <c r="D2930" i="1"/>
  <c r="A2930" i="1"/>
  <c r="D2929" i="1"/>
  <c r="A2929" i="1"/>
  <c r="D2928" i="1"/>
  <c r="A2928" i="1"/>
  <c r="D2927" i="1"/>
  <c r="A2927" i="1"/>
  <c r="D2926" i="1"/>
  <c r="A2926" i="1"/>
  <c r="D2925" i="1"/>
  <c r="A2925" i="1"/>
  <c r="D2924" i="1"/>
  <c r="A2924" i="1"/>
  <c r="E2923" i="1"/>
  <c r="D2923" i="1"/>
  <c r="A2923" i="1"/>
  <c r="D2922" i="1"/>
  <c r="A2922" i="1"/>
  <c r="D2921" i="1"/>
  <c r="A2921" i="1"/>
  <c r="D2920" i="1"/>
  <c r="A2920" i="1"/>
  <c r="D2919" i="1"/>
  <c r="A2919" i="1"/>
  <c r="D2918" i="1"/>
  <c r="A2918" i="1"/>
  <c r="D2917" i="1"/>
  <c r="A2917" i="1"/>
  <c r="E2916" i="1"/>
  <c r="D2916" i="1"/>
  <c r="A2916" i="1"/>
  <c r="D2915" i="1"/>
  <c r="A2915" i="1"/>
  <c r="D2914" i="1"/>
  <c r="A2914" i="1"/>
  <c r="D2913" i="1"/>
  <c r="A2913" i="1"/>
  <c r="D2912" i="1"/>
  <c r="A2912" i="1"/>
  <c r="D2911" i="1"/>
  <c r="A2911" i="1"/>
  <c r="D2910" i="1"/>
  <c r="A2910" i="1"/>
  <c r="D2909" i="1"/>
  <c r="A2909" i="1"/>
  <c r="D2908" i="1"/>
  <c r="A2908" i="1"/>
  <c r="D2907" i="1"/>
  <c r="A2907" i="1"/>
  <c r="D2906" i="1"/>
  <c r="A2906" i="1"/>
  <c r="D2905" i="1"/>
  <c r="A2905" i="1"/>
  <c r="D2904" i="1"/>
  <c r="A2904" i="1"/>
  <c r="D2903" i="1"/>
  <c r="A2903" i="1"/>
  <c r="E2902" i="1"/>
  <c r="D2902" i="1"/>
  <c r="A2902" i="1"/>
  <c r="D2901" i="1"/>
  <c r="A2901" i="1"/>
  <c r="D2900" i="1"/>
  <c r="A2900" i="1"/>
  <c r="D2899" i="1"/>
  <c r="A2899" i="1"/>
  <c r="D2898" i="1"/>
  <c r="A2898" i="1"/>
  <c r="D2897" i="1"/>
  <c r="A2897" i="1"/>
  <c r="D2896" i="1"/>
  <c r="A2896" i="1"/>
  <c r="D2895" i="1"/>
  <c r="A2895" i="1"/>
  <c r="D2894" i="1"/>
  <c r="A2894" i="1"/>
  <c r="E2893" i="1"/>
  <c r="D2893" i="1"/>
  <c r="A2893" i="1"/>
  <c r="D2892" i="1"/>
  <c r="A2892" i="1"/>
  <c r="D2891" i="1"/>
  <c r="A2891" i="1"/>
  <c r="E2890" i="1"/>
  <c r="D2890" i="1"/>
  <c r="A2890" i="1"/>
  <c r="E2889" i="1"/>
  <c r="D2889" i="1"/>
  <c r="A2889" i="1"/>
  <c r="D2888" i="1"/>
  <c r="A2888" i="1"/>
  <c r="D2887" i="1"/>
  <c r="A2887" i="1"/>
  <c r="D2886" i="1"/>
  <c r="A2886" i="1"/>
  <c r="D2885" i="1"/>
  <c r="A2885" i="1"/>
  <c r="D2884" i="1"/>
  <c r="A2884" i="1"/>
  <c r="D2883" i="1"/>
  <c r="A2883" i="1"/>
  <c r="D2882" i="1"/>
  <c r="A2882" i="1"/>
  <c r="D2881" i="1"/>
  <c r="A2881" i="1"/>
  <c r="D2880" i="1"/>
  <c r="A2880" i="1"/>
  <c r="D2879" i="1"/>
  <c r="A2879" i="1"/>
  <c r="D2878" i="1"/>
  <c r="A2878" i="1"/>
  <c r="E2877" i="1"/>
  <c r="D2877" i="1"/>
  <c r="A2877" i="1"/>
  <c r="E2876" i="1"/>
  <c r="D2876" i="1"/>
  <c r="A2876" i="1"/>
  <c r="D2875" i="1"/>
  <c r="A2875" i="1"/>
  <c r="E2874" i="1"/>
  <c r="D2874" i="1"/>
  <c r="A2874" i="1"/>
  <c r="E2873" i="1"/>
  <c r="D2873" i="1"/>
  <c r="A2873" i="1"/>
  <c r="E2872" i="1"/>
  <c r="D2872" i="1"/>
  <c r="A2872" i="1"/>
  <c r="E2871" i="1"/>
  <c r="D2871" i="1"/>
  <c r="A2871" i="1"/>
  <c r="E2870" i="1"/>
  <c r="D2870" i="1"/>
  <c r="A2870" i="1"/>
  <c r="D2869" i="1"/>
  <c r="A2869" i="1"/>
  <c r="D2868" i="1"/>
  <c r="A2868" i="1"/>
  <c r="E2867" i="1"/>
  <c r="D2867" i="1"/>
  <c r="A2867" i="1"/>
  <c r="D2866" i="1"/>
  <c r="A2866" i="1"/>
  <c r="D2865" i="1"/>
  <c r="A2865" i="1"/>
  <c r="D2864" i="1"/>
  <c r="A2864" i="1"/>
  <c r="D2863" i="1"/>
  <c r="A2863" i="1"/>
  <c r="D2862" i="1"/>
  <c r="A2862" i="1"/>
  <c r="D2861" i="1"/>
  <c r="A2861" i="1"/>
  <c r="D2860" i="1"/>
  <c r="A2860" i="1"/>
  <c r="E2859" i="1"/>
  <c r="D2859" i="1"/>
  <c r="A2859" i="1"/>
  <c r="D2858" i="1"/>
  <c r="A2858" i="1"/>
  <c r="D2857" i="1"/>
  <c r="A2857" i="1"/>
  <c r="D2856" i="1"/>
  <c r="A2856" i="1"/>
  <c r="D2855" i="1"/>
  <c r="A2855" i="1"/>
  <c r="D2854" i="1"/>
  <c r="A2854" i="1"/>
  <c r="D2853" i="1"/>
  <c r="A2853" i="1"/>
  <c r="D2852" i="1"/>
  <c r="A2852" i="1"/>
  <c r="D2851" i="1"/>
  <c r="A2851" i="1"/>
  <c r="D2850" i="1"/>
  <c r="A2850" i="1"/>
  <c r="D2849" i="1"/>
  <c r="A2849" i="1"/>
  <c r="D2848" i="1"/>
  <c r="A2848" i="1"/>
  <c r="D2847" i="1"/>
  <c r="A2847" i="1"/>
  <c r="D2846" i="1"/>
  <c r="A2846" i="1"/>
  <c r="D2845" i="1"/>
  <c r="A2845" i="1"/>
  <c r="D2844" i="1"/>
  <c r="A2844" i="1"/>
  <c r="D2843" i="1"/>
  <c r="A2843" i="1"/>
  <c r="D2842" i="1"/>
  <c r="A2842" i="1"/>
  <c r="D2841" i="1"/>
  <c r="A2841" i="1"/>
  <c r="D2840" i="1"/>
  <c r="A2840" i="1"/>
  <c r="D2839" i="1"/>
  <c r="A2839" i="1"/>
  <c r="D2838" i="1"/>
  <c r="A2838" i="1"/>
  <c r="D2837" i="1"/>
  <c r="A2837" i="1"/>
  <c r="D2836" i="1"/>
  <c r="A2836" i="1"/>
  <c r="D2835" i="1"/>
  <c r="A2835" i="1"/>
  <c r="D2834" i="1"/>
  <c r="A2834" i="1"/>
  <c r="D2833" i="1"/>
  <c r="A2833" i="1"/>
  <c r="D2832" i="1"/>
  <c r="A2832" i="1"/>
  <c r="D2831" i="1"/>
  <c r="A2831" i="1"/>
  <c r="D2830" i="1"/>
  <c r="A2830" i="1"/>
  <c r="D2829" i="1"/>
  <c r="A2829" i="1"/>
  <c r="D2828" i="1"/>
  <c r="A2828" i="1"/>
  <c r="D2827" i="1"/>
  <c r="A2827" i="1"/>
  <c r="D2826" i="1"/>
  <c r="A2826" i="1"/>
  <c r="D2825" i="1"/>
  <c r="A2825" i="1"/>
  <c r="D2824" i="1"/>
  <c r="A2824" i="1"/>
  <c r="D2823" i="1"/>
  <c r="A2823" i="1"/>
  <c r="D2822" i="1"/>
  <c r="A2822" i="1"/>
  <c r="D2821" i="1"/>
  <c r="A2821" i="1"/>
  <c r="D2820" i="1"/>
  <c r="A2820" i="1"/>
  <c r="D2819" i="1"/>
  <c r="A2819" i="1"/>
  <c r="D2818" i="1"/>
  <c r="A2818" i="1"/>
  <c r="D2817" i="1"/>
  <c r="A2817" i="1"/>
  <c r="D2816" i="1"/>
  <c r="A2816" i="1"/>
  <c r="E2815" i="1"/>
  <c r="D2815" i="1"/>
  <c r="A2815" i="1"/>
  <c r="D2814" i="1"/>
  <c r="A2814" i="1"/>
  <c r="D2813" i="1"/>
  <c r="A2813" i="1"/>
  <c r="D2812" i="1"/>
  <c r="A2812" i="1"/>
  <c r="D2811" i="1"/>
  <c r="A2811" i="1"/>
  <c r="D2810" i="1"/>
  <c r="A2810" i="1"/>
  <c r="D2809" i="1"/>
  <c r="A2809" i="1"/>
  <c r="D2808" i="1"/>
  <c r="A2808" i="1"/>
  <c r="D2807" i="1"/>
  <c r="A2807" i="1"/>
  <c r="D2806" i="1"/>
  <c r="A2806" i="1"/>
  <c r="D2805" i="1"/>
  <c r="A2805" i="1"/>
  <c r="D2804" i="1"/>
  <c r="A2804" i="1"/>
  <c r="D2803" i="1"/>
  <c r="A2803" i="1"/>
  <c r="D2802" i="1"/>
  <c r="A2802" i="1"/>
  <c r="D2801" i="1"/>
  <c r="A2801" i="1"/>
  <c r="D2800" i="1"/>
  <c r="A2800" i="1"/>
  <c r="D2799" i="1"/>
  <c r="A2799" i="1"/>
  <c r="D2798" i="1"/>
  <c r="A2798" i="1"/>
  <c r="D2797" i="1"/>
  <c r="A2797" i="1"/>
  <c r="E2796" i="1"/>
  <c r="D2796" i="1"/>
  <c r="A2796" i="1"/>
  <c r="D2795" i="1"/>
  <c r="A2795" i="1"/>
  <c r="D2794" i="1"/>
  <c r="A2794" i="1"/>
  <c r="E2793" i="1"/>
  <c r="D2793" i="1"/>
  <c r="A2793" i="1"/>
  <c r="D2792" i="1"/>
  <c r="A2792" i="1"/>
  <c r="D2791" i="1"/>
  <c r="A2791" i="1"/>
  <c r="D2790" i="1"/>
  <c r="A2790" i="1"/>
  <c r="D2789" i="1"/>
  <c r="A2789" i="1"/>
  <c r="D2788" i="1"/>
  <c r="A2788" i="1"/>
  <c r="D2787" i="1"/>
  <c r="A2787" i="1"/>
  <c r="D2786" i="1"/>
  <c r="A2786" i="1"/>
  <c r="D2785" i="1"/>
  <c r="A2785" i="1"/>
  <c r="D2784" i="1"/>
  <c r="A2784" i="1"/>
  <c r="D2783" i="1"/>
  <c r="A2783" i="1"/>
  <c r="D2782" i="1"/>
  <c r="A2782" i="1"/>
  <c r="D2781" i="1"/>
  <c r="A2781" i="1"/>
  <c r="D2780" i="1"/>
  <c r="A2780" i="1"/>
  <c r="D2779" i="1"/>
  <c r="A2779" i="1"/>
  <c r="D2778" i="1"/>
  <c r="A2778" i="1"/>
  <c r="D2777" i="1"/>
  <c r="A2777" i="1"/>
  <c r="D2776" i="1"/>
  <c r="A2776" i="1"/>
  <c r="D2775" i="1"/>
  <c r="A2775" i="1"/>
  <c r="D2774" i="1"/>
  <c r="A2774" i="1"/>
  <c r="D2773" i="1"/>
  <c r="A2773" i="1"/>
  <c r="D2772" i="1"/>
  <c r="A2772" i="1"/>
  <c r="D2771" i="1"/>
  <c r="A2771" i="1"/>
  <c r="D2770" i="1"/>
  <c r="A2770" i="1"/>
  <c r="D2769" i="1"/>
  <c r="A2769" i="1"/>
  <c r="D2768" i="1"/>
  <c r="A2768" i="1"/>
  <c r="D2767" i="1"/>
  <c r="A2767" i="1"/>
  <c r="D2766" i="1"/>
  <c r="A2766" i="1"/>
  <c r="D2765" i="1"/>
  <c r="A2765" i="1"/>
  <c r="D2764" i="1"/>
  <c r="A2764" i="1"/>
  <c r="D2763" i="1"/>
  <c r="A2763" i="1"/>
  <c r="D2762" i="1"/>
  <c r="A2762" i="1"/>
  <c r="D2761" i="1"/>
  <c r="A2761" i="1"/>
  <c r="D2760" i="1"/>
  <c r="A2760" i="1"/>
  <c r="D2759" i="1"/>
  <c r="A2759" i="1"/>
  <c r="D2758" i="1"/>
  <c r="A2758" i="1"/>
  <c r="D2757" i="1"/>
  <c r="A2757" i="1"/>
  <c r="D2756" i="1"/>
  <c r="A2756" i="1"/>
  <c r="D2755" i="1"/>
  <c r="A2755" i="1"/>
  <c r="D2754" i="1"/>
  <c r="A2754" i="1"/>
  <c r="D2753" i="1"/>
  <c r="A2753" i="1"/>
  <c r="D2752" i="1"/>
  <c r="A2752" i="1"/>
  <c r="D2751" i="1"/>
  <c r="A2751" i="1"/>
  <c r="D2750" i="1"/>
  <c r="A2750" i="1"/>
  <c r="D2749" i="1"/>
  <c r="A2749" i="1"/>
  <c r="D2748" i="1"/>
  <c r="A2748" i="1"/>
  <c r="D2747" i="1"/>
  <c r="A2747" i="1"/>
  <c r="D2746" i="1"/>
  <c r="A2746" i="1"/>
  <c r="D2745" i="1"/>
  <c r="A2745" i="1"/>
  <c r="D2744" i="1"/>
  <c r="A2744" i="1"/>
  <c r="D2743" i="1"/>
  <c r="A2743" i="1"/>
  <c r="D2742" i="1"/>
  <c r="A2742" i="1"/>
  <c r="D2741" i="1"/>
  <c r="A2741" i="1"/>
  <c r="D2740" i="1"/>
  <c r="A2740" i="1"/>
  <c r="D2739" i="1"/>
  <c r="A2739" i="1"/>
  <c r="D2738" i="1"/>
  <c r="A2738" i="1"/>
  <c r="D2737" i="1"/>
  <c r="A2737" i="1"/>
  <c r="D2736" i="1"/>
  <c r="A2736" i="1"/>
  <c r="D2735" i="1"/>
  <c r="A2735" i="1"/>
  <c r="D2734" i="1"/>
  <c r="A2734" i="1"/>
  <c r="E2733" i="1"/>
  <c r="D2733" i="1"/>
  <c r="A2733" i="1"/>
  <c r="D2732" i="1"/>
  <c r="A2732" i="1"/>
  <c r="D2731" i="1"/>
  <c r="A2731" i="1"/>
  <c r="D2730" i="1"/>
  <c r="A2730" i="1"/>
  <c r="D2729" i="1"/>
  <c r="A2729" i="1"/>
  <c r="D2728" i="1"/>
  <c r="A2728" i="1"/>
  <c r="D2727" i="1"/>
  <c r="A2727" i="1"/>
  <c r="D2726" i="1"/>
  <c r="A2726" i="1"/>
  <c r="E2725" i="1"/>
  <c r="D2725" i="1"/>
  <c r="A2725" i="1"/>
  <c r="D2724" i="1"/>
  <c r="A2724" i="1"/>
  <c r="D2723" i="1"/>
  <c r="A2723" i="1"/>
  <c r="D2722" i="1"/>
  <c r="A2722" i="1"/>
  <c r="E2721" i="1"/>
  <c r="D2721" i="1"/>
  <c r="A2721" i="1"/>
  <c r="E2720" i="1"/>
  <c r="D2720" i="1"/>
  <c r="A2720" i="1"/>
  <c r="E2719" i="1"/>
  <c r="D2719" i="1"/>
  <c r="A2719" i="1"/>
  <c r="D2718" i="1"/>
  <c r="A2718" i="1"/>
  <c r="D2717" i="1"/>
  <c r="A2717" i="1"/>
  <c r="D2716" i="1"/>
  <c r="A2716" i="1"/>
  <c r="D2715" i="1"/>
  <c r="A2715" i="1"/>
  <c r="D2714" i="1"/>
  <c r="A2714" i="1"/>
  <c r="D2713" i="1"/>
  <c r="A2713" i="1"/>
  <c r="D2712" i="1"/>
  <c r="A2712" i="1"/>
  <c r="D2711" i="1"/>
  <c r="A2711" i="1"/>
  <c r="D2710" i="1"/>
  <c r="A2710" i="1"/>
  <c r="D2709" i="1"/>
  <c r="A2709" i="1"/>
  <c r="D2708" i="1"/>
  <c r="A2708" i="1"/>
  <c r="D2707" i="1"/>
  <c r="A2707" i="1"/>
  <c r="D2706" i="1"/>
  <c r="A2706" i="1"/>
  <c r="D2705" i="1"/>
  <c r="A2705" i="1"/>
  <c r="D2704" i="1"/>
  <c r="A2704" i="1"/>
  <c r="D2703" i="1"/>
  <c r="A2703" i="1"/>
  <c r="D2702" i="1"/>
  <c r="A2702" i="1"/>
  <c r="D2701" i="1"/>
  <c r="A2701" i="1"/>
  <c r="D2700" i="1"/>
  <c r="A2700" i="1"/>
  <c r="D2699" i="1"/>
  <c r="A2699" i="1"/>
  <c r="D2698" i="1"/>
  <c r="A2698" i="1"/>
  <c r="D2697" i="1"/>
  <c r="A2697" i="1"/>
  <c r="D2696" i="1"/>
  <c r="A2696" i="1"/>
  <c r="E2695" i="1"/>
  <c r="D2695" i="1"/>
  <c r="A2695" i="1"/>
  <c r="E2694" i="1"/>
  <c r="D2694" i="1"/>
  <c r="A2694" i="1"/>
  <c r="E2693" i="1"/>
  <c r="D2693" i="1"/>
  <c r="A2693" i="1"/>
  <c r="E2692" i="1"/>
  <c r="D2692" i="1"/>
  <c r="A2692" i="1"/>
  <c r="E2691" i="1"/>
  <c r="D2691" i="1"/>
  <c r="A2691" i="1"/>
  <c r="D2690" i="1"/>
  <c r="A2690" i="1"/>
  <c r="D2689" i="1"/>
  <c r="A2689" i="1"/>
  <c r="D2688" i="1"/>
  <c r="A2688" i="1"/>
  <c r="E2687" i="1"/>
  <c r="D2687" i="1"/>
  <c r="A2687" i="1"/>
  <c r="E2686" i="1"/>
  <c r="D2686" i="1"/>
  <c r="A2686" i="1"/>
  <c r="E2685" i="1"/>
  <c r="D2685" i="1"/>
  <c r="A2685" i="1"/>
  <c r="E2684" i="1"/>
  <c r="D2684" i="1"/>
  <c r="A2684" i="1"/>
  <c r="D2683" i="1"/>
  <c r="A2683" i="1"/>
  <c r="E2682" i="1"/>
  <c r="D2682" i="1"/>
  <c r="A2682" i="1"/>
  <c r="E2681" i="1"/>
  <c r="D2681" i="1"/>
  <c r="A2681" i="1"/>
  <c r="E2680" i="1"/>
  <c r="D2680" i="1"/>
  <c r="A2680" i="1"/>
  <c r="E2679" i="1"/>
  <c r="D2679" i="1"/>
  <c r="A2679" i="1"/>
  <c r="E2678" i="1"/>
  <c r="D2678" i="1"/>
  <c r="A2678" i="1"/>
  <c r="E2677" i="1"/>
  <c r="D2677" i="1"/>
  <c r="A2677" i="1"/>
  <c r="E2676" i="1"/>
  <c r="D2676" i="1"/>
  <c r="A2676" i="1"/>
  <c r="E2675" i="1"/>
  <c r="D2675" i="1"/>
  <c r="A2675" i="1"/>
  <c r="E2674" i="1"/>
  <c r="D2674" i="1"/>
  <c r="A2674" i="1"/>
  <c r="E2673" i="1"/>
  <c r="D2673" i="1"/>
  <c r="A2673" i="1"/>
  <c r="E2672" i="1"/>
  <c r="D2672" i="1"/>
  <c r="A2672" i="1"/>
  <c r="E2671" i="1"/>
  <c r="D2671" i="1"/>
  <c r="A2671" i="1"/>
  <c r="E2670" i="1"/>
  <c r="D2670" i="1"/>
  <c r="A2670" i="1"/>
  <c r="E2669" i="1"/>
  <c r="D2669" i="1"/>
  <c r="A2669" i="1"/>
  <c r="E2668" i="1"/>
  <c r="D2668" i="1"/>
  <c r="A2668" i="1"/>
  <c r="E2667" i="1"/>
  <c r="D2667" i="1"/>
  <c r="A2667" i="1"/>
  <c r="E2666" i="1"/>
  <c r="D2666" i="1"/>
  <c r="A2666" i="1"/>
  <c r="E2665" i="1"/>
  <c r="D2665" i="1"/>
  <c r="A2665" i="1"/>
  <c r="E2664" i="1"/>
  <c r="D2664" i="1"/>
  <c r="A2664" i="1"/>
  <c r="E2663" i="1"/>
  <c r="D2663" i="1"/>
  <c r="A2663" i="1"/>
  <c r="E2662" i="1"/>
  <c r="D2662" i="1"/>
  <c r="A2662" i="1"/>
  <c r="E2661" i="1"/>
  <c r="D2661" i="1"/>
  <c r="A2661" i="1"/>
  <c r="D2660" i="1"/>
  <c r="A2660" i="1"/>
  <c r="D2659" i="1"/>
  <c r="A2659" i="1"/>
  <c r="D2658" i="1"/>
  <c r="A2658" i="1"/>
  <c r="D2657" i="1"/>
  <c r="A2657" i="1"/>
  <c r="D2656" i="1"/>
  <c r="A2656" i="1"/>
  <c r="D2655" i="1"/>
  <c r="A2655" i="1"/>
  <c r="D2654" i="1"/>
  <c r="A2654" i="1"/>
  <c r="D2653" i="1"/>
  <c r="A2653" i="1"/>
  <c r="D2652" i="1"/>
  <c r="A2652" i="1"/>
  <c r="E2651" i="1"/>
  <c r="D2651" i="1"/>
  <c r="A2651" i="1"/>
  <c r="E2650" i="1"/>
  <c r="D2650" i="1"/>
  <c r="A2650" i="1"/>
  <c r="E2649" i="1"/>
  <c r="D2649" i="1"/>
  <c r="A2649" i="1"/>
  <c r="D2648" i="1"/>
  <c r="A2648" i="1"/>
  <c r="E2647" i="1"/>
  <c r="D2647" i="1"/>
  <c r="A2647" i="1"/>
  <c r="E2646" i="1"/>
  <c r="D2646" i="1"/>
  <c r="A2646" i="1"/>
  <c r="E2645" i="1"/>
  <c r="D2645" i="1"/>
  <c r="A2645" i="1"/>
  <c r="D2644" i="1"/>
  <c r="A2644" i="1"/>
  <c r="D2643" i="1"/>
  <c r="A2643" i="1"/>
  <c r="E2642" i="1"/>
  <c r="D2642" i="1"/>
  <c r="A2642" i="1"/>
  <c r="E2641" i="1"/>
  <c r="D2641" i="1"/>
  <c r="A2641" i="1"/>
  <c r="E2640" i="1"/>
  <c r="D2640" i="1"/>
  <c r="A2640" i="1"/>
  <c r="E2639" i="1"/>
  <c r="D2639" i="1"/>
  <c r="A2639" i="1"/>
  <c r="E2638" i="1"/>
  <c r="D2638" i="1"/>
  <c r="A2638" i="1"/>
  <c r="E2637" i="1"/>
  <c r="D2637" i="1"/>
  <c r="A2637" i="1"/>
  <c r="E2636" i="1"/>
  <c r="D2636" i="1"/>
  <c r="A2636" i="1"/>
  <c r="D2635" i="1"/>
  <c r="A2635" i="1"/>
  <c r="E2634" i="1"/>
  <c r="D2634" i="1"/>
  <c r="A2634" i="1"/>
  <c r="E2633" i="1"/>
  <c r="D2633" i="1"/>
  <c r="A2633" i="1"/>
  <c r="E2632" i="1"/>
  <c r="D2632" i="1"/>
  <c r="A2632" i="1"/>
  <c r="E2631" i="1"/>
  <c r="D2631" i="1"/>
  <c r="A2631" i="1"/>
  <c r="E2630" i="1"/>
  <c r="D2630" i="1"/>
  <c r="A2630" i="1"/>
  <c r="E2629" i="1"/>
  <c r="D2629" i="1"/>
  <c r="A2629" i="1"/>
  <c r="E2628" i="1"/>
  <c r="D2628" i="1"/>
  <c r="A2628" i="1"/>
  <c r="E2627" i="1"/>
  <c r="D2627" i="1"/>
  <c r="A2627" i="1"/>
  <c r="D2626" i="1"/>
  <c r="A2626" i="1"/>
  <c r="E2625" i="1"/>
  <c r="D2625" i="1"/>
  <c r="A2625" i="1"/>
  <c r="D2624" i="1"/>
  <c r="A2624" i="1"/>
  <c r="E2623" i="1"/>
  <c r="D2623" i="1"/>
  <c r="A2623" i="1"/>
  <c r="E2622" i="1"/>
  <c r="D2622" i="1"/>
  <c r="A2622" i="1"/>
  <c r="E2621" i="1"/>
  <c r="D2621" i="1"/>
  <c r="A2621" i="1"/>
  <c r="D2620" i="1"/>
  <c r="A2620" i="1"/>
  <c r="D2619" i="1"/>
  <c r="A2619" i="1"/>
  <c r="D2618" i="1"/>
  <c r="A2618" i="1"/>
  <c r="D2617" i="1"/>
  <c r="A2617" i="1"/>
  <c r="D2616" i="1"/>
  <c r="A2616" i="1"/>
  <c r="D2615" i="1"/>
  <c r="A2615" i="1"/>
  <c r="E2614" i="1"/>
  <c r="D2614" i="1"/>
  <c r="A2614" i="1"/>
  <c r="E2613" i="1"/>
  <c r="D2613" i="1"/>
  <c r="A2613" i="1"/>
  <c r="D2612" i="1"/>
  <c r="A2612" i="1"/>
  <c r="D2611" i="1"/>
  <c r="A2611" i="1"/>
  <c r="D2610" i="1"/>
  <c r="A2610" i="1"/>
  <c r="D2609" i="1"/>
  <c r="A2609" i="1"/>
  <c r="D2608" i="1"/>
  <c r="A2608" i="1"/>
  <c r="D2607" i="1"/>
  <c r="A2607" i="1"/>
  <c r="D2606" i="1"/>
  <c r="A2606" i="1"/>
  <c r="D2605" i="1"/>
  <c r="A2605" i="1"/>
  <c r="D2604" i="1"/>
  <c r="A2604" i="1"/>
  <c r="E2603" i="1"/>
  <c r="D2603" i="1"/>
  <c r="A2603" i="1"/>
  <c r="E2602" i="1"/>
  <c r="D2602" i="1"/>
  <c r="A2602" i="1"/>
  <c r="D2601" i="1"/>
  <c r="A2601" i="1"/>
  <c r="E2600" i="1"/>
  <c r="D2600" i="1"/>
  <c r="A2600" i="1"/>
  <c r="E2599" i="1"/>
  <c r="D2599" i="1"/>
  <c r="A2599" i="1"/>
  <c r="E2598" i="1"/>
  <c r="D2598" i="1"/>
  <c r="A2598" i="1"/>
  <c r="E2597" i="1"/>
  <c r="D2597" i="1"/>
  <c r="A2597" i="1"/>
  <c r="E2596" i="1"/>
  <c r="D2596" i="1"/>
  <c r="A2596" i="1"/>
  <c r="E2595" i="1"/>
  <c r="D2595" i="1"/>
  <c r="A2595" i="1"/>
  <c r="E2594" i="1"/>
  <c r="D2594" i="1"/>
  <c r="A2594" i="1"/>
  <c r="E2593" i="1"/>
  <c r="D2593" i="1"/>
  <c r="A2593" i="1"/>
  <c r="E2592" i="1"/>
  <c r="D2592" i="1"/>
  <c r="A2592" i="1"/>
  <c r="D2591" i="1"/>
  <c r="A2591" i="1"/>
  <c r="D2590" i="1"/>
  <c r="A2590" i="1"/>
  <c r="D2589" i="1"/>
  <c r="A2589" i="1"/>
  <c r="D2588" i="1"/>
  <c r="A2588" i="1"/>
  <c r="D2587" i="1"/>
  <c r="A2587" i="1"/>
  <c r="D2586" i="1"/>
  <c r="A2586" i="1"/>
  <c r="D2585" i="1"/>
  <c r="A2585" i="1"/>
  <c r="D2584" i="1"/>
  <c r="A2584" i="1"/>
  <c r="D2583" i="1"/>
  <c r="A2583" i="1"/>
  <c r="D2582" i="1"/>
  <c r="A2582" i="1"/>
  <c r="D2581" i="1"/>
  <c r="A2581" i="1"/>
  <c r="D2580" i="1"/>
  <c r="A2580" i="1"/>
  <c r="D2579" i="1"/>
  <c r="A2579" i="1"/>
  <c r="D2578" i="1"/>
  <c r="A2578" i="1"/>
  <c r="D2577" i="1"/>
  <c r="A2577" i="1"/>
  <c r="D2576" i="1"/>
  <c r="A2576" i="1"/>
  <c r="D2575" i="1"/>
  <c r="A2575" i="1"/>
  <c r="D2574" i="1"/>
  <c r="A2574" i="1"/>
  <c r="D2573" i="1"/>
  <c r="A2573" i="1"/>
  <c r="D2572" i="1"/>
  <c r="A2572" i="1"/>
  <c r="D2571" i="1"/>
  <c r="A2571" i="1"/>
  <c r="D2570" i="1"/>
  <c r="A2570" i="1"/>
  <c r="D2569" i="1"/>
  <c r="A2569" i="1"/>
  <c r="D2568" i="1"/>
  <c r="A2568" i="1"/>
  <c r="D2567" i="1"/>
  <c r="A2567" i="1"/>
  <c r="D2566" i="1"/>
  <c r="A2566" i="1"/>
  <c r="D2565" i="1"/>
  <c r="A2565" i="1"/>
  <c r="D2564" i="1"/>
  <c r="A2564" i="1"/>
  <c r="D2563" i="1"/>
  <c r="A2563" i="1"/>
  <c r="D2562" i="1"/>
  <c r="A2562" i="1"/>
  <c r="D2561" i="1"/>
  <c r="A2561" i="1"/>
  <c r="D2560" i="1"/>
  <c r="A2560" i="1"/>
  <c r="D2559" i="1"/>
  <c r="A2559" i="1"/>
  <c r="D2558" i="1"/>
  <c r="A2558" i="1"/>
  <c r="D2557" i="1"/>
  <c r="A2557" i="1"/>
  <c r="D2556" i="1"/>
  <c r="A2556" i="1"/>
  <c r="D2555" i="1"/>
  <c r="A2555" i="1"/>
  <c r="D2554" i="1"/>
  <c r="A2554" i="1"/>
  <c r="D2553" i="1"/>
  <c r="A2553" i="1"/>
  <c r="D2552" i="1"/>
  <c r="A2552" i="1"/>
  <c r="D2551" i="1"/>
  <c r="A2551" i="1"/>
  <c r="D2550" i="1"/>
  <c r="A2550" i="1"/>
  <c r="D2549" i="1"/>
  <c r="A2549" i="1"/>
  <c r="D2548" i="1"/>
  <c r="A2548" i="1"/>
  <c r="D2547" i="1"/>
  <c r="A2547" i="1"/>
  <c r="D2546" i="1"/>
  <c r="A2546" i="1"/>
  <c r="D2545" i="1"/>
  <c r="A2545" i="1"/>
  <c r="D2544" i="1"/>
  <c r="A2544" i="1"/>
  <c r="D2543" i="1"/>
  <c r="A2543" i="1"/>
  <c r="D2542" i="1"/>
  <c r="A2542" i="1"/>
  <c r="D2541" i="1"/>
  <c r="A2541" i="1"/>
  <c r="D2540" i="1"/>
  <c r="A2540" i="1"/>
  <c r="D2539" i="1"/>
  <c r="A2539" i="1"/>
  <c r="D2538" i="1"/>
  <c r="A2538" i="1"/>
  <c r="D2537" i="1"/>
  <c r="A2537" i="1"/>
  <c r="D2536" i="1"/>
  <c r="A2536" i="1"/>
  <c r="D2535" i="1"/>
  <c r="A2535" i="1"/>
  <c r="D2534" i="1"/>
  <c r="A2534" i="1"/>
  <c r="D2533" i="1"/>
  <c r="A2533" i="1"/>
  <c r="D2532" i="1"/>
  <c r="A2532" i="1"/>
  <c r="D2531" i="1"/>
  <c r="A2531" i="1"/>
  <c r="D2530" i="1"/>
  <c r="A2530" i="1"/>
  <c r="D2529" i="1"/>
  <c r="A2529" i="1"/>
  <c r="D2528" i="1"/>
  <c r="A2528" i="1"/>
  <c r="D2527" i="1"/>
  <c r="A2527" i="1"/>
  <c r="D2526" i="1"/>
  <c r="A2526" i="1"/>
  <c r="D2525" i="1"/>
  <c r="A2525" i="1"/>
  <c r="D2524" i="1"/>
  <c r="A2524" i="1"/>
  <c r="D2523" i="1"/>
  <c r="A2523" i="1"/>
  <c r="D2522" i="1"/>
  <c r="A2522" i="1"/>
  <c r="D2521" i="1"/>
  <c r="A2521" i="1"/>
  <c r="D2520" i="1"/>
  <c r="A2520" i="1"/>
  <c r="E2519" i="1"/>
  <c r="D2519" i="1"/>
  <c r="A2519" i="1"/>
  <c r="E2518" i="1"/>
  <c r="D2518" i="1"/>
  <c r="A2518" i="1"/>
  <c r="D2517" i="1"/>
  <c r="A2517" i="1"/>
  <c r="D2516" i="1"/>
  <c r="A2516" i="1"/>
  <c r="D2515" i="1"/>
  <c r="A2515" i="1"/>
  <c r="D2514" i="1"/>
  <c r="A2514" i="1"/>
  <c r="D2513" i="1"/>
  <c r="A2513" i="1"/>
  <c r="D2512" i="1"/>
  <c r="A2512" i="1"/>
  <c r="D2511" i="1"/>
  <c r="A2511" i="1"/>
  <c r="D2510" i="1"/>
  <c r="A2510" i="1"/>
  <c r="D2509" i="1"/>
  <c r="A2509" i="1"/>
  <c r="D2508" i="1"/>
  <c r="A2508" i="1"/>
  <c r="D2507" i="1"/>
  <c r="A2507" i="1"/>
  <c r="D2506" i="1"/>
  <c r="A2506" i="1"/>
  <c r="D2505" i="1"/>
  <c r="A2505" i="1"/>
  <c r="D2504" i="1"/>
  <c r="A2504" i="1"/>
  <c r="D2503" i="1"/>
  <c r="A2503" i="1"/>
  <c r="D2502" i="1"/>
  <c r="A2502" i="1"/>
  <c r="E2501" i="1"/>
  <c r="D2501" i="1"/>
  <c r="A2501" i="1"/>
  <c r="D2500" i="1"/>
  <c r="A2500" i="1"/>
  <c r="D2499" i="1"/>
  <c r="A2499" i="1"/>
  <c r="D2498" i="1"/>
  <c r="A2498" i="1"/>
  <c r="E2497" i="1"/>
  <c r="D2497" i="1"/>
  <c r="A2497" i="1"/>
  <c r="D2496" i="1"/>
  <c r="A2496" i="1"/>
  <c r="D2495" i="1"/>
  <c r="A2495" i="1"/>
  <c r="D2494" i="1"/>
  <c r="A2494" i="1"/>
  <c r="D2493" i="1"/>
  <c r="A2493" i="1"/>
  <c r="D2492" i="1"/>
  <c r="A2492" i="1"/>
  <c r="D2491" i="1"/>
  <c r="A2491" i="1"/>
  <c r="D2490" i="1"/>
  <c r="A2490" i="1"/>
  <c r="D2489" i="1"/>
  <c r="A2489" i="1"/>
  <c r="E2488" i="1"/>
  <c r="D2488" i="1"/>
  <c r="A2488" i="1"/>
  <c r="E2487" i="1"/>
  <c r="D2487" i="1"/>
  <c r="A2487" i="1"/>
  <c r="E2486" i="1"/>
  <c r="D2486" i="1"/>
  <c r="A2486" i="1"/>
  <c r="E2485" i="1"/>
  <c r="D2485" i="1"/>
  <c r="A2485" i="1"/>
  <c r="E2484" i="1"/>
  <c r="D2484" i="1"/>
  <c r="A2484" i="1"/>
  <c r="D2483" i="1"/>
  <c r="A2483" i="1"/>
  <c r="E2482" i="1"/>
  <c r="D2482" i="1"/>
  <c r="A2482" i="1"/>
  <c r="E2481" i="1"/>
  <c r="D2481" i="1"/>
  <c r="A2481" i="1"/>
  <c r="E2480" i="1"/>
  <c r="D2480" i="1"/>
  <c r="A2480" i="1"/>
  <c r="E2479" i="1"/>
  <c r="D2479" i="1"/>
  <c r="A2479" i="1"/>
  <c r="E2478" i="1"/>
  <c r="D2478" i="1"/>
  <c r="A2478" i="1"/>
  <c r="E2477" i="1"/>
  <c r="D2477" i="1"/>
  <c r="A2477" i="1"/>
  <c r="E2476" i="1"/>
  <c r="D2476" i="1"/>
  <c r="A2476" i="1"/>
  <c r="E2475" i="1"/>
  <c r="D2475" i="1"/>
  <c r="A2475" i="1"/>
  <c r="E2474" i="1"/>
  <c r="D2474" i="1"/>
  <c r="A2474" i="1"/>
  <c r="E2473" i="1"/>
  <c r="D2473" i="1"/>
  <c r="A2473" i="1"/>
  <c r="E2472" i="1"/>
  <c r="D2472" i="1"/>
  <c r="A2472" i="1"/>
  <c r="D2471" i="1"/>
  <c r="A2471" i="1"/>
  <c r="D2470" i="1"/>
  <c r="A2470" i="1"/>
  <c r="E2469" i="1"/>
  <c r="D2469" i="1"/>
  <c r="A2469" i="1"/>
  <c r="E2468" i="1"/>
  <c r="D2468" i="1"/>
  <c r="A2468" i="1"/>
  <c r="D2467" i="1"/>
  <c r="A2467" i="1"/>
  <c r="D2466" i="1"/>
  <c r="A2466" i="1"/>
  <c r="D2465" i="1"/>
  <c r="A2465" i="1"/>
  <c r="D2464" i="1"/>
  <c r="A2464" i="1"/>
  <c r="D2463" i="1"/>
  <c r="A2463" i="1"/>
  <c r="D2462" i="1"/>
  <c r="A2462" i="1"/>
  <c r="E2461" i="1"/>
  <c r="D2461" i="1"/>
  <c r="A2461" i="1"/>
  <c r="E2460" i="1"/>
  <c r="D2460" i="1"/>
  <c r="A2460" i="1"/>
  <c r="E2459" i="1"/>
  <c r="D2459" i="1"/>
  <c r="A2459" i="1"/>
  <c r="D2458" i="1"/>
  <c r="A2458" i="1"/>
  <c r="D2457" i="1"/>
  <c r="A2457" i="1"/>
  <c r="D2456" i="1"/>
  <c r="A2456" i="1"/>
  <c r="D2455" i="1"/>
  <c r="A2455" i="1"/>
  <c r="E2454" i="1"/>
  <c r="D2454" i="1"/>
  <c r="A2454" i="1"/>
  <c r="D2453" i="1"/>
  <c r="A2453" i="1"/>
  <c r="D2452" i="1"/>
  <c r="A2452" i="1"/>
  <c r="D2451" i="1"/>
  <c r="A2451" i="1"/>
  <c r="D2450" i="1"/>
  <c r="A2450" i="1"/>
  <c r="D2449" i="1"/>
  <c r="A2449" i="1"/>
  <c r="D2448" i="1"/>
  <c r="A2448" i="1"/>
  <c r="D2447" i="1"/>
  <c r="A2447" i="1"/>
  <c r="D2446" i="1"/>
  <c r="A2446" i="1"/>
  <c r="D2445" i="1"/>
  <c r="A2445" i="1"/>
  <c r="D2444" i="1"/>
  <c r="A2444" i="1"/>
  <c r="D2443" i="1"/>
  <c r="A2443" i="1"/>
  <c r="D2442" i="1"/>
  <c r="A2442" i="1"/>
  <c r="D2441" i="1"/>
  <c r="A2441" i="1"/>
  <c r="E2440" i="1"/>
  <c r="D2440" i="1"/>
  <c r="A2440" i="1"/>
  <c r="D2439" i="1"/>
  <c r="A2439" i="1"/>
  <c r="E2438" i="1"/>
  <c r="D2438" i="1"/>
  <c r="A2438" i="1"/>
  <c r="D2437" i="1"/>
  <c r="A2437" i="1"/>
  <c r="D2436" i="1"/>
  <c r="A2436" i="1"/>
  <c r="D2435" i="1"/>
  <c r="A2435" i="1"/>
  <c r="D2434" i="1"/>
  <c r="A2434" i="1"/>
  <c r="E2433" i="1"/>
  <c r="D2433" i="1"/>
  <c r="A2433" i="1"/>
  <c r="E2432" i="1"/>
  <c r="D2432" i="1"/>
  <c r="A2432" i="1"/>
  <c r="E2431" i="1"/>
  <c r="D2431" i="1"/>
  <c r="A2431" i="1"/>
  <c r="D2430" i="1"/>
  <c r="A2430" i="1"/>
  <c r="D2429" i="1"/>
  <c r="A2429" i="1"/>
  <c r="D2428" i="1"/>
  <c r="A2428" i="1"/>
  <c r="D2427" i="1"/>
  <c r="A2427" i="1"/>
  <c r="D2426" i="1"/>
  <c r="A2426" i="1"/>
  <c r="E2425" i="1"/>
  <c r="D2425" i="1"/>
  <c r="A2425" i="1"/>
  <c r="E2424" i="1"/>
  <c r="D2424" i="1"/>
  <c r="A2424" i="1"/>
  <c r="D2423" i="1"/>
  <c r="A2423" i="1"/>
  <c r="E2422" i="1"/>
  <c r="D2422" i="1"/>
  <c r="A2422" i="1"/>
  <c r="E2421" i="1"/>
  <c r="D2421" i="1"/>
  <c r="A2421" i="1"/>
  <c r="D2420" i="1"/>
  <c r="A2420" i="1"/>
  <c r="D2419" i="1"/>
  <c r="A2419" i="1"/>
  <c r="D2418" i="1"/>
  <c r="A2418" i="1"/>
  <c r="D2417" i="1"/>
  <c r="A2417" i="1"/>
  <c r="D2416" i="1"/>
  <c r="A2416" i="1"/>
  <c r="D2415" i="1"/>
  <c r="A2415" i="1"/>
  <c r="D2414" i="1"/>
  <c r="A2414" i="1"/>
  <c r="D2413" i="1"/>
  <c r="A2413" i="1"/>
  <c r="E2412" i="1"/>
  <c r="D2412" i="1"/>
  <c r="A2412" i="1"/>
  <c r="E2411" i="1"/>
  <c r="D2411" i="1"/>
  <c r="A2411" i="1"/>
  <c r="D2410" i="1"/>
  <c r="A2410" i="1"/>
  <c r="D2409" i="1"/>
  <c r="A2409" i="1"/>
  <c r="D2408" i="1"/>
  <c r="A2408" i="1"/>
  <c r="D2407" i="1"/>
  <c r="A2407" i="1"/>
  <c r="E2406" i="1"/>
  <c r="D2406" i="1"/>
  <c r="A2406" i="1"/>
  <c r="D2405" i="1"/>
  <c r="A2405" i="1"/>
  <c r="E2404" i="1"/>
  <c r="D2404" i="1"/>
  <c r="A2404" i="1"/>
  <c r="D2403" i="1"/>
  <c r="A2403" i="1"/>
  <c r="D2402" i="1"/>
  <c r="A2402" i="1"/>
  <c r="D2401" i="1"/>
  <c r="A2401" i="1"/>
  <c r="D2400" i="1"/>
  <c r="A2400" i="1"/>
  <c r="D2399" i="1"/>
  <c r="A2399" i="1"/>
  <c r="D2398" i="1"/>
  <c r="A2398" i="1"/>
  <c r="D2397" i="1"/>
  <c r="A2397" i="1"/>
  <c r="D2396" i="1"/>
  <c r="A2396" i="1"/>
  <c r="D2395" i="1"/>
  <c r="A2395" i="1"/>
  <c r="D2394" i="1"/>
  <c r="A2394" i="1"/>
  <c r="D2393" i="1"/>
  <c r="A2393" i="1"/>
  <c r="D2392" i="1"/>
  <c r="A2392" i="1"/>
  <c r="E2391" i="1"/>
  <c r="D2391" i="1"/>
  <c r="A2391" i="1"/>
  <c r="D2390" i="1"/>
  <c r="A2390" i="1"/>
  <c r="D2389" i="1"/>
  <c r="A2389" i="1"/>
  <c r="E2388" i="1"/>
  <c r="D2388" i="1"/>
  <c r="A2388" i="1"/>
  <c r="D2387" i="1"/>
  <c r="A2387" i="1"/>
  <c r="D2386" i="1"/>
  <c r="A2386" i="1"/>
  <c r="D2385" i="1"/>
  <c r="A2385" i="1"/>
  <c r="D2384" i="1"/>
  <c r="A2384" i="1"/>
  <c r="D2383" i="1"/>
  <c r="A2383" i="1"/>
  <c r="D2382" i="1"/>
  <c r="A2382" i="1"/>
  <c r="D2381" i="1"/>
  <c r="A2381" i="1"/>
  <c r="D2380" i="1"/>
  <c r="A2380" i="1"/>
  <c r="D2379" i="1"/>
  <c r="A2379" i="1"/>
  <c r="D2378" i="1"/>
  <c r="A2378" i="1"/>
  <c r="E2377" i="1"/>
  <c r="D2377" i="1"/>
  <c r="A2377" i="1"/>
  <c r="D2376" i="1"/>
  <c r="A2376" i="1"/>
  <c r="E2375" i="1"/>
  <c r="D2375" i="1"/>
  <c r="A2375" i="1"/>
  <c r="D2374" i="1"/>
  <c r="A2374" i="1"/>
  <c r="D2373" i="1"/>
  <c r="A2373" i="1"/>
  <c r="D2372" i="1"/>
  <c r="A2372" i="1"/>
  <c r="D2371" i="1"/>
  <c r="A2371" i="1"/>
  <c r="D2370" i="1"/>
  <c r="A2370" i="1"/>
  <c r="E2369" i="1"/>
  <c r="D2369" i="1"/>
  <c r="A2369" i="1"/>
  <c r="E2368" i="1"/>
  <c r="D2368" i="1"/>
  <c r="A2368" i="1"/>
  <c r="D2367" i="1"/>
  <c r="A2367" i="1"/>
  <c r="D2366" i="1"/>
  <c r="A2366" i="1"/>
  <c r="D2365" i="1"/>
  <c r="A2365" i="1"/>
  <c r="E2364" i="1"/>
  <c r="D2364" i="1"/>
  <c r="A2364" i="1"/>
  <c r="D2363" i="1"/>
  <c r="A2363" i="1"/>
  <c r="D2362" i="1"/>
  <c r="A2362" i="1"/>
  <c r="D2361" i="1"/>
  <c r="A2361" i="1"/>
  <c r="D2360" i="1"/>
  <c r="A2360" i="1"/>
  <c r="D2359" i="1"/>
  <c r="A2359" i="1"/>
  <c r="D2358" i="1"/>
  <c r="A2358" i="1"/>
  <c r="D2357" i="1"/>
  <c r="A2357" i="1"/>
  <c r="D2356" i="1"/>
  <c r="A2356" i="1"/>
  <c r="D2355" i="1"/>
  <c r="A2355" i="1"/>
  <c r="E2354" i="1"/>
  <c r="D2354" i="1"/>
  <c r="A2354" i="1"/>
  <c r="E2353" i="1"/>
  <c r="D2353" i="1"/>
  <c r="A2353" i="1"/>
  <c r="E2352" i="1"/>
  <c r="D2352" i="1"/>
  <c r="A2352" i="1"/>
  <c r="E2351" i="1"/>
  <c r="D2351" i="1"/>
  <c r="A2351" i="1"/>
  <c r="E2350" i="1"/>
  <c r="D2350" i="1"/>
  <c r="A2350" i="1"/>
  <c r="E2349" i="1"/>
  <c r="D2349" i="1"/>
  <c r="A2349" i="1"/>
  <c r="D2348" i="1"/>
  <c r="A2348" i="1"/>
  <c r="D2347" i="1"/>
  <c r="A2347" i="1"/>
  <c r="D2346" i="1"/>
  <c r="A2346" i="1"/>
  <c r="E2345" i="1"/>
  <c r="D2345" i="1"/>
  <c r="A2345" i="1"/>
  <c r="E2344" i="1"/>
  <c r="D2344" i="1"/>
  <c r="A2344" i="1"/>
  <c r="E2343" i="1"/>
  <c r="D2343" i="1"/>
  <c r="A2343" i="1"/>
  <c r="E2342" i="1"/>
  <c r="D2342" i="1"/>
  <c r="A2342" i="1"/>
  <c r="D2341" i="1"/>
  <c r="A2341" i="1"/>
  <c r="E2340" i="1"/>
  <c r="D2340" i="1"/>
  <c r="A2340" i="1"/>
  <c r="E2339" i="1"/>
  <c r="D2339" i="1"/>
  <c r="A2339" i="1"/>
  <c r="D2338" i="1"/>
  <c r="A2338" i="1"/>
  <c r="E2337" i="1"/>
  <c r="D2337" i="1"/>
  <c r="A2337" i="1"/>
  <c r="E2336" i="1"/>
  <c r="D2336" i="1"/>
  <c r="A2336" i="1"/>
  <c r="E2335" i="1"/>
  <c r="D2335" i="1"/>
  <c r="A2335" i="1"/>
  <c r="E2334" i="1"/>
  <c r="D2334" i="1"/>
  <c r="A2334" i="1"/>
  <c r="D2333" i="1"/>
  <c r="A2333" i="1"/>
  <c r="D2332" i="1"/>
  <c r="A2332" i="1"/>
  <c r="D2331" i="1"/>
  <c r="A2331" i="1"/>
  <c r="D2330" i="1"/>
  <c r="A2330" i="1"/>
  <c r="D2329" i="1"/>
  <c r="A2329" i="1"/>
  <c r="D2328" i="1"/>
  <c r="A2328" i="1"/>
  <c r="D2327" i="1"/>
  <c r="A2327" i="1"/>
  <c r="D2326" i="1"/>
  <c r="A2326" i="1"/>
  <c r="E2325" i="1"/>
  <c r="D2325" i="1"/>
  <c r="A2325" i="1"/>
  <c r="E2324" i="1"/>
  <c r="D2324" i="1"/>
  <c r="A2324" i="1"/>
  <c r="D2323" i="1"/>
  <c r="A2323" i="1"/>
  <c r="D2322" i="1"/>
  <c r="A2322" i="1"/>
  <c r="E2321" i="1"/>
  <c r="D2321" i="1"/>
  <c r="A2321" i="1"/>
  <c r="D2320" i="1"/>
  <c r="A2320" i="1"/>
  <c r="D2319" i="1"/>
  <c r="A2319" i="1"/>
  <c r="E2318" i="1"/>
  <c r="D2318" i="1"/>
  <c r="A2318" i="1"/>
  <c r="E2317" i="1"/>
  <c r="D2317" i="1"/>
  <c r="A2317" i="1"/>
  <c r="E2316" i="1"/>
  <c r="D2316" i="1"/>
  <c r="A2316" i="1"/>
  <c r="E2315" i="1"/>
  <c r="D2315" i="1"/>
  <c r="A2315" i="1"/>
  <c r="D2314" i="1"/>
  <c r="A2314" i="1"/>
  <c r="D2313" i="1"/>
  <c r="A2313" i="1"/>
  <c r="E2312" i="1"/>
  <c r="D2312" i="1"/>
  <c r="A2312" i="1"/>
  <c r="E2311" i="1"/>
  <c r="D2311" i="1"/>
  <c r="A2311" i="1"/>
  <c r="E2310" i="1"/>
  <c r="D2310" i="1"/>
  <c r="A2310" i="1"/>
  <c r="D2309" i="1"/>
  <c r="A2309" i="1"/>
  <c r="D2308" i="1"/>
  <c r="A2308" i="1"/>
  <c r="D2307" i="1"/>
  <c r="A2307" i="1"/>
  <c r="D2306" i="1"/>
  <c r="A2306" i="1"/>
  <c r="D2305" i="1"/>
  <c r="A2305" i="1"/>
  <c r="D2304" i="1"/>
  <c r="A2304" i="1"/>
  <c r="D2303" i="1"/>
  <c r="A2303" i="1"/>
  <c r="D2302" i="1"/>
  <c r="A2302" i="1"/>
  <c r="D2301" i="1"/>
  <c r="A2301" i="1"/>
  <c r="D2300" i="1"/>
  <c r="A2300" i="1"/>
  <c r="E2299" i="1"/>
  <c r="D2299" i="1"/>
  <c r="A2299" i="1"/>
  <c r="D2298" i="1"/>
  <c r="A2298" i="1"/>
  <c r="E2297" i="1"/>
  <c r="D2297" i="1"/>
  <c r="A2297" i="1"/>
  <c r="D2296" i="1"/>
  <c r="A2296" i="1"/>
  <c r="D2295" i="1"/>
  <c r="A2295" i="1"/>
  <c r="D2294" i="1"/>
  <c r="A2294" i="1"/>
  <c r="D2293" i="1"/>
  <c r="A2293" i="1"/>
  <c r="D2292" i="1"/>
  <c r="A2292" i="1"/>
  <c r="D2291" i="1"/>
  <c r="A2291" i="1"/>
  <c r="D2290" i="1"/>
  <c r="A2290" i="1"/>
  <c r="D2289" i="1"/>
  <c r="A2289" i="1"/>
  <c r="D2288" i="1"/>
  <c r="A2288" i="1"/>
  <c r="D2287" i="1"/>
  <c r="A2287" i="1"/>
  <c r="D2286" i="1"/>
  <c r="A2286" i="1"/>
  <c r="D2285" i="1"/>
  <c r="A2285" i="1"/>
  <c r="D2284" i="1"/>
  <c r="A2284" i="1"/>
  <c r="D2283" i="1"/>
  <c r="A2283" i="1"/>
  <c r="E2282" i="1"/>
  <c r="D2282" i="1"/>
  <c r="A2282" i="1"/>
  <c r="E2281" i="1"/>
  <c r="D2281" i="1"/>
  <c r="A2281" i="1"/>
  <c r="E2280" i="1"/>
  <c r="D2280" i="1"/>
  <c r="A2280" i="1"/>
  <c r="E2279" i="1"/>
  <c r="D2279" i="1"/>
  <c r="A2279" i="1"/>
  <c r="E2278" i="1"/>
  <c r="D2278" i="1"/>
  <c r="A2278" i="1"/>
  <c r="E2277" i="1"/>
  <c r="D2277" i="1"/>
  <c r="A2277" i="1"/>
  <c r="E2276" i="1"/>
  <c r="D2276" i="1"/>
  <c r="A2276" i="1"/>
  <c r="E2275" i="1"/>
  <c r="D2275" i="1"/>
  <c r="A2275" i="1"/>
  <c r="D2274" i="1"/>
  <c r="A2274" i="1"/>
  <c r="D2273" i="1"/>
  <c r="A2273" i="1"/>
  <c r="D2272" i="1"/>
  <c r="A2272" i="1"/>
  <c r="D2271" i="1"/>
  <c r="A2271" i="1"/>
  <c r="D2270" i="1"/>
  <c r="A2270" i="1"/>
  <c r="E2269" i="1"/>
  <c r="D2269" i="1"/>
  <c r="A2269" i="1"/>
  <c r="E2268" i="1"/>
  <c r="D2268" i="1"/>
  <c r="A2268" i="1"/>
  <c r="D2267" i="1"/>
  <c r="A2267" i="1"/>
  <c r="E2266" i="1"/>
  <c r="D2266" i="1"/>
  <c r="A2266" i="1"/>
  <c r="E2265" i="1"/>
  <c r="D2265" i="1"/>
  <c r="A2265" i="1"/>
  <c r="D2264" i="1"/>
  <c r="A2264" i="1"/>
  <c r="D2263" i="1"/>
  <c r="A2263" i="1"/>
  <c r="D2262" i="1"/>
  <c r="A2262" i="1"/>
  <c r="E2261" i="1"/>
  <c r="D2261" i="1"/>
  <c r="A2261" i="1"/>
  <c r="D2260" i="1"/>
  <c r="A2260" i="1"/>
  <c r="D2259" i="1"/>
  <c r="A2259" i="1"/>
  <c r="D2258" i="1"/>
  <c r="A2258" i="1"/>
  <c r="D2257" i="1"/>
  <c r="A2257" i="1"/>
  <c r="D2256" i="1"/>
  <c r="A2256" i="1"/>
  <c r="D2255" i="1"/>
  <c r="A2255" i="1"/>
  <c r="D2254" i="1"/>
  <c r="A2254" i="1"/>
  <c r="D2253" i="1"/>
  <c r="A2253" i="1"/>
  <c r="E2252" i="1"/>
  <c r="D2252" i="1"/>
  <c r="A2252" i="1"/>
  <c r="D2251" i="1"/>
  <c r="A2251" i="1"/>
  <c r="D2250" i="1"/>
  <c r="A2250" i="1"/>
  <c r="D2249" i="1"/>
  <c r="A2249" i="1"/>
  <c r="D2248" i="1"/>
  <c r="A2248" i="1"/>
  <c r="D2247" i="1"/>
  <c r="A2247" i="1"/>
  <c r="D2246" i="1"/>
  <c r="A2246" i="1"/>
  <c r="D2245" i="1"/>
  <c r="A2245" i="1"/>
  <c r="E2244" i="1"/>
  <c r="D2244" i="1"/>
  <c r="A2244" i="1"/>
  <c r="D2243" i="1"/>
  <c r="A2243" i="1"/>
  <c r="D2242" i="1"/>
  <c r="A2242" i="1"/>
  <c r="D2241" i="1"/>
  <c r="A2241" i="1"/>
  <c r="D2240" i="1"/>
  <c r="A2240" i="1"/>
  <c r="D2239" i="1"/>
  <c r="A2239" i="1"/>
  <c r="D2238" i="1"/>
  <c r="A2238" i="1"/>
  <c r="D2237" i="1"/>
  <c r="A2237" i="1"/>
  <c r="D2236" i="1"/>
  <c r="A2236" i="1"/>
  <c r="D2235" i="1"/>
  <c r="A2235" i="1"/>
  <c r="D2234" i="1"/>
  <c r="A2234" i="1"/>
  <c r="D2233" i="1"/>
  <c r="A2233" i="1"/>
  <c r="D2232" i="1"/>
  <c r="A2232" i="1"/>
  <c r="E2231" i="1"/>
  <c r="D2231" i="1"/>
  <c r="A2231" i="1"/>
  <c r="D2230" i="1"/>
  <c r="A2230" i="1"/>
  <c r="D2229" i="1"/>
  <c r="A2229" i="1"/>
  <c r="D2228" i="1"/>
  <c r="A2228" i="1"/>
  <c r="D2227" i="1"/>
  <c r="A2227" i="1"/>
  <c r="D2226" i="1"/>
  <c r="A2226" i="1"/>
  <c r="D2225" i="1"/>
  <c r="A2225" i="1"/>
  <c r="D2224" i="1"/>
  <c r="A2224" i="1"/>
  <c r="D2223" i="1"/>
  <c r="A2223" i="1"/>
  <c r="D2222" i="1"/>
  <c r="A2222" i="1"/>
  <c r="D2221" i="1"/>
  <c r="A2221" i="1"/>
  <c r="D2220" i="1"/>
  <c r="A2220" i="1"/>
  <c r="D2219" i="1"/>
  <c r="A2219" i="1"/>
  <c r="D2218" i="1"/>
  <c r="A2218" i="1"/>
  <c r="D2217" i="1"/>
  <c r="A2217" i="1"/>
  <c r="D2216" i="1"/>
  <c r="A2216" i="1"/>
  <c r="D2215" i="1"/>
  <c r="A2215" i="1"/>
  <c r="D2214" i="1"/>
  <c r="A2214" i="1"/>
  <c r="D2213" i="1"/>
  <c r="A2213" i="1"/>
  <c r="D2212" i="1"/>
  <c r="A2212" i="1"/>
  <c r="D2211" i="1"/>
  <c r="A2211" i="1"/>
  <c r="D2210" i="1"/>
  <c r="A2210" i="1"/>
  <c r="D2209" i="1"/>
  <c r="A2209" i="1"/>
  <c r="D2208" i="1"/>
  <c r="A2208" i="1"/>
  <c r="D2207" i="1"/>
  <c r="A2207" i="1"/>
  <c r="D2206" i="1"/>
  <c r="A2206" i="1"/>
  <c r="D2205" i="1"/>
  <c r="A2205" i="1"/>
  <c r="D2204" i="1"/>
  <c r="A2204" i="1"/>
  <c r="E2203" i="1"/>
  <c r="D2203" i="1"/>
  <c r="A2203" i="1"/>
  <c r="D2202" i="1"/>
  <c r="A2202" i="1"/>
  <c r="D2201" i="1"/>
  <c r="A2201" i="1"/>
  <c r="D2200" i="1"/>
  <c r="A2200" i="1"/>
  <c r="D2199" i="1"/>
  <c r="A2199" i="1"/>
  <c r="E2198" i="1"/>
  <c r="D2198" i="1"/>
  <c r="A2198" i="1"/>
  <c r="D2197" i="1"/>
  <c r="A2197" i="1"/>
  <c r="D2196" i="1"/>
  <c r="A2196" i="1"/>
  <c r="D2195" i="1"/>
  <c r="A2195" i="1"/>
  <c r="D2194" i="1"/>
  <c r="A2194" i="1"/>
  <c r="D2193" i="1"/>
  <c r="A2193" i="1"/>
  <c r="D2192" i="1"/>
  <c r="A2192" i="1"/>
  <c r="D2191" i="1"/>
  <c r="A2191" i="1"/>
  <c r="D2190" i="1"/>
  <c r="A2190" i="1"/>
  <c r="D2189" i="1"/>
  <c r="A2189" i="1"/>
  <c r="D2188" i="1"/>
  <c r="A2188" i="1"/>
  <c r="D2187" i="1"/>
  <c r="A2187" i="1"/>
  <c r="D2186" i="1"/>
  <c r="A2186" i="1"/>
  <c r="D2185" i="1"/>
  <c r="A2185" i="1"/>
  <c r="D2184" i="1"/>
  <c r="A2184" i="1"/>
  <c r="D2183" i="1"/>
  <c r="A2183" i="1"/>
  <c r="D2182" i="1"/>
  <c r="A2182" i="1"/>
  <c r="D2181" i="1"/>
  <c r="A2181" i="1"/>
  <c r="D2180" i="1"/>
  <c r="A2180" i="1"/>
  <c r="D2179" i="1"/>
  <c r="A2179" i="1"/>
  <c r="D2178" i="1"/>
  <c r="A2178" i="1"/>
  <c r="D2177" i="1"/>
  <c r="A2177" i="1"/>
  <c r="D2176" i="1"/>
  <c r="A2176" i="1"/>
  <c r="D2175" i="1"/>
  <c r="A2175" i="1"/>
  <c r="D2174" i="1"/>
  <c r="A2174" i="1"/>
  <c r="D2173" i="1"/>
  <c r="A2173" i="1"/>
  <c r="D2172" i="1"/>
  <c r="A2172" i="1"/>
  <c r="D2171" i="1"/>
  <c r="A2171" i="1"/>
  <c r="D2170" i="1"/>
  <c r="A2170" i="1"/>
  <c r="D2169" i="1"/>
  <c r="A2169" i="1"/>
  <c r="D2168" i="1"/>
  <c r="A2168" i="1"/>
  <c r="D2167" i="1"/>
  <c r="A2167" i="1"/>
  <c r="D2166" i="1"/>
  <c r="A2166" i="1"/>
  <c r="D2165" i="1"/>
  <c r="A2165" i="1"/>
  <c r="D2164" i="1"/>
  <c r="A2164" i="1"/>
  <c r="D2163" i="1"/>
  <c r="A2163" i="1"/>
  <c r="D2162" i="1"/>
  <c r="A2162" i="1"/>
  <c r="D2161" i="1"/>
  <c r="A2161" i="1"/>
  <c r="D2160" i="1"/>
  <c r="A2160" i="1"/>
  <c r="D2159" i="1"/>
  <c r="A2159" i="1"/>
  <c r="D2158" i="1"/>
  <c r="A2158" i="1"/>
  <c r="D2157" i="1"/>
  <c r="A2157" i="1"/>
  <c r="D2156" i="1"/>
  <c r="A2156" i="1"/>
  <c r="D2155" i="1"/>
  <c r="A2155" i="1"/>
  <c r="D2154" i="1"/>
  <c r="A2154" i="1"/>
  <c r="D2153" i="1"/>
  <c r="A2153" i="1"/>
  <c r="D2152" i="1"/>
  <c r="A2152" i="1"/>
  <c r="D2151" i="1"/>
  <c r="A2151" i="1"/>
  <c r="D2150" i="1"/>
  <c r="A2150" i="1"/>
  <c r="D2149" i="1"/>
  <c r="A2149" i="1"/>
  <c r="D2148" i="1"/>
  <c r="A2148" i="1"/>
  <c r="D2147" i="1"/>
  <c r="A2147" i="1"/>
  <c r="D2146" i="1"/>
  <c r="A2146" i="1"/>
  <c r="D2145" i="1"/>
  <c r="A2145" i="1"/>
  <c r="D2144" i="1"/>
  <c r="A2144" i="1"/>
  <c r="D2143" i="1"/>
  <c r="A2143" i="1"/>
  <c r="D2142" i="1"/>
  <c r="A2142" i="1"/>
  <c r="D2141" i="1"/>
  <c r="A2141" i="1"/>
  <c r="D2140" i="1"/>
  <c r="A2140" i="1"/>
  <c r="E2139" i="1"/>
  <c r="D2139" i="1"/>
  <c r="A2139" i="1"/>
  <c r="D2138" i="1"/>
  <c r="A2138" i="1"/>
  <c r="D2137" i="1"/>
  <c r="A2137" i="1"/>
  <c r="E2136" i="1"/>
  <c r="D2136" i="1"/>
  <c r="A2136" i="1"/>
  <c r="D2135" i="1"/>
  <c r="A2135" i="1"/>
  <c r="D2134" i="1"/>
  <c r="A2134" i="1"/>
  <c r="E2133" i="1"/>
  <c r="D2133" i="1"/>
  <c r="A2133" i="1"/>
  <c r="D2132" i="1"/>
  <c r="A2132" i="1"/>
  <c r="D2131" i="1"/>
  <c r="A2131" i="1"/>
  <c r="D2130" i="1"/>
  <c r="A2130" i="1"/>
  <c r="D2129" i="1"/>
  <c r="A2129" i="1"/>
  <c r="D2128" i="1"/>
  <c r="A2128" i="1"/>
  <c r="D2127" i="1"/>
  <c r="A2127" i="1"/>
  <c r="D2126" i="1"/>
  <c r="A2126" i="1"/>
  <c r="D2125" i="1"/>
  <c r="A2125" i="1"/>
  <c r="D2124" i="1"/>
  <c r="A2124" i="1"/>
  <c r="D2123" i="1"/>
  <c r="A2123" i="1"/>
  <c r="D2122" i="1"/>
  <c r="A2122" i="1"/>
  <c r="D2121" i="1"/>
  <c r="A2121" i="1"/>
  <c r="D2120" i="1"/>
  <c r="A2120" i="1"/>
  <c r="D2119" i="1"/>
  <c r="A2119" i="1"/>
  <c r="D2118" i="1"/>
  <c r="A2118" i="1"/>
  <c r="D2117" i="1"/>
  <c r="A2117" i="1"/>
  <c r="D2116" i="1"/>
  <c r="A2116" i="1"/>
  <c r="D2115" i="1"/>
  <c r="A2115" i="1"/>
  <c r="D2114" i="1"/>
  <c r="A2114" i="1"/>
  <c r="E2113" i="1"/>
  <c r="D2113" i="1"/>
  <c r="A2113" i="1"/>
  <c r="D2112" i="1"/>
  <c r="A2112" i="1"/>
  <c r="E2111" i="1"/>
  <c r="D2111" i="1"/>
  <c r="A2111" i="1"/>
  <c r="E2110" i="1"/>
  <c r="D2110" i="1"/>
  <c r="A2110" i="1"/>
  <c r="E2109" i="1"/>
  <c r="D2109" i="1"/>
  <c r="A2109" i="1"/>
  <c r="E2108" i="1"/>
  <c r="D2108" i="1"/>
  <c r="A2108" i="1"/>
  <c r="E2107" i="1"/>
  <c r="D2107" i="1"/>
  <c r="A2107" i="1"/>
  <c r="E2106" i="1"/>
  <c r="D2106" i="1"/>
  <c r="A2106" i="1"/>
  <c r="E2105" i="1"/>
  <c r="D2105" i="1"/>
  <c r="A2105" i="1"/>
  <c r="E2104" i="1"/>
  <c r="D2104" i="1"/>
  <c r="A2104" i="1"/>
  <c r="E2103" i="1"/>
  <c r="D2103" i="1"/>
  <c r="A2103" i="1"/>
  <c r="E2102" i="1"/>
  <c r="D2102" i="1"/>
  <c r="A2102" i="1"/>
  <c r="D2101" i="1"/>
  <c r="A2101" i="1"/>
  <c r="D2100" i="1"/>
  <c r="A2100" i="1"/>
  <c r="D2099" i="1"/>
  <c r="A2099" i="1"/>
  <c r="D2098" i="1"/>
  <c r="A2098" i="1"/>
  <c r="D2097" i="1"/>
  <c r="A2097" i="1"/>
  <c r="D2096" i="1"/>
  <c r="A2096" i="1"/>
  <c r="D2095" i="1"/>
  <c r="A2095" i="1"/>
  <c r="D2094" i="1"/>
  <c r="A2094" i="1"/>
  <c r="D2093" i="1"/>
  <c r="A2093" i="1"/>
  <c r="D2092" i="1"/>
  <c r="A2092" i="1"/>
  <c r="D2091" i="1"/>
  <c r="A2091" i="1"/>
  <c r="D2090" i="1"/>
  <c r="A2090" i="1"/>
  <c r="D2089" i="1"/>
  <c r="A2089" i="1"/>
  <c r="D2088" i="1"/>
  <c r="A2088" i="1"/>
  <c r="E2087" i="1"/>
  <c r="D2087" i="1"/>
  <c r="A2087" i="1"/>
  <c r="D2086" i="1"/>
  <c r="A2086" i="1"/>
  <c r="D2085" i="1"/>
  <c r="A2085" i="1"/>
  <c r="D2084" i="1"/>
  <c r="A2084" i="1"/>
  <c r="D2083" i="1"/>
  <c r="A2083" i="1"/>
  <c r="D2082" i="1"/>
  <c r="A2082" i="1"/>
  <c r="D2081" i="1"/>
  <c r="A2081" i="1"/>
  <c r="D2080" i="1"/>
  <c r="A2080" i="1"/>
  <c r="D2079" i="1"/>
  <c r="A2079" i="1"/>
  <c r="D2078" i="1"/>
  <c r="A2078" i="1"/>
  <c r="D2077" i="1"/>
  <c r="A2077" i="1"/>
  <c r="D2076" i="1"/>
  <c r="A2076" i="1"/>
  <c r="D2075" i="1"/>
  <c r="A2075" i="1"/>
  <c r="D2074" i="1"/>
  <c r="A2074" i="1"/>
  <c r="D2073" i="1"/>
  <c r="A2073" i="1"/>
  <c r="D2072" i="1"/>
  <c r="A2072" i="1"/>
  <c r="D2071" i="1"/>
  <c r="A2071" i="1"/>
  <c r="D2070" i="1"/>
  <c r="A2070" i="1"/>
  <c r="D2069" i="1"/>
  <c r="A2069" i="1"/>
  <c r="D2068" i="1"/>
  <c r="A2068" i="1"/>
  <c r="D2067" i="1"/>
  <c r="A2067" i="1"/>
  <c r="D2066" i="1"/>
  <c r="A2066" i="1"/>
  <c r="D2065" i="1"/>
  <c r="A2065" i="1"/>
  <c r="E2064" i="1"/>
  <c r="D2064" i="1"/>
  <c r="A2064" i="1"/>
  <c r="D2063" i="1"/>
  <c r="A2063" i="1"/>
  <c r="D2062" i="1"/>
  <c r="A2062" i="1"/>
  <c r="D2061" i="1"/>
  <c r="A2061" i="1"/>
  <c r="D2060" i="1"/>
  <c r="A2060" i="1"/>
  <c r="D2059" i="1"/>
  <c r="A2059" i="1"/>
  <c r="D2058" i="1"/>
  <c r="A2058" i="1"/>
  <c r="D2057" i="1"/>
  <c r="A2057" i="1"/>
  <c r="D2056" i="1"/>
  <c r="A2056" i="1"/>
  <c r="D2055" i="1"/>
  <c r="A2055" i="1"/>
  <c r="D2054" i="1"/>
  <c r="A2054" i="1"/>
  <c r="D2053" i="1"/>
  <c r="A2053" i="1"/>
  <c r="D2052" i="1"/>
  <c r="A2052" i="1"/>
  <c r="D2051" i="1"/>
  <c r="A2051" i="1"/>
  <c r="D2050" i="1"/>
  <c r="A2050" i="1"/>
  <c r="D2049" i="1"/>
  <c r="A2049" i="1"/>
  <c r="D2048" i="1"/>
  <c r="A2048" i="1"/>
  <c r="D2047" i="1"/>
  <c r="A2047" i="1"/>
  <c r="D2046" i="1"/>
  <c r="A2046" i="1"/>
  <c r="D2045" i="1"/>
  <c r="A2045" i="1"/>
  <c r="D2044" i="1"/>
  <c r="A2044" i="1"/>
  <c r="D2043" i="1"/>
  <c r="A2043" i="1"/>
  <c r="D2042" i="1"/>
  <c r="A2042" i="1"/>
  <c r="D2041" i="1"/>
  <c r="A2041" i="1"/>
  <c r="D2040" i="1"/>
  <c r="A2040" i="1"/>
  <c r="D2039" i="1"/>
  <c r="A2039" i="1"/>
  <c r="D2038" i="1"/>
  <c r="A2038" i="1"/>
  <c r="D2037" i="1"/>
  <c r="A2037" i="1"/>
  <c r="D2036" i="1"/>
  <c r="A2036" i="1"/>
  <c r="D2035" i="1"/>
  <c r="A2035" i="1"/>
  <c r="E2034" i="1"/>
  <c r="D2034" i="1"/>
  <c r="A2034" i="1"/>
  <c r="E2033" i="1"/>
  <c r="D2033" i="1"/>
  <c r="A2033" i="1"/>
  <c r="E2032" i="1"/>
  <c r="D2032" i="1"/>
  <c r="A2032" i="1"/>
  <c r="E2031" i="1"/>
  <c r="D2031" i="1"/>
  <c r="A2031" i="1"/>
  <c r="E2030" i="1"/>
  <c r="D2030" i="1"/>
  <c r="A2030" i="1"/>
  <c r="E2029" i="1"/>
  <c r="D2029" i="1"/>
  <c r="A2029" i="1"/>
  <c r="E2028" i="1"/>
  <c r="D2028" i="1"/>
  <c r="A2028" i="1"/>
  <c r="E2027" i="1"/>
  <c r="D2027" i="1"/>
  <c r="A2027" i="1"/>
  <c r="E2026" i="1"/>
  <c r="D2026" i="1"/>
  <c r="A2026" i="1"/>
  <c r="E2025" i="1"/>
  <c r="D2025" i="1"/>
  <c r="A2025" i="1"/>
  <c r="E2024" i="1"/>
  <c r="D2024" i="1"/>
  <c r="A2024" i="1"/>
  <c r="E2023" i="1"/>
  <c r="D2023" i="1"/>
  <c r="A2023" i="1"/>
  <c r="E2022" i="1"/>
  <c r="D2022" i="1"/>
  <c r="A2022" i="1"/>
  <c r="E2021" i="1"/>
  <c r="D2021" i="1"/>
  <c r="A2021" i="1"/>
  <c r="E2020" i="1"/>
  <c r="D2020" i="1"/>
  <c r="A2020" i="1"/>
  <c r="E2019" i="1"/>
  <c r="D2019" i="1"/>
  <c r="A2019" i="1"/>
  <c r="E2018" i="1"/>
  <c r="D2018" i="1"/>
  <c r="A2018" i="1"/>
  <c r="E2017" i="1"/>
  <c r="D2017" i="1"/>
  <c r="A2017" i="1"/>
  <c r="E2016" i="1"/>
  <c r="D2016" i="1"/>
  <c r="A2016" i="1"/>
  <c r="E2015" i="1"/>
  <c r="D2015" i="1"/>
  <c r="A2015" i="1"/>
  <c r="E2014" i="1"/>
  <c r="D2014" i="1"/>
  <c r="A2014" i="1"/>
  <c r="E2013" i="1"/>
  <c r="D2013" i="1"/>
  <c r="A2013" i="1"/>
  <c r="E2012" i="1"/>
  <c r="D2012" i="1"/>
  <c r="A2012" i="1"/>
  <c r="E2011" i="1"/>
  <c r="D2011" i="1"/>
  <c r="A2011" i="1"/>
  <c r="E2010" i="1"/>
  <c r="D2010" i="1"/>
  <c r="A2010" i="1"/>
  <c r="E2009" i="1"/>
  <c r="D2009" i="1"/>
  <c r="A2009" i="1"/>
  <c r="E2008" i="1"/>
  <c r="D2008" i="1"/>
  <c r="A2008" i="1"/>
  <c r="E2007" i="1"/>
  <c r="D2007" i="1"/>
  <c r="A2007" i="1"/>
  <c r="E2006" i="1"/>
  <c r="D2006" i="1"/>
  <c r="A2006" i="1"/>
  <c r="E2005" i="1"/>
  <c r="D2005" i="1"/>
  <c r="A2005" i="1"/>
  <c r="E2004" i="1"/>
  <c r="D2004" i="1"/>
  <c r="A2004" i="1"/>
  <c r="E2003" i="1"/>
  <c r="D2003" i="1"/>
  <c r="A2003" i="1"/>
  <c r="E2002" i="1"/>
  <c r="D2002" i="1"/>
  <c r="A2002" i="1"/>
  <c r="E2001" i="1"/>
  <c r="D2001" i="1"/>
  <c r="A2001" i="1"/>
  <c r="E2000" i="1"/>
  <c r="D2000" i="1"/>
  <c r="A2000" i="1"/>
  <c r="E1999" i="1"/>
  <c r="D1999" i="1"/>
  <c r="A1999" i="1"/>
  <c r="E1998" i="1"/>
  <c r="D1998" i="1"/>
  <c r="A1998" i="1"/>
  <c r="E1997" i="1"/>
  <c r="D1997" i="1"/>
  <c r="A1997" i="1"/>
  <c r="E1996" i="1"/>
  <c r="D1996" i="1"/>
  <c r="A1996" i="1"/>
  <c r="E1995" i="1"/>
  <c r="D1995" i="1"/>
  <c r="A1995" i="1"/>
  <c r="E1994" i="1"/>
  <c r="D1994" i="1"/>
  <c r="A1994" i="1"/>
  <c r="E1993" i="1"/>
  <c r="D1993" i="1"/>
  <c r="A1993" i="1"/>
  <c r="E1992" i="1"/>
  <c r="D1992" i="1"/>
  <c r="A1992" i="1"/>
  <c r="E1991" i="1"/>
  <c r="D1991" i="1"/>
  <c r="A1991" i="1"/>
  <c r="E1990" i="1"/>
  <c r="D1990" i="1"/>
  <c r="A1990" i="1"/>
  <c r="E1989" i="1"/>
  <c r="D1989" i="1"/>
  <c r="A1989" i="1"/>
  <c r="E1988" i="1"/>
  <c r="D1988" i="1"/>
  <c r="A1988" i="1"/>
  <c r="E1987" i="1"/>
  <c r="D1987" i="1"/>
  <c r="A1987" i="1"/>
  <c r="E1986" i="1"/>
  <c r="D1986" i="1"/>
  <c r="A1986" i="1"/>
  <c r="E1985" i="1"/>
  <c r="D1985" i="1"/>
  <c r="A1985" i="1"/>
  <c r="E1984" i="1"/>
  <c r="D1984" i="1"/>
  <c r="A1984" i="1"/>
  <c r="E1983" i="1"/>
  <c r="D1983" i="1"/>
  <c r="A1983" i="1"/>
  <c r="E1982" i="1"/>
  <c r="D1982" i="1"/>
  <c r="A1982" i="1"/>
  <c r="E1981" i="1"/>
  <c r="D1981" i="1"/>
  <c r="A1981" i="1"/>
  <c r="E1980" i="1"/>
  <c r="D1980" i="1"/>
  <c r="A1980" i="1"/>
  <c r="E1979" i="1"/>
  <c r="D1979" i="1"/>
  <c r="A1979" i="1"/>
  <c r="E1978" i="1"/>
  <c r="D1978" i="1"/>
  <c r="A1978" i="1"/>
  <c r="E1977" i="1"/>
  <c r="D1977" i="1"/>
  <c r="A1977" i="1"/>
  <c r="E1976" i="1"/>
  <c r="D1976" i="1"/>
  <c r="A1976" i="1"/>
  <c r="E1975" i="1"/>
  <c r="D1975" i="1"/>
  <c r="A1975" i="1"/>
  <c r="E1974" i="1"/>
  <c r="D1974" i="1"/>
  <c r="A1974" i="1"/>
  <c r="E1973" i="1"/>
  <c r="D1973" i="1"/>
  <c r="A1973" i="1"/>
  <c r="E1972" i="1"/>
  <c r="D1972" i="1"/>
  <c r="A1972" i="1"/>
  <c r="E1971" i="1"/>
  <c r="D1971" i="1"/>
  <c r="A1971" i="1"/>
  <c r="E1970" i="1"/>
  <c r="D1970" i="1"/>
  <c r="A1970" i="1"/>
  <c r="E1969" i="1"/>
  <c r="D1969" i="1"/>
  <c r="A1969" i="1"/>
  <c r="E1968" i="1"/>
  <c r="D1968" i="1"/>
  <c r="A1968" i="1"/>
  <c r="E1967" i="1"/>
  <c r="D1967" i="1"/>
  <c r="A1967" i="1"/>
  <c r="E1966" i="1"/>
  <c r="D1966" i="1"/>
  <c r="A1966" i="1"/>
  <c r="E1965" i="1"/>
  <c r="D1965" i="1"/>
  <c r="A1965" i="1"/>
  <c r="E1964" i="1"/>
  <c r="D1964" i="1"/>
  <c r="A1964" i="1"/>
  <c r="E1963" i="1"/>
  <c r="D1963" i="1"/>
  <c r="A1963" i="1"/>
  <c r="E1962" i="1"/>
  <c r="D1962" i="1"/>
  <c r="A1962" i="1"/>
  <c r="E1961" i="1"/>
  <c r="D1961" i="1"/>
  <c r="A1961" i="1"/>
  <c r="E1960" i="1"/>
  <c r="D1960" i="1"/>
  <c r="A1960" i="1"/>
  <c r="E1959" i="1"/>
  <c r="D1959" i="1"/>
  <c r="A1959" i="1"/>
  <c r="E1958" i="1"/>
  <c r="D1958" i="1"/>
  <c r="A1958" i="1"/>
  <c r="E1957" i="1"/>
  <c r="D1957" i="1"/>
  <c r="A1957" i="1"/>
  <c r="E1956" i="1"/>
  <c r="D1956" i="1"/>
  <c r="A1956" i="1"/>
  <c r="E1955" i="1"/>
  <c r="D1955" i="1"/>
  <c r="A1955" i="1"/>
  <c r="E1954" i="1"/>
  <c r="D1954" i="1"/>
  <c r="A1954" i="1"/>
  <c r="E1953" i="1"/>
  <c r="D1953" i="1"/>
  <c r="A1953" i="1"/>
  <c r="E1952" i="1"/>
  <c r="D1952" i="1"/>
  <c r="A1952" i="1"/>
  <c r="E1951" i="1"/>
  <c r="D1951" i="1"/>
  <c r="A1951" i="1"/>
  <c r="E1950" i="1"/>
  <c r="D1950" i="1"/>
  <c r="A1950" i="1"/>
  <c r="E1949" i="1"/>
  <c r="D1949" i="1"/>
  <c r="A1949" i="1"/>
  <c r="E1948" i="1"/>
  <c r="D1948" i="1"/>
  <c r="A1948" i="1"/>
  <c r="E1947" i="1"/>
  <c r="D1947" i="1"/>
  <c r="A1947" i="1"/>
  <c r="E1946" i="1"/>
  <c r="D1946" i="1"/>
  <c r="A1946" i="1"/>
  <c r="E1945" i="1"/>
  <c r="D1945" i="1"/>
  <c r="A1945" i="1"/>
  <c r="E1944" i="1"/>
  <c r="D1944" i="1"/>
  <c r="A1944" i="1"/>
  <c r="E1943" i="1"/>
  <c r="D1943" i="1"/>
  <c r="A1943" i="1"/>
  <c r="E1942" i="1"/>
  <c r="D1942" i="1"/>
  <c r="A1942" i="1"/>
  <c r="E1941" i="1"/>
  <c r="D1941" i="1"/>
  <c r="A1941" i="1"/>
  <c r="E1940" i="1"/>
  <c r="D1940" i="1"/>
  <c r="A1940" i="1"/>
  <c r="E1939" i="1"/>
  <c r="D1939" i="1"/>
  <c r="A1939" i="1"/>
  <c r="E1938" i="1"/>
  <c r="D1938" i="1"/>
  <c r="A1938" i="1"/>
  <c r="E1937" i="1"/>
  <c r="D1937" i="1"/>
  <c r="A1937" i="1"/>
  <c r="E1936" i="1"/>
  <c r="D1936" i="1"/>
  <c r="A1936" i="1"/>
  <c r="E1935" i="1"/>
  <c r="D1935" i="1"/>
  <c r="A1935" i="1"/>
  <c r="E1934" i="1"/>
  <c r="D1934" i="1"/>
  <c r="A1934" i="1"/>
  <c r="E1933" i="1"/>
  <c r="D1933" i="1"/>
  <c r="A1933" i="1"/>
  <c r="E1932" i="1"/>
  <c r="D1932" i="1"/>
  <c r="A1932" i="1"/>
  <c r="E1931" i="1"/>
  <c r="D1931" i="1"/>
  <c r="A1931" i="1"/>
  <c r="E1930" i="1"/>
  <c r="D1930" i="1"/>
  <c r="A1930" i="1"/>
  <c r="E1929" i="1"/>
  <c r="D1929" i="1"/>
  <c r="A1929" i="1"/>
  <c r="E1928" i="1"/>
  <c r="D1928" i="1"/>
  <c r="A1928" i="1"/>
  <c r="E1927" i="1"/>
  <c r="D1927" i="1"/>
  <c r="A1927" i="1"/>
  <c r="E1926" i="1"/>
  <c r="D1926" i="1"/>
  <c r="A1926" i="1"/>
  <c r="E1925" i="1"/>
  <c r="D1925" i="1"/>
  <c r="A1925" i="1"/>
  <c r="E1924" i="1"/>
  <c r="D1924" i="1"/>
  <c r="A1924" i="1"/>
  <c r="E1923" i="1"/>
  <c r="D1923" i="1"/>
  <c r="A1923" i="1"/>
  <c r="E1922" i="1"/>
  <c r="D1922" i="1"/>
  <c r="A1922" i="1"/>
  <c r="D1921" i="1"/>
  <c r="A1921" i="1"/>
  <c r="E1920" i="1"/>
  <c r="D1920" i="1"/>
  <c r="A1920" i="1"/>
  <c r="E1919" i="1"/>
  <c r="D1919" i="1"/>
  <c r="A1919" i="1"/>
  <c r="E1918" i="1"/>
  <c r="D1918" i="1"/>
  <c r="A1918" i="1"/>
  <c r="E1917" i="1"/>
  <c r="D1917" i="1"/>
  <c r="A1917" i="1"/>
  <c r="E1916" i="1"/>
  <c r="D1916" i="1"/>
  <c r="A1916" i="1"/>
  <c r="E1915" i="1"/>
  <c r="D1915" i="1"/>
  <c r="A1915" i="1"/>
  <c r="E1914" i="1"/>
  <c r="D1914" i="1"/>
  <c r="A1914" i="1"/>
  <c r="E1913" i="1"/>
  <c r="D1913" i="1"/>
  <c r="A1913" i="1"/>
  <c r="E1912" i="1"/>
  <c r="D1912" i="1"/>
  <c r="A1912" i="1"/>
  <c r="E1911" i="1"/>
  <c r="D1911" i="1"/>
  <c r="A1911" i="1"/>
  <c r="E1910" i="1"/>
  <c r="D1910" i="1"/>
  <c r="A1910" i="1"/>
  <c r="E1909" i="1"/>
  <c r="D1909" i="1"/>
  <c r="A1909" i="1"/>
  <c r="E1908" i="1"/>
  <c r="D1908" i="1"/>
  <c r="A1908" i="1"/>
  <c r="E1907" i="1"/>
  <c r="D1907" i="1"/>
  <c r="A1907" i="1"/>
  <c r="E1906" i="1"/>
  <c r="D1906" i="1"/>
  <c r="A1906" i="1"/>
  <c r="E1905" i="1"/>
  <c r="D1905" i="1"/>
  <c r="A1905" i="1"/>
  <c r="E1904" i="1"/>
  <c r="D1904" i="1"/>
  <c r="A1904" i="1"/>
  <c r="E1903" i="1"/>
  <c r="D1903" i="1"/>
  <c r="A1903" i="1"/>
  <c r="E1902" i="1"/>
  <c r="D1902" i="1"/>
  <c r="A1902" i="1"/>
  <c r="E1901" i="1"/>
  <c r="D1901" i="1"/>
  <c r="A1901" i="1"/>
  <c r="E1900" i="1"/>
  <c r="D1900" i="1"/>
  <c r="A1900" i="1"/>
  <c r="E1899" i="1"/>
  <c r="D1899" i="1"/>
  <c r="A1899" i="1"/>
  <c r="E1898" i="1"/>
  <c r="D1898" i="1"/>
  <c r="A1898" i="1"/>
  <c r="E1897" i="1"/>
  <c r="D1897" i="1"/>
  <c r="A1897" i="1"/>
  <c r="E1896" i="1"/>
  <c r="D1896" i="1"/>
  <c r="A1896" i="1"/>
  <c r="E1895" i="1"/>
  <c r="D1895" i="1"/>
  <c r="A1895" i="1"/>
  <c r="E1894" i="1"/>
  <c r="D1894" i="1"/>
  <c r="A1894" i="1"/>
  <c r="E1893" i="1"/>
  <c r="D1893" i="1"/>
  <c r="A1893" i="1"/>
  <c r="E1892" i="1"/>
  <c r="D1892" i="1"/>
  <c r="A1892" i="1"/>
  <c r="E1891" i="1"/>
  <c r="D1891" i="1"/>
  <c r="A1891" i="1"/>
  <c r="E1890" i="1"/>
  <c r="D1890" i="1"/>
  <c r="A1890" i="1"/>
  <c r="E1889" i="1"/>
  <c r="D1889" i="1"/>
  <c r="A1889" i="1"/>
  <c r="E1888" i="1"/>
  <c r="D1888" i="1"/>
  <c r="A1888" i="1"/>
  <c r="E1887" i="1"/>
  <c r="D1887" i="1"/>
  <c r="A1887" i="1"/>
  <c r="E1886" i="1"/>
  <c r="D1886" i="1"/>
  <c r="A1886" i="1"/>
  <c r="E1885" i="1"/>
  <c r="D1885" i="1"/>
  <c r="A1885" i="1"/>
  <c r="E1884" i="1"/>
  <c r="D1884" i="1"/>
  <c r="A1884" i="1"/>
  <c r="E1883" i="1"/>
  <c r="D1883" i="1"/>
  <c r="A1883" i="1"/>
  <c r="E1882" i="1"/>
  <c r="D1882" i="1"/>
  <c r="A1882" i="1"/>
  <c r="E1881" i="1"/>
  <c r="D1881" i="1"/>
  <c r="A1881" i="1"/>
  <c r="E1880" i="1"/>
  <c r="D1880" i="1"/>
  <c r="A1880" i="1"/>
  <c r="E1879" i="1"/>
  <c r="D1879" i="1"/>
  <c r="A1879" i="1"/>
  <c r="E1878" i="1"/>
  <c r="D1878" i="1"/>
  <c r="A1878" i="1"/>
  <c r="E1877" i="1"/>
  <c r="D1877" i="1"/>
  <c r="A1877" i="1"/>
  <c r="E1876" i="1"/>
  <c r="D1876" i="1"/>
  <c r="A1876" i="1"/>
  <c r="E1875" i="1"/>
  <c r="D1875" i="1"/>
  <c r="A1875" i="1"/>
  <c r="E1874" i="1"/>
  <c r="D1874" i="1"/>
  <c r="A1874" i="1"/>
  <c r="E1873" i="1"/>
  <c r="D1873" i="1"/>
  <c r="A1873" i="1"/>
  <c r="E1872" i="1"/>
  <c r="D1872" i="1"/>
  <c r="A1872" i="1"/>
  <c r="E1871" i="1"/>
  <c r="D1871" i="1"/>
  <c r="A1871" i="1"/>
  <c r="E1870" i="1"/>
  <c r="D1870" i="1"/>
  <c r="A1870" i="1"/>
  <c r="E1869" i="1"/>
  <c r="D1869" i="1"/>
  <c r="A1869" i="1"/>
  <c r="E1868" i="1"/>
  <c r="D1868" i="1"/>
  <c r="A1868" i="1"/>
  <c r="E1867" i="1"/>
  <c r="D1867" i="1"/>
  <c r="A1867" i="1"/>
  <c r="E1866" i="1"/>
  <c r="D1866" i="1"/>
  <c r="A1866" i="1"/>
  <c r="E1865" i="1"/>
  <c r="D1865" i="1"/>
  <c r="A1865" i="1"/>
  <c r="E1864" i="1"/>
  <c r="D1864" i="1"/>
  <c r="A1864" i="1"/>
  <c r="E1863" i="1"/>
  <c r="D1863" i="1"/>
  <c r="A1863" i="1"/>
  <c r="E1862" i="1"/>
  <c r="D1862" i="1"/>
  <c r="A1862" i="1"/>
  <c r="E1861" i="1"/>
  <c r="D1861" i="1"/>
  <c r="A1861" i="1"/>
  <c r="E1860" i="1"/>
  <c r="D1860" i="1"/>
  <c r="A1860" i="1"/>
  <c r="E1859" i="1"/>
  <c r="D1859" i="1"/>
  <c r="A1859" i="1"/>
  <c r="E1858" i="1"/>
  <c r="D1858" i="1"/>
  <c r="A1858" i="1"/>
  <c r="E1857" i="1"/>
  <c r="D1857" i="1"/>
  <c r="A1857" i="1"/>
  <c r="D1856" i="1"/>
  <c r="A1856" i="1"/>
  <c r="E1855" i="1"/>
  <c r="D1855" i="1"/>
  <c r="A1855" i="1"/>
  <c r="E1854" i="1"/>
  <c r="D1854" i="1"/>
  <c r="A1854" i="1"/>
  <c r="D1853" i="1"/>
  <c r="A1853" i="1"/>
  <c r="E1852" i="1"/>
  <c r="D1852" i="1"/>
  <c r="A1852" i="1"/>
  <c r="E1851" i="1"/>
  <c r="D1851" i="1"/>
  <c r="A1851" i="1"/>
  <c r="E1850" i="1"/>
  <c r="D1850" i="1"/>
  <c r="A1850" i="1"/>
  <c r="E1849" i="1"/>
  <c r="D1849" i="1"/>
  <c r="A1849" i="1"/>
  <c r="E1848" i="1"/>
  <c r="D1848" i="1"/>
  <c r="A1848" i="1"/>
  <c r="E1847" i="1"/>
  <c r="D1847" i="1"/>
  <c r="A1847" i="1"/>
  <c r="D1846" i="1"/>
  <c r="A1846" i="1"/>
  <c r="E1845" i="1"/>
  <c r="D1845" i="1"/>
  <c r="A1845" i="1"/>
  <c r="E1844" i="1"/>
  <c r="D1844" i="1"/>
  <c r="A1844" i="1"/>
  <c r="E1843" i="1"/>
  <c r="D1843" i="1"/>
  <c r="A1843" i="1"/>
  <c r="E1842" i="1"/>
  <c r="D1842" i="1"/>
  <c r="A1842" i="1"/>
  <c r="E1841" i="1"/>
  <c r="D1841" i="1"/>
  <c r="A1841" i="1"/>
  <c r="E1840" i="1"/>
  <c r="D1840" i="1"/>
  <c r="A1840" i="1"/>
  <c r="E1839" i="1"/>
  <c r="D1839" i="1"/>
  <c r="A1839" i="1"/>
  <c r="E1838" i="1"/>
  <c r="D1838" i="1"/>
  <c r="A1838" i="1"/>
  <c r="E1837" i="1"/>
  <c r="D1837" i="1"/>
  <c r="A1837" i="1"/>
  <c r="E1836" i="1"/>
  <c r="D1836" i="1"/>
  <c r="A1836" i="1"/>
  <c r="E1835" i="1"/>
  <c r="D1835" i="1"/>
  <c r="A1835" i="1"/>
  <c r="E1834" i="1"/>
  <c r="D1834" i="1"/>
  <c r="A1834" i="1"/>
  <c r="E1833" i="1"/>
  <c r="D1833" i="1"/>
  <c r="A1833" i="1"/>
  <c r="E1832" i="1"/>
  <c r="D1832" i="1"/>
  <c r="A1832" i="1"/>
  <c r="E1831" i="1"/>
  <c r="D1831" i="1"/>
  <c r="A1831" i="1"/>
  <c r="E1830" i="1"/>
  <c r="D1830" i="1"/>
  <c r="A1830" i="1"/>
  <c r="E1829" i="1"/>
  <c r="D1829" i="1"/>
  <c r="A1829" i="1"/>
  <c r="D1828" i="1"/>
  <c r="A1828" i="1"/>
  <c r="E1827" i="1"/>
  <c r="D1827" i="1"/>
  <c r="A1827" i="1"/>
  <c r="E1826" i="1"/>
  <c r="D1826" i="1"/>
  <c r="A1826" i="1"/>
  <c r="D1825" i="1"/>
  <c r="A1825" i="1"/>
  <c r="E1824" i="1"/>
  <c r="D1824" i="1"/>
  <c r="A1824" i="1"/>
  <c r="E1823" i="1"/>
  <c r="D1823" i="1"/>
  <c r="A1823" i="1"/>
  <c r="E1822" i="1"/>
  <c r="D1822" i="1"/>
  <c r="A1822" i="1"/>
  <c r="E1821" i="1"/>
  <c r="D1821" i="1"/>
  <c r="A1821" i="1"/>
  <c r="E1820" i="1"/>
  <c r="D1820" i="1"/>
  <c r="A1820" i="1"/>
  <c r="E1819" i="1"/>
  <c r="D1819" i="1"/>
  <c r="A1819" i="1"/>
  <c r="E1818" i="1"/>
  <c r="D1818" i="1"/>
  <c r="A1818" i="1"/>
  <c r="E1817" i="1"/>
  <c r="D1817" i="1"/>
  <c r="A1817" i="1"/>
  <c r="E1816" i="1"/>
  <c r="D1816" i="1"/>
  <c r="A1816" i="1"/>
  <c r="E1815" i="1"/>
  <c r="D1815" i="1"/>
  <c r="A1815" i="1"/>
  <c r="E1814" i="1"/>
  <c r="D1814" i="1"/>
  <c r="A1814" i="1"/>
  <c r="E1813" i="1"/>
  <c r="D1813" i="1"/>
  <c r="A1813" i="1"/>
  <c r="E1812" i="1"/>
  <c r="D1812" i="1"/>
  <c r="A1812" i="1"/>
  <c r="E1811" i="1"/>
  <c r="D1811" i="1"/>
  <c r="A1811" i="1"/>
  <c r="E1810" i="1"/>
  <c r="D1810" i="1"/>
  <c r="A1810" i="1"/>
  <c r="E1809" i="1"/>
  <c r="D1809" i="1"/>
  <c r="A1809" i="1"/>
  <c r="E1808" i="1"/>
  <c r="D1808" i="1"/>
  <c r="A1808" i="1"/>
  <c r="E1807" i="1"/>
  <c r="D1807" i="1"/>
  <c r="A1807" i="1"/>
  <c r="E1806" i="1"/>
  <c r="D1806" i="1"/>
  <c r="A1806" i="1"/>
  <c r="E1805" i="1"/>
  <c r="D1805" i="1"/>
  <c r="A1805" i="1"/>
  <c r="E1804" i="1"/>
  <c r="D1804" i="1"/>
  <c r="A1804" i="1"/>
  <c r="E1803" i="1"/>
  <c r="D1803" i="1"/>
  <c r="A1803" i="1"/>
  <c r="E1802" i="1"/>
  <c r="D1802" i="1"/>
  <c r="A1802" i="1"/>
  <c r="E1801" i="1"/>
  <c r="D1801" i="1"/>
  <c r="A1801" i="1"/>
  <c r="E1800" i="1"/>
  <c r="D1800" i="1"/>
  <c r="A1800" i="1"/>
  <c r="E1799" i="1"/>
  <c r="D1799" i="1"/>
  <c r="A1799" i="1"/>
  <c r="E1798" i="1"/>
  <c r="D1798" i="1"/>
  <c r="A1798" i="1"/>
  <c r="E1797" i="1"/>
  <c r="D1797" i="1"/>
  <c r="A1797" i="1"/>
  <c r="E1796" i="1"/>
  <c r="D1796" i="1"/>
  <c r="A1796" i="1"/>
  <c r="E1795" i="1"/>
  <c r="D1795" i="1"/>
  <c r="A1795" i="1"/>
  <c r="E1794" i="1"/>
  <c r="D1794" i="1"/>
  <c r="A1794" i="1"/>
  <c r="E1793" i="1"/>
  <c r="D1793" i="1"/>
  <c r="A1793" i="1"/>
  <c r="D1792" i="1"/>
  <c r="A1792" i="1"/>
  <c r="D1791" i="1"/>
  <c r="A1791" i="1"/>
  <c r="E1790" i="1"/>
  <c r="D1790" i="1"/>
  <c r="A1790" i="1"/>
  <c r="E1789" i="1"/>
  <c r="D1789" i="1"/>
  <c r="A1789" i="1"/>
  <c r="D1788" i="1"/>
  <c r="A1788" i="1"/>
  <c r="E1787" i="1"/>
  <c r="D1787" i="1"/>
  <c r="A1787" i="1"/>
  <c r="E1786" i="1"/>
  <c r="D1786" i="1"/>
  <c r="A1786" i="1"/>
  <c r="E1785" i="1"/>
  <c r="D1785" i="1"/>
  <c r="A1785" i="1"/>
  <c r="E1784" i="1"/>
  <c r="D1784" i="1"/>
  <c r="A1784" i="1"/>
  <c r="E1783" i="1"/>
  <c r="D1783" i="1"/>
  <c r="A1783" i="1"/>
  <c r="E1782" i="1"/>
  <c r="D1782" i="1"/>
  <c r="A1782" i="1"/>
  <c r="E1781" i="1"/>
  <c r="D1781" i="1"/>
  <c r="A1781" i="1"/>
  <c r="E1780" i="1"/>
  <c r="D1780" i="1"/>
  <c r="A1780" i="1"/>
  <c r="E1779" i="1"/>
  <c r="D1779" i="1"/>
  <c r="A1779" i="1"/>
  <c r="E1778" i="1"/>
  <c r="D1778" i="1"/>
  <c r="A1778" i="1"/>
  <c r="E1777" i="1"/>
  <c r="D1777" i="1"/>
  <c r="A1777" i="1"/>
  <c r="D1776" i="1"/>
  <c r="A1776" i="1"/>
  <c r="D1775" i="1"/>
  <c r="A1775" i="1"/>
  <c r="E1774" i="1"/>
  <c r="D1774" i="1"/>
  <c r="A1774" i="1"/>
  <c r="E1773" i="1"/>
  <c r="D1773" i="1"/>
  <c r="A1773" i="1"/>
  <c r="E1772" i="1"/>
  <c r="D1772" i="1"/>
  <c r="A1772" i="1"/>
  <c r="E1771" i="1"/>
  <c r="D1771" i="1"/>
  <c r="A1771" i="1"/>
  <c r="E1770" i="1"/>
  <c r="D1770" i="1"/>
  <c r="A1770" i="1"/>
  <c r="E1769" i="1"/>
  <c r="D1769" i="1"/>
  <c r="A1769" i="1"/>
  <c r="D1768" i="1"/>
  <c r="A1768" i="1"/>
  <c r="D1767" i="1"/>
  <c r="A1767" i="1"/>
  <c r="D1766" i="1"/>
  <c r="A1766" i="1"/>
  <c r="E1765" i="1"/>
  <c r="D1765" i="1"/>
  <c r="A1765" i="1"/>
  <c r="E1764" i="1"/>
  <c r="D1764" i="1"/>
  <c r="A1764" i="1"/>
  <c r="E1763" i="1"/>
  <c r="D1763" i="1"/>
  <c r="A1763" i="1"/>
  <c r="E1762" i="1"/>
  <c r="D1762" i="1"/>
  <c r="A1762" i="1"/>
  <c r="D1761" i="1"/>
  <c r="A1761" i="1"/>
  <c r="D1760" i="1"/>
  <c r="A1760" i="1"/>
  <c r="D1759" i="1"/>
  <c r="A1759" i="1"/>
  <c r="E1758" i="1"/>
  <c r="D1758" i="1"/>
  <c r="A1758" i="1"/>
  <c r="E1757" i="1"/>
  <c r="D1757" i="1"/>
  <c r="A1757" i="1"/>
  <c r="D1756" i="1"/>
  <c r="A1756" i="1"/>
  <c r="E1755" i="1"/>
  <c r="D1755" i="1"/>
  <c r="A1755" i="1"/>
  <c r="E1754" i="1"/>
  <c r="D1754" i="1"/>
  <c r="A1754" i="1"/>
  <c r="E1753" i="1"/>
  <c r="D1753" i="1"/>
  <c r="A1753" i="1"/>
  <c r="E1752" i="1"/>
  <c r="D1752" i="1"/>
  <c r="A1752" i="1"/>
  <c r="E1751" i="1"/>
  <c r="D1751" i="1"/>
  <c r="A1751" i="1"/>
  <c r="E1750" i="1"/>
  <c r="D1750" i="1"/>
  <c r="A1750" i="1"/>
  <c r="E1749" i="1"/>
  <c r="D1749" i="1"/>
  <c r="A1749" i="1"/>
  <c r="D1748" i="1"/>
  <c r="A1748" i="1"/>
  <c r="D1747" i="1"/>
  <c r="A1747" i="1"/>
  <c r="D1746" i="1"/>
  <c r="A1746" i="1"/>
  <c r="D1745" i="1"/>
  <c r="A1745" i="1"/>
  <c r="E1744" i="1"/>
  <c r="D1744" i="1"/>
  <c r="A1744" i="1"/>
  <c r="E1743" i="1"/>
  <c r="D1743" i="1"/>
  <c r="A1743" i="1"/>
  <c r="D1742" i="1"/>
  <c r="A1742" i="1"/>
  <c r="D1741" i="1"/>
  <c r="A1741" i="1"/>
  <c r="D1740" i="1"/>
  <c r="A1740" i="1"/>
  <c r="E1739" i="1"/>
  <c r="D1739" i="1"/>
  <c r="A1739" i="1"/>
  <c r="E1738" i="1"/>
  <c r="D1738" i="1"/>
  <c r="A1738" i="1"/>
  <c r="D1737" i="1"/>
  <c r="A1737" i="1"/>
  <c r="D1736" i="1"/>
  <c r="A1736" i="1"/>
  <c r="D1735" i="1"/>
  <c r="A1735" i="1"/>
  <c r="D1734" i="1"/>
  <c r="A1734" i="1"/>
  <c r="E1733" i="1"/>
  <c r="D1733" i="1"/>
  <c r="A1733" i="1"/>
  <c r="E1732" i="1"/>
  <c r="D1732" i="1"/>
  <c r="A1732" i="1"/>
  <c r="E1731" i="1"/>
  <c r="D1731" i="1"/>
  <c r="A1731" i="1"/>
  <c r="E1730" i="1"/>
  <c r="D1730" i="1"/>
  <c r="A1730" i="1"/>
  <c r="E1729" i="1"/>
  <c r="D1729" i="1"/>
  <c r="A1729" i="1"/>
  <c r="E1728" i="1"/>
  <c r="D1728" i="1"/>
  <c r="A1728" i="1"/>
  <c r="E1727" i="1"/>
  <c r="D1727" i="1"/>
  <c r="A1727" i="1"/>
  <c r="E1726" i="1"/>
  <c r="D1726" i="1"/>
  <c r="A1726" i="1"/>
  <c r="E1725" i="1"/>
  <c r="D1725" i="1"/>
  <c r="A1725" i="1"/>
  <c r="E1724" i="1"/>
  <c r="D1724" i="1"/>
  <c r="A1724" i="1"/>
  <c r="E1723" i="1"/>
  <c r="D1723" i="1"/>
  <c r="A1723" i="1"/>
  <c r="E1722" i="1"/>
  <c r="D1722" i="1"/>
  <c r="A1722" i="1"/>
  <c r="E1721" i="1"/>
  <c r="D1721" i="1"/>
  <c r="A1721" i="1"/>
  <c r="E1720" i="1"/>
  <c r="D1720" i="1"/>
  <c r="A1720" i="1"/>
  <c r="E1719" i="1"/>
  <c r="D1719" i="1"/>
  <c r="A1719" i="1"/>
  <c r="E1718" i="1"/>
  <c r="D1718" i="1"/>
  <c r="A1718" i="1"/>
  <c r="E1717" i="1"/>
  <c r="D1717" i="1"/>
  <c r="A1717" i="1"/>
  <c r="E1716" i="1"/>
  <c r="D1716" i="1"/>
  <c r="A1716" i="1"/>
  <c r="E1715" i="1"/>
  <c r="D1715" i="1"/>
  <c r="A1715" i="1"/>
  <c r="E1714" i="1"/>
  <c r="D1714" i="1"/>
  <c r="A1714" i="1"/>
  <c r="E1713" i="1"/>
  <c r="D1713" i="1"/>
  <c r="A1713" i="1"/>
  <c r="E1712" i="1"/>
  <c r="D1712" i="1"/>
  <c r="A1712" i="1"/>
  <c r="E1711" i="1"/>
  <c r="D1711" i="1"/>
  <c r="A1711" i="1"/>
  <c r="E1710" i="1"/>
  <c r="D1710" i="1"/>
  <c r="A1710" i="1"/>
  <c r="E1709" i="1"/>
  <c r="D1709" i="1"/>
  <c r="A1709" i="1"/>
  <c r="E1708" i="1"/>
  <c r="D1708" i="1"/>
  <c r="A1708" i="1"/>
  <c r="E1707" i="1"/>
  <c r="D1707" i="1"/>
  <c r="A1707" i="1"/>
  <c r="E1706" i="1"/>
  <c r="D1706" i="1"/>
  <c r="A1706" i="1"/>
  <c r="E1705" i="1"/>
  <c r="D1705" i="1"/>
  <c r="A1705" i="1"/>
  <c r="E1704" i="1"/>
  <c r="D1704" i="1"/>
  <c r="A1704" i="1"/>
  <c r="E1703" i="1"/>
  <c r="D1703" i="1"/>
  <c r="A1703" i="1"/>
  <c r="E1702" i="1"/>
  <c r="D1702" i="1"/>
  <c r="A1702" i="1"/>
  <c r="E1701" i="1"/>
  <c r="D1701" i="1"/>
  <c r="A1701" i="1"/>
  <c r="E1700" i="1"/>
  <c r="D1700" i="1"/>
  <c r="A1700" i="1"/>
  <c r="E1699" i="1"/>
  <c r="D1699" i="1"/>
  <c r="A1699" i="1"/>
  <c r="E1698" i="1"/>
  <c r="D1698" i="1"/>
  <c r="A1698" i="1"/>
  <c r="E1697" i="1"/>
  <c r="D1697" i="1"/>
  <c r="A1697" i="1"/>
  <c r="E1696" i="1"/>
  <c r="D1696" i="1"/>
  <c r="A1696" i="1"/>
  <c r="E1695" i="1"/>
  <c r="D1695" i="1"/>
  <c r="A1695" i="1"/>
  <c r="E1694" i="1"/>
  <c r="D1694" i="1"/>
  <c r="A1694" i="1"/>
  <c r="E1693" i="1"/>
  <c r="D1693" i="1"/>
  <c r="A1693" i="1"/>
  <c r="E1692" i="1"/>
  <c r="D1692" i="1"/>
  <c r="A1692" i="1"/>
  <c r="E1691" i="1"/>
  <c r="D1691" i="1"/>
  <c r="A1691" i="1"/>
  <c r="E1690" i="1"/>
  <c r="D1690" i="1"/>
  <c r="A1690" i="1"/>
  <c r="E1689" i="1"/>
  <c r="D1689" i="1"/>
  <c r="A1689" i="1"/>
  <c r="E1688" i="1"/>
  <c r="D1688" i="1"/>
  <c r="A1688" i="1"/>
  <c r="E1687" i="1"/>
  <c r="D1687" i="1"/>
  <c r="A1687" i="1"/>
  <c r="E1686" i="1"/>
  <c r="D1686" i="1"/>
  <c r="A1686" i="1"/>
  <c r="E1685" i="1"/>
  <c r="D1685" i="1"/>
  <c r="A1685" i="1"/>
  <c r="E1684" i="1"/>
  <c r="D1684" i="1"/>
  <c r="A1684" i="1"/>
  <c r="E1683" i="1"/>
  <c r="D1683" i="1"/>
  <c r="A1683" i="1"/>
  <c r="E1682" i="1"/>
  <c r="D1682" i="1"/>
  <c r="A1682" i="1"/>
  <c r="E1681" i="1"/>
  <c r="D1681" i="1"/>
  <c r="A1681" i="1"/>
  <c r="E1680" i="1"/>
  <c r="D1680" i="1"/>
  <c r="A1680" i="1"/>
  <c r="E1679" i="1"/>
  <c r="D1679" i="1"/>
  <c r="A1679" i="1"/>
  <c r="E1678" i="1"/>
  <c r="D1678" i="1"/>
  <c r="A1678" i="1"/>
  <c r="E1677" i="1"/>
  <c r="D1677" i="1"/>
  <c r="A1677" i="1"/>
  <c r="E1676" i="1"/>
  <c r="D1676" i="1"/>
  <c r="A1676" i="1"/>
  <c r="E1675" i="1"/>
  <c r="D1675" i="1"/>
  <c r="A1675" i="1"/>
  <c r="E1674" i="1"/>
  <c r="D1674" i="1"/>
  <c r="A1674" i="1"/>
  <c r="E1673" i="1"/>
  <c r="D1673" i="1"/>
  <c r="A1673" i="1"/>
  <c r="E1672" i="1"/>
  <c r="D1672" i="1"/>
  <c r="A1672" i="1"/>
  <c r="E1671" i="1"/>
  <c r="D1671" i="1"/>
  <c r="A1671" i="1"/>
  <c r="E1670" i="1"/>
  <c r="D1670" i="1"/>
  <c r="A1670" i="1"/>
  <c r="E1669" i="1"/>
  <c r="D1669" i="1"/>
  <c r="A1669" i="1"/>
  <c r="E1668" i="1"/>
  <c r="D1668" i="1"/>
  <c r="A1668" i="1"/>
  <c r="E1667" i="1"/>
  <c r="D1667" i="1"/>
  <c r="A1667" i="1"/>
  <c r="E1666" i="1"/>
  <c r="D1666" i="1"/>
  <c r="A1666" i="1"/>
  <c r="E1665" i="1"/>
  <c r="D1665" i="1"/>
  <c r="A1665" i="1"/>
  <c r="E1664" i="1"/>
  <c r="D1664" i="1"/>
  <c r="A1664" i="1"/>
  <c r="E1663" i="1"/>
  <c r="D1663" i="1"/>
  <c r="A1663" i="1"/>
  <c r="E1662" i="1"/>
  <c r="D1662" i="1"/>
  <c r="A1662" i="1"/>
  <c r="E1661" i="1"/>
  <c r="D1661" i="1"/>
  <c r="A1661" i="1"/>
  <c r="E1660" i="1"/>
  <c r="D1660" i="1"/>
  <c r="A1660" i="1"/>
  <c r="E1659" i="1"/>
  <c r="D1659" i="1"/>
  <c r="A1659" i="1"/>
  <c r="E1658" i="1"/>
  <c r="D1658" i="1"/>
  <c r="A1658" i="1"/>
  <c r="E1657" i="1"/>
  <c r="D1657" i="1"/>
  <c r="A1657" i="1"/>
  <c r="E1656" i="1"/>
  <c r="D1656" i="1"/>
  <c r="A1656" i="1"/>
  <c r="E1655" i="1"/>
  <c r="D1655" i="1"/>
  <c r="A1655" i="1"/>
  <c r="E1654" i="1"/>
  <c r="D1654" i="1"/>
  <c r="A1654" i="1"/>
  <c r="E1653" i="1"/>
  <c r="D1653" i="1"/>
  <c r="A1653" i="1"/>
  <c r="E1652" i="1"/>
  <c r="D1652" i="1"/>
  <c r="A1652" i="1"/>
  <c r="E1651" i="1"/>
  <c r="D1651" i="1"/>
  <c r="A1651" i="1"/>
  <c r="E1650" i="1"/>
  <c r="D1650" i="1"/>
  <c r="A1650" i="1"/>
  <c r="E1649" i="1"/>
  <c r="D1649" i="1"/>
  <c r="A1649" i="1"/>
  <c r="E1648" i="1"/>
  <c r="D1648" i="1"/>
  <c r="A1648" i="1"/>
  <c r="E1647" i="1"/>
  <c r="D1647" i="1"/>
  <c r="A1647" i="1"/>
  <c r="E1646" i="1"/>
  <c r="D1646" i="1"/>
  <c r="A1646" i="1"/>
  <c r="E1645" i="1"/>
  <c r="D1645" i="1"/>
  <c r="A1645" i="1"/>
  <c r="E1644" i="1"/>
  <c r="D1644" i="1"/>
  <c r="A1644" i="1"/>
  <c r="E1643" i="1"/>
  <c r="D1643" i="1"/>
  <c r="A1643" i="1"/>
  <c r="E1642" i="1"/>
  <c r="D1642" i="1"/>
  <c r="A1642" i="1"/>
  <c r="E1641" i="1"/>
  <c r="D1641" i="1"/>
  <c r="A1641" i="1"/>
  <c r="E1640" i="1"/>
  <c r="D1640" i="1"/>
  <c r="A1640" i="1"/>
  <c r="E1639" i="1"/>
  <c r="D1639" i="1"/>
  <c r="A1639" i="1"/>
  <c r="E1638" i="1"/>
  <c r="D1638" i="1"/>
  <c r="A1638" i="1"/>
  <c r="E1637" i="1"/>
  <c r="D1637" i="1"/>
  <c r="A1637" i="1"/>
  <c r="E1636" i="1"/>
  <c r="D1636" i="1"/>
  <c r="A1636" i="1"/>
  <c r="E1635" i="1"/>
  <c r="D1635" i="1"/>
  <c r="A1635" i="1"/>
  <c r="E1634" i="1"/>
  <c r="D1634" i="1"/>
  <c r="A1634" i="1"/>
  <c r="E1633" i="1"/>
  <c r="D1633" i="1"/>
  <c r="A1633" i="1"/>
  <c r="E1632" i="1"/>
  <c r="D1632" i="1"/>
  <c r="A1632" i="1"/>
  <c r="E1631" i="1"/>
  <c r="D1631" i="1"/>
  <c r="A1631" i="1"/>
  <c r="E1630" i="1"/>
  <c r="D1630" i="1"/>
  <c r="A1630" i="1"/>
  <c r="E1629" i="1"/>
  <c r="D1629" i="1"/>
  <c r="A1629" i="1"/>
  <c r="E1628" i="1"/>
  <c r="D1628" i="1"/>
  <c r="A1628" i="1"/>
  <c r="E1627" i="1"/>
  <c r="D1627" i="1"/>
  <c r="A1627" i="1"/>
  <c r="E1626" i="1"/>
  <c r="D1626" i="1"/>
  <c r="A1626" i="1"/>
  <c r="E1625" i="1"/>
  <c r="D1625" i="1"/>
  <c r="A1625" i="1"/>
  <c r="E1624" i="1"/>
  <c r="D1624" i="1"/>
  <c r="A1624" i="1"/>
  <c r="E1623" i="1"/>
  <c r="D1623" i="1"/>
  <c r="A1623" i="1"/>
  <c r="E1622" i="1"/>
  <c r="D1622" i="1"/>
  <c r="A1622" i="1"/>
  <c r="E1621" i="1"/>
  <c r="D1621" i="1"/>
  <c r="A1621" i="1"/>
  <c r="E1620" i="1"/>
  <c r="D1620" i="1"/>
  <c r="A1620" i="1"/>
  <c r="E1619" i="1"/>
  <c r="D1619" i="1"/>
  <c r="A1619" i="1"/>
  <c r="E1618" i="1"/>
  <c r="D1618" i="1"/>
  <c r="A1618" i="1"/>
  <c r="E1617" i="1"/>
  <c r="D1617" i="1"/>
  <c r="A1617" i="1"/>
  <c r="E1616" i="1"/>
  <c r="D1616" i="1"/>
  <c r="A1616" i="1"/>
  <c r="E1615" i="1"/>
  <c r="D1615" i="1"/>
  <c r="A1615" i="1"/>
  <c r="E1614" i="1"/>
  <c r="D1614" i="1"/>
  <c r="A1614" i="1"/>
  <c r="E1613" i="1"/>
  <c r="D1613" i="1"/>
  <c r="A1613" i="1"/>
  <c r="E1612" i="1"/>
  <c r="D1612" i="1"/>
  <c r="A1612" i="1"/>
  <c r="E1611" i="1"/>
  <c r="D1611" i="1"/>
  <c r="A1611" i="1"/>
  <c r="E1610" i="1"/>
  <c r="D1610" i="1"/>
  <c r="A1610" i="1"/>
  <c r="E1609" i="1"/>
  <c r="D1609" i="1"/>
  <c r="A1609" i="1"/>
  <c r="E1608" i="1"/>
  <c r="D1608" i="1"/>
  <c r="A1608" i="1"/>
  <c r="E1607" i="1"/>
  <c r="D1607" i="1"/>
  <c r="A1607" i="1"/>
  <c r="E1606" i="1"/>
  <c r="D1606" i="1"/>
  <c r="A1606" i="1"/>
  <c r="E1605" i="1"/>
  <c r="D1605" i="1"/>
  <c r="A1605" i="1"/>
  <c r="E1604" i="1"/>
  <c r="D1604" i="1"/>
  <c r="A1604" i="1"/>
  <c r="E1603" i="1"/>
  <c r="D1603" i="1"/>
  <c r="A1603" i="1"/>
  <c r="E1602" i="1"/>
  <c r="D1602" i="1"/>
  <c r="A1602" i="1"/>
  <c r="E1601" i="1"/>
  <c r="D1601" i="1"/>
  <c r="A1601" i="1"/>
  <c r="E1600" i="1"/>
  <c r="D1600" i="1"/>
  <c r="A1600" i="1"/>
  <c r="E1599" i="1"/>
  <c r="D1599" i="1"/>
  <c r="A1599" i="1"/>
  <c r="E1598" i="1"/>
  <c r="D1598" i="1"/>
  <c r="A1598" i="1"/>
  <c r="E1597" i="1"/>
  <c r="D1597" i="1"/>
  <c r="A1597" i="1"/>
  <c r="E1596" i="1"/>
  <c r="D1596" i="1"/>
  <c r="A1596" i="1"/>
  <c r="E1595" i="1"/>
  <c r="D1595" i="1"/>
  <c r="A1595" i="1"/>
  <c r="E1594" i="1"/>
  <c r="D1594" i="1"/>
  <c r="A1594" i="1"/>
  <c r="E1593" i="1"/>
  <c r="D1593" i="1"/>
  <c r="A1593" i="1"/>
  <c r="E1592" i="1"/>
  <c r="D1592" i="1"/>
  <c r="A1592" i="1"/>
  <c r="E1591" i="1"/>
  <c r="D1591" i="1"/>
  <c r="A1591" i="1"/>
  <c r="E1590" i="1"/>
  <c r="D1590" i="1"/>
  <c r="A1590" i="1"/>
  <c r="E1589" i="1"/>
  <c r="D1589" i="1"/>
  <c r="A1589" i="1"/>
  <c r="E1588" i="1"/>
  <c r="D1588" i="1"/>
  <c r="A1588" i="1"/>
  <c r="E1587" i="1"/>
  <c r="D1587" i="1"/>
  <c r="A1587" i="1"/>
  <c r="E1586" i="1"/>
  <c r="D1586" i="1"/>
  <c r="A1586" i="1"/>
  <c r="E1585" i="1"/>
  <c r="D1585" i="1"/>
  <c r="A1585" i="1"/>
  <c r="E1584" i="1"/>
  <c r="D1584" i="1"/>
  <c r="A1584" i="1"/>
  <c r="E1583" i="1"/>
  <c r="D1583" i="1"/>
  <c r="A1583" i="1"/>
  <c r="E1582" i="1"/>
  <c r="D1582" i="1"/>
  <c r="A1582" i="1"/>
  <c r="E1581" i="1"/>
  <c r="D1581" i="1"/>
  <c r="A1581" i="1"/>
  <c r="E1580" i="1"/>
  <c r="D1580" i="1"/>
  <c r="A1580" i="1"/>
  <c r="E1579" i="1"/>
  <c r="D1579" i="1"/>
  <c r="A1579" i="1"/>
  <c r="E1578" i="1"/>
  <c r="D1578" i="1"/>
  <c r="A1578" i="1"/>
  <c r="E1577" i="1"/>
  <c r="D1577" i="1"/>
  <c r="A1577" i="1"/>
  <c r="E1576" i="1"/>
  <c r="D1576" i="1"/>
  <c r="A1576" i="1"/>
  <c r="E1575" i="1"/>
  <c r="D1575" i="1"/>
  <c r="A1575" i="1"/>
  <c r="E1574" i="1"/>
  <c r="D1574" i="1"/>
  <c r="A1574" i="1"/>
  <c r="E1573" i="1"/>
  <c r="D1573" i="1"/>
  <c r="A1573" i="1"/>
  <c r="E1572" i="1"/>
  <c r="D1572" i="1"/>
  <c r="A1572" i="1"/>
  <c r="E1571" i="1"/>
  <c r="D1571" i="1"/>
  <c r="A1571" i="1"/>
  <c r="E1570" i="1"/>
  <c r="D1570" i="1"/>
  <c r="A1570" i="1"/>
  <c r="E1569" i="1"/>
  <c r="D1569" i="1"/>
  <c r="A1569" i="1"/>
  <c r="E1568" i="1"/>
  <c r="D1568" i="1"/>
  <c r="A1568" i="1"/>
  <c r="E1567" i="1"/>
  <c r="D1567" i="1"/>
  <c r="A1567" i="1"/>
  <c r="E1566" i="1"/>
  <c r="D1566" i="1"/>
  <c r="A1566" i="1"/>
  <c r="E1565" i="1"/>
  <c r="D1565" i="1"/>
  <c r="A1565" i="1"/>
  <c r="E1564" i="1"/>
  <c r="D1564" i="1"/>
  <c r="A1564" i="1"/>
  <c r="E1563" i="1"/>
  <c r="D1563" i="1"/>
  <c r="A1563" i="1"/>
  <c r="E1562" i="1"/>
  <c r="D1562" i="1"/>
  <c r="A1562" i="1"/>
  <c r="E1561" i="1"/>
  <c r="D1561" i="1"/>
  <c r="A1561" i="1"/>
  <c r="E1560" i="1"/>
  <c r="D1560" i="1"/>
  <c r="A1560" i="1"/>
  <c r="E1559" i="1"/>
  <c r="D1559" i="1"/>
  <c r="A1559" i="1"/>
  <c r="E1558" i="1"/>
  <c r="D1558" i="1"/>
  <c r="A1558" i="1"/>
  <c r="E1557" i="1"/>
  <c r="D1557" i="1"/>
  <c r="A1557" i="1"/>
  <c r="E1556" i="1"/>
  <c r="D1556" i="1"/>
  <c r="A1556" i="1"/>
  <c r="E1555" i="1"/>
  <c r="D1555" i="1"/>
  <c r="A1555" i="1"/>
  <c r="E1554" i="1"/>
  <c r="D1554" i="1"/>
  <c r="A1554" i="1"/>
  <c r="E1553" i="1"/>
  <c r="D1553" i="1"/>
  <c r="A1553" i="1"/>
  <c r="E1552" i="1"/>
  <c r="D1552" i="1"/>
  <c r="A1552" i="1"/>
  <c r="E1551" i="1"/>
  <c r="D1551" i="1"/>
  <c r="A1551" i="1"/>
  <c r="E1550" i="1"/>
  <c r="D1550" i="1"/>
  <c r="A1550" i="1"/>
  <c r="E1549" i="1"/>
  <c r="D1549" i="1"/>
  <c r="A1549" i="1"/>
  <c r="E1548" i="1"/>
  <c r="D1548" i="1"/>
  <c r="A1548" i="1"/>
  <c r="E1547" i="1"/>
  <c r="D1547" i="1"/>
  <c r="A1547" i="1"/>
  <c r="E1546" i="1"/>
  <c r="D1546" i="1"/>
  <c r="A1546" i="1"/>
  <c r="E1545" i="1"/>
  <c r="D1545" i="1"/>
  <c r="A1545" i="1"/>
  <c r="E1544" i="1"/>
  <c r="D1544" i="1"/>
  <c r="A1544" i="1"/>
  <c r="E1543" i="1"/>
  <c r="D1543" i="1"/>
  <c r="A1543" i="1"/>
  <c r="E1542" i="1"/>
  <c r="D1542" i="1"/>
  <c r="A1542" i="1"/>
  <c r="E1541" i="1"/>
  <c r="D1541" i="1"/>
  <c r="A1541" i="1"/>
  <c r="E1540" i="1"/>
  <c r="D1540" i="1"/>
  <c r="A1540" i="1"/>
  <c r="E1539" i="1"/>
  <c r="D1539" i="1"/>
  <c r="A1539" i="1"/>
  <c r="E1538" i="1"/>
  <c r="D1538" i="1"/>
  <c r="A1538" i="1"/>
  <c r="E1537" i="1"/>
  <c r="D1537" i="1"/>
  <c r="A1537" i="1"/>
  <c r="E1536" i="1"/>
  <c r="D1536" i="1"/>
  <c r="A1536" i="1"/>
  <c r="D1535" i="1"/>
  <c r="A1535" i="1"/>
  <c r="D1534" i="1"/>
  <c r="A1534" i="1"/>
  <c r="D1533" i="1"/>
  <c r="A1533" i="1"/>
  <c r="E1532" i="1"/>
  <c r="D1532" i="1"/>
  <c r="A1532" i="1"/>
  <c r="E1531" i="1"/>
  <c r="D1531" i="1"/>
  <c r="A1531" i="1"/>
  <c r="E1530" i="1"/>
  <c r="D1530" i="1"/>
  <c r="A1530" i="1"/>
  <c r="E1529" i="1"/>
  <c r="D1529" i="1"/>
  <c r="A1529" i="1"/>
  <c r="E1528" i="1"/>
  <c r="D1528" i="1"/>
  <c r="A1528" i="1"/>
  <c r="E1527" i="1"/>
  <c r="D1527" i="1"/>
  <c r="A1527" i="1"/>
  <c r="E1526" i="1"/>
  <c r="D1526" i="1"/>
  <c r="A1526" i="1"/>
  <c r="E1525" i="1"/>
  <c r="D1525" i="1"/>
  <c r="A1525" i="1"/>
  <c r="E1524" i="1"/>
  <c r="D1524" i="1"/>
  <c r="A1524" i="1"/>
  <c r="E1523" i="1"/>
  <c r="D1523" i="1"/>
  <c r="A1523" i="1"/>
  <c r="E1522" i="1"/>
  <c r="D1522" i="1"/>
  <c r="A1522" i="1"/>
  <c r="E1521" i="1"/>
  <c r="D1521" i="1"/>
  <c r="A1521" i="1"/>
  <c r="E1520" i="1"/>
  <c r="D1520" i="1"/>
  <c r="A1520" i="1"/>
  <c r="E1519" i="1"/>
  <c r="D1519" i="1"/>
  <c r="A1519" i="1"/>
  <c r="E1518" i="1"/>
  <c r="D1518" i="1"/>
  <c r="A1518" i="1"/>
  <c r="E1517" i="1"/>
  <c r="D1517" i="1"/>
  <c r="A1517" i="1"/>
  <c r="E1516" i="1"/>
  <c r="D1516" i="1"/>
  <c r="A1516" i="1"/>
  <c r="E1515" i="1"/>
  <c r="D1515" i="1"/>
  <c r="A1515" i="1"/>
  <c r="E1514" i="1"/>
  <c r="D1514" i="1"/>
  <c r="A1514" i="1"/>
  <c r="E1513" i="1"/>
  <c r="D1513" i="1"/>
  <c r="A1513" i="1"/>
  <c r="E1512" i="1"/>
  <c r="D1512" i="1"/>
  <c r="A1512" i="1"/>
  <c r="E1511" i="1"/>
  <c r="D1511" i="1"/>
  <c r="A1511" i="1"/>
  <c r="E1510" i="1"/>
  <c r="D1510" i="1"/>
  <c r="A1510" i="1"/>
  <c r="E1509" i="1"/>
  <c r="D1509" i="1"/>
  <c r="A1509" i="1"/>
  <c r="E1508" i="1"/>
  <c r="D1508" i="1"/>
  <c r="A1508" i="1"/>
  <c r="E1507" i="1"/>
  <c r="D1507" i="1"/>
  <c r="A1507" i="1"/>
  <c r="E1506" i="1"/>
  <c r="D1506" i="1"/>
  <c r="A1506" i="1"/>
  <c r="E1505" i="1"/>
  <c r="D1505" i="1"/>
  <c r="A1505" i="1"/>
  <c r="E1504" i="1"/>
  <c r="D1504" i="1"/>
  <c r="A1504" i="1"/>
  <c r="E1503" i="1"/>
  <c r="D1503" i="1"/>
  <c r="A1503" i="1"/>
  <c r="E1502" i="1"/>
  <c r="D1502" i="1"/>
  <c r="A1502" i="1"/>
  <c r="E1501" i="1"/>
  <c r="D1501" i="1"/>
  <c r="A1501" i="1"/>
  <c r="E1500" i="1"/>
  <c r="D1500" i="1"/>
  <c r="A1500" i="1"/>
  <c r="E1499" i="1"/>
  <c r="D1499" i="1"/>
  <c r="A1499" i="1"/>
  <c r="E1498" i="1"/>
  <c r="D1498" i="1"/>
  <c r="A1498" i="1"/>
  <c r="E1497" i="1"/>
  <c r="D1497" i="1"/>
  <c r="A1497" i="1"/>
  <c r="E1496" i="1"/>
  <c r="D1496" i="1"/>
  <c r="A1496" i="1"/>
  <c r="E1495" i="1"/>
  <c r="D1495" i="1"/>
  <c r="A1495" i="1"/>
  <c r="E1494" i="1"/>
  <c r="D1494" i="1"/>
  <c r="A1494" i="1"/>
  <c r="E1493" i="1"/>
  <c r="D1493" i="1"/>
  <c r="A1493" i="1"/>
  <c r="E1492" i="1"/>
  <c r="D1492" i="1"/>
  <c r="A1492" i="1"/>
  <c r="E1491" i="1"/>
  <c r="D1491" i="1"/>
  <c r="A1491" i="1"/>
  <c r="E1490" i="1"/>
  <c r="D1490" i="1"/>
  <c r="A1490" i="1"/>
  <c r="E1489" i="1"/>
  <c r="D1489" i="1"/>
  <c r="A1489" i="1"/>
  <c r="E1488" i="1"/>
  <c r="D1488" i="1"/>
  <c r="A1488" i="1"/>
  <c r="E1487" i="1"/>
  <c r="D1487" i="1"/>
  <c r="A1487" i="1"/>
  <c r="E1486" i="1"/>
  <c r="D1486" i="1"/>
  <c r="A1486" i="1"/>
  <c r="E1485" i="1"/>
  <c r="D1485" i="1"/>
  <c r="A1485" i="1"/>
  <c r="E1484" i="1"/>
  <c r="D1484" i="1"/>
  <c r="A1484" i="1"/>
  <c r="E1483" i="1"/>
  <c r="D1483" i="1"/>
  <c r="A1483" i="1"/>
  <c r="E1482" i="1"/>
  <c r="D1482" i="1"/>
  <c r="A1482" i="1"/>
  <c r="E1481" i="1"/>
  <c r="D1481" i="1"/>
  <c r="A1481" i="1"/>
  <c r="E1480" i="1"/>
  <c r="D1480" i="1"/>
  <c r="A1480" i="1"/>
  <c r="E1479" i="1"/>
  <c r="D1479" i="1"/>
  <c r="A1479" i="1"/>
  <c r="E1478" i="1"/>
  <c r="D1478" i="1"/>
  <c r="A1478" i="1"/>
  <c r="E1477" i="1"/>
  <c r="D1477" i="1"/>
  <c r="A1477" i="1"/>
  <c r="E1476" i="1"/>
  <c r="D1476" i="1"/>
  <c r="A1476" i="1"/>
  <c r="E1475" i="1"/>
  <c r="D1475" i="1"/>
  <c r="A1475" i="1"/>
  <c r="E1474" i="1"/>
  <c r="D1474" i="1"/>
  <c r="A1474" i="1"/>
  <c r="E1473" i="1"/>
  <c r="D1473" i="1"/>
  <c r="A1473" i="1"/>
  <c r="E1472" i="1"/>
  <c r="D1472" i="1"/>
  <c r="A1472" i="1"/>
  <c r="E1471" i="1"/>
  <c r="D1471" i="1"/>
  <c r="A1471" i="1"/>
  <c r="E1470" i="1"/>
  <c r="D1470" i="1"/>
  <c r="A1470" i="1"/>
  <c r="E1469" i="1"/>
  <c r="D1469" i="1"/>
  <c r="A1469" i="1"/>
  <c r="E1468" i="1"/>
  <c r="D1468" i="1"/>
  <c r="A1468" i="1"/>
  <c r="E1467" i="1"/>
  <c r="D1467" i="1"/>
  <c r="A1467" i="1"/>
  <c r="E1466" i="1"/>
  <c r="D1466" i="1"/>
  <c r="A1466" i="1"/>
  <c r="E1465" i="1"/>
  <c r="D1465" i="1"/>
  <c r="A1465" i="1"/>
  <c r="E1464" i="1"/>
  <c r="D1464" i="1"/>
  <c r="A1464" i="1"/>
  <c r="E1463" i="1"/>
  <c r="D1463" i="1"/>
  <c r="A1463" i="1"/>
  <c r="E1462" i="1"/>
  <c r="D1462" i="1"/>
  <c r="A1462" i="1"/>
  <c r="E1461" i="1"/>
  <c r="D1461" i="1"/>
  <c r="A1461" i="1"/>
  <c r="E1460" i="1"/>
  <c r="D1460" i="1"/>
  <c r="A1460" i="1"/>
  <c r="E1459" i="1"/>
  <c r="D1459" i="1"/>
  <c r="A1459" i="1"/>
  <c r="E1458" i="1"/>
  <c r="D1458" i="1"/>
  <c r="A1458" i="1"/>
  <c r="E1457" i="1"/>
  <c r="D1457" i="1"/>
  <c r="A1457" i="1"/>
  <c r="E1456" i="1"/>
  <c r="D1456" i="1"/>
  <c r="A1456" i="1"/>
  <c r="E1455" i="1"/>
  <c r="D1455" i="1"/>
  <c r="A1455" i="1"/>
  <c r="E1454" i="1"/>
  <c r="D1454" i="1"/>
  <c r="A1454" i="1"/>
  <c r="E1453" i="1"/>
  <c r="D1453" i="1"/>
  <c r="A1453" i="1"/>
  <c r="E1452" i="1"/>
  <c r="D1452" i="1"/>
  <c r="A1452" i="1"/>
  <c r="E1451" i="1"/>
  <c r="D1451" i="1"/>
  <c r="A1451" i="1"/>
  <c r="E1450" i="1"/>
  <c r="D1450" i="1"/>
  <c r="A1450" i="1"/>
  <c r="E1449" i="1"/>
  <c r="D1449" i="1"/>
  <c r="A1449" i="1"/>
  <c r="E1448" i="1"/>
  <c r="D1448" i="1"/>
  <c r="A1448" i="1"/>
  <c r="E1447" i="1"/>
  <c r="D1447" i="1"/>
  <c r="A1447" i="1"/>
  <c r="E1446" i="1"/>
  <c r="D1446" i="1"/>
  <c r="A1446" i="1"/>
  <c r="E1445" i="1"/>
  <c r="D1445" i="1"/>
  <c r="A1445" i="1"/>
  <c r="E1444" i="1"/>
  <c r="D1444" i="1"/>
  <c r="A1444" i="1"/>
  <c r="E1443" i="1"/>
  <c r="D1443" i="1"/>
  <c r="A1443" i="1"/>
  <c r="E1442" i="1"/>
  <c r="D1442" i="1"/>
  <c r="A1442" i="1"/>
  <c r="E1441" i="1"/>
  <c r="D1441" i="1"/>
  <c r="A1441" i="1"/>
  <c r="E1440" i="1"/>
  <c r="D1440" i="1"/>
  <c r="A1440" i="1"/>
  <c r="D1439" i="1"/>
  <c r="A1439" i="1"/>
  <c r="E1438" i="1"/>
  <c r="D1438" i="1"/>
  <c r="A1438" i="1"/>
  <c r="E1437" i="1"/>
  <c r="D1437" i="1"/>
  <c r="A1437" i="1"/>
  <c r="E1436" i="1"/>
  <c r="D1436" i="1"/>
  <c r="A1436" i="1"/>
  <c r="E1435" i="1"/>
  <c r="D1435" i="1"/>
  <c r="A1435" i="1"/>
  <c r="E1434" i="1"/>
  <c r="D1434" i="1"/>
  <c r="A1434" i="1"/>
  <c r="E1433" i="1"/>
  <c r="D1433" i="1"/>
  <c r="A1433" i="1"/>
  <c r="E1432" i="1"/>
  <c r="D1432" i="1"/>
  <c r="A1432" i="1"/>
  <c r="E1431" i="1"/>
  <c r="D1431" i="1"/>
  <c r="A1431" i="1"/>
  <c r="E1430" i="1"/>
  <c r="D1430" i="1"/>
  <c r="A1430" i="1"/>
  <c r="E1429" i="1"/>
  <c r="D1429" i="1"/>
  <c r="A1429" i="1"/>
  <c r="E1428" i="1"/>
  <c r="D1428" i="1"/>
  <c r="A1428" i="1"/>
  <c r="E1427" i="1"/>
  <c r="D1427" i="1"/>
  <c r="A1427" i="1"/>
  <c r="E1426" i="1"/>
  <c r="D1426" i="1"/>
  <c r="A1426" i="1"/>
  <c r="E1425" i="1"/>
  <c r="D1425" i="1"/>
  <c r="A1425" i="1"/>
  <c r="E1424" i="1"/>
  <c r="D1424" i="1"/>
  <c r="A1424" i="1"/>
  <c r="E1423" i="1"/>
  <c r="D1423" i="1"/>
  <c r="A1423" i="1"/>
  <c r="E1422" i="1"/>
  <c r="D1422" i="1"/>
  <c r="A1422" i="1"/>
  <c r="E1421" i="1"/>
  <c r="D1421" i="1"/>
  <c r="A1421" i="1"/>
  <c r="E1420" i="1"/>
  <c r="D1420" i="1"/>
  <c r="A1420" i="1"/>
  <c r="E1419" i="1"/>
  <c r="D1419" i="1"/>
  <c r="A1419" i="1"/>
  <c r="E1418" i="1"/>
  <c r="D1418" i="1"/>
  <c r="A1418" i="1"/>
  <c r="E1417" i="1"/>
  <c r="D1417" i="1"/>
  <c r="A1417" i="1"/>
  <c r="E1416" i="1"/>
  <c r="D1416" i="1"/>
  <c r="A1416" i="1"/>
  <c r="E1415" i="1"/>
  <c r="D1415" i="1"/>
  <c r="A1415" i="1"/>
  <c r="E1414" i="1"/>
  <c r="D1414" i="1"/>
  <c r="A1414" i="1"/>
  <c r="E1413" i="1"/>
  <c r="D1413" i="1"/>
  <c r="A1413" i="1"/>
  <c r="E1412" i="1"/>
  <c r="D1412" i="1"/>
  <c r="A1412" i="1"/>
  <c r="E1411" i="1"/>
  <c r="D1411" i="1"/>
  <c r="A1411" i="1"/>
  <c r="E1410" i="1"/>
  <c r="D1410" i="1"/>
  <c r="A1410" i="1"/>
  <c r="E1409" i="1"/>
  <c r="D1409" i="1"/>
  <c r="A1409" i="1"/>
  <c r="E1408" i="1"/>
  <c r="D1408" i="1"/>
  <c r="A1408" i="1"/>
  <c r="E1407" i="1"/>
  <c r="D1407" i="1"/>
  <c r="A1407" i="1"/>
  <c r="E1406" i="1"/>
  <c r="D1406" i="1"/>
  <c r="A1406" i="1"/>
  <c r="E1405" i="1"/>
  <c r="D1405" i="1"/>
  <c r="A1405" i="1"/>
  <c r="E1404" i="1"/>
  <c r="D1404" i="1"/>
  <c r="A1404" i="1"/>
  <c r="E1403" i="1"/>
  <c r="D1403" i="1"/>
  <c r="A1403" i="1"/>
  <c r="E1402" i="1"/>
  <c r="D1402" i="1"/>
  <c r="A1402" i="1"/>
  <c r="E1401" i="1"/>
  <c r="D1401" i="1"/>
  <c r="A1401" i="1"/>
  <c r="E1400" i="1"/>
  <c r="D1400" i="1"/>
  <c r="A1400" i="1"/>
  <c r="E1399" i="1"/>
  <c r="D1399" i="1"/>
  <c r="A1399" i="1"/>
  <c r="E1398" i="1"/>
  <c r="D1398" i="1"/>
  <c r="A1398" i="1"/>
  <c r="E1397" i="1"/>
  <c r="D1397" i="1"/>
  <c r="A1397" i="1"/>
  <c r="E1396" i="1"/>
  <c r="D1396" i="1"/>
  <c r="A1396" i="1"/>
  <c r="E1395" i="1"/>
  <c r="D1395" i="1"/>
  <c r="A1395" i="1"/>
  <c r="E1394" i="1"/>
  <c r="D1394" i="1"/>
  <c r="A1394" i="1"/>
  <c r="E1393" i="1"/>
  <c r="D1393" i="1"/>
  <c r="A1393" i="1"/>
  <c r="E1392" i="1"/>
  <c r="D1392" i="1"/>
  <c r="A1392" i="1"/>
  <c r="E1391" i="1"/>
  <c r="D1391" i="1"/>
  <c r="A1391" i="1"/>
  <c r="E1390" i="1"/>
  <c r="D1390" i="1"/>
  <c r="A1390" i="1"/>
  <c r="E1389" i="1"/>
  <c r="D1389" i="1"/>
  <c r="A1389" i="1"/>
  <c r="E1388" i="1"/>
  <c r="D1388" i="1"/>
  <c r="A1388" i="1"/>
  <c r="E1387" i="1"/>
  <c r="D1387" i="1"/>
  <c r="A1387" i="1"/>
  <c r="E1386" i="1"/>
  <c r="D1386" i="1"/>
  <c r="A1386" i="1"/>
  <c r="E1385" i="1"/>
  <c r="D1385" i="1"/>
  <c r="A1385" i="1"/>
  <c r="E1384" i="1"/>
  <c r="D1384" i="1"/>
  <c r="A1384" i="1"/>
  <c r="E1383" i="1"/>
  <c r="D1383" i="1"/>
  <c r="A1383" i="1"/>
  <c r="E1382" i="1"/>
  <c r="D1382" i="1"/>
  <c r="A1382" i="1"/>
  <c r="E1381" i="1"/>
  <c r="D1381" i="1"/>
  <c r="A1381" i="1"/>
  <c r="E1380" i="1"/>
  <c r="D1380" i="1"/>
  <c r="A1380" i="1"/>
  <c r="E1379" i="1"/>
  <c r="D1379" i="1"/>
  <c r="A1379" i="1"/>
  <c r="E1378" i="1"/>
  <c r="D1378" i="1"/>
  <c r="A1378" i="1"/>
  <c r="E1377" i="1"/>
  <c r="D1377" i="1"/>
  <c r="A1377" i="1"/>
  <c r="E1376" i="1"/>
  <c r="D1376" i="1"/>
  <c r="A1376" i="1"/>
  <c r="E1375" i="1"/>
  <c r="D1375" i="1"/>
  <c r="A1375" i="1"/>
  <c r="E1374" i="1"/>
  <c r="D1374" i="1"/>
  <c r="A1374" i="1"/>
  <c r="D1373" i="1"/>
  <c r="A1373" i="1"/>
  <c r="D1372" i="1"/>
  <c r="A1372" i="1"/>
  <c r="D1371" i="1"/>
  <c r="A1371" i="1"/>
  <c r="D1370" i="1"/>
  <c r="A1370" i="1"/>
  <c r="D1369" i="1"/>
  <c r="A1369" i="1"/>
  <c r="D1368" i="1"/>
  <c r="A1368" i="1"/>
  <c r="D1367" i="1"/>
  <c r="A1367" i="1"/>
  <c r="D1366" i="1"/>
  <c r="A1366" i="1"/>
  <c r="D1365" i="1"/>
  <c r="A1365" i="1"/>
  <c r="D1364" i="1"/>
  <c r="A1364" i="1"/>
  <c r="D1363" i="1"/>
  <c r="A1363" i="1"/>
  <c r="D1362" i="1"/>
  <c r="A1362" i="1"/>
  <c r="D1361" i="1"/>
  <c r="A1361" i="1"/>
  <c r="D1360" i="1"/>
  <c r="A1360" i="1"/>
  <c r="D1359" i="1"/>
  <c r="A1359" i="1"/>
  <c r="D1358" i="1"/>
  <c r="A1358" i="1"/>
  <c r="D1357" i="1"/>
  <c r="A1357" i="1"/>
  <c r="E1356" i="1"/>
  <c r="D1356" i="1"/>
  <c r="A1356" i="1"/>
  <c r="D1355" i="1"/>
  <c r="A1355" i="1"/>
  <c r="E1354" i="1"/>
  <c r="D1354" i="1"/>
  <c r="A1354" i="1"/>
  <c r="E1353" i="1"/>
  <c r="D1353" i="1"/>
  <c r="A1353" i="1"/>
  <c r="E1352" i="1"/>
  <c r="D1352" i="1"/>
  <c r="A1352" i="1"/>
  <c r="E1351" i="1"/>
  <c r="D1351" i="1"/>
  <c r="A1351" i="1"/>
  <c r="E1350" i="1"/>
  <c r="D1350" i="1"/>
  <c r="A1350" i="1"/>
  <c r="E1349" i="1"/>
  <c r="D1349" i="1"/>
  <c r="A1349" i="1"/>
  <c r="E1348" i="1"/>
  <c r="D1348" i="1"/>
  <c r="A1348" i="1"/>
  <c r="E1347" i="1"/>
  <c r="D1347" i="1"/>
  <c r="A1347" i="1"/>
  <c r="E1346" i="1"/>
  <c r="D1346" i="1"/>
  <c r="A1346" i="1"/>
  <c r="E1345" i="1"/>
  <c r="D1345" i="1"/>
  <c r="A1345" i="1"/>
  <c r="E1344" i="1"/>
  <c r="D1344" i="1"/>
  <c r="A1344" i="1"/>
  <c r="E1343" i="1"/>
  <c r="D1343" i="1"/>
  <c r="A1343" i="1"/>
  <c r="E1342" i="1"/>
  <c r="D1342" i="1"/>
  <c r="A1342" i="1"/>
  <c r="E1341" i="1"/>
  <c r="D1341" i="1"/>
  <c r="A1341" i="1"/>
  <c r="E1340" i="1"/>
  <c r="D1340" i="1"/>
  <c r="A1340" i="1"/>
  <c r="E1339" i="1"/>
  <c r="D1339" i="1"/>
  <c r="A1339" i="1"/>
  <c r="E1338" i="1"/>
  <c r="D1338" i="1"/>
  <c r="A1338" i="1"/>
  <c r="E1337" i="1"/>
  <c r="D1337" i="1"/>
  <c r="A1337" i="1"/>
  <c r="E1336" i="1"/>
  <c r="D1336" i="1"/>
  <c r="A1336" i="1"/>
  <c r="D1335" i="1"/>
  <c r="A1335" i="1"/>
  <c r="E1334" i="1"/>
  <c r="D1334" i="1"/>
  <c r="A1334" i="1"/>
  <c r="D1333" i="1"/>
  <c r="A1333" i="1"/>
  <c r="D1332" i="1"/>
  <c r="A1332" i="1"/>
  <c r="D1331" i="1"/>
  <c r="A1331" i="1"/>
  <c r="E1330" i="1"/>
  <c r="D1330" i="1"/>
  <c r="A1330" i="1"/>
  <c r="E1329" i="1"/>
  <c r="D1329" i="1"/>
  <c r="A1329" i="1"/>
  <c r="E1328" i="1"/>
  <c r="D1328" i="1"/>
  <c r="A1328" i="1"/>
  <c r="E1327" i="1"/>
  <c r="D1327" i="1"/>
  <c r="A1327" i="1"/>
  <c r="E1326" i="1"/>
  <c r="D1326" i="1"/>
  <c r="A1326" i="1"/>
  <c r="E1325" i="1"/>
  <c r="D1325" i="1"/>
  <c r="A1325" i="1"/>
  <c r="E1324" i="1"/>
  <c r="D1324" i="1"/>
  <c r="A1324" i="1"/>
  <c r="E1323" i="1"/>
  <c r="D1323" i="1"/>
  <c r="A1323" i="1"/>
  <c r="E1322" i="1"/>
  <c r="D1322" i="1"/>
  <c r="A1322" i="1"/>
  <c r="E1321" i="1"/>
  <c r="D1321" i="1"/>
  <c r="A1321" i="1"/>
  <c r="E1320" i="1"/>
  <c r="D1320" i="1"/>
  <c r="A1320" i="1"/>
  <c r="E1319" i="1"/>
  <c r="D1319" i="1"/>
  <c r="A1319" i="1"/>
  <c r="E1318" i="1"/>
  <c r="D1318" i="1"/>
  <c r="A1318" i="1"/>
  <c r="E1317" i="1"/>
  <c r="D1317" i="1"/>
  <c r="A1317" i="1"/>
  <c r="E1316" i="1"/>
  <c r="D1316" i="1"/>
  <c r="A1316" i="1"/>
  <c r="E1315" i="1"/>
  <c r="D1315" i="1"/>
  <c r="A1315" i="1"/>
  <c r="E1314" i="1"/>
  <c r="D1314" i="1"/>
  <c r="A1314" i="1"/>
  <c r="E1313" i="1"/>
  <c r="D1313" i="1"/>
  <c r="A1313" i="1"/>
  <c r="E1312" i="1"/>
  <c r="D1312" i="1"/>
  <c r="A1312" i="1"/>
  <c r="E1311" i="1"/>
  <c r="D1311" i="1"/>
  <c r="A1311" i="1"/>
  <c r="E1310" i="1"/>
  <c r="D1310" i="1"/>
  <c r="A1310" i="1"/>
  <c r="E1309" i="1"/>
  <c r="D1309" i="1"/>
  <c r="A1309" i="1"/>
  <c r="E1308" i="1"/>
  <c r="D1308" i="1"/>
  <c r="A1308" i="1"/>
  <c r="E1307" i="1"/>
  <c r="D1307" i="1"/>
  <c r="A1307" i="1"/>
  <c r="E1306" i="1"/>
  <c r="D1306" i="1"/>
  <c r="A1306" i="1"/>
  <c r="E1305" i="1"/>
  <c r="D1305" i="1"/>
  <c r="A1305" i="1"/>
  <c r="E1304" i="1"/>
  <c r="D1304" i="1"/>
  <c r="A1304" i="1"/>
  <c r="E1303" i="1"/>
  <c r="D1303" i="1"/>
  <c r="A1303" i="1"/>
  <c r="E1302" i="1"/>
  <c r="D1302" i="1"/>
  <c r="A1302" i="1"/>
  <c r="E1301" i="1"/>
  <c r="D1301" i="1"/>
  <c r="A1301" i="1"/>
  <c r="E1300" i="1"/>
  <c r="D1300" i="1"/>
  <c r="A1300" i="1"/>
  <c r="E1299" i="1"/>
  <c r="D1299" i="1"/>
  <c r="A1299" i="1"/>
  <c r="E1298" i="1"/>
  <c r="D1298" i="1"/>
  <c r="A1298" i="1"/>
  <c r="E1297" i="1"/>
  <c r="D1297" i="1"/>
  <c r="A1297" i="1"/>
  <c r="E1296" i="1"/>
  <c r="D1296" i="1"/>
  <c r="A1296" i="1"/>
  <c r="E1295" i="1"/>
  <c r="D1295" i="1"/>
  <c r="A1295" i="1"/>
  <c r="E1294" i="1"/>
  <c r="D1294" i="1"/>
  <c r="A1294" i="1"/>
  <c r="E1293" i="1"/>
  <c r="D1293" i="1"/>
  <c r="A1293" i="1"/>
  <c r="E1292" i="1"/>
  <c r="D1292" i="1"/>
  <c r="A1292" i="1"/>
  <c r="E1291" i="1"/>
  <c r="D1291" i="1"/>
  <c r="A1291" i="1"/>
  <c r="E1290" i="1"/>
  <c r="D1290" i="1"/>
  <c r="A1290" i="1"/>
  <c r="E1289" i="1"/>
  <c r="D1289" i="1"/>
  <c r="A1289" i="1"/>
  <c r="E1288" i="1"/>
  <c r="D1288" i="1"/>
  <c r="A1288" i="1"/>
  <c r="E1287" i="1"/>
  <c r="D1287" i="1"/>
  <c r="A1287" i="1"/>
  <c r="D1286" i="1"/>
  <c r="A1286" i="1"/>
  <c r="E1285" i="1"/>
  <c r="D1285" i="1"/>
  <c r="A1285" i="1"/>
  <c r="D1284" i="1"/>
  <c r="A1284" i="1"/>
  <c r="D1283" i="1"/>
  <c r="A1283" i="1"/>
  <c r="E1282" i="1"/>
  <c r="D1282" i="1"/>
  <c r="A1282" i="1"/>
  <c r="E1281" i="1"/>
  <c r="D1281" i="1"/>
  <c r="A1281" i="1"/>
  <c r="E1280" i="1"/>
  <c r="D1280" i="1"/>
  <c r="A1280" i="1"/>
  <c r="D1279" i="1"/>
  <c r="A1279" i="1"/>
  <c r="E1278" i="1"/>
  <c r="D1278" i="1"/>
  <c r="A1278" i="1"/>
  <c r="E1277" i="1"/>
  <c r="D1277" i="1"/>
  <c r="A1277" i="1"/>
  <c r="E1276" i="1"/>
  <c r="D1276" i="1"/>
  <c r="A1276" i="1"/>
  <c r="E1275" i="1"/>
  <c r="D1275" i="1"/>
  <c r="A1275" i="1"/>
  <c r="D1274" i="1"/>
  <c r="A1274" i="1"/>
  <c r="E1273" i="1"/>
  <c r="D1273" i="1"/>
  <c r="A1273" i="1"/>
  <c r="E1272" i="1"/>
  <c r="D1272" i="1"/>
  <c r="A1272" i="1"/>
  <c r="E1271" i="1"/>
  <c r="D1271" i="1"/>
  <c r="A1271" i="1"/>
  <c r="E1270" i="1"/>
  <c r="D1270" i="1"/>
  <c r="A1270" i="1"/>
  <c r="E1269" i="1"/>
  <c r="D1269" i="1"/>
  <c r="A1269" i="1"/>
  <c r="E1268" i="1"/>
  <c r="D1268" i="1"/>
  <c r="A1268" i="1"/>
  <c r="E1267" i="1"/>
  <c r="D1267" i="1"/>
  <c r="A1267" i="1"/>
  <c r="D1266" i="1"/>
  <c r="A1266" i="1"/>
  <c r="E1265" i="1"/>
  <c r="D1265" i="1"/>
  <c r="A1265" i="1"/>
  <c r="D1264" i="1"/>
  <c r="A1264" i="1"/>
  <c r="D1263" i="1"/>
  <c r="A1263" i="1"/>
  <c r="E1262" i="1"/>
  <c r="D1262" i="1"/>
  <c r="A1262" i="1"/>
  <c r="E1261" i="1"/>
  <c r="D1261" i="1"/>
  <c r="A1261" i="1"/>
  <c r="D1260" i="1"/>
  <c r="A1260" i="1"/>
  <c r="E1259" i="1"/>
  <c r="D1259" i="1"/>
  <c r="A1259" i="1"/>
  <c r="E1258" i="1"/>
  <c r="D1258" i="1"/>
  <c r="A1258" i="1"/>
  <c r="D1257" i="1"/>
  <c r="A1257" i="1"/>
  <c r="D1256" i="1"/>
  <c r="A1256" i="1"/>
  <c r="E1255" i="1"/>
  <c r="D1255" i="1"/>
  <c r="A1255" i="1"/>
  <c r="E1254" i="1"/>
  <c r="D1254" i="1"/>
  <c r="A1254" i="1"/>
  <c r="E1253" i="1"/>
  <c r="D1253" i="1"/>
  <c r="A1253" i="1"/>
  <c r="E1252" i="1"/>
  <c r="D1252" i="1"/>
  <c r="A1252" i="1"/>
  <c r="E1251" i="1"/>
  <c r="D1251" i="1"/>
  <c r="A1251" i="1"/>
  <c r="E1250" i="1"/>
  <c r="D1250" i="1"/>
  <c r="A1250" i="1"/>
  <c r="E1249" i="1"/>
  <c r="D1249" i="1"/>
  <c r="A1249" i="1"/>
  <c r="E1248" i="1"/>
  <c r="D1248" i="1"/>
  <c r="A1248" i="1"/>
  <c r="E1247" i="1"/>
  <c r="D1247" i="1"/>
  <c r="A1247" i="1"/>
  <c r="E1246" i="1"/>
  <c r="D1246" i="1"/>
  <c r="A1246" i="1"/>
  <c r="E1245" i="1"/>
  <c r="D1245" i="1"/>
  <c r="A1245" i="1"/>
  <c r="D1244" i="1"/>
  <c r="A1244" i="1"/>
  <c r="D1243" i="1"/>
  <c r="A1243" i="1"/>
  <c r="D1242" i="1"/>
  <c r="A1242" i="1"/>
  <c r="E1241" i="1"/>
  <c r="D1241" i="1"/>
  <c r="A1241" i="1"/>
  <c r="E1240" i="1"/>
  <c r="D1240" i="1"/>
  <c r="A1240" i="1"/>
  <c r="D1239" i="1"/>
  <c r="A1239" i="1"/>
  <c r="E1238" i="1"/>
  <c r="D1238" i="1"/>
  <c r="A1238" i="1"/>
  <c r="E1237" i="1"/>
  <c r="D1237" i="1"/>
  <c r="A1237" i="1"/>
  <c r="E1236" i="1"/>
  <c r="D1236" i="1"/>
  <c r="A1236" i="1"/>
  <c r="E1235" i="1"/>
  <c r="D1235" i="1"/>
  <c r="A1235" i="1"/>
  <c r="E1234" i="1"/>
  <c r="D1234" i="1"/>
  <c r="A1234" i="1"/>
  <c r="E1233" i="1"/>
  <c r="D1233" i="1"/>
  <c r="A1233" i="1"/>
  <c r="E1232" i="1"/>
  <c r="D1232" i="1"/>
  <c r="A1232" i="1"/>
  <c r="E1231" i="1"/>
  <c r="D1231" i="1"/>
  <c r="A1231" i="1"/>
  <c r="E1230" i="1"/>
  <c r="D1230" i="1"/>
  <c r="A1230" i="1"/>
  <c r="D1229" i="1"/>
  <c r="A1229" i="1"/>
  <c r="D1228" i="1"/>
  <c r="A1228" i="1"/>
  <c r="D1227" i="1"/>
  <c r="A1227" i="1"/>
  <c r="D1226" i="1"/>
  <c r="A1226" i="1"/>
  <c r="D1225" i="1"/>
  <c r="A1225" i="1"/>
  <c r="D1224" i="1"/>
  <c r="A1224" i="1"/>
  <c r="D1223" i="1"/>
  <c r="A1223" i="1"/>
  <c r="D1222" i="1"/>
  <c r="A1222" i="1"/>
  <c r="D1221" i="1"/>
  <c r="A1221" i="1"/>
  <c r="D1220" i="1"/>
  <c r="A1220" i="1"/>
  <c r="D1219" i="1"/>
  <c r="A1219" i="1"/>
  <c r="E1218" i="1"/>
  <c r="D1218" i="1"/>
  <c r="A1218" i="1"/>
  <c r="D1217" i="1"/>
  <c r="A1217" i="1"/>
  <c r="D1216" i="1"/>
  <c r="A1216" i="1"/>
  <c r="D1215" i="1"/>
  <c r="A1215" i="1"/>
  <c r="D1214" i="1"/>
  <c r="A1214" i="1"/>
  <c r="D1213" i="1"/>
  <c r="A1213" i="1"/>
  <c r="D1212" i="1"/>
  <c r="A1212" i="1"/>
  <c r="D1211" i="1"/>
  <c r="A1211" i="1"/>
  <c r="D1210" i="1"/>
  <c r="A1210" i="1"/>
  <c r="E1209" i="1"/>
  <c r="D1209" i="1"/>
  <c r="A1209" i="1"/>
  <c r="D1208" i="1"/>
  <c r="A1208" i="1"/>
  <c r="D1207" i="1"/>
  <c r="A1207" i="1"/>
  <c r="D1206" i="1"/>
  <c r="A1206" i="1"/>
  <c r="D1205" i="1"/>
  <c r="A1205" i="1"/>
  <c r="D1204" i="1"/>
  <c r="A1204" i="1"/>
  <c r="D1203" i="1"/>
  <c r="A1203" i="1"/>
  <c r="D1202" i="1"/>
  <c r="A1202" i="1"/>
  <c r="E1201" i="1"/>
  <c r="D1201" i="1"/>
  <c r="A1201" i="1"/>
  <c r="D1200" i="1"/>
  <c r="A1200" i="1"/>
  <c r="D1199" i="1"/>
  <c r="A1199" i="1"/>
  <c r="E1198" i="1"/>
  <c r="D1198" i="1"/>
  <c r="A1198" i="1"/>
  <c r="E1197" i="1"/>
  <c r="D1197" i="1"/>
  <c r="A1197" i="1"/>
  <c r="E1196" i="1"/>
  <c r="D1196" i="1"/>
  <c r="A1196" i="1"/>
  <c r="E1195" i="1"/>
  <c r="D1195" i="1"/>
  <c r="A1195" i="1"/>
  <c r="E1194" i="1"/>
  <c r="D1194" i="1"/>
  <c r="A1194" i="1"/>
  <c r="E1193" i="1"/>
  <c r="D1193" i="1"/>
  <c r="A1193" i="1"/>
  <c r="E1192" i="1"/>
  <c r="D1192" i="1"/>
  <c r="A1192" i="1"/>
  <c r="E1191" i="1"/>
  <c r="D1191" i="1"/>
  <c r="A1191" i="1"/>
  <c r="E1190" i="1"/>
  <c r="D1190" i="1"/>
  <c r="A1190" i="1"/>
  <c r="E1189" i="1"/>
  <c r="D1189" i="1"/>
  <c r="A1189" i="1"/>
  <c r="E1188" i="1"/>
  <c r="D1188" i="1"/>
  <c r="A1188" i="1"/>
  <c r="E1187" i="1"/>
  <c r="D1187" i="1"/>
  <c r="A1187" i="1"/>
  <c r="E1186" i="1"/>
  <c r="D1186" i="1"/>
  <c r="A1186" i="1"/>
  <c r="E1185" i="1"/>
  <c r="D1185" i="1"/>
  <c r="A1185" i="1"/>
  <c r="E1184" i="1"/>
  <c r="D1184" i="1"/>
  <c r="A1184" i="1"/>
  <c r="E1183" i="1"/>
  <c r="D1183" i="1"/>
  <c r="A1183" i="1"/>
  <c r="E1182" i="1"/>
  <c r="D1182" i="1"/>
  <c r="A1182" i="1"/>
  <c r="E1181" i="1"/>
  <c r="D1181" i="1"/>
  <c r="A1181" i="1"/>
  <c r="E1180" i="1"/>
  <c r="D1180" i="1"/>
  <c r="A1180" i="1"/>
  <c r="E1179" i="1"/>
  <c r="D1179" i="1"/>
  <c r="A1179" i="1"/>
  <c r="E1178" i="1"/>
  <c r="D1178" i="1"/>
  <c r="A1178" i="1"/>
  <c r="E1177" i="1"/>
  <c r="D1177" i="1"/>
  <c r="A1177" i="1"/>
  <c r="E1176" i="1"/>
  <c r="D1176" i="1"/>
  <c r="A1176" i="1"/>
  <c r="E1175" i="1"/>
  <c r="D1175" i="1"/>
  <c r="A1175" i="1"/>
  <c r="E1174" i="1"/>
  <c r="D1174" i="1"/>
  <c r="A1174" i="1"/>
  <c r="E1173" i="1"/>
  <c r="D1173" i="1"/>
  <c r="A1173" i="1"/>
  <c r="E1172" i="1"/>
  <c r="D1172" i="1"/>
  <c r="A1172" i="1"/>
  <c r="E1171" i="1"/>
  <c r="D1171" i="1"/>
  <c r="A1171" i="1"/>
  <c r="E1170" i="1"/>
  <c r="D1170" i="1"/>
  <c r="A1170" i="1"/>
  <c r="E1169" i="1"/>
  <c r="D1169" i="1"/>
  <c r="A1169" i="1"/>
  <c r="E1168" i="1"/>
  <c r="D1168" i="1"/>
  <c r="A1168" i="1"/>
  <c r="E1167" i="1"/>
  <c r="D1167" i="1"/>
  <c r="A1167" i="1"/>
  <c r="E1166" i="1"/>
  <c r="D1166" i="1"/>
  <c r="A1166" i="1"/>
  <c r="E1165" i="1"/>
  <c r="D1165" i="1"/>
  <c r="A1165" i="1"/>
  <c r="E1164" i="1"/>
  <c r="D1164" i="1"/>
  <c r="A1164" i="1"/>
  <c r="E1163" i="1"/>
  <c r="D1163" i="1"/>
  <c r="A1163" i="1"/>
  <c r="E1162" i="1"/>
  <c r="D1162" i="1"/>
  <c r="A1162" i="1"/>
  <c r="E1161" i="1"/>
  <c r="D1161" i="1"/>
  <c r="A1161" i="1"/>
  <c r="E1160" i="1"/>
  <c r="D1160" i="1"/>
  <c r="A1160" i="1"/>
  <c r="E1159" i="1"/>
  <c r="D1159" i="1"/>
  <c r="A1159" i="1"/>
  <c r="E1158" i="1"/>
  <c r="D1158" i="1"/>
  <c r="A1158" i="1"/>
  <c r="E1157" i="1"/>
  <c r="D1157" i="1"/>
  <c r="A1157" i="1"/>
  <c r="E1156" i="1"/>
  <c r="D1156" i="1"/>
  <c r="A1156" i="1"/>
  <c r="E1155" i="1"/>
  <c r="D1155" i="1"/>
  <c r="A1155" i="1"/>
  <c r="E1154" i="1"/>
  <c r="D1154" i="1"/>
  <c r="A1154" i="1"/>
  <c r="E1153" i="1"/>
  <c r="D1153" i="1"/>
  <c r="A1153" i="1"/>
  <c r="E1152" i="1"/>
  <c r="D1152" i="1"/>
  <c r="A1152" i="1"/>
  <c r="E1151" i="1"/>
  <c r="D1151" i="1"/>
  <c r="A1151" i="1"/>
  <c r="E1150" i="1"/>
  <c r="D1150" i="1"/>
  <c r="A1150" i="1"/>
  <c r="E1149" i="1"/>
  <c r="D1149" i="1"/>
  <c r="A1149" i="1"/>
  <c r="E1148" i="1"/>
  <c r="D1148" i="1"/>
  <c r="A1148" i="1"/>
  <c r="E1147" i="1"/>
  <c r="D1147" i="1"/>
  <c r="A1147" i="1"/>
  <c r="E1146" i="1"/>
  <c r="D1146" i="1"/>
  <c r="A1146" i="1"/>
  <c r="E1145" i="1"/>
  <c r="D1145" i="1"/>
  <c r="A1145" i="1"/>
  <c r="E1144" i="1"/>
  <c r="D1144" i="1"/>
  <c r="A1144" i="1"/>
  <c r="D1143" i="1"/>
  <c r="A1143" i="1"/>
  <c r="D1142" i="1"/>
  <c r="A1142" i="1"/>
  <c r="D1141" i="1"/>
  <c r="A1141" i="1"/>
  <c r="E1140" i="1"/>
  <c r="D1140" i="1"/>
  <c r="A1140" i="1"/>
  <c r="E1139" i="1"/>
  <c r="D1139" i="1"/>
  <c r="A1139" i="1"/>
  <c r="E1138" i="1"/>
  <c r="D1138" i="1"/>
  <c r="A1138" i="1"/>
  <c r="E1137" i="1"/>
  <c r="D1137" i="1"/>
  <c r="A1137" i="1"/>
  <c r="E1136" i="1"/>
  <c r="D1136" i="1"/>
  <c r="A1136" i="1"/>
  <c r="E1135" i="1"/>
  <c r="D1135" i="1"/>
  <c r="A1135" i="1"/>
  <c r="E1134" i="1"/>
  <c r="D1134" i="1"/>
  <c r="A1134" i="1"/>
  <c r="E1133" i="1"/>
  <c r="D1133" i="1"/>
  <c r="A1133" i="1"/>
  <c r="E1132" i="1"/>
  <c r="D1132" i="1"/>
  <c r="A1132" i="1"/>
  <c r="E1131" i="1"/>
  <c r="D1131" i="1"/>
  <c r="A1131" i="1"/>
  <c r="E1130" i="1"/>
  <c r="D1130" i="1"/>
  <c r="A1130" i="1"/>
  <c r="E1129" i="1"/>
  <c r="D1129" i="1"/>
  <c r="A1129" i="1"/>
  <c r="E1128" i="1"/>
  <c r="D1128" i="1"/>
  <c r="A1128" i="1"/>
  <c r="E1127" i="1"/>
  <c r="D1127" i="1"/>
  <c r="A1127" i="1"/>
  <c r="E1126" i="1"/>
  <c r="D1126" i="1"/>
  <c r="A1126" i="1"/>
  <c r="E1125" i="1"/>
  <c r="D1125" i="1"/>
  <c r="A1125" i="1"/>
  <c r="E1124" i="1"/>
  <c r="D1124" i="1"/>
  <c r="A1124" i="1"/>
  <c r="E1123" i="1"/>
  <c r="D1123" i="1"/>
  <c r="A1123" i="1"/>
  <c r="E1122" i="1"/>
  <c r="D1122" i="1"/>
  <c r="A1122" i="1"/>
  <c r="E1121" i="1"/>
  <c r="D1121" i="1"/>
  <c r="A1121" i="1"/>
  <c r="E1120" i="1"/>
  <c r="D1120" i="1"/>
  <c r="A1120" i="1"/>
  <c r="E1119" i="1"/>
  <c r="D1119" i="1"/>
  <c r="A1119" i="1"/>
  <c r="E1118" i="1"/>
  <c r="D1118" i="1"/>
  <c r="A1118" i="1"/>
  <c r="E1117" i="1"/>
  <c r="D1117" i="1"/>
  <c r="A1117" i="1"/>
  <c r="E1116" i="1"/>
  <c r="D1116" i="1"/>
  <c r="A1116" i="1"/>
  <c r="E1115" i="1"/>
  <c r="D1115" i="1"/>
  <c r="A1115" i="1"/>
  <c r="E1114" i="1"/>
  <c r="D1114" i="1"/>
  <c r="A1114" i="1"/>
  <c r="E1113" i="1"/>
  <c r="D1113" i="1"/>
  <c r="A1113" i="1"/>
  <c r="E1112" i="1"/>
  <c r="D1112" i="1"/>
  <c r="A1112" i="1"/>
  <c r="E1111" i="1"/>
  <c r="D1111" i="1"/>
  <c r="A1111" i="1"/>
  <c r="E1110" i="1"/>
  <c r="D1110" i="1"/>
  <c r="A1110" i="1"/>
  <c r="E1109" i="1"/>
  <c r="D1109" i="1"/>
  <c r="A1109" i="1"/>
  <c r="E1108" i="1"/>
  <c r="D1108" i="1"/>
  <c r="A1108" i="1"/>
  <c r="E1107" i="1"/>
  <c r="D1107" i="1"/>
  <c r="A1107" i="1"/>
  <c r="E1106" i="1"/>
  <c r="D1106" i="1"/>
  <c r="A1106" i="1"/>
  <c r="E1105" i="1"/>
  <c r="D1105" i="1"/>
  <c r="A1105" i="1"/>
  <c r="E1104" i="1"/>
  <c r="D1104" i="1"/>
  <c r="A1104" i="1"/>
  <c r="E1103" i="1"/>
  <c r="D1103" i="1"/>
  <c r="A1103" i="1"/>
  <c r="E1102" i="1"/>
  <c r="D1102" i="1"/>
  <c r="A1102" i="1"/>
  <c r="E1101" i="1"/>
  <c r="D1101" i="1"/>
  <c r="A1101" i="1"/>
  <c r="E1100" i="1"/>
  <c r="D1100" i="1"/>
  <c r="A1100" i="1"/>
  <c r="E1099" i="1"/>
  <c r="D1099" i="1"/>
  <c r="A1099" i="1"/>
  <c r="E1098" i="1"/>
  <c r="D1098" i="1"/>
  <c r="A1098" i="1"/>
  <c r="E1097" i="1"/>
  <c r="D1097" i="1"/>
  <c r="A1097" i="1"/>
  <c r="E1096" i="1"/>
  <c r="D1096" i="1"/>
  <c r="A1096" i="1"/>
  <c r="E1095" i="1"/>
  <c r="D1095" i="1"/>
  <c r="A1095" i="1"/>
  <c r="E1094" i="1"/>
  <c r="D1094" i="1"/>
  <c r="A1094" i="1"/>
  <c r="E1093" i="1"/>
  <c r="D1093" i="1"/>
  <c r="A1093" i="1"/>
  <c r="E1092" i="1"/>
  <c r="D1092" i="1"/>
  <c r="A1092" i="1"/>
  <c r="E1091" i="1"/>
  <c r="D1091" i="1"/>
  <c r="A1091" i="1"/>
  <c r="E1090" i="1"/>
  <c r="D1090" i="1"/>
  <c r="A1090" i="1"/>
  <c r="E1089" i="1"/>
  <c r="D1089" i="1"/>
  <c r="A1089" i="1"/>
  <c r="E1088" i="1"/>
  <c r="D1088" i="1"/>
  <c r="A1088" i="1"/>
  <c r="E1087" i="1"/>
  <c r="D1087" i="1"/>
  <c r="A1087" i="1"/>
  <c r="E1086" i="1"/>
  <c r="D1086" i="1"/>
  <c r="A1086" i="1"/>
  <c r="E1085" i="1"/>
  <c r="D1085" i="1"/>
  <c r="A1085" i="1"/>
  <c r="E1084" i="1"/>
  <c r="D1084" i="1"/>
  <c r="A1084" i="1"/>
  <c r="E1083" i="1"/>
  <c r="D1083" i="1"/>
  <c r="A1083" i="1"/>
  <c r="E1082" i="1"/>
  <c r="D1082" i="1"/>
  <c r="A1082" i="1"/>
  <c r="E1081" i="1"/>
  <c r="D1081" i="1"/>
  <c r="A1081" i="1"/>
  <c r="E1080" i="1"/>
  <c r="D1080" i="1"/>
  <c r="A1080" i="1"/>
  <c r="E1079" i="1"/>
  <c r="D1079" i="1"/>
  <c r="A1079" i="1"/>
  <c r="E1078" i="1"/>
  <c r="D1078" i="1"/>
  <c r="A1078" i="1"/>
  <c r="E1077" i="1"/>
  <c r="D1077" i="1"/>
  <c r="A1077" i="1"/>
  <c r="E1076" i="1"/>
  <c r="D1076" i="1"/>
  <c r="A1076" i="1"/>
  <c r="E1075" i="1"/>
  <c r="D1075" i="1"/>
  <c r="A1075" i="1"/>
  <c r="E1074" i="1"/>
  <c r="D1074" i="1"/>
  <c r="A1074" i="1"/>
  <c r="E1073" i="1"/>
  <c r="D1073" i="1"/>
  <c r="A1073" i="1"/>
  <c r="E1072" i="1"/>
  <c r="D1072" i="1"/>
  <c r="A1072" i="1"/>
  <c r="E1071" i="1"/>
  <c r="D1071" i="1"/>
  <c r="A1071" i="1"/>
  <c r="E1070" i="1"/>
  <c r="D1070" i="1"/>
  <c r="A1070" i="1"/>
  <c r="E1069" i="1"/>
  <c r="D1069" i="1"/>
  <c r="A1069" i="1"/>
  <c r="E1068" i="1"/>
  <c r="D1068" i="1"/>
  <c r="A1068" i="1"/>
  <c r="E1067" i="1"/>
  <c r="D1067" i="1"/>
  <c r="A1067" i="1"/>
  <c r="E1066" i="1"/>
  <c r="D1066" i="1"/>
  <c r="A1066" i="1"/>
  <c r="E1065" i="1"/>
  <c r="D1065" i="1"/>
  <c r="A1065" i="1"/>
  <c r="E1064" i="1"/>
  <c r="D1064" i="1"/>
  <c r="A1064" i="1"/>
  <c r="E1063" i="1"/>
  <c r="D1063" i="1"/>
  <c r="A1063" i="1"/>
  <c r="E1062" i="1"/>
  <c r="D1062" i="1"/>
  <c r="A1062" i="1"/>
  <c r="E1061" i="1"/>
  <c r="D1061" i="1"/>
  <c r="A1061" i="1"/>
  <c r="E1060" i="1"/>
  <c r="D1060" i="1"/>
  <c r="A1060" i="1"/>
  <c r="E1059" i="1"/>
  <c r="D1059" i="1"/>
  <c r="A1059" i="1"/>
  <c r="E1058" i="1"/>
  <c r="D1058" i="1"/>
  <c r="A1058" i="1"/>
  <c r="E1057" i="1"/>
  <c r="D1057" i="1"/>
  <c r="A1057" i="1"/>
  <c r="E1056" i="1"/>
  <c r="D1056" i="1"/>
  <c r="A1056" i="1"/>
  <c r="E1055" i="1"/>
  <c r="D1055" i="1"/>
  <c r="A1055" i="1"/>
  <c r="E1054" i="1"/>
  <c r="D1054" i="1"/>
  <c r="A1054" i="1"/>
  <c r="E1053" i="1"/>
  <c r="D1053" i="1"/>
  <c r="A1053" i="1"/>
  <c r="E1052" i="1"/>
  <c r="D1052" i="1"/>
  <c r="A1052" i="1"/>
  <c r="E1051" i="1"/>
  <c r="D1051" i="1"/>
  <c r="A1051" i="1"/>
  <c r="E1050" i="1"/>
  <c r="D1050" i="1"/>
  <c r="A1050" i="1"/>
  <c r="E1049" i="1"/>
  <c r="D1049" i="1"/>
  <c r="A1049" i="1"/>
  <c r="E1048" i="1"/>
  <c r="D1048" i="1"/>
  <c r="A1048" i="1"/>
  <c r="E1047" i="1"/>
  <c r="D1047" i="1"/>
  <c r="A1047" i="1"/>
  <c r="E1046" i="1"/>
  <c r="D1046" i="1"/>
  <c r="A1046" i="1"/>
  <c r="E1045" i="1"/>
  <c r="D1045" i="1"/>
  <c r="A1045" i="1"/>
  <c r="E1044" i="1"/>
  <c r="D1044" i="1"/>
  <c r="A1044" i="1"/>
  <c r="E1043" i="1"/>
  <c r="D1043" i="1"/>
  <c r="A1043" i="1"/>
  <c r="E1042" i="1"/>
  <c r="D1042" i="1"/>
  <c r="A1042" i="1"/>
  <c r="E1041" i="1"/>
  <c r="D1041" i="1"/>
  <c r="A1041" i="1"/>
  <c r="E1040" i="1"/>
  <c r="D1040" i="1"/>
  <c r="A1040" i="1"/>
  <c r="E1039" i="1"/>
  <c r="D1039" i="1"/>
  <c r="A1039" i="1"/>
  <c r="E1038" i="1"/>
  <c r="D1038" i="1"/>
  <c r="A1038" i="1"/>
  <c r="E1037" i="1"/>
  <c r="D1037" i="1"/>
  <c r="A1037" i="1"/>
  <c r="E1036" i="1"/>
  <c r="D1036" i="1"/>
  <c r="A1036" i="1"/>
  <c r="E1035" i="1"/>
  <c r="D1035" i="1"/>
  <c r="A1035" i="1"/>
  <c r="E1034" i="1"/>
  <c r="D1034" i="1"/>
  <c r="A1034" i="1"/>
  <c r="D1033" i="1"/>
  <c r="A1033" i="1"/>
  <c r="E1032" i="1"/>
  <c r="D1032" i="1"/>
  <c r="A1032" i="1"/>
  <c r="D1031" i="1"/>
  <c r="A1031" i="1"/>
  <c r="E1030" i="1"/>
  <c r="D1030" i="1"/>
  <c r="A1030" i="1"/>
  <c r="E1029" i="1"/>
  <c r="D1029" i="1"/>
  <c r="A1029" i="1"/>
  <c r="E1028" i="1"/>
  <c r="D1028" i="1"/>
  <c r="A1028" i="1"/>
  <c r="E1027" i="1"/>
  <c r="D1027" i="1"/>
  <c r="A1027" i="1"/>
  <c r="E1026" i="1"/>
  <c r="D1026" i="1"/>
  <c r="A1026" i="1"/>
  <c r="E1025" i="1"/>
  <c r="D1025" i="1"/>
  <c r="A1025" i="1"/>
  <c r="E1024" i="1"/>
  <c r="D1024" i="1"/>
  <c r="A1024" i="1"/>
  <c r="E1023" i="1"/>
  <c r="D1023" i="1"/>
  <c r="A1023" i="1"/>
  <c r="E1022" i="1"/>
  <c r="D1022" i="1"/>
  <c r="A1022" i="1"/>
  <c r="E1021" i="1"/>
  <c r="D1021" i="1"/>
  <c r="A1021" i="1"/>
  <c r="E1020" i="1"/>
  <c r="D1020" i="1"/>
  <c r="A1020" i="1"/>
  <c r="E1019" i="1"/>
  <c r="D1019" i="1"/>
  <c r="A1019" i="1"/>
  <c r="E1018" i="1"/>
  <c r="D1018" i="1"/>
  <c r="A1018" i="1"/>
  <c r="E1017" i="1"/>
  <c r="D1017" i="1"/>
  <c r="A1017" i="1"/>
  <c r="E1016" i="1"/>
  <c r="D1016" i="1"/>
  <c r="A1016" i="1"/>
  <c r="E1015" i="1"/>
  <c r="D1015" i="1"/>
  <c r="A1015" i="1"/>
  <c r="E1014" i="1"/>
  <c r="D1014" i="1"/>
  <c r="A1014" i="1"/>
  <c r="E1013" i="1"/>
  <c r="D1013" i="1"/>
  <c r="A1013" i="1"/>
  <c r="E1012" i="1"/>
  <c r="D1012" i="1"/>
  <c r="A1012" i="1"/>
  <c r="E1011" i="1"/>
  <c r="D1011" i="1"/>
  <c r="A1011" i="1"/>
  <c r="E1010" i="1"/>
  <c r="D1010" i="1"/>
  <c r="A1010" i="1"/>
  <c r="E1009" i="1"/>
  <c r="D1009" i="1"/>
  <c r="A1009" i="1"/>
  <c r="E1008" i="1"/>
  <c r="D1008" i="1"/>
  <c r="A1008" i="1"/>
  <c r="E1007" i="1"/>
  <c r="D1007" i="1"/>
  <c r="A1007" i="1"/>
  <c r="E1006" i="1"/>
  <c r="D1006" i="1"/>
  <c r="A1006" i="1"/>
  <c r="E1005" i="1"/>
  <c r="D1005" i="1"/>
  <c r="A1005" i="1"/>
  <c r="E1004" i="1"/>
  <c r="D1004" i="1"/>
  <c r="A1004" i="1"/>
  <c r="E1003" i="1"/>
  <c r="D1003" i="1"/>
  <c r="A1003" i="1"/>
  <c r="E1002" i="1"/>
  <c r="D1002" i="1"/>
  <c r="A1002" i="1"/>
  <c r="E1001" i="1"/>
  <c r="D1001" i="1"/>
  <c r="A1001" i="1"/>
  <c r="E1000" i="1"/>
  <c r="D1000" i="1"/>
  <c r="A1000" i="1"/>
  <c r="E999" i="1"/>
  <c r="D999" i="1"/>
  <c r="A999" i="1"/>
  <c r="E998" i="1"/>
  <c r="D998" i="1"/>
  <c r="A998" i="1"/>
  <c r="E997" i="1"/>
  <c r="D997" i="1"/>
  <c r="A997" i="1"/>
  <c r="E996" i="1"/>
  <c r="D996" i="1"/>
  <c r="A996" i="1"/>
  <c r="E995" i="1"/>
  <c r="D995" i="1"/>
  <c r="A995" i="1"/>
  <c r="E994" i="1"/>
  <c r="D994" i="1"/>
  <c r="A994" i="1"/>
  <c r="E993" i="1"/>
  <c r="D993" i="1"/>
  <c r="A993" i="1"/>
  <c r="E992" i="1"/>
  <c r="D992" i="1"/>
  <c r="A992" i="1"/>
  <c r="E991" i="1"/>
  <c r="D991" i="1"/>
  <c r="A991" i="1"/>
  <c r="E990" i="1"/>
  <c r="D990" i="1"/>
  <c r="A990" i="1"/>
  <c r="E989" i="1"/>
  <c r="D989" i="1"/>
  <c r="A989" i="1"/>
  <c r="E988" i="1"/>
  <c r="D988" i="1"/>
  <c r="A988" i="1"/>
  <c r="E987" i="1"/>
  <c r="D987" i="1"/>
  <c r="A987" i="1"/>
  <c r="E986" i="1"/>
  <c r="D986" i="1"/>
  <c r="A986" i="1"/>
  <c r="E985" i="1"/>
  <c r="D985" i="1"/>
  <c r="A985" i="1"/>
  <c r="E984" i="1"/>
  <c r="D984" i="1"/>
  <c r="A984" i="1"/>
  <c r="E983" i="1"/>
  <c r="D983" i="1"/>
  <c r="A983" i="1"/>
  <c r="E982" i="1"/>
  <c r="D982" i="1"/>
  <c r="A982" i="1"/>
  <c r="E981" i="1"/>
  <c r="D981" i="1"/>
  <c r="A981" i="1"/>
  <c r="E980" i="1"/>
  <c r="D980" i="1"/>
  <c r="A980" i="1"/>
  <c r="E979" i="1"/>
  <c r="D979" i="1"/>
  <c r="A979" i="1"/>
  <c r="E978" i="1"/>
  <c r="D978" i="1"/>
  <c r="A978" i="1"/>
  <c r="E977" i="1"/>
  <c r="D977" i="1"/>
  <c r="A977" i="1"/>
  <c r="E976" i="1"/>
  <c r="D976" i="1"/>
  <c r="A976" i="1"/>
  <c r="E975" i="1"/>
  <c r="D975" i="1"/>
  <c r="A975" i="1"/>
  <c r="E974" i="1"/>
  <c r="D974" i="1"/>
  <c r="A974" i="1"/>
  <c r="E973" i="1"/>
  <c r="D973" i="1"/>
  <c r="A973" i="1"/>
  <c r="E972" i="1"/>
  <c r="D972" i="1"/>
  <c r="A972" i="1"/>
  <c r="E971" i="1"/>
  <c r="D971" i="1"/>
  <c r="A971" i="1"/>
  <c r="E970" i="1"/>
  <c r="D970" i="1"/>
  <c r="A970" i="1"/>
  <c r="E969" i="1"/>
  <c r="D969" i="1"/>
  <c r="A969" i="1"/>
  <c r="E968" i="1"/>
  <c r="D968" i="1"/>
  <c r="A968" i="1"/>
  <c r="E967" i="1"/>
  <c r="D967" i="1"/>
  <c r="A967" i="1"/>
  <c r="E966" i="1"/>
  <c r="D966" i="1"/>
  <c r="A966" i="1"/>
  <c r="E965" i="1"/>
  <c r="D965" i="1"/>
  <c r="A965" i="1"/>
  <c r="E964" i="1"/>
  <c r="D964" i="1"/>
  <c r="A964" i="1"/>
  <c r="E963" i="1"/>
  <c r="D963" i="1"/>
  <c r="A963" i="1"/>
  <c r="E962" i="1"/>
  <c r="D962" i="1"/>
  <c r="A962" i="1"/>
  <c r="E961" i="1"/>
  <c r="D961" i="1"/>
  <c r="A961" i="1"/>
  <c r="E960" i="1"/>
  <c r="D960" i="1"/>
  <c r="A960" i="1"/>
  <c r="E959" i="1"/>
  <c r="D959" i="1"/>
  <c r="A959" i="1"/>
  <c r="E958" i="1"/>
  <c r="D958" i="1"/>
  <c r="A958" i="1"/>
  <c r="E957" i="1"/>
  <c r="D957" i="1"/>
  <c r="A957" i="1"/>
  <c r="E956" i="1"/>
  <c r="D956" i="1"/>
  <c r="A956" i="1"/>
  <c r="E955" i="1"/>
  <c r="D955" i="1"/>
  <c r="A955" i="1"/>
  <c r="E954" i="1"/>
  <c r="D954" i="1"/>
  <c r="A954" i="1"/>
  <c r="E953" i="1"/>
  <c r="D953" i="1"/>
  <c r="A953" i="1"/>
  <c r="E952" i="1"/>
  <c r="D952" i="1"/>
  <c r="A952" i="1"/>
  <c r="E951" i="1"/>
  <c r="D951" i="1"/>
  <c r="A951" i="1"/>
  <c r="E950" i="1"/>
  <c r="D950" i="1"/>
  <c r="A950" i="1"/>
  <c r="E949" i="1"/>
  <c r="D949" i="1"/>
  <c r="A949" i="1"/>
  <c r="E948" i="1"/>
  <c r="D948" i="1"/>
  <c r="A948" i="1"/>
  <c r="E947" i="1"/>
  <c r="D947" i="1"/>
  <c r="A947" i="1"/>
  <c r="E946" i="1"/>
  <c r="D946" i="1"/>
  <c r="A946" i="1"/>
  <c r="E945" i="1"/>
  <c r="D945" i="1"/>
  <c r="A945" i="1"/>
  <c r="E944" i="1"/>
  <c r="D944" i="1"/>
  <c r="A944" i="1"/>
  <c r="E943" i="1"/>
  <c r="D943" i="1"/>
  <c r="A943" i="1"/>
  <c r="E942" i="1"/>
  <c r="D942" i="1"/>
  <c r="A942" i="1"/>
  <c r="E941" i="1"/>
  <c r="D941" i="1"/>
  <c r="A941" i="1"/>
  <c r="E940" i="1"/>
  <c r="D940" i="1"/>
  <c r="A940" i="1"/>
  <c r="E939" i="1"/>
  <c r="D939" i="1"/>
  <c r="A939" i="1"/>
  <c r="E938" i="1"/>
  <c r="D938" i="1"/>
  <c r="A938" i="1"/>
  <c r="E937" i="1"/>
  <c r="D937" i="1"/>
  <c r="A937" i="1"/>
  <c r="E936" i="1"/>
  <c r="D936" i="1"/>
  <c r="A936" i="1"/>
  <c r="E935" i="1"/>
  <c r="D935" i="1"/>
  <c r="A935" i="1"/>
  <c r="E934" i="1"/>
  <c r="D934" i="1"/>
  <c r="A934" i="1"/>
  <c r="E933" i="1"/>
  <c r="D933" i="1"/>
  <c r="A933" i="1"/>
  <c r="E932" i="1"/>
  <c r="D932" i="1"/>
  <c r="A932" i="1"/>
  <c r="E931" i="1"/>
  <c r="D931" i="1"/>
  <c r="A931" i="1"/>
  <c r="E930" i="1"/>
  <c r="D930" i="1"/>
  <c r="A930" i="1"/>
  <c r="E929" i="1"/>
  <c r="D929" i="1"/>
  <c r="A929" i="1"/>
  <c r="E928" i="1"/>
  <c r="D928" i="1"/>
  <c r="A928" i="1"/>
  <c r="E927" i="1"/>
  <c r="D927" i="1"/>
  <c r="A927" i="1"/>
  <c r="E926" i="1"/>
  <c r="D926" i="1"/>
  <c r="A926" i="1"/>
  <c r="E925" i="1"/>
  <c r="D925" i="1"/>
  <c r="A925" i="1"/>
  <c r="E924" i="1"/>
  <c r="D924" i="1"/>
  <c r="A924" i="1"/>
  <c r="E923" i="1"/>
  <c r="D923" i="1"/>
  <c r="A923" i="1"/>
  <c r="E922" i="1"/>
  <c r="D922" i="1"/>
  <c r="A922" i="1"/>
  <c r="E921" i="1"/>
  <c r="D921" i="1"/>
  <c r="A921" i="1"/>
  <c r="E920" i="1"/>
  <c r="D920" i="1"/>
  <c r="A920" i="1"/>
  <c r="E919" i="1"/>
  <c r="D919" i="1"/>
  <c r="A919" i="1"/>
  <c r="E918" i="1"/>
  <c r="D918" i="1"/>
  <c r="A918" i="1"/>
  <c r="E917" i="1"/>
  <c r="D917" i="1"/>
  <c r="A917" i="1"/>
  <c r="E916" i="1"/>
  <c r="D916" i="1"/>
  <c r="A916" i="1"/>
  <c r="E915" i="1"/>
  <c r="D915" i="1"/>
  <c r="A915" i="1"/>
  <c r="E914" i="1"/>
  <c r="D914" i="1"/>
  <c r="A914" i="1"/>
  <c r="E913" i="1"/>
  <c r="D913" i="1"/>
  <c r="A913" i="1"/>
  <c r="E912" i="1"/>
  <c r="D912" i="1"/>
  <c r="A912" i="1"/>
  <c r="E911" i="1"/>
  <c r="D911" i="1"/>
  <c r="A911" i="1"/>
  <c r="E910" i="1"/>
  <c r="D910" i="1"/>
  <c r="A910" i="1"/>
  <c r="E909" i="1"/>
  <c r="D909" i="1"/>
  <c r="A909" i="1"/>
  <c r="E908" i="1"/>
  <c r="D908" i="1"/>
  <c r="A908" i="1"/>
  <c r="E907" i="1"/>
  <c r="D907" i="1"/>
  <c r="A907" i="1"/>
  <c r="E906" i="1"/>
  <c r="D906" i="1"/>
  <c r="A906" i="1"/>
  <c r="E905" i="1"/>
  <c r="D905" i="1"/>
  <c r="A905" i="1"/>
  <c r="E904" i="1"/>
  <c r="D904" i="1"/>
  <c r="A904" i="1"/>
  <c r="E903" i="1"/>
  <c r="D903" i="1"/>
  <c r="A903" i="1"/>
  <c r="E902" i="1"/>
  <c r="D902" i="1"/>
  <c r="A902" i="1"/>
  <c r="E901" i="1"/>
  <c r="D901" i="1"/>
  <c r="A901" i="1"/>
  <c r="E900" i="1"/>
  <c r="D900" i="1"/>
  <c r="A900" i="1"/>
  <c r="E899" i="1"/>
  <c r="D899" i="1"/>
  <c r="A899" i="1"/>
  <c r="E898" i="1"/>
  <c r="D898" i="1"/>
  <c r="A898" i="1"/>
  <c r="E897" i="1"/>
  <c r="D897" i="1"/>
  <c r="A897" i="1"/>
  <c r="E896" i="1"/>
  <c r="D896" i="1"/>
  <c r="A896" i="1"/>
  <c r="E895" i="1"/>
  <c r="D895" i="1"/>
  <c r="A895" i="1"/>
  <c r="E894" i="1"/>
  <c r="D894" i="1"/>
  <c r="A894" i="1"/>
  <c r="E893" i="1"/>
  <c r="D893" i="1"/>
  <c r="A893" i="1"/>
  <c r="E892" i="1"/>
  <c r="D892" i="1"/>
  <c r="A892" i="1"/>
  <c r="E891" i="1"/>
  <c r="D891" i="1"/>
  <c r="A891" i="1"/>
  <c r="E890" i="1"/>
  <c r="D890" i="1"/>
  <c r="A890" i="1"/>
  <c r="E889" i="1"/>
  <c r="D889" i="1"/>
  <c r="A889" i="1"/>
  <c r="E888" i="1"/>
  <c r="D888" i="1"/>
  <c r="A888" i="1"/>
  <c r="E887" i="1"/>
  <c r="D887" i="1"/>
  <c r="A887" i="1"/>
  <c r="E886" i="1"/>
  <c r="D886" i="1"/>
  <c r="A886" i="1"/>
  <c r="E885" i="1"/>
  <c r="D885" i="1"/>
  <c r="A885" i="1"/>
  <c r="E884" i="1"/>
  <c r="D884" i="1"/>
  <c r="A884" i="1"/>
  <c r="E883" i="1"/>
  <c r="D883" i="1"/>
  <c r="A883" i="1"/>
  <c r="E882" i="1"/>
  <c r="D882" i="1"/>
  <c r="A882" i="1"/>
  <c r="E881" i="1"/>
  <c r="D881" i="1"/>
  <c r="A881" i="1"/>
  <c r="E880" i="1"/>
  <c r="D880" i="1"/>
  <c r="A880" i="1"/>
  <c r="E879" i="1"/>
  <c r="D879" i="1"/>
  <c r="A879" i="1"/>
  <c r="E878" i="1"/>
  <c r="D878" i="1"/>
  <c r="A878" i="1"/>
  <c r="E877" i="1"/>
  <c r="D877" i="1"/>
  <c r="A877" i="1"/>
  <c r="E876" i="1"/>
  <c r="D876" i="1"/>
  <c r="A876" i="1"/>
  <c r="E875" i="1"/>
  <c r="D875" i="1"/>
  <c r="A875" i="1"/>
  <c r="E874" i="1"/>
  <c r="D874" i="1"/>
  <c r="A874" i="1"/>
  <c r="E873" i="1"/>
  <c r="D873" i="1"/>
  <c r="A873" i="1"/>
  <c r="E872" i="1"/>
  <c r="D872" i="1"/>
  <c r="A872" i="1"/>
  <c r="E871" i="1"/>
  <c r="D871" i="1"/>
  <c r="A871" i="1"/>
  <c r="E870" i="1"/>
  <c r="D870" i="1"/>
  <c r="A870" i="1"/>
  <c r="E869" i="1"/>
  <c r="D869" i="1"/>
  <c r="A869" i="1"/>
  <c r="E868" i="1"/>
  <c r="D868" i="1"/>
  <c r="A868" i="1"/>
  <c r="E867" i="1"/>
  <c r="D867" i="1"/>
  <c r="A867" i="1"/>
  <c r="E866" i="1"/>
  <c r="D866" i="1"/>
  <c r="A866" i="1"/>
  <c r="E865" i="1"/>
  <c r="D865" i="1"/>
  <c r="A865" i="1"/>
  <c r="E864" i="1"/>
  <c r="D864" i="1"/>
  <c r="A864" i="1"/>
  <c r="E863" i="1"/>
  <c r="D863" i="1"/>
  <c r="A863" i="1"/>
  <c r="E862" i="1"/>
  <c r="D862" i="1"/>
  <c r="A862" i="1"/>
  <c r="E861" i="1"/>
  <c r="D861" i="1"/>
  <c r="A861" i="1"/>
  <c r="E860" i="1"/>
  <c r="D860" i="1"/>
  <c r="A860" i="1"/>
  <c r="E859" i="1"/>
  <c r="D859" i="1"/>
  <c r="A859" i="1"/>
  <c r="E858" i="1"/>
  <c r="D858" i="1"/>
  <c r="A858" i="1"/>
  <c r="E857" i="1"/>
  <c r="D857" i="1"/>
  <c r="A857" i="1"/>
  <c r="E856" i="1"/>
  <c r="D856" i="1"/>
  <c r="A856" i="1"/>
  <c r="E855" i="1"/>
  <c r="D855" i="1"/>
  <c r="A855" i="1"/>
  <c r="E854" i="1"/>
  <c r="D854" i="1"/>
  <c r="A854" i="1"/>
  <c r="E853" i="1"/>
  <c r="D853" i="1"/>
  <c r="A853" i="1"/>
  <c r="E852" i="1"/>
  <c r="D852" i="1"/>
  <c r="A852" i="1"/>
  <c r="E851" i="1"/>
  <c r="D851" i="1"/>
  <c r="A851" i="1"/>
  <c r="E850" i="1"/>
  <c r="D850" i="1"/>
  <c r="A850" i="1"/>
  <c r="E849" i="1"/>
  <c r="D849" i="1"/>
  <c r="A849" i="1"/>
  <c r="E848" i="1"/>
  <c r="D848" i="1"/>
  <c r="A848" i="1"/>
  <c r="E847" i="1"/>
  <c r="D847" i="1"/>
  <c r="A847" i="1"/>
  <c r="E846" i="1"/>
  <c r="D846" i="1"/>
  <c r="A846" i="1"/>
  <c r="E845" i="1"/>
  <c r="D845" i="1"/>
  <c r="A845" i="1"/>
  <c r="E844" i="1"/>
  <c r="D844" i="1"/>
  <c r="A844" i="1"/>
  <c r="E843" i="1"/>
  <c r="D843" i="1"/>
  <c r="A843" i="1"/>
  <c r="E842" i="1"/>
  <c r="D842" i="1"/>
  <c r="A842" i="1"/>
  <c r="E841" i="1"/>
  <c r="D841" i="1"/>
  <c r="A841" i="1"/>
  <c r="E840" i="1"/>
  <c r="D840" i="1"/>
  <c r="A840" i="1"/>
  <c r="E839" i="1"/>
  <c r="D839" i="1"/>
  <c r="A839" i="1"/>
  <c r="E838" i="1"/>
  <c r="D838" i="1"/>
  <c r="A838" i="1"/>
  <c r="E837" i="1"/>
  <c r="D837" i="1"/>
  <c r="A837" i="1"/>
  <c r="E836" i="1"/>
  <c r="D836" i="1"/>
  <c r="A836" i="1"/>
  <c r="E835" i="1"/>
  <c r="D835" i="1"/>
  <c r="A835" i="1"/>
  <c r="E834" i="1"/>
  <c r="D834" i="1"/>
  <c r="A834" i="1"/>
  <c r="E833" i="1"/>
  <c r="D833" i="1"/>
  <c r="A833" i="1"/>
  <c r="E832" i="1"/>
  <c r="D832" i="1"/>
  <c r="A832" i="1"/>
  <c r="E831" i="1"/>
  <c r="D831" i="1"/>
  <c r="A831" i="1"/>
  <c r="E830" i="1"/>
  <c r="D830" i="1"/>
  <c r="A830" i="1"/>
  <c r="E829" i="1"/>
  <c r="D829" i="1"/>
  <c r="A829" i="1"/>
  <c r="E828" i="1"/>
  <c r="D828" i="1"/>
  <c r="A828" i="1"/>
  <c r="E827" i="1"/>
  <c r="D827" i="1"/>
  <c r="A827" i="1"/>
  <c r="E826" i="1"/>
  <c r="D826" i="1"/>
  <c r="A826" i="1"/>
  <c r="E825" i="1"/>
  <c r="D825" i="1"/>
  <c r="A825" i="1"/>
  <c r="E824" i="1"/>
  <c r="D824" i="1"/>
  <c r="A824" i="1"/>
  <c r="E823" i="1"/>
  <c r="D823" i="1"/>
  <c r="A823" i="1"/>
  <c r="E822" i="1"/>
  <c r="D822" i="1"/>
  <c r="A822" i="1"/>
  <c r="E821" i="1"/>
  <c r="D821" i="1"/>
  <c r="A821" i="1"/>
  <c r="E820" i="1"/>
  <c r="D820" i="1"/>
  <c r="A820" i="1"/>
  <c r="E819" i="1"/>
  <c r="D819" i="1"/>
  <c r="A819" i="1"/>
  <c r="E818" i="1"/>
  <c r="D818" i="1"/>
  <c r="A818" i="1"/>
  <c r="E817" i="1"/>
  <c r="D817" i="1"/>
  <c r="A817" i="1"/>
  <c r="E816" i="1"/>
  <c r="D816" i="1"/>
  <c r="A816" i="1"/>
  <c r="E815" i="1"/>
  <c r="D815" i="1"/>
  <c r="A815" i="1"/>
  <c r="E814" i="1"/>
  <c r="D814" i="1"/>
  <c r="A814" i="1"/>
  <c r="E813" i="1"/>
  <c r="D813" i="1"/>
  <c r="A813" i="1"/>
  <c r="E812" i="1"/>
  <c r="D812" i="1"/>
  <c r="A812" i="1"/>
  <c r="E811" i="1"/>
  <c r="D811" i="1"/>
  <c r="A811" i="1"/>
  <c r="E810" i="1"/>
  <c r="D810" i="1"/>
  <c r="A810" i="1"/>
  <c r="E809" i="1"/>
  <c r="D809" i="1"/>
  <c r="A809" i="1"/>
  <c r="E808" i="1"/>
  <c r="D808" i="1"/>
  <c r="A808" i="1"/>
  <c r="E807" i="1"/>
  <c r="D807" i="1"/>
  <c r="A807" i="1"/>
  <c r="E806" i="1"/>
  <c r="D806" i="1"/>
  <c r="A806" i="1"/>
  <c r="E805" i="1"/>
  <c r="D805" i="1"/>
  <c r="A805" i="1"/>
  <c r="E804" i="1"/>
  <c r="D804" i="1"/>
  <c r="A804" i="1"/>
  <c r="E803" i="1"/>
  <c r="D803" i="1"/>
  <c r="A803" i="1"/>
  <c r="E802" i="1"/>
  <c r="D802" i="1"/>
  <c r="A802" i="1"/>
  <c r="E801" i="1"/>
  <c r="D801" i="1"/>
  <c r="A801" i="1"/>
  <c r="E800" i="1"/>
  <c r="D800" i="1"/>
  <c r="A800" i="1"/>
  <c r="E799" i="1"/>
  <c r="D799" i="1"/>
  <c r="A799" i="1"/>
  <c r="E798" i="1"/>
  <c r="D798" i="1"/>
  <c r="A798" i="1"/>
  <c r="E797" i="1"/>
  <c r="D797" i="1"/>
  <c r="A797" i="1"/>
  <c r="E796" i="1"/>
  <c r="D796" i="1"/>
  <c r="A796" i="1"/>
  <c r="E795" i="1"/>
  <c r="D795" i="1"/>
  <c r="A795" i="1"/>
  <c r="E794" i="1"/>
  <c r="D794" i="1"/>
  <c r="A794" i="1"/>
  <c r="E793" i="1"/>
  <c r="D793" i="1"/>
  <c r="A793" i="1"/>
  <c r="E792" i="1"/>
  <c r="D792" i="1"/>
  <c r="A792" i="1"/>
  <c r="E791" i="1"/>
  <c r="D791" i="1"/>
  <c r="A791" i="1"/>
  <c r="E790" i="1"/>
  <c r="D790" i="1"/>
  <c r="A790" i="1"/>
  <c r="E789" i="1"/>
  <c r="D789" i="1"/>
  <c r="A789" i="1"/>
  <c r="E788" i="1"/>
  <c r="D788" i="1"/>
  <c r="A788" i="1"/>
  <c r="E787" i="1"/>
  <c r="D787" i="1"/>
  <c r="A787" i="1"/>
  <c r="E786" i="1"/>
  <c r="D786" i="1"/>
  <c r="A786" i="1"/>
  <c r="E785" i="1"/>
  <c r="D785" i="1"/>
  <c r="A785" i="1"/>
  <c r="E784" i="1"/>
  <c r="D784" i="1"/>
  <c r="A784" i="1"/>
  <c r="E783" i="1"/>
  <c r="D783" i="1"/>
  <c r="A783" i="1"/>
  <c r="E782" i="1"/>
  <c r="D782" i="1"/>
  <c r="A782" i="1"/>
  <c r="E781" i="1"/>
  <c r="D781" i="1"/>
  <c r="A781" i="1"/>
  <c r="E780" i="1"/>
  <c r="D780" i="1"/>
  <c r="A780" i="1"/>
  <c r="E779" i="1"/>
  <c r="D779" i="1"/>
  <c r="A779" i="1"/>
  <c r="E778" i="1"/>
  <c r="D778" i="1"/>
  <c r="A778" i="1"/>
  <c r="E777" i="1"/>
  <c r="D777" i="1"/>
  <c r="A777" i="1"/>
  <c r="E776" i="1"/>
  <c r="D776" i="1"/>
  <c r="A776" i="1"/>
  <c r="E775" i="1"/>
  <c r="D775" i="1"/>
  <c r="A775" i="1"/>
  <c r="E774" i="1"/>
  <c r="D774" i="1"/>
  <c r="A774" i="1"/>
  <c r="E773" i="1"/>
  <c r="D773" i="1"/>
  <c r="A773" i="1"/>
  <c r="E772" i="1"/>
  <c r="D772" i="1"/>
  <c r="A772" i="1"/>
  <c r="E771" i="1"/>
  <c r="D771" i="1"/>
  <c r="A771" i="1"/>
  <c r="E770" i="1"/>
  <c r="D770" i="1"/>
  <c r="A770" i="1"/>
  <c r="E769" i="1"/>
  <c r="D769" i="1"/>
  <c r="A769" i="1"/>
  <c r="E768" i="1"/>
  <c r="D768" i="1"/>
  <c r="A768" i="1"/>
  <c r="E767" i="1"/>
  <c r="D767" i="1"/>
  <c r="A767" i="1"/>
  <c r="E766" i="1"/>
  <c r="D766" i="1"/>
  <c r="A766" i="1"/>
  <c r="E765" i="1"/>
  <c r="D765" i="1"/>
  <c r="A765" i="1"/>
  <c r="E764" i="1"/>
  <c r="D764" i="1"/>
  <c r="A764" i="1"/>
  <c r="E763" i="1"/>
  <c r="D763" i="1"/>
  <c r="A763" i="1"/>
  <c r="E762" i="1"/>
  <c r="D762" i="1"/>
  <c r="A762" i="1"/>
  <c r="E761" i="1"/>
  <c r="D761" i="1"/>
  <c r="A761" i="1"/>
  <c r="E760" i="1"/>
  <c r="D760" i="1"/>
  <c r="A760" i="1"/>
  <c r="E759" i="1"/>
  <c r="D759" i="1"/>
  <c r="A759" i="1"/>
  <c r="E758" i="1"/>
  <c r="D758" i="1"/>
  <c r="A758" i="1"/>
  <c r="E757" i="1"/>
  <c r="D757" i="1"/>
  <c r="A757" i="1"/>
  <c r="E756" i="1"/>
  <c r="D756" i="1"/>
  <c r="A756" i="1"/>
  <c r="E755" i="1"/>
  <c r="D755" i="1"/>
  <c r="A755" i="1"/>
  <c r="E754" i="1"/>
  <c r="D754" i="1"/>
  <c r="A754" i="1"/>
  <c r="E753" i="1"/>
  <c r="D753" i="1"/>
  <c r="A753" i="1"/>
  <c r="E752" i="1"/>
  <c r="D752" i="1"/>
  <c r="A752" i="1"/>
  <c r="E751" i="1"/>
  <c r="D751" i="1"/>
  <c r="A751" i="1"/>
  <c r="E750" i="1"/>
  <c r="D750" i="1"/>
  <c r="A750" i="1"/>
  <c r="E749" i="1"/>
  <c r="D749" i="1"/>
  <c r="A749" i="1"/>
  <c r="E748" i="1"/>
  <c r="D748" i="1"/>
  <c r="A748" i="1"/>
  <c r="E747" i="1"/>
  <c r="D747" i="1"/>
  <c r="A747" i="1"/>
  <c r="E746" i="1"/>
  <c r="D746" i="1"/>
  <c r="A746" i="1"/>
  <c r="E745" i="1"/>
  <c r="D745" i="1"/>
  <c r="A745" i="1"/>
  <c r="E744" i="1"/>
  <c r="D744" i="1"/>
  <c r="A744" i="1"/>
  <c r="E743" i="1"/>
  <c r="D743" i="1"/>
  <c r="A743" i="1"/>
  <c r="E742" i="1"/>
  <c r="D742" i="1"/>
  <c r="A742" i="1"/>
  <c r="E741" i="1"/>
  <c r="D741" i="1"/>
  <c r="A741" i="1"/>
  <c r="E740" i="1"/>
  <c r="D740" i="1"/>
  <c r="A740" i="1"/>
  <c r="E739" i="1"/>
  <c r="D739" i="1"/>
  <c r="A739" i="1"/>
  <c r="E738" i="1"/>
  <c r="D738" i="1"/>
  <c r="A738" i="1"/>
  <c r="E737" i="1"/>
  <c r="D737" i="1"/>
  <c r="A737" i="1"/>
  <c r="E736" i="1"/>
  <c r="D736" i="1"/>
  <c r="A736" i="1"/>
  <c r="E735" i="1"/>
  <c r="D735" i="1"/>
  <c r="A735" i="1"/>
  <c r="E734" i="1"/>
  <c r="D734" i="1"/>
  <c r="A734" i="1"/>
  <c r="E733" i="1"/>
  <c r="D733" i="1"/>
  <c r="A733" i="1"/>
  <c r="E732" i="1"/>
  <c r="D732" i="1"/>
  <c r="A732" i="1"/>
  <c r="E731" i="1"/>
  <c r="D731" i="1"/>
  <c r="A731" i="1"/>
  <c r="E730" i="1"/>
  <c r="D730" i="1"/>
  <c r="A730" i="1"/>
  <c r="E729" i="1"/>
  <c r="D729" i="1"/>
  <c r="A729" i="1"/>
  <c r="E728" i="1"/>
  <c r="D728" i="1"/>
  <c r="A728" i="1"/>
  <c r="E727" i="1"/>
  <c r="D727" i="1"/>
  <c r="A727" i="1"/>
  <c r="E726" i="1"/>
  <c r="D726" i="1"/>
  <c r="A726" i="1"/>
  <c r="E725" i="1"/>
  <c r="D725" i="1"/>
  <c r="A725" i="1"/>
  <c r="E724" i="1"/>
  <c r="D724" i="1"/>
  <c r="A724" i="1"/>
  <c r="E723" i="1"/>
  <c r="D723" i="1"/>
  <c r="A723" i="1"/>
  <c r="E722" i="1"/>
  <c r="D722" i="1"/>
  <c r="A722" i="1"/>
  <c r="E721" i="1"/>
  <c r="D721" i="1"/>
  <c r="A721" i="1"/>
  <c r="E720" i="1"/>
  <c r="D720" i="1"/>
  <c r="A720" i="1"/>
  <c r="E719" i="1"/>
  <c r="D719" i="1"/>
  <c r="A719" i="1"/>
  <c r="E718" i="1"/>
  <c r="D718" i="1"/>
  <c r="A718" i="1"/>
  <c r="E717" i="1"/>
  <c r="D717" i="1"/>
  <c r="A717" i="1"/>
  <c r="E716" i="1"/>
  <c r="D716" i="1"/>
  <c r="A716" i="1"/>
  <c r="E715" i="1"/>
  <c r="D715" i="1"/>
  <c r="A715" i="1"/>
  <c r="E714" i="1"/>
  <c r="D714" i="1"/>
  <c r="A714" i="1"/>
  <c r="E713" i="1"/>
  <c r="D713" i="1"/>
  <c r="A713" i="1"/>
  <c r="E712" i="1"/>
  <c r="D712" i="1"/>
  <c r="A712" i="1"/>
  <c r="E711" i="1"/>
  <c r="D711" i="1"/>
  <c r="A711" i="1"/>
  <c r="E710" i="1"/>
  <c r="D710" i="1"/>
  <c r="A710" i="1"/>
  <c r="E709" i="1"/>
  <c r="D709" i="1"/>
  <c r="A709" i="1"/>
  <c r="E708" i="1"/>
  <c r="D708" i="1"/>
  <c r="A708" i="1"/>
  <c r="E707" i="1"/>
  <c r="D707" i="1"/>
  <c r="A707" i="1"/>
  <c r="E706" i="1"/>
  <c r="D706" i="1"/>
  <c r="A706" i="1"/>
  <c r="E705" i="1"/>
  <c r="D705" i="1"/>
  <c r="A705" i="1"/>
  <c r="E704" i="1"/>
  <c r="D704" i="1"/>
  <c r="A704" i="1"/>
  <c r="E703" i="1"/>
  <c r="D703" i="1"/>
  <c r="A703" i="1"/>
  <c r="E702" i="1"/>
  <c r="D702" i="1"/>
  <c r="A702" i="1"/>
  <c r="E701" i="1"/>
  <c r="D701" i="1"/>
  <c r="A701" i="1"/>
  <c r="E700" i="1"/>
  <c r="D700" i="1"/>
  <c r="A700" i="1"/>
  <c r="E699" i="1"/>
  <c r="D699" i="1"/>
  <c r="A699" i="1"/>
  <c r="E698" i="1"/>
  <c r="D698" i="1"/>
  <c r="A698" i="1"/>
  <c r="E697" i="1"/>
  <c r="D697" i="1"/>
  <c r="A697" i="1"/>
  <c r="E696" i="1"/>
  <c r="D696" i="1"/>
  <c r="A696" i="1"/>
  <c r="E695" i="1"/>
  <c r="D695" i="1"/>
  <c r="A695" i="1"/>
  <c r="E694" i="1"/>
  <c r="D694" i="1"/>
  <c r="A694" i="1"/>
  <c r="E693" i="1"/>
  <c r="D693" i="1"/>
  <c r="A693" i="1"/>
  <c r="E692" i="1"/>
  <c r="D692" i="1"/>
  <c r="A692" i="1"/>
  <c r="E691" i="1"/>
  <c r="D691" i="1"/>
  <c r="A691" i="1"/>
  <c r="E690" i="1"/>
  <c r="D690" i="1"/>
  <c r="A690" i="1"/>
  <c r="E689" i="1"/>
  <c r="D689" i="1"/>
  <c r="A689" i="1"/>
  <c r="E688" i="1"/>
  <c r="D688" i="1"/>
  <c r="A688" i="1"/>
  <c r="E687" i="1"/>
  <c r="D687" i="1"/>
  <c r="A687" i="1"/>
  <c r="E686" i="1"/>
  <c r="D686" i="1"/>
  <c r="A686" i="1"/>
  <c r="E685" i="1"/>
  <c r="D685" i="1"/>
  <c r="A685" i="1"/>
  <c r="E684" i="1"/>
  <c r="D684" i="1"/>
  <c r="A684" i="1"/>
  <c r="E683" i="1"/>
  <c r="D683" i="1"/>
  <c r="A683" i="1"/>
  <c r="E682" i="1"/>
  <c r="D682" i="1"/>
  <c r="A682" i="1"/>
  <c r="E681" i="1"/>
  <c r="D681" i="1"/>
  <c r="A681" i="1"/>
  <c r="E680" i="1"/>
  <c r="D680" i="1"/>
  <c r="A680" i="1"/>
  <c r="E679" i="1"/>
  <c r="D679" i="1"/>
  <c r="A679" i="1"/>
  <c r="E678" i="1"/>
  <c r="D678" i="1"/>
  <c r="A678" i="1"/>
  <c r="E677" i="1"/>
  <c r="D677" i="1"/>
  <c r="A677" i="1"/>
  <c r="E676" i="1"/>
  <c r="D676" i="1"/>
  <c r="A676" i="1"/>
  <c r="E675" i="1"/>
  <c r="D675" i="1"/>
  <c r="A675" i="1"/>
  <c r="E674" i="1"/>
  <c r="D674" i="1"/>
  <c r="A674" i="1"/>
  <c r="E673" i="1"/>
  <c r="D673" i="1"/>
  <c r="A673" i="1"/>
  <c r="E672" i="1"/>
  <c r="D672" i="1"/>
  <c r="A672" i="1"/>
  <c r="E671" i="1"/>
  <c r="D671" i="1"/>
  <c r="A671" i="1"/>
  <c r="E670" i="1"/>
  <c r="D670" i="1"/>
  <c r="A670" i="1"/>
  <c r="E669" i="1"/>
  <c r="D669" i="1"/>
  <c r="A669" i="1"/>
  <c r="E668" i="1"/>
  <c r="D668" i="1"/>
  <c r="A668" i="1"/>
  <c r="E667" i="1"/>
  <c r="D667" i="1"/>
  <c r="A667" i="1"/>
  <c r="E666" i="1"/>
  <c r="D666" i="1"/>
  <c r="A666" i="1"/>
  <c r="E665" i="1"/>
  <c r="D665" i="1"/>
  <c r="A665" i="1"/>
  <c r="E664" i="1"/>
  <c r="D664" i="1"/>
  <c r="A664" i="1"/>
  <c r="E663" i="1"/>
  <c r="D663" i="1"/>
  <c r="A663" i="1"/>
  <c r="E662" i="1"/>
  <c r="D662" i="1"/>
  <c r="A662" i="1"/>
  <c r="E661" i="1"/>
  <c r="D661" i="1"/>
  <c r="A661" i="1"/>
  <c r="E660" i="1"/>
  <c r="D660" i="1"/>
  <c r="A660" i="1"/>
  <c r="E659" i="1"/>
  <c r="D659" i="1"/>
  <c r="A659" i="1"/>
  <c r="E658" i="1"/>
  <c r="D658" i="1"/>
  <c r="A658" i="1"/>
  <c r="E657" i="1"/>
  <c r="D657" i="1"/>
  <c r="A657" i="1"/>
  <c r="E656" i="1"/>
  <c r="D656" i="1"/>
  <c r="A656" i="1"/>
  <c r="E655" i="1"/>
  <c r="D655" i="1"/>
  <c r="A655" i="1"/>
  <c r="E654" i="1"/>
  <c r="D654" i="1"/>
  <c r="A654" i="1"/>
  <c r="E653" i="1"/>
  <c r="D653" i="1"/>
  <c r="A653" i="1"/>
  <c r="E652" i="1"/>
  <c r="D652" i="1"/>
  <c r="A652" i="1"/>
  <c r="E651" i="1"/>
  <c r="D651" i="1"/>
  <c r="A651" i="1"/>
  <c r="E650" i="1"/>
  <c r="D650" i="1"/>
  <c r="A650" i="1"/>
  <c r="E649" i="1"/>
  <c r="D649" i="1"/>
  <c r="A649" i="1"/>
  <c r="E648" i="1"/>
  <c r="D648" i="1"/>
  <c r="A648" i="1"/>
  <c r="E647" i="1"/>
  <c r="D647" i="1"/>
  <c r="A647" i="1"/>
  <c r="E646" i="1"/>
  <c r="D646" i="1"/>
  <c r="A646" i="1"/>
  <c r="E645" i="1"/>
  <c r="D645" i="1"/>
  <c r="A645" i="1"/>
  <c r="E644" i="1"/>
  <c r="D644" i="1"/>
  <c r="A644" i="1"/>
  <c r="E643" i="1"/>
  <c r="D643" i="1"/>
  <c r="A643" i="1"/>
  <c r="E642" i="1"/>
  <c r="D642" i="1"/>
  <c r="A642" i="1"/>
  <c r="E641" i="1"/>
  <c r="D641" i="1"/>
  <c r="A641" i="1"/>
  <c r="E640" i="1"/>
  <c r="D640" i="1"/>
  <c r="A640" i="1"/>
  <c r="E639" i="1"/>
  <c r="D639" i="1"/>
  <c r="A639" i="1"/>
  <c r="E638" i="1"/>
  <c r="D638" i="1"/>
  <c r="A638" i="1"/>
  <c r="E637" i="1"/>
  <c r="D637" i="1"/>
  <c r="A637" i="1"/>
  <c r="E636" i="1"/>
  <c r="D636" i="1"/>
  <c r="A636" i="1"/>
  <c r="E635" i="1"/>
  <c r="D635" i="1"/>
  <c r="A635" i="1"/>
  <c r="E634" i="1"/>
  <c r="D634" i="1"/>
  <c r="A634" i="1"/>
  <c r="E633" i="1"/>
  <c r="D633" i="1"/>
  <c r="A633" i="1"/>
  <c r="E632" i="1"/>
  <c r="D632" i="1"/>
  <c r="A632" i="1"/>
  <c r="E631" i="1"/>
  <c r="D631" i="1"/>
  <c r="A631" i="1"/>
  <c r="E630" i="1"/>
  <c r="D630" i="1"/>
  <c r="A630" i="1"/>
  <c r="E629" i="1"/>
  <c r="D629" i="1"/>
  <c r="A629" i="1"/>
  <c r="E628" i="1"/>
  <c r="D628" i="1"/>
  <c r="A628" i="1"/>
  <c r="E627" i="1"/>
  <c r="D627" i="1"/>
  <c r="A627" i="1"/>
  <c r="E626" i="1"/>
  <c r="D626" i="1"/>
  <c r="A626" i="1"/>
  <c r="E625" i="1"/>
  <c r="D625" i="1"/>
  <c r="A625" i="1"/>
  <c r="E624" i="1"/>
  <c r="D624" i="1"/>
  <c r="A624" i="1"/>
  <c r="E623" i="1"/>
  <c r="D623" i="1"/>
  <c r="A623" i="1"/>
  <c r="E622" i="1"/>
  <c r="D622" i="1"/>
  <c r="A622" i="1"/>
  <c r="E621" i="1"/>
  <c r="D621" i="1"/>
  <c r="A621" i="1"/>
  <c r="E620" i="1"/>
  <c r="D620" i="1"/>
  <c r="A620" i="1"/>
  <c r="E619" i="1"/>
  <c r="D619" i="1"/>
  <c r="A619" i="1"/>
  <c r="E618" i="1"/>
  <c r="D618" i="1"/>
  <c r="A618" i="1"/>
  <c r="E617" i="1"/>
  <c r="D617" i="1"/>
  <c r="A617" i="1"/>
  <c r="E616" i="1"/>
  <c r="D616" i="1"/>
  <c r="A616" i="1"/>
  <c r="E615" i="1"/>
  <c r="D615" i="1"/>
  <c r="A615" i="1"/>
  <c r="E614" i="1"/>
  <c r="D614" i="1"/>
  <c r="A614" i="1"/>
  <c r="E613" i="1"/>
  <c r="D613" i="1"/>
  <c r="A613" i="1"/>
  <c r="E612" i="1"/>
  <c r="D612" i="1"/>
  <c r="A612" i="1"/>
  <c r="E611" i="1"/>
  <c r="D611" i="1"/>
  <c r="A611" i="1"/>
  <c r="E610" i="1"/>
  <c r="D610" i="1"/>
  <c r="A610" i="1"/>
  <c r="E609" i="1"/>
  <c r="D609" i="1"/>
  <c r="A609" i="1"/>
  <c r="E608" i="1"/>
  <c r="D608" i="1"/>
  <c r="A608" i="1"/>
  <c r="E607" i="1"/>
  <c r="D607" i="1"/>
  <c r="A607" i="1"/>
  <c r="E606" i="1"/>
  <c r="D606" i="1"/>
  <c r="A606" i="1"/>
  <c r="E605" i="1"/>
  <c r="D605" i="1"/>
  <c r="A605" i="1"/>
  <c r="E604" i="1"/>
  <c r="D604" i="1"/>
  <c r="A604" i="1"/>
  <c r="E603" i="1"/>
  <c r="D603" i="1"/>
  <c r="A603" i="1"/>
  <c r="E602" i="1"/>
  <c r="D602" i="1"/>
  <c r="A602" i="1"/>
  <c r="E601" i="1"/>
  <c r="D601" i="1"/>
  <c r="A601" i="1"/>
  <c r="E600" i="1"/>
  <c r="D600" i="1"/>
  <c r="A600" i="1"/>
  <c r="E599" i="1"/>
  <c r="D599" i="1"/>
  <c r="A599" i="1"/>
  <c r="E598" i="1"/>
  <c r="D598" i="1"/>
  <c r="A598" i="1"/>
  <c r="E597" i="1"/>
  <c r="D597" i="1"/>
  <c r="A597" i="1"/>
  <c r="E596" i="1"/>
  <c r="D596" i="1"/>
  <c r="A596" i="1"/>
  <c r="E595" i="1"/>
  <c r="D595" i="1"/>
  <c r="A595" i="1"/>
  <c r="E594" i="1"/>
  <c r="D594" i="1"/>
  <c r="A594" i="1"/>
  <c r="E593" i="1"/>
  <c r="D593" i="1"/>
  <c r="A593" i="1"/>
  <c r="E592" i="1"/>
  <c r="D592" i="1"/>
  <c r="A592" i="1"/>
  <c r="E591" i="1"/>
  <c r="D591" i="1"/>
  <c r="A591" i="1"/>
  <c r="E590" i="1"/>
  <c r="D590" i="1"/>
  <c r="A590" i="1"/>
  <c r="E589" i="1"/>
  <c r="D589" i="1"/>
  <c r="A589" i="1"/>
  <c r="E588" i="1"/>
  <c r="D588" i="1"/>
  <c r="A588" i="1"/>
  <c r="E587" i="1"/>
  <c r="D587" i="1"/>
  <c r="A587" i="1"/>
  <c r="E586" i="1"/>
  <c r="D586" i="1"/>
  <c r="A586" i="1"/>
  <c r="E585" i="1"/>
  <c r="D585" i="1"/>
  <c r="A585" i="1"/>
  <c r="E584" i="1"/>
  <c r="D584" i="1"/>
  <c r="A584" i="1"/>
  <c r="E583" i="1"/>
  <c r="D583" i="1"/>
  <c r="A583" i="1"/>
  <c r="E582" i="1"/>
  <c r="D582" i="1"/>
  <c r="A582" i="1"/>
  <c r="E581" i="1"/>
  <c r="D581" i="1"/>
  <c r="A581" i="1"/>
  <c r="E580" i="1"/>
  <c r="D580" i="1"/>
  <c r="A580" i="1"/>
  <c r="E579" i="1"/>
  <c r="D579" i="1"/>
  <c r="A579" i="1"/>
  <c r="E578" i="1"/>
  <c r="D578" i="1"/>
  <c r="A578" i="1"/>
  <c r="E577" i="1"/>
  <c r="D577" i="1"/>
  <c r="A577" i="1"/>
  <c r="E576" i="1"/>
  <c r="D576" i="1"/>
  <c r="A576" i="1"/>
  <c r="E575" i="1"/>
  <c r="D575" i="1"/>
  <c r="A575" i="1"/>
  <c r="E574" i="1"/>
  <c r="D574" i="1"/>
  <c r="A574" i="1"/>
  <c r="E573" i="1"/>
  <c r="D573" i="1"/>
  <c r="A573" i="1"/>
  <c r="E572" i="1"/>
  <c r="D572" i="1"/>
  <c r="A572" i="1"/>
  <c r="E571" i="1"/>
  <c r="D571" i="1"/>
  <c r="A571" i="1"/>
  <c r="D570" i="1"/>
  <c r="A570" i="1"/>
  <c r="D569" i="1"/>
  <c r="A569" i="1"/>
  <c r="D568" i="1"/>
  <c r="A568" i="1"/>
  <c r="D567" i="1"/>
  <c r="A567" i="1"/>
  <c r="D566" i="1"/>
  <c r="A566" i="1"/>
  <c r="D565" i="1"/>
  <c r="A565" i="1"/>
  <c r="D564" i="1"/>
  <c r="A564" i="1"/>
  <c r="D563" i="1"/>
  <c r="A563" i="1"/>
  <c r="D562" i="1"/>
  <c r="A562" i="1"/>
  <c r="D561" i="1"/>
  <c r="A561" i="1"/>
  <c r="D560" i="1"/>
  <c r="A560" i="1"/>
  <c r="D559" i="1"/>
  <c r="A559" i="1"/>
  <c r="D558" i="1"/>
  <c r="A558" i="1"/>
  <c r="D557" i="1"/>
  <c r="A557" i="1"/>
  <c r="D556" i="1"/>
  <c r="A556" i="1"/>
  <c r="D555" i="1"/>
  <c r="A555" i="1"/>
  <c r="D554" i="1"/>
  <c r="A554" i="1"/>
  <c r="D553" i="1"/>
  <c r="A553" i="1"/>
  <c r="D552" i="1"/>
  <c r="A552" i="1"/>
  <c r="D551" i="1"/>
  <c r="A551" i="1"/>
  <c r="D550" i="1"/>
  <c r="A550" i="1"/>
  <c r="D549" i="1"/>
  <c r="A549" i="1"/>
  <c r="D548" i="1"/>
  <c r="A548" i="1"/>
  <c r="D547" i="1"/>
  <c r="A547" i="1"/>
  <c r="D546" i="1"/>
  <c r="A546" i="1"/>
  <c r="D545" i="1"/>
  <c r="A545" i="1"/>
  <c r="D544" i="1"/>
  <c r="A544" i="1"/>
  <c r="D543" i="1"/>
  <c r="A543" i="1"/>
  <c r="D542" i="1"/>
  <c r="A542" i="1"/>
  <c r="D541" i="1"/>
  <c r="A541" i="1"/>
  <c r="D540" i="1"/>
  <c r="A540" i="1"/>
  <c r="D539" i="1"/>
  <c r="A539" i="1"/>
  <c r="D538" i="1"/>
  <c r="A538" i="1"/>
  <c r="D537" i="1"/>
  <c r="A537" i="1"/>
  <c r="D536" i="1"/>
  <c r="A536" i="1"/>
  <c r="D535" i="1"/>
  <c r="A535" i="1"/>
  <c r="D534" i="1"/>
  <c r="A534" i="1"/>
  <c r="D533" i="1"/>
  <c r="A533" i="1"/>
  <c r="D532" i="1"/>
  <c r="A532" i="1"/>
  <c r="D531" i="1"/>
  <c r="A531" i="1"/>
  <c r="D530" i="1"/>
  <c r="A530" i="1"/>
  <c r="D529" i="1"/>
  <c r="A529" i="1"/>
  <c r="D528" i="1"/>
  <c r="A528" i="1"/>
  <c r="D527" i="1"/>
  <c r="A527" i="1"/>
  <c r="D526" i="1"/>
  <c r="A526" i="1"/>
  <c r="D525" i="1"/>
  <c r="A525" i="1"/>
  <c r="D524" i="1"/>
  <c r="A524" i="1"/>
  <c r="D523" i="1"/>
  <c r="A523" i="1"/>
  <c r="D522" i="1"/>
  <c r="A522" i="1"/>
  <c r="D521" i="1"/>
  <c r="A521" i="1"/>
  <c r="E520" i="1"/>
  <c r="D520" i="1"/>
  <c r="A520" i="1"/>
  <c r="E519" i="1"/>
  <c r="D519" i="1"/>
  <c r="A519" i="1"/>
  <c r="E518" i="1"/>
  <c r="D518" i="1"/>
  <c r="A518" i="1"/>
  <c r="D517" i="1"/>
  <c r="A517" i="1"/>
  <c r="D516" i="1"/>
  <c r="A516" i="1"/>
  <c r="D515" i="1"/>
  <c r="A515" i="1"/>
  <c r="D514" i="1"/>
  <c r="A514" i="1"/>
  <c r="D513" i="1"/>
  <c r="A513" i="1"/>
  <c r="D512" i="1"/>
  <c r="A512" i="1"/>
  <c r="D511" i="1"/>
  <c r="A511" i="1"/>
  <c r="D510" i="1"/>
  <c r="A510" i="1"/>
  <c r="D509" i="1"/>
  <c r="A509" i="1"/>
  <c r="D508" i="1"/>
  <c r="A508" i="1"/>
  <c r="D507" i="1"/>
  <c r="A507" i="1"/>
  <c r="D506" i="1"/>
  <c r="A506" i="1"/>
  <c r="D505" i="1"/>
  <c r="A505" i="1"/>
  <c r="D504" i="1"/>
  <c r="A504" i="1"/>
  <c r="D503" i="1"/>
  <c r="A503" i="1"/>
  <c r="D502" i="1"/>
  <c r="A502" i="1"/>
  <c r="D501" i="1"/>
  <c r="A501" i="1"/>
  <c r="D500" i="1"/>
  <c r="A500" i="1"/>
  <c r="D499" i="1"/>
  <c r="A499" i="1"/>
  <c r="D498" i="1"/>
  <c r="A498" i="1"/>
  <c r="D497" i="1"/>
  <c r="A497" i="1"/>
  <c r="D496" i="1"/>
  <c r="A496" i="1"/>
  <c r="D495" i="1"/>
  <c r="A495" i="1"/>
  <c r="D494" i="1"/>
  <c r="A494" i="1"/>
  <c r="D493" i="1"/>
  <c r="A493" i="1"/>
  <c r="D492" i="1"/>
  <c r="A492" i="1"/>
  <c r="D491" i="1"/>
  <c r="A491" i="1"/>
  <c r="D490" i="1"/>
  <c r="A490" i="1"/>
  <c r="D489" i="1"/>
  <c r="A489" i="1"/>
  <c r="D488" i="1"/>
  <c r="A488" i="1"/>
  <c r="D487" i="1"/>
  <c r="A487" i="1"/>
  <c r="D486" i="1"/>
  <c r="A486" i="1"/>
  <c r="D485" i="1"/>
  <c r="A485" i="1"/>
  <c r="D484" i="1"/>
  <c r="A484" i="1"/>
  <c r="D483" i="1"/>
  <c r="A483" i="1"/>
  <c r="D482" i="1"/>
  <c r="A482" i="1"/>
  <c r="D481" i="1"/>
  <c r="A481" i="1"/>
  <c r="D480" i="1"/>
  <c r="A480" i="1"/>
  <c r="D479" i="1"/>
  <c r="A479" i="1"/>
  <c r="D478" i="1"/>
  <c r="A478" i="1"/>
  <c r="D477" i="1"/>
  <c r="A477" i="1"/>
  <c r="D476" i="1"/>
  <c r="A476" i="1"/>
  <c r="D475" i="1"/>
  <c r="A475" i="1"/>
  <c r="D474" i="1"/>
  <c r="A474" i="1"/>
  <c r="D473" i="1"/>
  <c r="A473" i="1"/>
  <c r="D472" i="1"/>
  <c r="A472" i="1"/>
  <c r="D471" i="1"/>
  <c r="A471" i="1"/>
  <c r="D470" i="1"/>
  <c r="A470" i="1"/>
  <c r="D469" i="1"/>
  <c r="A469" i="1"/>
  <c r="D468" i="1"/>
  <c r="A468" i="1"/>
  <c r="D467" i="1"/>
  <c r="A467" i="1"/>
  <c r="D466" i="1"/>
  <c r="A466" i="1"/>
  <c r="D465" i="1"/>
  <c r="A465" i="1"/>
  <c r="D464" i="1"/>
  <c r="A464" i="1"/>
  <c r="D463" i="1"/>
  <c r="A463" i="1"/>
  <c r="D462" i="1"/>
  <c r="A462" i="1"/>
  <c r="D461" i="1"/>
  <c r="A461" i="1"/>
  <c r="D460" i="1"/>
  <c r="A460" i="1"/>
  <c r="D459" i="1"/>
  <c r="A459" i="1"/>
  <c r="D458" i="1"/>
  <c r="A458" i="1"/>
  <c r="D457" i="1"/>
  <c r="A457" i="1"/>
  <c r="D456" i="1"/>
  <c r="A456" i="1"/>
  <c r="D455" i="1"/>
  <c r="A455" i="1"/>
  <c r="D454" i="1"/>
  <c r="A454" i="1"/>
  <c r="D453" i="1"/>
  <c r="A453" i="1"/>
  <c r="D452" i="1"/>
  <c r="A452" i="1"/>
  <c r="D451" i="1"/>
  <c r="A451" i="1"/>
  <c r="D450" i="1"/>
  <c r="A450" i="1"/>
  <c r="D449" i="1"/>
  <c r="A449" i="1"/>
  <c r="D448" i="1"/>
  <c r="A448" i="1"/>
  <c r="D447" i="1"/>
  <c r="A447" i="1"/>
  <c r="D446" i="1"/>
  <c r="A446" i="1"/>
  <c r="D445" i="1"/>
  <c r="A445" i="1"/>
  <c r="D444" i="1"/>
  <c r="A444" i="1"/>
  <c r="D443" i="1"/>
  <c r="A443" i="1"/>
  <c r="D442" i="1"/>
  <c r="A442" i="1"/>
  <c r="D441" i="1"/>
  <c r="A441" i="1"/>
  <c r="D440" i="1"/>
  <c r="A440" i="1"/>
  <c r="D439" i="1"/>
  <c r="A439" i="1"/>
  <c r="D438" i="1"/>
  <c r="A438" i="1"/>
  <c r="D437" i="1"/>
  <c r="A437" i="1"/>
  <c r="D436" i="1"/>
  <c r="A436" i="1"/>
  <c r="D435" i="1"/>
  <c r="A435" i="1"/>
  <c r="D434" i="1"/>
  <c r="A434" i="1"/>
  <c r="D433" i="1"/>
  <c r="A433" i="1"/>
  <c r="D432" i="1"/>
  <c r="A432" i="1"/>
  <c r="D431" i="1"/>
  <c r="A431" i="1"/>
  <c r="D430" i="1"/>
  <c r="A430" i="1"/>
  <c r="D429" i="1"/>
  <c r="A429" i="1"/>
  <c r="D428" i="1"/>
  <c r="A428" i="1"/>
  <c r="D427" i="1"/>
  <c r="A427" i="1"/>
  <c r="D426" i="1"/>
  <c r="A426" i="1"/>
  <c r="D425" i="1"/>
  <c r="A425" i="1"/>
  <c r="D424" i="1"/>
  <c r="A424" i="1"/>
  <c r="D423" i="1"/>
  <c r="A423" i="1"/>
  <c r="D422" i="1"/>
  <c r="A422" i="1"/>
  <c r="D421" i="1"/>
  <c r="A421" i="1"/>
  <c r="D420" i="1"/>
  <c r="A420" i="1"/>
  <c r="D419" i="1"/>
  <c r="A419" i="1"/>
  <c r="D418" i="1"/>
  <c r="A418" i="1"/>
  <c r="D417" i="1"/>
  <c r="A417" i="1"/>
  <c r="D416" i="1"/>
  <c r="A416" i="1"/>
  <c r="D415" i="1"/>
  <c r="A415" i="1"/>
  <c r="D414" i="1"/>
  <c r="A414" i="1"/>
  <c r="D413" i="1"/>
  <c r="A413" i="1"/>
  <c r="D412" i="1"/>
  <c r="A412" i="1"/>
  <c r="D411" i="1"/>
  <c r="A411" i="1"/>
  <c r="D410" i="1"/>
  <c r="A410" i="1"/>
  <c r="D409" i="1"/>
  <c r="A409" i="1"/>
  <c r="D408" i="1"/>
  <c r="A408" i="1"/>
  <c r="D407" i="1"/>
  <c r="A407" i="1"/>
  <c r="D406" i="1"/>
  <c r="A406" i="1"/>
  <c r="D405" i="1"/>
  <c r="A405" i="1"/>
  <c r="D404" i="1"/>
  <c r="A404" i="1"/>
  <c r="D403" i="1"/>
  <c r="A403" i="1"/>
  <c r="D402" i="1"/>
  <c r="A402" i="1"/>
  <c r="D401" i="1"/>
  <c r="A401" i="1"/>
  <c r="D400" i="1"/>
  <c r="A400" i="1"/>
  <c r="D399" i="1"/>
  <c r="A399" i="1"/>
  <c r="D398" i="1"/>
  <c r="A398" i="1"/>
  <c r="D397" i="1"/>
  <c r="A397" i="1"/>
  <c r="D396" i="1"/>
  <c r="A396" i="1"/>
  <c r="D395" i="1"/>
  <c r="A395" i="1"/>
  <c r="D394" i="1"/>
  <c r="A394" i="1"/>
  <c r="D393" i="1"/>
  <c r="A393" i="1"/>
  <c r="D392" i="1"/>
  <c r="A392" i="1"/>
  <c r="D391" i="1"/>
  <c r="A391" i="1"/>
  <c r="D390" i="1"/>
  <c r="A390" i="1"/>
  <c r="D389" i="1"/>
  <c r="A389" i="1"/>
  <c r="D388" i="1"/>
  <c r="A388" i="1"/>
  <c r="D387" i="1"/>
  <c r="A387" i="1"/>
  <c r="D386" i="1"/>
  <c r="A386" i="1"/>
  <c r="D385" i="1"/>
  <c r="A385" i="1"/>
  <c r="D384" i="1"/>
  <c r="A384" i="1"/>
  <c r="D383" i="1"/>
  <c r="A383" i="1"/>
  <c r="D382" i="1"/>
  <c r="A382" i="1"/>
  <c r="D381" i="1"/>
  <c r="A381" i="1"/>
  <c r="D380" i="1"/>
  <c r="A380" i="1"/>
  <c r="D379" i="1"/>
  <c r="A379" i="1"/>
  <c r="D378" i="1"/>
  <c r="A378" i="1"/>
  <c r="D377" i="1"/>
  <c r="A377" i="1"/>
  <c r="D376" i="1"/>
  <c r="A376" i="1"/>
  <c r="D375" i="1"/>
  <c r="A375" i="1"/>
  <c r="D374" i="1"/>
  <c r="A374" i="1"/>
  <c r="D373" i="1"/>
  <c r="A373" i="1"/>
  <c r="D372" i="1"/>
  <c r="A372" i="1"/>
  <c r="D371" i="1"/>
  <c r="A371" i="1"/>
  <c r="D370" i="1"/>
  <c r="A370" i="1"/>
  <c r="D369" i="1"/>
  <c r="A369" i="1"/>
  <c r="D368" i="1"/>
  <c r="A368" i="1"/>
  <c r="D367" i="1"/>
  <c r="A367" i="1"/>
  <c r="D366" i="1"/>
  <c r="A366" i="1"/>
  <c r="D365" i="1"/>
  <c r="A365" i="1"/>
  <c r="D364" i="1"/>
  <c r="A364" i="1"/>
  <c r="D363" i="1"/>
  <c r="A363" i="1"/>
  <c r="D362" i="1"/>
  <c r="A362" i="1"/>
  <c r="D361" i="1"/>
  <c r="A361" i="1"/>
  <c r="D360" i="1"/>
  <c r="A360" i="1"/>
  <c r="D359" i="1"/>
  <c r="A359" i="1"/>
  <c r="D358" i="1"/>
  <c r="A358" i="1"/>
  <c r="D357" i="1"/>
  <c r="A357" i="1"/>
  <c r="D356" i="1"/>
  <c r="A356" i="1"/>
  <c r="D355" i="1"/>
  <c r="A355" i="1"/>
  <c r="D354" i="1"/>
  <c r="A354" i="1"/>
  <c r="D353" i="1"/>
  <c r="A353" i="1"/>
  <c r="D352" i="1"/>
  <c r="A352" i="1"/>
  <c r="D351" i="1"/>
  <c r="A351" i="1"/>
  <c r="D350" i="1"/>
  <c r="A350" i="1"/>
  <c r="D349" i="1"/>
  <c r="A349" i="1"/>
  <c r="D348" i="1"/>
  <c r="A348" i="1"/>
  <c r="D347" i="1"/>
  <c r="A347" i="1"/>
  <c r="D346" i="1"/>
  <c r="A346" i="1"/>
  <c r="D345" i="1"/>
  <c r="A345" i="1"/>
  <c r="D344" i="1"/>
  <c r="A344" i="1"/>
  <c r="D343" i="1"/>
  <c r="A343" i="1"/>
  <c r="D342" i="1"/>
  <c r="A342" i="1"/>
  <c r="D341" i="1"/>
  <c r="A341" i="1"/>
  <c r="D340" i="1"/>
  <c r="A340" i="1"/>
  <c r="D339" i="1"/>
  <c r="A339" i="1"/>
  <c r="D338" i="1"/>
  <c r="A338" i="1"/>
  <c r="D337" i="1"/>
  <c r="A337" i="1"/>
  <c r="D336" i="1"/>
  <c r="A336" i="1"/>
  <c r="D335" i="1"/>
  <c r="A335" i="1"/>
  <c r="D334" i="1"/>
  <c r="A334" i="1"/>
  <c r="D333" i="1"/>
  <c r="A333" i="1"/>
  <c r="D332" i="1"/>
  <c r="A332" i="1"/>
  <c r="D331" i="1"/>
  <c r="A331" i="1"/>
  <c r="D330" i="1"/>
  <c r="A330" i="1"/>
  <c r="D329" i="1"/>
  <c r="A329" i="1"/>
  <c r="D328" i="1"/>
  <c r="A328" i="1"/>
  <c r="D327" i="1"/>
  <c r="A327" i="1"/>
  <c r="D326" i="1"/>
  <c r="A326" i="1"/>
  <c r="D325" i="1"/>
  <c r="A325" i="1"/>
  <c r="D324" i="1"/>
  <c r="A324" i="1"/>
  <c r="D323" i="1"/>
  <c r="A323" i="1"/>
  <c r="D322" i="1"/>
  <c r="A322" i="1"/>
  <c r="D321" i="1"/>
  <c r="A321" i="1"/>
  <c r="D320" i="1"/>
  <c r="A320" i="1"/>
  <c r="D319" i="1"/>
  <c r="A319" i="1"/>
  <c r="D318" i="1"/>
  <c r="A318" i="1"/>
  <c r="D317" i="1"/>
  <c r="A317" i="1"/>
  <c r="D316" i="1"/>
  <c r="A316" i="1"/>
  <c r="D315" i="1"/>
  <c r="A315" i="1"/>
  <c r="D314" i="1"/>
  <c r="A314" i="1"/>
  <c r="D313" i="1"/>
  <c r="A313" i="1"/>
  <c r="D312" i="1"/>
  <c r="A312" i="1"/>
  <c r="D311" i="1"/>
  <c r="A311" i="1"/>
  <c r="D310" i="1"/>
  <c r="A310" i="1"/>
  <c r="D309" i="1"/>
  <c r="A309" i="1"/>
  <c r="D308" i="1"/>
  <c r="A308" i="1"/>
  <c r="D307" i="1"/>
  <c r="A307" i="1"/>
  <c r="D306" i="1"/>
  <c r="A306" i="1"/>
  <c r="D305" i="1"/>
  <c r="A305" i="1"/>
  <c r="D304" i="1"/>
  <c r="A304" i="1"/>
  <c r="D303" i="1"/>
  <c r="A303" i="1"/>
  <c r="D302" i="1"/>
  <c r="A302" i="1"/>
  <c r="D301" i="1"/>
  <c r="A301" i="1"/>
  <c r="D300" i="1"/>
  <c r="A300" i="1"/>
  <c r="D299" i="1"/>
  <c r="A299" i="1"/>
  <c r="D298" i="1"/>
  <c r="A298" i="1"/>
  <c r="D297" i="1"/>
  <c r="A297" i="1"/>
  <c r="D296" i="1"/>
  <c r="A296" i="1"/>
  <c r="D295" i="1"/>
  <c r="A295" i="1"/>
  <c r="D294" i="1"/>
  <c r="A294" i="1"/>
  <c r="D293" i="1"/>
  <c r="A293" i="1"/>
  <c r="D292" i="1"/>
  <c r="A292" i="1"/>
  <c r="D291" i="1"/>
  <c r="A291" i="1"/>
  <c r="D290" i="1"/>
  <c r="A290" i="1"/>
  <c r="D289" i="1"/>
  <c r="A289" i="1"/>
  <c r="D288" i="1"/>
  <c r="A288" i="1"/>
  <c r="D287" i="1"/>
  <c r="A287" i="1"/>
  <c r="D286" i="1"/>
  <c r="A286" i="1"/>
  <c r="D285" i="1"/>
  <c r="A285" i="1"/>
  <c r="D284" i="1"/>
  <c r="A284" i="1"/>
  <c r="D283" i="1"/>
  <c r="A283" i="1"/>
  <c r="D282" i="1"/>
  <c r="A282" i="1"/>
  <c r="D281" i="1"/>
  <c r="A281" i="1"/>
  <c r="D280" i="1"/>
  <c r="A280" i="1"/>
  <c r="D279" i="1"/>
  <c r="A279" i="1"/>
  <c r="D278" i="1"/>
  <c r="A278" i="1"/>
  <c r="D277" i="1"/>
  <c r="A277" i="1"/>
  <c r="D276" i="1"/>
  <c r="A276" i="1"/>
  <c r="D275" i="1"/>
  <c r="A275" i="1"/>
  <c r="D274" i="1"/>
  <c r="A274" i="1"/>
  <c r="D273" i="1"/>
  <c r="A273" i="1"/>
  <c r="D272" i="1"/>
  <c r="A272" i="1"/>
  <c r="D271" i="1"/>
  <c r="A271" i="1"/>
  <c r="D270" i="1"/>
  <c r="A270" i="1"/>
  <c r="D269" i="1"/>
  <c r="A269" i="1"/>
  <c r="D268" i="1"/>
  <c r="A268" i="1"/>
  <c r="D267" i="1"/>
  <c r="A267" i="1"/>
  <c r="D266" i="1"/>
  <c r="A266" i="1"/>
  <c r="D265" i="1"/>
  <c r="A265" i="1"/>
  <c r="D264" i="1"/>
  <c r="A264" i="1"/>
  <c r="D263" i="1"/>
  <c r="A263" i="1"/>
  <c r="D262" i="1"/>
  <c r="A262" i="1"/>
  <c r="D261" i="1"/>
  <c r="A261" i="1"/>
  <c r="D260" i="1"/>
  <c r="A260" i="1"/>
  <c r="D259" i="1"/>
  <c r="A259" i="1"/>
  <c r="D258" i="1"/>
  <c r="A258" i="1"/>
  <c r="D257" i="1"/>
  <c r="A257" i="1"/>
  <c r="D256" i="1"/>
  <c r="A256" i="1"/>
  <c r="D255" i="1"/>
  <c r="A255" i="1"/>
  <c r="D254" i="1"/>
  <c r="A254" i="1"/>
  <c r="D253" i="1"/>
  <c r="A253" i="1"/>
  <c r="D252" i="1"/>
  <c r="A252" i="1"/>
  <c r="D251" i="1"/>
  <c r="A251" i="1"/>
  <c r="D250" i="1"/>
  <c r="A250" i="1"/>
  <c r="D249" i="1"/>
  <c r="A249" i="1"/>
  <c r="D248" i="1"/>
  <c r="A248" i="1"/>
  <c r="D247" i="1"/>
  <c r="A247" i="1"/>
  <c r="D246" i="1"/>
  <c r="A246" i="1"/>
  <c r="D245" i="1"/>
  <c r="A245" i="1"/>
  <c r="D244" i="1"/>
  <c r="A244" i="1"/>
  <c r="D243" i="1"/>
  <c r="A243" i="1"/>
  <c r="D242" i="1"/>
  <c r="A242" i="1"/>
  <c r="D241" i="1"/>
  <c r="A241" i="1"/>
  <c r="D240" i="1"/>
  <c r="A240" i="1"/>
  <c r="D239" i="1"/>
  <c r="A239" i="1"/>
  <c r="D238" i="1"/>
  <c r="A238" i="1"/>
  <c r="D237" i="1"/>
  <c r="A237" i="1"/>
  <c r="D236" i="1"/>
  <c r="A236" i="1"/>
  <c r="D235" i="1"/>
  <c r="A235" i="1"/>
  <c r="D234" i="1"/>
  <c r="A234" i="1"/>
  <c r="D233" i="1"/>
  <c r="A233" i="1"/>
  <c r="D232" i="1"/>
  <c r="A232" i="1"/>
  <c r="D231" i="1"/>
  <c r="A231" i="1"/>
  <c r="D230" i="1"/>
  <c r="A230" i="1"/>
  <c r="D229" i="1"/>
  <c r="A229" i="1"/>
  <c r="D228" i="1"/>
  <c r="A228" i="1"/>
  <c r="D227" i="1"/>
  <c r="A227" i="1"/>
  <c r="D226" i="1"/>
  <c r="A226" i="1"/>
  <c r="D225" i="1"/>
  <c r="A225" i="1"/>
  <c r="D224" i="1"/>
  <c r="A224" i="1"/>
  <c r="D223" i="1"/>
  <c r="A223" i="1"/>
  <c r="D222" i="1"/>
  <c r="A222" i="1"/>
  <c r="D221" i="1"/>
  <c r="A221" i="1"/>
  <c r="D220" i="1"/>
  <c r="A220" i="1"/>
  <c r="D219" i="1"/>
  <c r="A219" i="1"/>
  <c r="D218" i="1"/>
  <c r="A218" i="1"/>
  <c r="D217" i="1"/>
  <c r="A217" i="1"/>
  <c r="D216" i="1"/>
  <c r="A216" i="1"/>
  <c r="D215" i="1"/>
  <c r="A215" i="1"/>
  <c r="D214" i="1"/>
  <c r="A214" i="1"/>
  <c r="D213" i="1"/>
  <c r="A213" i="1"/>
  <c r="D212" i="1"/>
  <c r="A212" i="1"/>
  <c r="D211" i="1"/>
  <c r="A211" i="1"/>
  <c r="D210" i="1"/>
  <c r="A210" i="1"/>
  <c r="D209" i="1"/>
  <c r="A209" i="1"/>
  <c r="D208" i="1"/>
  <c r="A208" i="1"/>
  <c r="D207" i="1"/>
  <c r="A207" i="1"/>
  <c r="D206" i="1"/>
  <c r="A206" i="1"/>
  <c r="D205" i="1"/>
  <c r="A205" i="1"/>
  <c r="D204" i="1"/>
  <c r="A204" i="1"/>
  <c r="D203" i="1"/>
  <c r="A203" i="1"/>
  <c r="D202" i="1"/>
  <c r="A202" i="1"/>
  <c r="D201" i="1"/>
  <c r="A201" i="1"/>
  <c r="D200" i="1"/>
  <c r="A200" i="1"/>
  <c r="D199" i="1"/>
  <c r="A199" i="1"/>
  <c r="D198" i="1"/>
  <c r="A198" i="1"/>
  <c r="D197" i="1"/>
  <c r="A197" i="1"/>
  <c r="D196" i="1"/>
  <c r="A196" i="1"/>
  <c r="D195" i="1"/>
  <c r="A195" i="1"/>
  <c r="D194" i="1"/>
  <c r="A194" i="1"/>
  <c r="D193" i="1"/>
  <c r="A193" i="1"/>
  <c r="D192" i="1"/>
  <c r="A192" i="1"/>
  <c r="D191" i="1"/>
  <c r="A191" i="1"/>
  <c r="D190" i="1"/>
  <c r="A190" i="1"/>
  <c r="D189" i="1"/>
  <c r="A189" i="1"/>
  <c r="D188" i="1"/>
  <c r="A188" i="1"/>
  <c r="D187" i="1"/>
  <c r="A187" i="1"/>
  <c r="D186" i="1"/>
  <c r="A186" i="1"/>
  <c r="D185" i="1"/>
  <c r="A185" i="1"/>
  <c r="D184" i="1"/>
  <c r="A184" i="1"/>
  <c r="D183" i="1"/>
  <c r="A183" i="1"/>
  <c r="D182" i="1"/>
  <c r="A182" i="1"/>
  <c r="D181" i="1"/>
  <c r="A181" i="1"/>
  <c r="D180" i="1"/>
  <c r="A180" i="1"/>
  <c r="D179" i="1"/>
  <c r="A179" i="1"/>
  <c r="D178" i="1"/>
  <c r="A178" i="1"/>
  <c r="D177" i="1"/>
  <c r="A177" i="1"/>
  <c r="D176" i="1"/>
  <c r="A176" i="1"/>
  <c r="D175" i="1"/>
  <c r="A175" i="1"/>
  <c r="D174" i="1"/>
  <c r="A174" i="1"/>
  <c r="D173" i="1"/>
  <c r="A173" i="1"/>
  <c r="D172" i="1"/>
  <c r="A172" i="1"/>
  <c r="D171" i="1"/>
  <c r="A171" i="1"/>
  <c r="D170" i="1"/>
  <c r="A170" i="1"/>
  <c r="D169" i="1"/>
  <c r="A169" i="1"/>
  <c r="D168" i="1"/>
  <c r="A168" i="1"/>
  <c r="D167" i="1"/>
  <c r="A167" i="1"/>
  <c r="D166" i="1"/>
  <c r="A166" i="1"/>
  <c r="D165" i="1"/>
  <c r="A165" i="1"/>
  <c r="D164" i="1"/>
  <c r="A164" i="1"/>
  <c r="D163" i="1"/>
  <c r="A163" i="1"/>
  <c r="D162" i="1"/>
  <c r="A162" i="1"/>
  <c r="D161" i="1"/>
  <c r="A161" i="1"/>
  <c r="D160" i="1"/>
  <c r="A160" i="1"/>
  <c r="D159" i="1"/>
  <c r="A159" i="1"/>
  <c r="D158" i="1"/>
  <c r="A158" i="1"/>
  <c r="D157" i="1"/>
  <c r="A157" i="1"/>
  <c r="D156" i="1"/>
  <c r="A156" i="1"/>
  <c r="D155" i="1"/>
  <c r="A155" i="1"/>
  <c r="D154" i="1"/>
  <c r="A154" i="1"/>
  <c r="D153" i="1"/>
  <c r="A153" i="1"/>
  <c r="D152" i="1"/>
  <c r="A152" i="1"/>
  <c r="D151" i="1"/>
  <c r="A151" i="1"/>
  <c r="D150" i="1"/>
  <c r="A150" i="1"/>
  <c r="D149" i="1"/>
  <c r="A149" i="1"/>
  <c r="D148" i="1"/>
  <c r="A148" i="1"/>
  <c r="D147" i="1"/>
  <c r="A147" i="1"/>
  <c r="D146" i="1"/>
  <c r="A146" i="1"/>
  <c r="D145" i="1"/>
  <c r="A145" i="1"/>
  <c r="D144" i="1"/>
  <c r="A144" i="1"/>
  <c r="D143" i="1"/>
  <c r="A143" i="1"/>
  <c r="D142" i="1"/>
  <c r="A142" i="1"/>
  <c r="D141" i="1"/>
  <c r="A141" i="1"/>
  <c r="D140" i="1"/>
  <c r="A140" i="1"/>
  <c r="D139" i="1"/>
  <c r="A139" i="1"/>
  <c r="D138" i="1"/>
  <c r="A138" i="1"/>
  <c r="D137" i="1"/>
  <c r="A137" i="1"/>
  <c r="D136" i="1"/>
  <c r="A136" i="1"/>
  <c r="D135" i="1"/>
  <c r="A135" i="1"/>
  <c r="D134" i="1"/>
  <c r="A134" i="1"/>
  <c r="D133" i="1"/>
  <c r="A133" i="1"/>
  <c r="D132" i="1"/>
  <c r="A132" i="1"/>
  <c r="D131" i="1"/>
  <c r="A131" i="1"/>
  <c r="D130" i="1"/>
  <c r="A130" i="1"/>
  <c r="D129" i="1"/>
  <c r="A129" i="1"/>
  <c r="D128" i="1"/>
  <c r="A128" i="1"/>
  <c r="D127" i="1"/>
  <c r="A127" i="1"/>
  <c r="D126" i="1"/>
  <c r="A126" i="1"/>
  <c r="D125" i="1"/>
  <c r="A125" i="1"/>
  <c r="E124" i="1"/>
  <c r="D124" i="1"/>
  <c r="A124" i="1"/>
  <c r="D123" i="1"/>
  <c r="A123" i="1"/>
  <c r="D122" i="1"/>
  <c r="A122" i="1"/>
  <c r="D121" i="1"/>
  <c r="A121" i="1"/>
  <c r="D120" i="1"/>
  <c r="A120" i="1"/>
  <c r="D119" i="1"/>
  <c r="A119" i="1"/>
  <c r="D118" i="1"/>
  <c r="A118" i="1"/>
  <c r="D117" i="1"/>
  <c r="A117" i="1"/>
  <c r="D116" i="1"/>
  <c r="A116" i="1"/>
  <c r="D115" i="1"/>
  <c r="A115" i="1"/>
  <c r="D114" i="1"/>
  <c r="A114" i="1"/>
  <c r="D113" i="1"/>
  <c r="A113" i="1"/>
  <c r="E112" i="1"/>
  <c r="D112" i="1"/>
  <c r="A112" i="1"/>
  <c r="E111" i="1"/>
  <c r="D111" i="1"/>
  <c r="A111" i="1"/>
  <c r="D110" i="1"/>
  <c r="A110" i="1"/>
  <c r="D109" i="1"/>
  <c r="A109" i="1"/>
  <c r="D108" i="1"/>
  <c r="A108" i="1"/>
  <c r="D107" i="1"/>
  <c r="A107" i="1"/>
  <c r="D106" i="1"/>
  <c r="A106" i="1"/>
  <c r="D105" i="1"/>
  <c r="A105" i="1"/>
  <c r="D104" i="1"/>
  <c r="A104" i="1"/>
  <c r="D103" i="1"/>
  <c r="A103" i="1"/>
  <c r="D102" i="1"/>
  <c r="A102" i="1"/>
  <c r="D101" i="1"/>
  <c r="A101" i="1"/>
  <c r="D100" i="1"/>
  <c r="A100" i="1"/>
  <c r="D99" i="1"/>
  <c r="A99" i="1"/>
  <c r="D98" i="1"/>
  <c r="A98" i="1"/>
  <c r="D97" i="1"/>
  <c r="A97" i="1"/>
  <c r="D96" i="1"/>
  <c r="A96" i="1"/>
  <c r="D95" i="1"/>
  <c r="A95" i="1"/>
  <c r="D94" i="1"/>
  <c r="A94" i="1"/>
  <c r="D93" i="1"/>
  <c r="A93" i="1"/>
  <c r="D92" i="1"/>
  <c r="A92" i="1"/>
  <c r="D91" i="1"/>
  <c r="A91" i="1"/>
  <c r="D90" i="1"/>
  <c r="A90" i="1"/>
  <c r="D89" i="1"/>
  <c r="A89" i="1"/>
  <c r="D88" i="1"/>
  <c r="A88" i="1"/>
  <c r="D87" i="1"/>
  <c r="A87" i="1"/>
  <c r="D86" i="1"/>
  <c r="A86" i="1"/>
  <c r="D85" i="1"/>
  <c r="A85" i="1"/>
  <c r="D84" i="1"/>
  <c r="A84" i="1"/>
  <c r="D83" i="1"/>
  <c r="A83" i="1"/>
  <c r="D82" i="1"/>
  <c r="A82" i="1"/>
  <c r="D81" i="1"/>
  <c r="A81" i="1"/>
  <c r="D80" i="1"/>
  <c r="A80" i="1"/>
  <c r="D79" i="1"/>
  <c r="A79" i="1"/>
  <c r="D78" i="1"/>
  <c r="A78" i="1"/>
  <c r="D77" i="1"/>
  <c r="A77" i="1"/>
  <c r="D76" i="1"/>
  <c r="A76" i="1"/>
  <c r="D75" i="1"/>
  <c r="A75" i="1"/>
  <c r="D74" i="1"/>
  <c r="A74" i="1"/>
  <c r="D73" i="1"/>
  <c r="A73" i="1"/>
  <c r="D72" i="1"/>
  <c r="A72" i="1"/>
  <c r="D71" i="1"/>
  <c r="A71" i="1"/>
  <c r="D70" i="1"/>
  <c r="A70" i="1"/>
  <c r="D69" i="1"/>
  <c r="A69" i="1"/>
  <c r="D68" i="1"/>
  <c r="A68" i="1"/>
  <c r="D67" i="1"/>
  <c r="A67" i="1"/>
  <c r="D66" i="1"/>
  <c r="A66" i="1"/>
  <c r="D65" i="1"/>
  <c r="A65" i="1"/>
  <c r="D64" i="1"/>
  <c r="A64" i="1"/>
  <c r="D63" i="1"/>
  <c r="A63" i="1"/>
  <c r="D62" i="1"/>
  <c r="A62" i="1"/>
  <c r="D61" i="1"/>
  <c r="A61" i="1"/>
  <c r="D60" i="1"/>
  <c r="A60" i="1"/>
  <c r="D59" i="1"/>
  <c r="A59" i="1"/>
  <c r="D58" i="1"/>
  <c r="A58" i="1"/>
  <c r="D57" i="1"/>
  <c r="A57" i="1"/>
  <c r="D56" i="1"/>
  <c r="A56" i="1"/>
  <c r="D55" i="1"/>
  <c r="A55" i="1"/>
  <c r="D54" i="1"/>
  <c r="A54" i="1"/>
  <c r="D53" i="1"/>
  <c r="A53" i="1"/>
  <c r="D52" i="1"/>
  <c r="A52" i="1"/>
  <c r="D51" i="1"/>
  <c r="A51" i="1"/>
  <c r="D50" i="1"/>
  <c r="A50" i="1"/>
  <c r="D49" i="1"/>
  <c r="A49" i="1"/>
  <c r="D48" i="1"/>
  <c r="A48" i="1"/>
  <c r="E47" i="1"/>
  <c r="D47" i="1"/>
  <c r="A47" i="1"/>
  <c r="E46" i="1"/>
  <c r="D46" i="1"/>
  <c r="A46" i="1"/>
  <c r="E45" i="1"/>
  <c r="D45" i="1"/>
  <c r="A45" i="1"/>
  <c r="E44" i="1"/>
  <c r="D44" i="1"/>
  <c r="A44" i="1"/>
  <c r="E43" i="1"/>
  <c r="D43" i="1"/>
  <c r="A43" i="1"/>
  <c r="E42" i="1"/>
  <c r="D42" i="1"/>
  <c r="A42" i="1"/>
  <c r="E41" i="1"/>
  <c r="D41" i="1"/>
  <c r="A41" i="1"/>
  <c r="D40" i="1"/>
  <c r="A40" i="1"/>
  <c r="E39" i="1"/>
  <c r="D39" i="1"/>
  <c r="A39" i="1"/>
  <c r="E38" i="1"/>
  <c r="D38" i="1"/>
  <c r="A38" i="1"/>
  <c r="E37" i="1"/>
  <c r="D37" i="1"/>
  <c r="A37" i="1"/>
  <c r="E36" i="1"/>
  <c r="D36" i="1"/>
  <c r="A36" i="1"/>
  <c r="E35" i="1"/>
  <c r="D35" i="1"/>
  <c r="A35" i="1"/>
  <c r="E34" i="1"/>
  <c r="D34" i="1"/>
  <c r="A34" i="1"/>
  <c r="E33" i="1"/>
  <c r="D33" i="1"/>
  <c r="A33" i="1"/>
  <c r="E32" i="1"/>
  <c r="D32" i="1"/>
  <c r="A32" i="1"/>
  <c r="E31" i="1"/>
  <c r="D31" i="1"/>
  <c r="A31" i="1"/>
  <c r="E30" i="1"/>
  <c r="D30" i="1"/>
  <c r="A30" i="1"/>
  <c r="E29" i="1"/>
  <c r="D29" i="1"/>
  <c r="A29" i="1"/>
  <c r="E28" i="1"/>
  <c r="D28" i="1"/>
  <c r="A28" i="1"/>
  <c r="E27" i="1"/>
  <c r="D27" i="1"/>
  <c r="A27" i="1"/>
  <c r="E26" i="1"/>
  <c r="D26" i="1"/>
  <c r="A26" i="1"/>
  <c r="D25" i="1"/>
  <c r="A25" i="1"/>
  <c r="E24" i="1"/>
  <c r="D24" i="1"/>
  <c r="A24" i="1"/>
  <c r="D23" i="1"/>
  <c r="A23" i="1"/>
  <c r="D22" i="1"/>
  <c r="A22" i="1"/>
  <c r="E21" i="1"/>
  <c r="D21" i="1"/>
  <c r="A21" i="1"/>
  <c r="E20" i="1"/>
  <c r="D20" i="1"/>
  <c r="A20" i="1"/>
  <c r="E19" i="1"/>
  <c r="D19" i="1"/>
  <c r="A19" i="1"/>
  <c r="E18" i="1"/>
  <c r="D18" i="1"/>
  <c r="A18" i="1"/>
  <c r="E17" i="1"/>
  <c r="D17" i="1"/>
  <c r="A17" i="1"/>
  <c r="E16" i="1"/>
  <c r="D16" i="1"/>
  <c r="A16" i="1"/>
  <c r="E15" i="1"/>
  <c r="D15" i="1"/>
  <c r="A15" i="1"/>
  <c r="E14" i="1"/>
  <c r="D14" i="1"/>
  <c r="A14" i="1"/>
  <c r="E13" i="1"/>
  <c r="D13" i="1"/>
  <c r="A13" i="1"/>
  <c r="E12" i="1"/>
  <c r="D12" i="1"/>
  <c r="A12" i="1"/>
  <c r="E11" i="1"/>
  <c r="D11" i="1"/>
  <c r="A11" i="1"/>
  <c r="E10" i="1"/>
  <c r="D10" i="1"/>
  <c r="A10" i="1"/>
  <c r="E9" i="1"/>
  <c r="D9" i="1"/>
  <c r="A9" i="1"/>
  <c r="E8" i="1"/>
  <c r="D8" i="1"/>
  <c r="A8" i="1"/>
  <c r="E7" i="1"/>
  <c r="D7" i="1"/>
  <c r="A7" i="1"/>
  <c r="D6" i="1"/>
  <c r="A6" i="1"/>
  <c r="D5" i="1"/>
  <c r="A5" i="1"/>
  <c r="D4" i="1"/>
  <c r="A4" i="1"/>
  <c r="D3" i="1"/>
  <c r="A3" i="1"/>
  <c r="D2" i="1"/>
  <c r="A2" i="1"/>
</calcChain>
</file>

<file path=xl/sharedStrings.xml><?xml version="1.0" encoding="utf-8"?>
<sst xmlns="http://schemas.openxmlformats.org/spreadsheetml/2006/main" count="11141" uniqueCount="10320">
  <si>
    <t>Description</t>
  </si>
  <si>
    <t>PRIVATE ROOM</t>
  </si>
  <si>
    <t>TELEMETRY 4TH</t>
  </si>
  <si>
    <t>ISOLATION - PRIVATE</t>
  </si>
  <si>
    <t>SEMI-PRIVATE ROOM</t>
  </si>
  <si>
    <t>PSYCH-SEMI PRIVATE ROOM</t>
  </si>
  <si>
    <t>IV HYDRATION EA ADDL HR</t>
  </si>
  <si>
    <t>IV INFUSION THERAPY EA ADD HR</t>
  </si>
  <si>
    <t>IV INFUSION ADDL SEQ UP TO 1 H</t>
  </si>
  <si>
    <t>IV HYDRATION 31-90MIN</t>
  </si>
  <si>
    <t>IV INFUSION THERAPY FIRST 1HR</t>
  </si>
  <si>
    <t>IV INFUSION CONCURRENT</t>
  </si>
  <si>
    <t>INJECTION IM</t>
  </si>
  <si>
    <t>INJECTION INTRA-ARTERIAL</t>
  </si>
  <si>
    <t>IV PUSH THERAP SNGL OR INIT SU</t>
  </si>
  <si>
    <t>IVP EA ADDL NEW SUBSTANCE</t>
  </si>
  <si>
    <t>IVP EA SEQ SAME SUBSTANCE</t>
  </si>
  <si>
    <t>PICC LINE PLACEMENT</t>
  </si>
  <si>
    <t>DIRECT ADMIT TO OBSERVATION</t>
  </si>
  <si>
    <t>OBSERVATION 23HR-HOURLY RATE</t>
  </si>
  <si>
    <t>OBSERVATION FIRST HR-OP</t>
  </si>
  <si>
    <t>TELEMETRY SEMI-PRIVATE</t>
  </si>
  <si>
    <t>PSYCH PRIVATE ROOM</t>
  </si>
  <si>
    <t>PSYCHIATRIC CRISIS EVALUATION</t>
  </si>
  <si>
    <t>PSYCH SEMI-PRVT</t>
  </si>
  <si>
    <t>INDIVIDUAL THERAPY 20 TO 30 MI</t>
  </si>
  <si>
    <t>INDIV PSYCHOTHERAPY 40-60 MIN</t>
  </si>
  <si>
    <t>INDIVIDUAL PSYCHOTHERAPY 30MIN</t>
  </si>
  <si>
    <t>INDIVIDUAL PSYCHOTHERAPY 45MIN</t>
  </si>
  <si>
    <t>INDIVIDUAL PSYCHOTHERAPY 60MIN</t>
  </si>
  <si>
    <t>COMMUNICATION SKILLS GRP</t>
  </si>
  <si>
    <t>OP GRP TELEMEDICINE THERAPY</t>
  </si>
  <si>
    <t>GOAL SETTING DECISION MAKING G</t>
  </si>
  <si>
    <t>OP GRP THERAPY PHD</t>
  </si>
  <si>
    <t>MEDICATION MANAGEMENT GRP</t>
  </si>
  <si>
    <t>REALITY ORIENTATION GRP</t>
  </si>
  <si>
    <t>SELF AWARENESS GRP</t>
  </si>
  <si>
    <t>SYMPTOM MANAGEMENT GRP</t>
  </si>
  <si>
    <t>DAILY INPATIENT GRP. THERAPY</t>
  </si>
  <si>
    <t>ANGER / STRESS MANAGEMENT</t>
  </si>
  <si>
    <t>INTERPERSONAL PROCESS</t>
  </si>
  <si>
    <t>FAMILY PSYTX W/O PATIENT</t>
  </si>
  <si>
    <t>FAMILY PSYTX W/PATIENT</t>
  </si>
  <si>
    <t>MULTIPLE FAMILY GROUP PSYTX</t>
  </si>
  <si>
    <t>APPL LOWER LEG SPLINT</t>
  </si>
  <si>
    <t>COMFORT MEASURES W/ CHEST COMP</t>
  </si>
  <si>
    <t>COMPLEX PROCEDURE</t>
  </si>
  <si>
    <t>POWERLINE CV CATH 6FR</t>
  </si>
  <si>
    <t>THRU LUMEN FOGARTY</t>
  </si>
  <si>
    <t>NEPTUNE SUCTION</t>
  </si>
  <si>
    <t>LAP BARIATRIC TRAY</t>
  </si>
  <si>
    <t>ARGON BEAM COAGULATOR</t>
  </si>
  <si>
    <t>LASER DISPOSABLES</t>
  </si>
  <si>
    <t>TREATMENT ROOM</t>
  </si>
  <si>
    <t>MAJOR SURGERY ADD 15 MIN</t>
  </si>
  <si>
    <t>OR CANCELLATION</t>
  </si>
  <si>
    <t>CAMERA TRAY</t>
  </si>
  <si>
    <t>OR SET EMERGENCY</t>
  </si>
  <si>
    <t>OR CLINICAL TEAM ROOM</t>
  </si>
  <si>
    <t>MINOR SURGERY 1ST HR</t>
  </si>
  <si>
    <t>MINOR SURGERY ADD 30MIN</t>
  </si>
  <si>
    <t>MAJOR SURGERY 1ST HR</t>
  </si>
  <si>
    <t>MAJOR SURGERY ADD 30MIN</t>
  </si>
  <si>
    <t>MINOR SURG SPINE ADD 30MIN</t>
  </si>
  <si>
    <t>MAJOR SURG SPINE LVL1 ADD 30MI</t>
  </si>
  <si>
    <t>MAJOR SURG SPINE LVL2 ADD 30MI</t>
  </si>
  <si>
    <t>GI LAB 1/4 HOUR</t>
  </si>
  <si>
    <t>GI LAB 30MIN</t>
  </si>
  <si>
    <t>OR SETUP</t>
  </si>
  <si>
    <t>MAJOR SURG SPINE LEVEL 1 1ST H</t>
  </si>
  <si>
    <t>MAJ SURG SPINE LVL 1 ADD 15 MI</t>
  </si>
  <si>
    <t>MINOR SURGERY SPINE 1ST HOUR</t>
  </si>
  <si>
    <t>MINOR SURGERY SPINE ADD 15 MIN</t>
  </si>
  <si>
    <t>MAJOR SURG SPINE LEVEL 2 1ST H</t>
  </si>
  <si>
    <t>MAJ SURG SPINE LVL 2 ADD 15 MI</t>
  </si>
  <si>
    <t>MINOR SURGERY ADD 15 MIN</t>
  </si>
  <si>
    <t>PAIN MGMT LEVEL 1</t>
  </si>
  <si>
    <t>PAIN MGMT LEVEL 1 - ADD ON</t>
  </si>
  <si>
    <t>PAIN MGMT LEVEL 2</t>
  </si>
  <si>
    <t>PAIN MGMT LEVEL 2 - ADD ON</t>
  </si>
  <si>
    <t>PAIN MGMT LEVEL 3</t>
  </si>
  <si>
    <t>PAIN MGMT LEVEL 3 - ADD ON</t>
  </si>
  <si>
    <t>INJ FACET SINGLE CERVICAL/THOR</t>
  </si>
  <si>
    <t>INJ FACET ADDL CERVICAL/THORAC</t>
  </si>
  <si>
    <t>INJ FACET BILATERAL CERVICAL/T</t>
  </si>
  <si>
    <t>INJ FACET SINGLE LUMBAR/SACRAL</t>
  </si>
  <si>
    <t>INJ FACET ADDL LUMBAR/SACRAL</t>
  </si>
  <si>
    <t>INJ FACET BILATERAL LUMBAR/SAC</t>
  </si>
  <si>
    <t>INJ EPIDURAL SINGLE CERVICAL/T</t>
  </si>
  <si>
    <t>INJ EPIDURAL ADDL CERVICAL/THO</t>
  </si>
  <si>
    <t>ANESTHESIA MAC 1ST HR</t>
  </si>
  <si>
    <t>INJ EPIDURAL BILATERAL CERVICA</t>
  </si>
  <si>
    <t>INJ EPIDURAL SINGLE LUMBAR/SAC</t>
  </si>
  <si>
    <t>INJ EPIDURAL ADDL LUMBAR/SACRA</t>
  </si>
  <si>
    <t>INJ EPIDURAL BILATERAL LUMBAR/</t>
  </si>
  <si>
    <t>RECOVERY LEVEL 1 1ST HOUR</t>
  </si>
  <si>
    <t>RECOVERY LEVEL 2 ADDL 15 MIN</t>
  </si>
  <si>
    <t>SURGIPORT 5MM TROCAR</t>
  </si>
  <si>
    <t>SURGIPORT 7MM TROCAR</t>
  </si>
  <si>
    <t>SURGIPORT 10MM TROCAR</t>
  </si>
  <si>
    <t>SURGIPORT 11MM TROCAR</t>
  </si>
  <si>
    <t>SURGIPORT 12MM TROCAR</t>
  </si>
  <si>
    <t>SURGINEEDLE 120MM INSTRUMENT</t>
  </si>
  <si>
    <t>ROTATING HEAD STAPLER</t>
  </si>
  <si>
    <t>ANESTH GEN 1/4 HOUR</t>
  </si>
  <si>
    <t>ANESTHESIA LOCAL EA 15 MIN</t>
  </si>
  <si>
    <t>ANESTH MAC ADDL 15 MIN</t>
  </si>
  <si>
    <t>ANESTH SPINAL 1/4HR</t>
  </si>
  <si>
    <t>NITROS OXIDE 15 MIN</t>
  </si>
  <si>
    <t>MODERATE SEDATION 1ST 30MINS</t>
  </si>
  <si>
    <t>MODERATE SEDATION ADDâ€™L 15MINS</t>
  </si>
  <si>
    <t>ANESTHESIA GENERAL EACH 30 MIN</t>
  </si>
  <si>
    <t>ANESTHESIA LOCAL EACH 30 MIN</t>
  </si>
  <si>
    <t>ANESTHESIA MAC ADDL 30 MIN</t>
  </si>
  <si>
    <t>O2 MONITOR</t>
  </si>
  <si>
    <t>O2 MONITOR RECOVERY</t>
  </si>
  <si>
    <t>O2/60 MINUTE</t>
  </si>
  <si>
    <t>ANESTHESIA MACHINE</t>
  </si>
  <si>
    <t>EPIDURAL ANESTH TRY SINGLE USE</t>
  </si>
  <si>
    <t>RECOVERY LEVEL I ADDL 15 MIN</t>
  </si>
  <si>
    <t>RECOVERY LEVEL 1 ADDL 30MIN (1</t>
  </si>
  <si>
    <t>RECOVERY LEVEL 2 ADDL 30MIN (N</t>
  </si>
  <si>
    <t>IONM TECHNICAL SERVICES</t>
  </si>
  <si>
    <t>2ND PROCEDURE SETUP</t>
  </si>
  <si>
    <t>A &amp; P INST TRAY</t>
  </si>
  <si>
    <t>ANKLE ARTHO INST TRA</t>
  </si>
  <si>
    <t>ANT CERV FUSION TRAY</t>
  </si>
  <si>
    <t>APPLY CAST A/L LONG</t>
  </si>
  <si>
    <t>APPLY CAST A/L SHRT</t>
  </si>
  <si>
    <t>ARTHROCARE WAND</t>
  </si>
  <si>
    <t>ARTHROSCOPE</t>
  </si>
  <si>
    <t>ARTHROSCOPY INST TRA</t>
  </si>
  <si>
    <t>ARTHROSCOPY KNIVES</t>
  </si>
  <si>
    <t>ARTHROSCOPY SCOPE TR</t>
  </si>
  <si>
    <t>ASPIRATION W-W/O/OBI</t>
  </si>
  <si>
    <t>BASIC A-O SET</t>
  </si>
  <si>
    <t>BED-SD DILATION-E</t>
  </si>
  <si>
    <t>BEDSDE PROCDR 15-30</t>
  </si>
  <si>
    <t>BEDSDE PROCDR 30-45</t>
  </si>
  <si>
    <t>BEDSDE PROCDR 45-60</t>
  </si>
  <si>
    <t>BERKLEY SUCTION</t>
  </si>
  <si>
    <t>BIER BLOCK ARM</t>
  </si>
  <si>
    <t>BIER BLOCK LEG</t>
  </si>
  <si>
    <t>BIOPSY FORCEPS</t>
  </si>
  <si>
    <t>BLOOD PATCH PROC.</t>
  </si>
  <si>
    <t>BONE STAPLE SET</t>
  </si>
  <si>
    <t>BOVIE GENERATOR</t>
  </si>
  <si>
    <t>BP MONITOR</t>
  </si>
  <si>
    <t>BP MONITOR-RECV</t>
  </si>
  <si>
    <t>FLEXIBLE ENDOSCOPE 3.8</t>
  </si>
  <si>
    <t>BRONCHOSCOPY</t>
  </si>
  <si>
    <t>BRONCHOSCOPY/BIOPSY</t>
  </si>
  <si>
    <t>C-SECTION INST TRAY</t>
  </si>
  <si>
    <t>CAMERA G.I.</t>
  </si>
  <si>
    <t>CAMERA POWER SOURCE</t>
  </si>
  <si>
    <t>CANCELLED CASE</t>
  </si>
  <si>
    <t>CARDIO VERSION</t>
  </si>
  <si>
    <t>CAST APP LNG BEDSDE</t>
  </si>
  <si>
    <t>CAST APP SHT BEDSDE</t>
  </si>
  <si>
    <t>CAUDAL EPIDURAL</t>
  </si>
  <si>
    <t>CELIAC PLEXUS NRV BL</t>
  </si>
  <si>
    <t>CENTRAL VENOUS PRESS</t>
  </si>
  <si>
    <t>CERVICAL CLOWARD TRA</t>
  </si>
  <si>
    <t>CERVICAL EPIDURAL</t>
  </si>
  <si>
    <t>CHEST TUBE INSERTION</t>
  </si>
  <si>
    <t>CIRCUMCISION</t>
  </si>
  <si>
    <t>CO2 INSUFFLATOR</t>
  </si>
  <si>
    <t>COLONOSCOPE</t>
  </si>
  <si>
    <t>COLONOSCOPE W/VIDEO</t>
  </si>
  <si>
    <t>COLONOSCOPY</t>
  </si>
  <si>
    <t>COLONOSCOPY SET</t>
  </si>
  <si>
    <t>COLONOSCOPY/BIOPSY</t>
  </si>
  <si>
    <t>COLONOSCOPY/POLYPECT</t>
  </si>
  <si>
    <t>COLOSTOMY OPENING</t>
  </si>
  <si>
    <t>CONE BIOPSY SET</t>
  </si>
  <si>
    <t>CONNULATED SCREW TRA</t>
  </si>
  <si>
    <t>CRYOTHERAPY</t>
  </si>
  <si>
    <t>CYSTO SET</t>
  </si>
  <si>
    <t>CYSTOSCOPE</t>
  </si>
  <si>
    <t>D&amp;C INSTRUMENT TRAY</t>
  </si>
  <si>
    <t>DEBRIDEMENT - SIMP.</t>
  </si>
  <si>
    <t>DECUBITUS DEBRIDEMEN</t>
  </si>
  <si>
    <t>DESTRUCT OTHER PHERI</t>
  </si>
  <si>
    <t>DUODENOSCOPE</t>
  </si>
  <si>
    <t>EGD</t>
  </si>
  <si>
    <t>EGD SET</t>
  </si>
  <si>
    <t>EGD/BIOPSY</t>
  </si>
  <si>
    <t>EKG MONITOR</t>
  </si>
  <si>
    <t>EKG MONITOR-RECOV</t>
  </si>
  <si>
    <t>ELECT COAG UNIT</t>
  </si>
  <si>
    <t>ELECTRECAUTRY TRANS</t>
  </si>
  <si>
    <t>EMERGENCY SET UP</t>
  </si>
  <si>
    <t>ENDOSCOPE</t>
  </si>
  <si>
    <t>ENT INST TRAY</t>
  </si>
  <si>
    <t>EPIDURAL NEUROLYTIC</t>
  </si>
  <si>
    <t>ESOPHA/SCLEROTHERAPY</t>
  </si>
  <si>
    <t>ESOPHAGEAL DILATATION CATHETER</t>
  </si>
  <si>
    <t>ESOPHAGEAL DILATOR</t>
  </si>
  <si>
    <t>ESOPHAGOSCOPY</t>
  </si>
  <si>
    <t>ESOPHAGOSCOPY/BIOPSY</t>
  </si>
  <si>
    <t>EXTEND PROCED TIME</t>
  </si>
  <si>
    <t>EXTERNAL FIX SET</t>
  </si>
  <si>
    <t>EXTRACORP-EPICONDYLE</t>
  </si>
  <si>
    <t>EXTRACORP-PLANTAR FA</t>
  </si>
  <si>
    <t>FEMORAL DIALYSIS</t>
  </si>
  <si>
    <t>FIBER OPTIC CORD</t>
  </si>
  <si>
    <t>FLUOROSCAN</t>
  </si>
  <si>
    <t>FOOT PACKS</t>
  </si>
  <si>
    <t>FRAGMENT SET LARGE</t>
  </si>
  <si>
    <t>FRAGMENT SET MINI</t>
  </si>
  <si>
    <t>FRAGMENT SET SMALL</t>
  </si>
  <si>
    <t>G I INSTRUMENT TRAY</t>
  </si>
  <si>
    <t>GALLBLADDER INST TRA</t>
  </si>
  <si>
    <t>GASTROSCOPE</t>
  </si>
  <si>
    <t>GASTROSCOPE W/VIDEO</t>
  </si>
  <si>
    <t>GI LAB</t>
  </si>
  <si>
    <t>GI PROCED SET-UP</t>
  </si>
  <si>
    <t>GI VIDEO SET UP</t>
  </si>
  <si>
    <t>HAND/FOOT INST TRAY</t>
  </si>
  <si>
    <t>HIGH ENERGY ESWT,PLA</t>
  </si>
  <si>
    <t>HYSTERECTOMY INST TR</t>
  </si>
  <si>
    <t>HYSTEROSCOPE</t>
  </si>
  <si>
    <t>HYSTEROSCOPY INST TR</t>
  </si>
  <si>
    <t>ILIOINGUINAL/HYPO BL</t>
  </si>
  <si>
    <t>IMI WARMING UNIT</t>
  </si>
  <si>
    <t>INCISION/DRNG SIMPLE</t>
  </si>
  <si>
    <t>INJ KNEE</t>
  </si>
  <si>
    <t>INJ SHOLDER</t>
  </si>
  <si>
    <t>INJ SUBARACHNOID</t>
  </si>
  <si>
    <t>INJECTORS</t>
  </si>
  <si>
    <t>INSERT BIL DRAIN TUB</t>
  </si>
  <si>
    <t>INSERT GASTROSO TUB</t>
  </si>
  <si>
    <t>INSERT QUINTON CATH</t>
  </si>
  <si>
    <t>INSERT/REMV GROSHWG</t>
  </si>
  <si>
    <t>INSTRA TRAK SYSTEM</t>
  </si>
  <si>
    <t>INSUFLATOR</t>
  </si>
  <si>
    <t>INTERCOSTAL NERVE BL</t>
  </si>
  <si>
    <t>INTERCOSTAL NV BL/AD</t>
  </si>
  <si>
    <t>INTERCOSTAL NV PHENO</t>
  </si>
  <si>
    <t>IV CUTDOWN</t>
  </si>
  <si>
    <t>IV INFUSION THERAPY</t>
  </si>
  <si>
    <t>KNEE INSTRUMENT TRAY</t>
  </si>
  <si>
    <t>KNEEARTHROSCOPY PACK III-LF</t>
  </si>
  <si>
    <t>LAMINECTOMY INST I</t>
  </si>
  <si>
    <t>LAMINECTOMY INST II</t>
  </si>
  <si>
    <t>LAMINECTOMY TRAY A</t>
  </si>
  <si>
    <t>LAP EXTRA INST SET</t>
  </si>
  <si>
    <t>LAPARASCOPE</t>
  </si>
  <si>
    <t>LAPAROSCOPY SCOPE TR</t>
  </si>
  <si>
    <t>LARYNGOSCOPE</t>
  </si>
  <si>
    <t>LARYNGOSCOPE TRAY</t>
  </si>
  <si>
    <t>LASER EQUIP</t>
  </si>
  <si>
    <t>LATERAL FEMORAL OUTA</t>
  </si>
  <si>
    <t>LG VASCULAR INST TRA</t>
  </si>
  <si>
    <t>LIGHT SOURCE</t>
  </si>
  <si>
    <t>LIVER BIOPSY</t>
  </si>
  <si>
    <t>LONG INSTRUMENT TRY</t>
  </si>
  <si>
    <t>LUMBAR EPIDURAL CONT</t>
  </si>
  <si>
    <t>LUMBAR EPIDURAL SNGL</t>
  </si>
  <si>
    <t>MAJOR BASIN SET</t>
  </si>
  <si>
    <t>MAJOR INSTR TRAY</t>
  </si>
  <si>
    <t>MAJOR SUTR SET</t>
  </si>
  <si>
    <t>MAXI DRIVER SET</t>
  </si>
  <si>
    <t>MEDIASTINO SCOPE</t>
  </si>
  <si>
    <t>MENISCUS INST TRAY</t>
  </si>
  <si>
    <t>MICRO AIR SET</t>
  </si>
  <si>
    <t>MICROSCOPE-OR</t>
  </si>
  <si>
    <t>MINI PLASTIC INST TR</t>
  </si>
  <si>
    <t>MINOR BASIN SET</t>
  </si>
  <si>
    <t>MINOR INST TRAY</t>
  </si>
  <si>
    <t>MINOR SUTR SET</t>
  </si>
  <si>
    <t>MINR OR +.25HR</t>
  </si>
  <si>
    <t>MINR SURG .45HR</t>
  </si>
  <si>
    <t>MINR SURG 1.00HR</t>
  </si>
  <si>
    <t>MINR SURG 1.25HR</t>
  </si>
  <si>
    <t>MINR SURG 1.50HR</t>
  </si>
  <si>
    <t>MINR SURG 1.75HR</t>
  </si>
  <si>
    <t>MINR SURG 2.00HR</t>
  </si>
  <si>
    <t>MINR SURG 2.25HR</t>
  </si>
  <si>
    <t>MINR SURG 2.50HR</t>
  </si>
  <si>
    <t>MINR SURG 2.75HR</t>
  </si>
  <si>
    <t>MINR SURG 3.00HR</t>
  </si>
  <si>
    <t>MINR SURG 3.25HR</t>
  </si>
  <si>
    <t>MINOR SURG 3.50HR</t>
  </si>
  <si>
    <t>MINOR SURG 3.75HR</t>
  </si>
  <si>
    <t>MINOR SURG 4.00HR</t>
  </si>
  <si>
    <t>MAJOR I ADD.25HR</t>
  </si>
  <si>
    <t>MAJOR I OR 1.00HR</t>
  </si>
  <si>
    <t>MAJOR I OR 1.25HR</t>
  </si>
  <si>
    <t>MAJOR I OR 1.50HR</t>
  </si>
  <si>
    <t>MAJOR I OR 1.75HR</t>
  </si>
  <si>
    <t>MAJOR I OR 2.00HR</t>
  </si>
  <si>
    <t>MAJOR I OR 2.25HR</t>
  </si>
  <si>
    <t>MAJOR I OR 2.50HR</t>
  </si>
  <si>
    <t>MAJOR I OR 2.75HR</t>
  </si>
  <si>
    <t>MAJOR I OR 3.00HR</t>
  </si>
  <si>
    <t>MAJOR I OR 3.25HR</t>
  </si>
  <si>
    <t>MAJOR I OR 3.50HR</t>
  </si>
  <si>
    <t>MAJOR I OR 3.75HR</t>
  </si>
  <si>
    <t>MAJOR I OR 4.00HR</t>
  </si>
  <si>
    <t>MAJOR I OR 4.25HR</t>
  </si>
  <si>
    <t>MAJOR I OR 4.50HR</t>
  </si>
  <si>
    <t>MAJOR I OR 4.75HR</t>
  </si>
  <si>
    <t>MAJOR I OR 5.00HR</t>
  </si>
  <si>
    <t>MAJOR I OR 5.25HR</t>
  </si>
  <si>
    <t>MAJOR I OR 5.50HR</t>
  </si>
  <si>
    <t>MAJOR I OR 5.75HR</t>
  </si>
  <si>
    <t>MAJOR I OR 6.00HR</t>
  </si>
  <si>
    <t>MAJOR II OR +.25H</t>
  </si>
  <si>
    <t>MAJOR II OR 1.00H</t>
  </si>
  <si>
    <t>MAJOR II OR 1.25H</t>
  </si>
  <si>
    <t>MAJOR II OR 1.50H</t>
  </si>
  <si>
    <t>MAJOR II OR 1.75H</t>
  </si>
  <si>
    <t>MAJOR II OR 2.00H</t>
  </si>
  <si>
    <t>MAJOR II OR 2.25H</t>
  </si>
  <si>
    <t>MAJOR II OR 2.50H</t>
  </si>
  <si>
    <t>MAJOR II OR 2.75H</t>
  </si>
  <si>
    <t>MAJOR II OR 3.00H</t>
  </si>
  <si>
    <t>MAJOR II OR 3.25H</t>
  </si>
  <si>
    <t>MAJOR II OR 3.50H</t>
  </si>
  <si>
    <t>MAJOR II OR 3.75H</t>
  </si>
  <si>
    <t>MAJOR II OR 4.00H</t>
  </si>
  <si>
    <t>MAJOR II OR 4.25H</t>
  </si>
  <si>
    <t>MAJOR II OR 4.50H</t>
  </si>
  <si>
    <t>MAJOR II OR 4.75H</t>
  </si>
  <si>
    <t>MAJOR II OR 5.00H</t>
  </si>
  <si>
    <t>MAJOR II OR 5.25H</t>
  </si>
  <si>
    <t>MAJOR II OR 5.50H</t>
  </si>
  <si>
    <t>MAJOR II OR 5.75H</t>
  </si>
  <si>
    <t>OPER LAPRO INST TRAY</t>
  </si>
  <si>
    <t>OR MONITOR</t>
  </si>
  <si>
    <t>OR SET MAJOR I</t>
  </si>
  <si>
    <t>OR SET MAJOR II</t>
  </si>
  <si>
    <t>OR SET MINOR</t>
  </si>
  <si>
    <t>ORTHO INST TRAY</t>
  </si>
  <si>
    <t>ORTHO TRAY</t>
  </si>
  <si>
    <t>OTHER PERIPHERAL BLK</t>
  </si>
  <si>
    <t>PARACENTESIS</t>
  </si>
  <si>
    <t>PARAVERTEBRAL BLK AD</t>
  </si>
  <si>
    <t>PARAVERTEBRAL BLK SG</t>
  </si>
  <si>
    <t>PATELLA SHAVER</t>
  </si>
  <si>
    <t>PERCUT ENDOSCOP GAST</t>
  </si>
  <si>
    <t>PHOTO PRINTER - OR</t>
  </si>
  <si>
    <t>PICC LINE INSERTION</t>
  </si>
  <si>
    <t>PLASTIC INST TRAY</t>
  </si>
  <si>
    <t>POLYPECTOMY</t>
  </si>
  <si>
    <t>POLYPECTOMY SNARES</t>
  </si>
  <si>
    <t>PORT SUCTION</t>
  </si>
  <si>
    <t>POWER EQUIPMENT</t>
  </si>
  <si>
    <t>POWER SAW/DRILL</t>
  </si>
  <si>
    <t>REC RM +.25HR</t>
  </si>
  <si>
    <t>REC RM 1.00HR</t>
  </si>
  <si>
    <t>REC RM 1.25HR</t>
  </si>
  <si>
    <t>REC RM 1.50HR</t>
  </si>
  <si>
    <t>REC RM 1.75HR</t>
  </si>
  <si>
    <t>REC RM 2.00HR</t>
  </si>
  <si>
    <t>REC RM 2.25HR</t>
  </si>
  <si>
    <t>REC RM 2.50HR</t>
  </si>
  <si>
    <t>RECTAL INST TRAY</t>
  </si>
  <si>
    <t>RENAL BIOPSY</t>
  </si>
  <si>
    <t>REPLACE GASTROUS TUB</t>
  </si>
  <si>
    <t>RESECTORSCOPE</t>
  </si>
  <si>
    <t>S I JOINT INJ</t>
  </si>
  <si>
    <t>SCIATIC NERVE BLOCK</t>
  </si>
  <si>
    <t>SECOND PROCEDURE OR</t>
  </si>
  <si>
    <t>SIGMOID TRAY</t>
  </si>
  <si>
    <t>SIGMOIDOSCOPE</t>
  </si>
  <si>
    <t>SIGMOIDOSCOPY</t>
  </si>
  <si>
    <t>SIGMOIDOSCOPY/BIOPSY</t>
  </si>
  <si>
    <t>SINUSCOPE</t>
  </si>
  <si>
    <t>SINUSCOPE TRAY</t>
  </si>
  <si>
    <t>SKIN GRAFT INST SET</t>
  </si>
  <si>
    <t>SMALL VASCULAR TRAY</t>
  </si>
  <si>
    <t>SOFT TISSUE BIOPSY</t>
  </si>
  <si>
    <t>SOMATOSENSORY MONITOR</t>
  </si>
  <si>
    <t>SPHENOPALATINE BLOCK</t>
  </si>
  <si>
    <t>SPINAL TAP</t>
  </si>
  <si>
    <t>STEINMEN PIN SET</t>
  </si>
  <si>
    <t>STELLATE GANG NV BLK</t>
  </si>
  <si>
    <t>SUBCL LINE/ARTER LIN</t>
  </si>
  <si>
    <t>SUBCLAV DIALY-QUINTO</t>
  </si>
  <si>
    <t>SUPRASCAPULAR NERVE</t>
  </si>
  <si>
    <t>SURG CNTMNTD CS</t>
  </si>
  <si>
    <t>SURG RM SET-UP</t>
  </si>
  <si>
    <t>SURG TRAY MAJOR</t>
  </si>
  <si>
    <t>SURG TRAY MINOR</t>
  </si>
  <si>
    <t>SURG-TRAY STERILZN</t>
  </si>
  <si>
    <t>SUTURE/LACERATIONS</t>
  </si>
  <si>
    <t>SWAN GANZ CATH/INSER</t>
  </si>
  <si>
    <t>SYMPATHETIC NV BLOCK</t>
  </si>
  <si>
    <t>THORACENTESIS</t>
  </si>
  <si>
    <t>THORACIC EPIDURAL</t>
  </si>
  <si>
    <t>TONSIL INST TRAY</t>
  </si>
  <si>
    <t>TOTAL KNEE INST</t>
  </si>
  <si>
    <t>TOURNIQUET</t>
  </si>
  <si>
    <t>TOWELS</t>
  </si>
  <si>
    <t>TRACHEOSTOMY TRAY</t>
  </si>
  <si>
    <t>TRIGEMINAL BLOCK</t>
  </si>
  <si>
    <t>TRIGEMINAL PHENOL</t>
  </si>
  <si>
    <t>TRIGGER PNT INJ</t>
  </si>
  <si>
    <t>TROCHANTENIC BURSA</t>
  </si>
  <si>
    <t>VASC SUTURE</t>
  </si>
  <si>
    <t>VIDEO CAMERA - OR</t>
  </si>
  <si>
    <t>VIDEO MONITOR - OR</t>
  </si>
  <si>
    <t>VIDEO REC/TAPE - OR</t>
  </si>
  <si>
    <t>VIDEO SETUP</t>
  </si>
  <si>
    <t>WALL SUCTION</t>
  </si>
  <si>
    <t>02 EA ADDL 15 MIN</t>
  </si>
  <si>
    <t>02 SENSOR</t>
  </si>
  <si>
    <t>02/60 MIN</t>
  </si>
  <si>
    <t>ANEST 1.00HR</t>
  </si>
  <si>
    <t>ANEST 1.25HR</t>
  </si>
  <si>
    <t>ANEST 1.50HR</t>
  </si>
  <si>
    <t>ANEST 1.75HR</t>
  </si>
  <si>
    <t>ANEST 2.00HR</t>
  </si>
  <si>
    <t>ANEST 2.25HR</t>
  </si>
  <si>
    <t>ANEST 2.50HR</t>
  </si>
  <si>
    <t>ANEST 2.75HR</t>
  </si>
  <si>
    <t>ANEST 3.00HR</t>
  </si>
  <si>
    <t>ANEST 3.25HR</t>
  </si>
  <si>
    <t>ANEST 3.50HR</t>
  </si>
  <si>
    <t>ANEST 3.75HR</t>
  </si>
  <si>
    <t>ANEST 4.00HR</t>
  </si>
  <si>
    <t>ANEST 4.25HR</t>
  </si>
  <si>
    <t>ANEST 4.50HR</t>
  </si>
  <si>
    <t>ANEST 4.75HR</t>
  </si>
  <si>
    <t>ANEST 5.00HR</t>
  </si>
  <si>
    <t>ANEST 5.25HR</t>
  </si>
  <si>
    <t>ANEST 5.50HR</t>
  </si>
  <si>
    <t>ANEST 5.75HR</t>
  </si>
  <si>
    <t>ANEST 6.00HR</t>
  </si>
  <si>
    <t>ANEST ADD.25HR</t>
  </si>
  <si>
    <t>ANESTHESIA UNIT</t>
  </si>
  <si>
    <t>BIER/BRACHIAL BLOCK</t>
  </si>
  <si>
    <t>C02 MONITOR</t>
  </si>
  <si>
    <t>FORANE 15 MIN</t>
  </si>
  <si>
    <t>FORANE 60 MIN</t>
  </si>
  <si>
    <t>HALOTHANE 60 MIN</t>
  </si>
  <si>
    <t>LOCAL ANES</t>
  </si>
  <si>
    <t>LOCAL IV SEDATION</t>
  </si>
  <si>
    <t>LOCAL W/ASB</t>
  </si>
  <si>
    <t>INSTRUMENT MAGNET 10'X16'</t>
  </si>
  <si>
    <t>DURAGEN 3X3</t>
  </si>
  <si>
    <t>DURGEN 1X3</t>
  </si>
  <si>
    <t>BIS MONITORS</t>
  </si>
  <si>
    <t>GLIDESCOPE COVER</t>
  </si>
  <si>
    <t>BLACK BELT RET</t>
  </si>
  <si>
    <t>BONE MILL</t>
  </si>
  <si>
    <t>STOOL MANAGMENT SYSTEM</t>
  </si>
  <si>
    <t>MAYYFIELD SKULL PIN</t>
  </si>
  <si>
    <t>URETEROSCOPY SET</t>
  </si>
  <si>
    <t>EQ. VIDEO CART SYSTEM</t>
  </si>
  <si>
    <t>VIDEO PHOTO EA</t>
  </si>
  <si>
    <t>ALLEN STIRRUPS</t>
  </si>
  <si>
    <t>CANDY CANE STIRRUPS</t>
  </si>
  <si>
    <t>MONTGOMERY STRAPS</t>
  </si>
  <si>
    <t>OR BOVIE</t>
  </si>
  <si>
    <t>PREP TRAY</t>
  </si>
  <si>
    <t>RAZOR PREP</t>
  </si>
  <si>
    <t>SPECIAL SHEET</t>
  </si>
  <si>
    <t>EXTRA DRAPE</t>
  </si>
  <si>
    <t>LAPAROTOMY WITH POUCHES DRAPE</t>
  </si>
  <si>
    <t>PLEURAVAC</t>
  </si>
  <si>
    <t>DURASEAL 5ML</t>
  </si>
  <si>
    <t>ENDOSCOPY PROCEDURE</t>
  </si>
  <si>
    <t>CONTAMINATED CASE</t>
  </si>
  <si>
    <t>SURGERY CALL BACK</t>
  </si>
  <si>
    <t>ANESTH, GENERAL 1ST HR</t>
  </si>
  <si>
    <t>ACCUFEX PUNCHES</t>
  </si>
  <si>
    <t>ACL TRAY</t>
  </si>
  <si>
    <t>BONE CLAMP TRAY</t>
  </si>
  <si>
    <t>MAJOR BONE TRAY</t>
  </si>
  <si>
    <t>MINOR BONE TRAY</t>
  </si>
  <si>
    <t>SHOULDER REPAIR TRAY</t>
  </si>
  <si>
    <t>SYNTHES UNIVERSAL REMOVAL SET</t>
  </si>
  <si>
    <t>SYSTEM 7 TRAY</t>
  </si>
  <si>
    <t>ARTHROCARE GENERATOR</t>
  </si>
  <si>
    <t>ALVARADO TRAY</t>
  </si>
  <si>
    <t>HIP TRAY</t>
  </si>
  <si>
    <t>OSTEOTOMES</t>
  </si>
  <si>
    <t>REM B TRAY</t>
  </si>
  <si>
    <t>SMALL JOINT TRAY</t>
  </si>
  <si>
    <t>PCA PUMP</t>
  </si>
  <si>
    <t>LAP CHOLE INSTRUMENT TRAY</t>
  </si>
  <si>
    <t>TYROID INSTRUMENT TRAY</t>
  </si>
  <si>
    <t>BOOKWALTER INSTRUMENT TRAY</t>
  </si>
  <si>
    <t>BALFOUR INSTRUMENT TRAY</t>
  </si>
  <si>
    <t>MESHER TRAY</t>
  </si>
  <si>
    <t>RAPID TRANSFUSER</t>
  </si>
  <si>
    <t>PACEMAKER ELECTRODE</t>
  </si>
  <si>
    <t>SUPRAMESH 4"X8"</t>
  </si>
  <si>
    <t>SUPRAMESH 8"X12"</t>
  </si>
  <si>
    <t>1050 FRACTURE TABLE DRAPE</t>
  </si>
  <si>
    <t>MAGNER INSTRUMENT HOLDER</t>
  </si>
  <si>
    <t>CHALANGIO TRAY-COLOSTOMY KIT</t>
  </si>
  <si>
    <t>F.R.E.D. DEVICE</t>
  </si>
  <si>
    <t>ENDO BOVI/INI</t>
  </si>
  <si>
    <t>ENDO GIA RELOADER</t>
  </si>
  <si>
    <t>ENDO CATH</t>
  </si>
  <si>
    <t>ENDO GIA CARTRIGE</t>
  </si>
  <si>
    <t>ENDO PEANUTS</t>
  </si>
  <si>
    <t>ENDO STITCH</t>
  </si>
  <si>
    <t>ENDO STITCH RELOAD</t>
  </si>
  <si>
    <t>ENDO-FLO IRRIGATOR</t>
  </si>
  <si>
    <t>UTERINE MANIPULATOR</t>
  </si>
  <si>
    <t>VARRES NEEDLE</t>
  </si>
  <si>
    <t>ENDO SCISSORS (ENDO SHEARS)</t>
  </si>
  <si>
    <t>CARTER-THOMPSON</t>
  </si>
  <si>
    <t>ECHELON 60 (ENDO GIA)</t>
  </si>
  <si>
    <t>ECHOLON RELOAD</t>
  </si>
  <si>
    <t>CLINICAL TEAM SUPPORT</t>
  </si>
  <si>
    <t>SET UP OUTSIDE OR</t>
  </si>
  <si>
    <t>SEROFLURANE 1/4HR</t>
  </si>
  <si>
    <t>SUPRANE 1/4HR</t>
  </si>
  <si>
    <t>POOLE TIP SUCTION</t>
  </si>
  <si>
    <t>STAR SLEEVE VELCRO</t>
  </si>
  <si>
    <t>INITIAL DIETARY CONSULTATION E</t>
  </si>
  <si>
    <t>DIETARY CONSULT REASSESSMENT E</t>
  </si>
  <si>
    <t>THERMO SCIENTIFIC MACCONKEY</t>
  </si>
  <si>
    <t>SUPERFROST MICROSCOPE SLIDES</t>
  </si>
  <si>
    <t>OLYMPUS &amp; NIKON LEICA ANNUAL</t>
  </si>
  <si>
    <t>CAP/AACC SERUM ALCOHOL</t>
  </si>
  <si>
    <t>CRITICAL CARE BLOOD GAS PT</t>
  </si>
  <si>
    <t>BLOOD CELL ID, PHOTOGRAPHS PT</t>
  </si>
  <si>
    <t>B TYPE NATRIURETIC PEPTIDES</t>
  </si>
  <si>
    <t>COAGULATION-LIMITED PT</t>
  </si>
  <si>
    <t>CLINICAL MICROSCOPY MISC</t>
  </si>
  <si>
    <t>URINALYSIS W/BODY FLUID AND</t>
  </si>
  <si>
    <t>SARS-COV-2 ANTIGEN PT</t>
  </si>
  <si>
    <t>C-REACTIVE PROTEIN</t>
  </si>
  <si>
    <t>CARDIAC MARKERS</t>
  </si>
  <si>
    <t>CHEMISTRY/THERAPUTIC DRUG</t>
  </si>
  <si>
    <t>BACTERIOLOGY PT</t>
  </si>
  <si>
    <t>DIRECT ANTIGLOBULIN TEST PT</t>
  </si>
  <si>
    <t>DIPSTICK CONFIRMATORY TESTING</t>
  </si>
  <si>
    <t>ERYTHROCYTE SEDIMENTATION RATE</t>
  </si>
  <si>
    <t>HEMATOLOGY AUTOMATED DIFF-BLOO</t>
  </si>
  <si>
    <t>BODY FLUID CHEMISTRY PT</t>
  </si>
  <si>
    <t>HEMOGLOBIN A1C, 5 CHALLENGE PT</t>
  </si>
  <si>
    <t>HCG SERUM PT</t>
  </si>
  <si>
    <t>HEMOYCYTOMETER FLUID COUNT PT</t>
  </si>
  <si>
    <t>NUCLEAIC ACID AMPLIFICATION</t>
  </si>
  <si>
    <t>NUCLEIC ACID AMPLIFICATION</t>
  </si>
  <si>
    <t>INDIA INK PT</t>
  </si>
  <si>
    <t>TRANSFUSION MEDICINE-COMPREHEN</t>
  </si>
  <si>
    <t>LIGAND ASSAY-GENERAL PT</t>
  </si>
  <si>
    <t>KETONES PT</t>
  </si>
  <si>
    <t>SERUM ETHANOL CVL PT</t>
  </si>
  <si>
    <t>WHOLE BLOOD GLUCOSE CVL PT</t>
  </si>
  <si>
    <t>RETICULOCYTE CVL PT</t>
  </si>
  <si>
    <t>CHEMISTRY/LIPID/ENZYME CVL PT</t>
  </si>
  <si>
    <t>THERAPEUTIC DRUG MONITORING</t>
  </si>
  <si>
    <t>B-TYPE NATRIURETIC PEPTIDE CVL</t>
  </si>
  <si>
    <t>HIGH SENSITIVITY TROPONIN CVL</t>
  </si>
  <si>
    <t>LIGAND ASSAY, SIEMENS CVL PT</t>
  </si>
  <si>
    <t>URINE CHEMISTRY CVL PT</t>
  </si>
  <si>
    <t>HEMATOLOGY CVL PT</t>
  </si>
  <si>
    <t>CEREBROSPINAL FLUID CHEMISTRY</t>
  </si>
  <si>
    <t>METHICILLIN RESISTANCE S AUREU</t>
  </si>
  <si>
    <t>OCCULT BLOOD PT</t>
  </si>
  <si>
    <t>RETICULOCYTE PT</t>
  </si>
  <si>
    <t>RAPID UREASE PT</t>
  </si>
  <si>
    <t>IMMUNOLOGY-SPECIAL, H PYLORI</t>
  </si>
  <si>
    <t>URINE CHEMISTRY-GENERAL</t>
  </si>
  <si>
    <t>CAP/AACC DRUG TESTING SCREENIN</t>
  </si>
  <si>
    <t>URINE ALBUMIN AN CREATININE</t>
  </si>
  <si>
    <t>URINE CRYSTALS PT</t>
  </si>
  <si>
    <t>VIROLOGY ANTIGEN DETECTION</t>
  </si>
  <si>
    <t>QUALITY CROSS CHECK WHOLE BLOO</t>
  </si>
  <si>
    <t>URINE CREATININE</t>
  </si>
  <si>
    <t>URINE K</t>
  </si>
  <si>
    <t>URINE NA</t>
  </si>
  <si>
    <t>URINE PROTEIN</t>
  </si>
  <si>
    <t>THAWING FFP</t>
  </si>
  <si>
    <t>CHK REAGENT</t>
  </si>
  <si>
    <t>AHDL REAGENT</t>
  </si>
  <si>
    <t>ALB REAGENT</t>
  </si>
  <si>
    <t>LA REAGENT</t>
  </si>
  <si>
    <t>ALDL REAGENT</t>
  </si>
  <si>
    <t>ALP1 REAGENT</t>
  </si>
  <si>
    <t>ALT1 REAGENT</t>
  </si>
  <si>
    <t>AMM REAGENT</t>
  </si>
  <si>
    <t>AMY REAGANT</t>
  </si>
  <si>
    <t>AST REAGENT</t>
  </si>
  <si>
    <t>BUN REAGENT</t>
  </si>
  <si>
    <t>CA REAGENT</t>
  </si>
  <si>
    <t>CHOL REAGENT</t>
  </si>
  <si>
    <t>CKI REAGENT</t>
  </si>
  <si>
    <t>CRE2 REAGENT</t>
  </si>
  <si>
    <t>DBI REAGENT</t>
  </si>
  <si>
    <t>ECO2 REAGENT</t>
  </si>
  <si>
    <t>FERR REAGENT</t>
  </si>
  <si>
    <t>FT4L REAGENT</t>
  </si>
  <si>
    <t>GGT REAGENT</t>
  </si>
  <si>
    <t>GLUC REAGENT</t>
  </si>
  <si>
    <t>HBA1C REAGENT</t>
  </si>
  <si>
    <t>HGC REAGENT</t>
  </si>
  <si>
    <t>IBCT REAGENT</t>
  </si>
  <si>
    <t>IRON REAGENT</t>
  </si>
  <si>
    <t>LIPL REAGENT</t>
  </si>
  <si>
    <t>MG REAGENT</t>
  </si>
  <si>
    <t>MMB REAGENT</t>
  </si>
  <si>
    <t>PHOS REAGENT</t>
  </si>
  <si>
    <t>TBI REAGENT</t>
  </si>
  <si>
    <t>TGL REAGENT</t>
  </si>
  <si>
    <t>TNI REAGENT</t>
  </si>
  <si>
    <t>TPSA REAGENT</t>
  </si>
  <si>
    <t>TSHL REAGENT</t>
  </si>
  <si>
    <t>T4 REAGENT</t>
  </si>
  <si>
    <t>TU REAGENT</t>
  </si>
  <si>
    <t>URCA REAGENT</t>
  </si>
  <si>
    <t>AMPH REAGENT</t>
  </si>
  <si>
    <t>BARB REAGENT</t>
  </si>
  <si>
    <t>BENZ REAGENT</t>
  </si>
  <si>
    <t>COC REAGENT</t>
  </si>
  <si>
    <t>METH REAGENT</t>
  </si>
  <si>
    <t>OPI REAGENT</t>
  </si>
  <si>
    <t>PCP REAGENT</t>
  </si>
  <si>
    <t>THC REAGENT</t>
  </si>
  <si>
    <t>ETOH REAGENT</t>
  </si>
  <si>
    <t>CRBM REAGENT</t>
  </si>
  <si>
    <t>DGNA REAGENT</t>
  </si>
  <si>
    <t>GENT REAGENT</t>
  </si>
  <si>
    <t>PHNO REAGENT</t>
  </si>
  <si>
    <t>PTN REAGENT</t>
  </si>
  <si>
    <t>THEO REAGENT</t>
  </si>
  <si>
    <t>TOBR REAGENT</t>
  </si>
  <si>
    <t>VALP REAGENT</t>
  </si>
  <si>
    <t>VANC REAGENT</t>
  </si>
  <si>
    <t>MRSA DETECTION</t>
  </si>
  <si>
    <t>RSV DETECTION</t>
  </si>
  <si>
    <t>INFLUENZA B DETECTION</t>
  </si>
  <si>
    <t>INFLUENZA A DETECTION</t>
  </si>
  <si>
    <t>SUSCEPTIBILITY MACROBROTH DIL</t>
  </si>
  <si>
    <t>SUSCEPTIBILITY MLC EA PLATE</t>
  </si>
  <si>
    <t>SUSCEPTIBILITY ANTI-MICROB AGA</t>
  </si>
  <si>
    <t>CULTURE MYCOBACTERIAL ID</t>
  </si>
  <si>
    <t>CULTURE AEROBIC ADDL ID</t>
  </si>
  <si>
    <t>CULTURE ANAEROBIC ADDL ID</t>
  </si>
  <si>
    <t>CSF CULTURE GRAM STAIN CONC</t>
  </si>
  <si>
    <t>AFB CONCENTRATION &amp; ISOLATION</t>
  </si>
  <si>
    <t xml:space="preserve">HOMOVANILLIC ACID (HVA) 24 HR </t>
  </si>
  <si>
    <t>SICKLE CELL SCREEN</t>
  </si>
  <si>
    <t>VITAMIN A</t>
  </si>
  <si>
    <t>AMITRIPTYLINE</t>
  </si>
  <si>
    <t>HEAVY METALS PANEL RANDOM URIN</t>
  </si>
  <si>
    <t>CRYSTALS SYNOVIAL FLUID</t>
  </si>
  <si>
    <t>GASTRIN</t>
  </si>
  <si>
    <t>ANTITHROMBIN III ACTIVITY</t>
  </si>
  <si>
    <t>ANTITHROMBIN III ANTIGEN</t>
  </si>
  <si>
    <t>ESTRADIOL</t>
  </si>
  <si>
    <t>FACTOR VIII ACTIVITY CLOTTING</t>
  </si>
  <si>
    <t>HOMOCYSTEINE NUTRITIONAL AND C</t>
  </si>
  <si>
    <t>PROSTATIC ACID PHOSPHATASE</t>
  </si>
  <si>
    <t>PLATELET ANTIBODY DIRECT</t>
  </si>
  <si>
    <t>PLATELET ANTIBODY INDIRECT</t>
  </si>
  <si>
    <t>RUSSELL VIPER VENOM TIME; DILU</t>
  </si>
  <si>
    <t>DRUG SCREEN QUANT ALCOHOLS</t>
  </si>
  <si>
    <t>ALCOHOLS BIOMARKERS 1 OR 2</t>
  </si>
  <si>
    <t>ALCOHOLS BIOMARKERS 3/MORE</t>
  </si>
  <si>
    <t>METHYLMALONIC ACID</t>
  </si>
  <si>
    <t>PROTEIN C, ACTIVITY</t>
  </si>
  <si>
    <t>LEVETIRACETAM</t>
  </si>
  <si>
    <t>GTT 30 MIN, 1 HR, 3 HR</t>
  </si>
  <si>
    <t>CHEM GLUCOSE</t>
  </si>
  <si>
    <t>CYANIDE</t>
  </si>
  <si>
    <t>AFP AND AFP-L3</t>
  </si>
  <si>
    <t>JAK2 MUTATION, QUANTITATIVE</t>
  </si>
  <si>
    <t>DNA OR RNA, RESPIRATORY VIRUS,</t>
  </si>
  <si>
    <t>ANTIBODY, ASPERGILLUS</t>
  </si>
  <si>
    <t>CLOZAPINE</t>
  </si>
  <si>
    <t>F2, PROTHROMBIN GENE ANALYSIS</t>
  </si>
  <si>
    <t>F5, LEIDEN, GENE ANALYSIS</t>
  </si>
  <si>
    <t>PROTEIN S, ACTIVITY</t>
  </si>
  <si>
    <t>INTRINSIC FACTOR, ANTIBODIES</t>
  </si>
  <si>
    <t>RESPIRATORY VIRUS PCR PANEL</t>
  </si>
  <si>
    <t>DNA OR RNA, QUALITATIVE</t>
  </si>
  <si>
    <t>HISTOPLASMA</t>
  </si>
  <si>
    <t>BCR-ABL QUANTITATIVE PCR</t>
  </si>
  <si>
    <t>CARNITINE FREE &amp; TOTAL</t>
  </si>
  <si>
    <t>TOPIRAMATE</t>
  </si>
  <si>
    <t>PNEUMOCYSTIS JIROVECI (CARINII</t>
  </si>
  <si>
    <t>AMPHETAMINES SCREEN</t>
  </si>
  <si>
    <t>COCAINE SCREEN</t>
  </si>
  <si>
    <t>ETHANOL SCREEN URINE</t>
  </si>
  <si>
    <t>METHADONE SCREEN</t>
  </si>
  <si>
    <t>OPIATE SCREEN</t>
  </si>
  <si>
    <t>PHENCYCLIDINE SCREEN</t>
  </si>
  <si>
    <t>THC SCREEN</t>
  </si>
  <si>
    <t>COCAINE &amp; CANNABINOID SCREEN</t>
  </si>
  <si>
    <t>VITAMIN B1</t>
  </si>
  <si>
    <t>BETA 2 MICROGLUBULIN, SERUM</t>
  </si>
  <si>
    <t>B. PERTUSIS ANTIBODY IGG</t>
  </si>
  <si>
    <t>HEPATITIS C VIRAL RNA QUALITAT</t>
  </si>
  <si>
    <t>HIV-1 DNA QUALITATIVE PCR</t>
  </si>
  <si>
    <t>INSULIN AUTOANTIBODY</t>
  </si>
  <si>
    <t>LEGIONELLA TITER</t>
  </si>
  <si>
    <t>RHEUMATOID FACTOR, QUANTITATIV</t>
  </si>
  <si>
    <t>SEROTONIN</t>
  </si>
  <si>
    <t>CLOTEST</t>
  </si>
  <si>
    <t>BETA LACTAMASE</t>
  </si>
  <si>
    <t>E HISTOLYTICA AB</t>
  </si>
  <si>
    <t>LYME IGG/IGM AB SCREEN</t>
  </si>
  <si>
    <t>TACROLIMUS</t>
  </si>
  <si>
    <t>NON ROUTINE BLOOD DRAW &gt; 3 YRS</t>
  </si>
  <si>
    <t>VBG STUDY</t>
  </si>
  <si>
    <t>DHEA SULFATE</t>
  </si>
  <si>
    <t>C PEPTIDE</t>
  </si>
  <si>
    <t>RAPID STREP A SCREEN</t>
  </si>
  <si>
    <t>BLASTOMYCES ANTIBODY, CF &amp; ID</t>
  </si>
  <si>
    <t>HISTOPLASMA ANTIGEN, URINE</t>
  </si>
  <si>
    <t>THYROID PEROXIDASE ANTIBODIES</t>
  </si>
  <si>
    <t>PROCALCITONIN</t>
  </si>
  <si>
    <t>SARS-COV-2 RNA,QUAL REAL TIME</t>
  </si>
  <si>
    <t>LIPOPROTEIN FRACTIONATION,NMR</t>
  </si>
  <si>
    <t>HEPATITIS A IGM</t>
  </si>
  <si>
    <t>HEPATITIS A ANTIBODY, TOTAL</t>
  </si>
  <si>
    <t>ALDOLASE</t>
  </si>
  <si>
    <t>HEPATITIS B CORE IGM</t>
  </si>
  <si>
    <t>HEPATITIS B CORE TOTAL</t>
  </si>
  <si>
    <t>HEPATITIS B DNA (BDNA)</t>
  </si>
  <si>
    <t>CA 15-3</t>
  </si>
  <si>
    <t>CA 27,29</t>
  </si>
  <si>
    <t>CALCITONIN</t>
  </si>
  <si>
    <t>CARDIOLIPIN IGG</t>
  </si>
  <si>
    <t>CARDIOLIPIN IGM AB</t>
  </si>
  <si>
    <t>CARDIOLIPIN ANTIBODY SCREEN W/</t>
  </si>
  <si>
    <t>HEPATITIS C RIBA</t>
  </si>
  <si>
    <t>HEPATITIS C AB QUANTITATIVE</t>
  </si>
  <si>
    <t>HEPATITIS C RNA</t>
  </si>
  <si>
    <t>HEPATITIS C RNA (BRDNA)</t>
  </si>
  <si>
    <t>PHOPHATIDYLSERINE ANTIBODIES I</t>
  </si>
  <si>
    <t>BETA-2 GLYCOPROTEIN I ANTIBODY</t>
  </si>
  <si>
    <t>CITRIC ACID 24 HR URINE WITH C</t>
  </si>
  <si>
    <t>HSV 1,2 DNA PCR</t>
  </si>
  <si>
    <t>CYCLIC CITRULLINATED PEPTIDE A</t>
  </si>
  <si>
    <t>COCCIDIOIDES ANTIBODY COMPLEME</t>
  </si>
  <si>
    <t>HIV-1 AB IB</t>
  </si>
  <si>
    <t>CRYPTOCOCCAL ANTIGEN LATEX SCR</t>
  </si>
  <si>
    <t xml:space="preserve">DENGUE FEVER ANTIBODIES (IGG, </t>
  </si>
  <si>
    <t>CATECHOLAMINES FRACT 24HR URIN</t>
  </si>
  <si>
    <t>NUCLEAR MATRIX PROTEINS</t>
  </si>
  <si>
    <t>FIBRINOGEN DEGRADATION PRODUCT</t>
  </si>
  <si>
    <t>JAK2 EXONS 12 AND 13 MUTATIONS</t>
  </si>
  <si>
    <t>PTH-RELATED PROTEIN (PTH-RP)</t>
  </si>
  <si>
    <t>PLASMA RENIN ACTIVITY</t>
  </si>
  <si>
    <t>JAK2 V617F MUTATION QUAN PLASM</t>
  </si>
  <si>
    <t>VZV IGG AB (EIA)</t>
  </si>
  <si>
    <t>VDRL (FLO)</t>
  </si>
  <si>
    <t>CHLAMYDIA TRACHOMATIS DNA AMPL</t>
  </si>
  <si>
    <t>CMV IGG AB (EIA).</t>
  </si>
  <si>
    <t>EBV VCA IGG AB</t>
  </si>
  <si>
    <t>H. PYLORI IGA AB</t>
  </si>
  <si>
    <t>H.PYLORI IGG AB</t>
  </si>
  <si>
    <t>FTA ABS</t>
  </si>
  <si>
    <t>ACETAMINOPHEN</t>
  </si>
  <si>
    <t>ALCOHOL</t>
  </si>
  <si>
    <t>AMIKACIN</t>
  </si>
  <si>
    <t>BARBITURATE</t>
  </si>
  <si>
    <t>BENZODIAZEPINE</t>
  </si>
  <si>
    <t>CARBAMAZEPINE</t>
  </si>
  <si>
    <t>DIGOXIN</t>
  </si>
  <si>
    <t>RAPID DRUG SCREEN (URINE)</t>
  </si>
  <si>
    <t>GENTAMICIN</t>
  </si>
  <si>
    <t>PHENOBARBITAL</t>
  </si>
  <si>
    <t>PHENYTOIN T</t>
  </si>
  <si>
    <t>THEOPHYLINE</t>
  </si>
  <si>
    <t>SALICYLATES</t>
  </si>
  <si>
    <t>VALPROIC ACID</t>
  </si>
  <si>
    <t>ACTH, PLASMA</t>
  </si>
  <si>
    <t>ALDOSTERONE</t>
  </si>
  <si>
    <t>CITRATE 24 HR URINE</t>
  </si>
  <si>
    <t>CREATININE 12 OR 24 HOUR URINE</t>
  </si>
  <si>
    <t>CORTISOL TOTAL</t>
  </si>
  <si>
    <t>ERYTHROPOITIN</t>
  </si>
  <si>
    <t>FERRITIN</t>
  </si>
  <si>
    <t>FOLATE SERUM</t>
  </si>
  <si>
    <t>VIT B12</t>
  </si>
  <si>
    <t>FSH</t>
  </si>
  <si>
    <t>GLUCAGON</t>
  </si>
  <si>
    <t>G6PD</t>
  </si>
  <si>
    <t>INSULIN TOTAL</t>
  </si>
  <si>
    <t>LH</t>
  </si>
  <si>
    <t>PROLACTIN</t>
  </si>
  <si>
    <t>TESTOSTERONE TOTAL</t>
  </si>
  <si>
    <t>TESTOSTERONE FREE</t>
  </si>
  <si>
    <t>TSH</t>
  </si>
  <si>
    <t>T4 TOTAL</t>
  </si>
  <si>
    <t>FREE T4</t>
  </si>
  <si>
    <t>T3, TOTAL</t>
  </si>
  <si>
    <t>FREE T3</t>
  </si>
  <si>
    <t>VMA</t>
  </si>
  <si>
    <t>METANEPHRINE TOTAL</t>
  </si>
  <si>
    <t>CPK TOTAL</t>
  </si>
  <si>
    <t>D.DIMER</t>
  </si>
  <si>
    <t>D-DIMER; QUANTITATIVE</t>
  </si>
  <si>
    <t>FACTOR II</t>
  </si>
  <si>
    <t>FACTOR V</t>
  </si>
  <si>
    <t>FACTOR X</t>
  </si>
  <si>
    <t>FIBRINOGEN (CLAUSS)</t>
  </si>
  <si>
    <t>HOMOCYSTEINE</t>
  </si>
  <si>
    <t>PTT</t>
  </si>
  <si>
    <t>PT</t>
  </si>
  <si>
    <t>TROPONIN I</t>
  </si>
  <si>
    <t>ANCA (IFA)</t>
  </si>
  <si>
    <t>ANA</t>
  </si>
  <si>
    <t>COMPLEMENT CH50</t>
  </si>
  <si>
    <t>COMPLEMENT C3 CONC.</t>
  </si>
  <si>
    <t>COMPLEMENT C4 CONC.</t>
  </si>
  <si>
    <t>MITOCHONDRIAL AB (IFA)</t>
  </si>
  <si>
    <t>RF</t>
  </si>
  <si>
    <t>SCL-70 AB</t>
  </si>
  <si>
    <t>GBM AB EIA</t>
  </si>
  <si>
    <t>PSA TOTAL</t>
  </si>
  <si>
    <t>MICROALBUMIN URINE</t>
  </si>
  <si>
    <t>ANTI DNASE B</t>
  </si>
  <si>
    <t>ASO</t>
  </si>
  <si>
    <t>CD4 &amp; CD8 COUNT</t>
  </si>
  <si>
    <t>CERULOPLASMIN</t>
  </si>
  <si>
    <t>ARC-COLD AGGLUTININ</t>
  </si>
  <si>
    <t>CRP</t>
  </si>
  <si>
    <t>HAPTOGLOBIN; QUANTITATIVE</t>
  </si>
  <si>
    <t>IGE</t>
  </si>
  <si>
    <t>LDH SEPARATION &amp; QUANT</t>
  </si>
  <si>
    <t>PROTEIN ELECTROPHOR FRACT &amp; QT</t>
  </si>
  <si>
    <t>PREALBUMIN</t>
  </si>
  <si>
    <t>TRANSFERRIN</t>
  </si>
  <si>
    <t>ALPHA FETOPROTEIN (AFP)</t>
  </si>
  <si>
    <t>CA19.9</t>
  </si>
  <si>
    <t>CA 125</t>
  </si>
  <si>
    <t>CEA</t>
  </si>
  <si>
    <t>GRAM STAIN</t>
  </si>
  <si>
    <t>WET MOUNT</t>
  </si>
  <si>
    <t>ALBUMIN</t>
  </si>
  <si>
    <t>ALK PHOSPHATASE</t>
  </si>
  <si>
    <t>AMYLASE</t>
  </si>
  <si>
    <t>ALT</t>
  </si>
  <si>
    <t>AST</t>
  </si>
  <si>
    <t>BILIRUBIN TOTAL</t>
  </si>
  <si>
    <t>CALCIUM TOTAL</t>
  </si>
  <si>
    <t>CO2</t>
  </si>
  <si>
    <t>CHLORIDE BLOOD</t>
  </si>
  <si>
    <t>CPK MB FRACTION</t>
  </si>
  <si>
    <t>CREATNINE/SERUM</t>
  </si>
  <si>
    <t>CHOLESTEROL</t>
  </si>
  <si>
    <t>GLUCOSE WHOLE BLOOD P.O.C.T.</t>
  </si>
  <si>
    <t>GGT</t>
  </si>
  <si>
    <t>HDL</t>
  </si>
  <si>
    <t>LACTATE</t>
  </si>
  <si>
    <t>MAGNESIUM</t>
  </si>
  <si>
    <t>PHOSPHORUS</t>
  </si>
  <si>
    <t>POTASSIUM</t>
  </si>
  <si>
    <t>SODIUM</t>
  </si>
  <si>
    <t>PROTEIN TOTAL &amp; PROTEIN ELECTR</t>
  </si>
  <si>
    <t>TRIGLYCERIDES</t>
  </si>
  <si>
    <t>UREA NITROGEN QUANT</t>
  </si>
  <si>
    <t>URIC ACID</t>
  </si>
  <si>
    <t>URINALYSIS</t>
  </si>
  <si>
    <t>URINE / CSF T. PROTEIN</t>
  </si>
  <si>
    <t>HCG SERUM QUANT.</t>
  </si>
  <si>
    <t>BHCG SERUM/QUAL.</t>
  </si>
  <si>
    <t>CBC</t>
  </si>
  <si>
    <t>ABO GP</t>
  </si>
  <si>
    <t>RH TYPE</t>
  </si>
  <si>
    <t>HGB ELEC</t>
  </si>
  <si>
    <t>LITHIUM</t>
  </si>
  <si>
    <t>HGB A1C</t>
  </si>
  <si>
    <t>BASIC METABOLIC PANEL</t>
  </si>
  <si>
    <t>COMPREHENSIVE METABOLIC PANEL</t>
  </si>
  <si>
    <t>ELECTROLYTE PANEL</t>
  </si>
  <si>
    <t>HEPATITIS PANEL (B &amp; A)</t>
  </si>
  <si>
    <t>LIPID EVALUATION</t>
  </si>
  <si>
    <t>BILIRUBIN DIRECT</t>
  </si>
  <si>
    <t>VENIPUNCTURE, ROUTINE</t>
  </si>
  <si>
    <t>U.A. MICRO</t>
  </si>
  <si>
    <t>ACETONE QUALITATIVE</t>
  </si>
  <si>
    <t>URINE MICRO ALBUMIN</t>
  </si>
  <si>
    <t>AMMONIA</t>
  </si>
  <si>
    <t>OCCULT BLOOD FECES/SCREENING</t>
  </si>
  <si>
    <t>VITAMIN D (25-OH)</t>
  </si>
  <si>
    <t>CALCIUM, IONIZED</t>
  </si>
  <si>
    <t>CALCIUM URINE 24HR QUANT</t>
  </si>
  <si>
    <t>URINE CHLORIDE, RANDOM</t>
  </si>
  <si>
    <t>AMIODARONE</t>
  </si>
  <si>
    <t>CORTISOL, 24 HOUR URINE, FREE</t>
  </si>
  <si>
    <t>IRON, TOTAL</t>
  </si>
  <si>
    <t>LDH</t>
  </si>
  <si>
    <t>LIPASE</t>
  </si>
  <si>
    <t>DIRECT LDL CHOL-WC</t>
  </si>
  <si>
    <t>SERUM OSMOLALITY</t>
  </si>
  <si>
    <t>URINE OSMOLALITY</t>
  </si>
  <si>
    <t>T3 UPTAKE RATIO</t>
  </si>
  <si>
    <t>KAPPA LIGHT CHAN</t>
  </si>
  <si>
    <t>BLEEDING TIME</t>
  </si>
  <si>
    <t>DIFFERENTIAL, MANUAL</t>
  </si>
  <si>
    <t>HEMATOCRIT</t>
  </si>
  <si>
    <t>HEMOGLOBIN</t>
  </si>
  <si>
    <t>HEMOGRAM AUTO CBC</t>
  </si>
  <si>
    <t>RETICULOCYTE COUNT MANUAL</t>
  </si>
  <si>
    <t>ACID HEMOLYSIS</t>
  </si>
  <si>
    <t>PLATELET COUNT, AUTO</t>
  </si>
  <si>
    <t>SED RATE-WESTERGREN</t>
  </si>
  <si>
    <t>HEPATITIS B SURFACE ANTIBODY</t>
  </si>
  <si>
    <t>HEPATITIS BE AB</t>
  </si>
  <si>
    <t>MONO-SPOT</t>
  </si>
  <si>
    <t>IMMUNOGLOBULIN, QUANT</t>
  </si>
  <si>
    <t>MICROSOMAL ANTIBODY</t>
  </si>
  <si>
    <t>RPR</t>
  </si>
  <si>
    <t>CRYPTOCOCCUS TITER</t>
  </si>
  <si>
    <t>HIV (1 &amp; 2) ANTIBODY</t>
  </si>
  <si>
    <t>MYCOPLASMA PNEUMO AB, IGM</t>
  </si>
  <si>
    <t>MYCOPLASMA PNEUMO AB,IGG</t>
  </si>
  <si>
    <t>ANTIBODY SCREEN</t>
  </si>
  <si>
    <t>DAT (COOMBS)</t>
  </si>
  <si>
    <t>CROSSMATCH</t>
  </si>
  <si>
    <t>BLOOD CULTURE 1 SETUP</t>
  </si>
  <si>
    <t>STOOL CULTR SALM/SHIG/ECOLI/CA</t>
  </si>
  <si>
    <t>AEROBIC ENVIROMENTAL CULTURE</t>
  </si>
  <si>
    <t>CULTURE AEROBIC WOUND R/O MRSA</t>
  </si>
  <si>
    <t>AEROBIC/ANAEROBIC CULTURE</t>
  </si>
  <si>
    <t>B-STREP CULTURE</t>
  </si>
  <si>
    <t>CULTURE FOR GC ONLY</t>
  </si>
  <si>
    <t>YERSINIA CULTURE</t>
  </si>
  <si>
    <t>AFB ISOLATION ONLY</t>
  </si>
  <si>
    <t>CHLAMYDIA, CULTURE</t>
  </si>
  <si>
    <t>OVA &amp; PARASITE, STOOL</t>
  </si>
  <si>
    <t>OVA &amp; PARA NON STOOL</t>
  </si>
  <si>
    <t>SENS CONFIRM DISK METHOD</t>
  </si>
  <si>
    <t>MIC SUSCEPTIBILITY</t>
  </si>
  <si>
    <t>AFB SUSCPTBLTY MIC PANEL</t>
  </si>
  <si>
    <t>FUNGAL SMEAR ONLY (KOH PREP)</t>
  </si>
  <si>
    <t>AFB SMEAR</t>
  </si>
  <si>
    <t>HERPES SIMPLEX DFA</t>
  </si>
  <si>
    <t>CMV - CULTURE</t>
  </si>
  <si>
    <t>HIV-1 CULTURE (11)</t>
  </si>
  <si>
    <t>HSV CULTURE</t>
  </si>
  <si>
    <t>VIRAL CULTURE</t>
  </si>
  <si>
    <t>CYTOCENT, BLOOD</t>
  </si>
  <si>
    <t>CYTOPREP, BONE MARROW</t>
  </si>
  <si>
    <t>ANTI-GRANULOCYTE AD</t>
  </si>
  <si>
    <t>GLOMERULAR BASEMENT</t>
  </si>
  <si>
    <t>CELL COUNT MISC FLUID W/O DIFF</t>
  </si>
  <si>
    <t>CYTOCENTRIFUGE SMEAR W/DIFF</t>
  </si>
  <si>
    <t>MEAT FIBER FECES</t>
  </si>
  <si>
    <t>NASAL SMEAR FOR EOSINOPHILS</t>
  </si>
  <si>
    <t>SEMEN COUNT / PRESENCE</t>
  </si>
  <si>
    <t>SEMEN MORPH / MOTLITY /COUNT</t>
  </si>
  <si>
    <t>SEMEN MOTILITY ANALYSIS</t>
  </si>
  <si>
    <t>DRUG SCREEN SPECIAL HANDLING</t>
  </si>
  <si>
    <t>ANAEROBIC ID</t>
  </si>
  <si>
    <t>AEROBIC ID</t>
  </si>
  <si>
    <t>C. DIFFICILE TOXIN</t>
  </si>
  <si>
    <t>CHLAMYDIA/NEISSERIA GONORRHOE</t>
  </si>
  <si>
    <t>FUNGUS CULTURE, BLOOD</t>
  </si>
  <si>
    <t>YEAST/FUNGAL CULTURE</t>
  </si>
  <si>
    <t>ABCESS CULTURE</t>
  </si>
  <si>
    <t>BIOPSY CULTURE</t>
  </si>
  <si>
    <t>CATHETER TIP CULTURE</t>
  </si>
  <si>
    <t>BODY FLUID CULTURE</t>
  </si>
  <si>
    <t>CSF CULTURE GRAM STAIN REG</t>
  </si>
  <si>
    <t>GENITAL CULTURE</t>
  </si>
  <si>
    <t>NEISSERIA CULTURE</t>
  </si>
  <si>
    <t>RESPIRATORY CULTURE</t>
  </si>
  <si>
    <t>URINE CULTURE</t>
  </si>
  <si>
    <t>CULTURE RESPIRATORY</t>
  </si>
  <si>
    <t>GTT-FASTING</t>
  </si>
  <si>
    <t>GTT POST GLUCOSE</t>
  </si>
  <si>
    <t>GTT SPECIMEN BEYOND 3</t>
  </si>
  <si>
    <t>CREATININE 24 HR CLEARANCE</t>
  </si>
  <si>
    <t>HEPATIC PANEL LIVER FUNCTION</t>
  </si>
  <si>
    <t>FOLATE RBC</t>
  </si>
  <si>
    <t>IRON BINDING CAPACITY</t>
  </si>
  <si>
    <t>HEPATITIS B SURFACE ANTIGEN</t>
  </si>
  <si>
    <t>BRAIN NATRIURETIC PEPTIDE</t>
  </si>
  <si>
    <t>EHIV QUALITATIVE SCREEN</t>
  </si>
  <si>
    <t>INTACT PARATHYROID HORMONE</t>
  </si>
  <si>
    <t>THYROGLOBULIN ANTIBODIES</t>
  </si>
  <si>
    <t>TOXOPLASMA ANTIBODY IGG</t>
  </si>
  <si>
    <t>BHCG QUAL PREG TEST</t>
  </si>
  <si>
    <t>CHLAMYDOPHILA PNEUMONIAE AB IG</t>
  </si>
  <si>
    <t>HEPARIN-INDUCED PLATELET ANTIB</t>
  </si>
  <si>
    <t>EAR CULTURE</t>
  </si>
  <si>
    <t>FLUID CELL COUNT</t>
  </si>
  <si>
    <t>DIFFERENTIAL COUNT, FLUID</t>
  </si>
  <si>
    <t>BORDETELLA</t>
  </si>
  <si>
    <t>TOTAL CELL COUNT-CSF</t>
  </si>
  <si>
    <t>DIFFERENTIAL COUNT, CSF</t>
  </si>
  <si>
    <t>EYE CULTURE</t>
  </si>
  <si>
    <t>FUNGAL SKIN CULTURE</t>
  </si>
  <si>
    <t>FUNGAL IDENTIFICATION</t>
  </si>
  <si>
    <t>ETHANOL, SERUM</t>
  </si>
  <si>
    <t>RBC LEUKO REDUCED</t>
  </si>
  <si>
    <t>GLUCOSE BODY FLUID NOT BLOOD</t>
  </si>
  <si>
    <t>CRYOPRECIPITATE</t>
  </si>
  <si>
    <t>FRESH FROZEN PLASMA</t>
  </si>
  <si>
    <t>PLATELETPHERESIS</t>
  </si>
  <si>
    <t>ACTIN AB IGG QUAL OR SEMIQUANT</t>
  </si>
  <si>
    <t>GAMMAGLOBULN IGA IGD IGG IGM E</t>
  </si>
  <si>
    <t>ANA TITER</t>
  </si>
  <si>
    <t>B CELLS, TOTAL COUNT</t>
  </si>
  <si>
    <t>BLOOD COUNT RBC AUTOMATED</t>
  </si>
  <si>
    <t>CALCULUS, STONE, ASSAY</t>
  </si>
  <si>
    <t>C-REACTIVE PROTEIN HIGH SENS</t>
  </si>
  <si>
    <t>HEMOGLOBINOPATHY</t>
  </si>
  <si>
    <t>HSV QUANTIFICATION</t>
  </si>
  <si>
    <t>HIV-1 RNA BY BDNA</t>
  </si>
  <si>
    <t>HIV-2 PCR AMPL PROBE TECHNIQUE</t>
  </si>
  <si>
    <t>MITOCHONDRIAL ANTIBODY WITH</t>
  </si>
  <si>
    <t>NATURAL KILLER CELLS TOTAL CT</t>
  </si>
  <si>
    <t>NEISSERIA GONORRHOEAE AMPL PRO</t>
  </si>
  <si>
    <t>PROTEIN TOTAL EXC REFRACTOMETR</t>
  </si>
  <si>
    <t>SPECTROPHOTOMETRY</t>
  </si>
  <si>
    <t>T CELLS ABSOLUTE CD4 COUNT</t>
  </si>
  <si>
    <t>T CELLS, TOTAL COUNT</t>
  </si>
  <si>
    <t>TOBRAMYCIN TROUGH</t>
  </si>
  <si>
    <t>VANCOMYCIN RANDOM</t>
  </si>
  <si>
    <t>SENSITIVITY #1</t>
  </si>
  <si>
    <t>HANDLING FEE SENT OUT</t>
  </si>
  <si>
    <t>GLUTAMINE</t>
  </si>
  <si>
    <t>NEURONTIN (GABAPENTIN)</t>
  </si>
  <si>
    <t>24H URINE OXALATE</t>
  </si>
  <si>
    <t>CMV PCR,CSF</t>
  </si>
  <si>
    <t>CRYPTOSPORIDIUM</t>
  </si>
  <si>
    <t>DRUG SCREEN COMPLETE</t>
  </si>
  <si>
    <t>FIBRIN SPLIT PRODUCTS</t>
  </si>
  <si>
    <t>GC/CHLAMYDIA AMPLIFIED</t>
  </si>
  <si>
    <t>HCV GENOTYPE</t>
  </si>
  <si>
    <t>HELPER/SUPRESSOR</t>
  </si>
  <si>
    <t>HERPES, CSF</t>
  </si>
  <si>
    <t>HIV-1 PCR, QUANTIFICATION</t>
  </si>
  <si>
    <t>IMMUNOFIXATION, SERUM</t>
  </si>
  <si>
    <t>KEPPRA</t>
  </si>
  <si>
    <t>LAMOTRIGINE</t>
  </si>
  <si>
    <t>OSMOLALITY</t>
  </si>
  <si>
    <t>OXCARBAZEPINE</t>
  </si>
  <si>
    <t>PHOSPHATES</t>
  </si>
  <si>
    <t>RAST ALLERGY</t>
  </si>
  <si>
    <t>IMMUNOFIXATION (IFE) URINE</t>
  </si>
  <si>
    <t>URINE P.E.P. 24 HR.</t>
  </si>
  <si>
    <t>VIT D (1,25)</t>
  </si>
  <si>
    <t>TRILEPTAL LEVEL</t>
  </si>
  <si>
    <t>HEPATATIS B CORE (IGG AND IGM)</t>
  </si>
  <si>
    <t>RUBEOLA (MEASLES) IGG AND IGM</t>
  </si>
  <si>
    <t>DADE INNOVIN</t>
  </si>
  <si>
    <t>ACTIN FSL</t>
  </si>
  <si>
    <t>DADE ACTIN FSL ACTIVATED PTT</t>
  </si>
  <si>
    <t>CA CLEAN 1</t>
  </si>
  <si>
    <t>CA CLEAN 2</t>
  </si>
  <si>
    <t>CELL CELAN AUTO 20X 4ML</t>
  </si>
  <si>
    <t>XN-L CHECK; 12X30 ML 3 LEVELS</t>
  </si>
  <si>
    <t>FLUOROCELL RET 2 X 12ML</t>
  </si>
  <si>
    <t>CELLPACK DFL 2 X 15L</t>
  </si>
  <si>
    <t>FLUOROCELL WDF 2 X 42ML</t>
  </si>
  <si>
    <t>LYSERCELL WDF 5L</t>
  </si>
  <si>
    <t>SULFOLYSER 2 X 1.5L</t>
  </si>
  <si>
    <t>CELLPACK DCL 10L</t>
  </si>
  <si>
    <t>XN-L CHECK 12 X 30ML 3 LEVELS</t>
  </si>
  <si>
    <t>CELL CLEAN AUTO 20 X 4ML</t>
  </si>
  <si>
    <t>CELLPACK DCL 20L</t>
  </si>
  <si>
    <t>PURITAN WOOD APPLICATION STICK</t>
  </si>
  <si>
    <t>POLYMEDCO SEDIPLAST WESTERGREN</t>
  </si>
  <si>
    <t>ELITECHGROUP STAT REAG A RINSE</t>
  </si>
  <si>
    <t>ELITECHGROUP AEROSPRAY STAT</t>
  </si>
  <si>
    <t>FOX WEST SALES OPTICAL LENS</t>
  </si>
  <si>
    <t>KIMTECH SCIENCE KIMWIPES 280</t>
  </si>
  <si>
    <t>FISHERRBAND LENS PAPER</t>
  </si>
  <si>
    <t>URISYSTEM DECISLIDE</t>
  </si>
  <si>
    <t>C-CHIP DISPOSABLE HEMOCYTOMETE</t>
  </si>
  <si>
    <t>ESR-CHEX</t>
  </si>
  <si>
    <t>MINI CUBE ANALYZER</t>
  </si>
  <si>
    <t>BLUETOOTH PRINTER</t>
  </si>
  <si>
    <t>BARCODE SCANNER</t>
  </si>
  <si>
    <t>ESR-CHEX PLUS CONTROL</t>
  </si>
  <si>
    <t>HIV GENOTYPE</t>
  </si>
  <si>
    <t>HCV VIRAL LOAD</t>
  </si>
  <si>
    <t>HIV INTEGRASE INHIBITOR GENOTY</t>
  </si>
  <si>
    <t>GN TEST KIT VTK 2</t>
  </si>
  <si>
    <t>GP TEST KIT VTK 2</t>
  </si>
  <si>
    <t>YST TEST KIT VTK 2</t>
  </si>
  <si>
    <t>BACT/ALERT SA</t>
  </si>
  <si>
    <t>BACT/ALERT SN</t>
  </si>
  <si>
    <t>AST-YS09 TEST KIT</t>
  </si>
  <si>
    <t>VITEK 2 GN &amp; GP &amp; N AST CARDS</t>
  </si>
  <si>
    <t>CHROMID MRSA</t>
  </si>
  <si>
    <t>XPRESS SARS COV-2</t>
  </si>
  <si>
    <t>FINNTIP 100 UNIVERSAL PIPETTE</t>
  </si>
  <si>
    <t>CEFINASE</t>
  </si>
  <si>
    <t>DISPOSABLE INOCULATING LOOPS</t>
  </si>
  <si>
    <t>BD BBL MYCOFLASK TRIPTICASE</t>
  </si>
  <si>
    <t>BD BBL STAPHYLOSLIDE LATEX</t>
  </si>
  <si>
    <t>THERMO SCIENTIFIC BLOOD AGAR</t>
  </si>
  <si>
    <t>THERMO SCIENTIFIC REMEL CAMPY</t>
  </si>
  <si>
    <t>THERMO SCIENTIFIC REMEL HE</t>
  </si>
  <si>
    <t>THERMO SCIENTIFIC CHOCOLATE</t>
  </si>
  <si>
    <t>THERMO SCIENTIFIC MUELLER</t>
  </si>
  <si>
    <t>FISHERBRAND DISPOSBALE INOCULA</t>
  </si>
  <si>
    <t>THERMO SCIENTIFIC REMEL THAYER</t>
  </si>
  <si>
    <t>THERMO SCIENTIFIC REMEL THIOGL</t>
  </si>
  <si>
    <t>THERMO SCIENTIFIC REMEL BHI</t>
  </si>
  <si>
    <t>THERMO SCIENTIFIC PHENYLETHYL</t>
  </si>
  <si>
    <t>THERMO SCIENTIFIC COLUMBIA</t>
  </si>
  <si>
    <t>THERMO SCIENTIFIC SELENITE</t>
  </si>
  <si>
    <t>IMMUNOCARD TOXIN A &amp; B</t>
  </si>
  <si>
    <t>THERMO SCIENTIFIC STREPTOCOCCA</t>
  </si>
  <si>
    <t>THERMO SCIENTIFIC REMEL MCFARL</t>
  </si>
  <si>
    <t>GRAM IODINE</t>
  </si>
  <si>
    <t>GRAM DECOLORIZER</t>
  </si>
  <si>
    <t>GRAM SAFRANIN</t>
  </si>
  <si>
    <t>BD BBL SENSI DISC SUSCEPTIBILI</t>
  </si>
  <si>
    <t>BD BBL SUSEPT TEST DISK</t>
  </si>
  <si>
    <t>BD BLL SENSI DISC SUSCEPTIBILI</t>
  </si>
  <si>
    <t>BD BBL SUSCEPTIBILITY TEST DIS</t>
  </si>
  <si>
    <t>XPRESS 4PLEX SARS/FLU/RSV</t>
  </si>
  <si>
    <t>KOVA-TROL III</t>
  </si>
  <si>
    <t>KOVA ECONOMY TUBE</t>
  </si>
  <si>
    <t>MULTISTIX 10G</t>
  </si>
  <si>
    <t>CLINITEK MICROALBUMIN 2</t>
  </si>
  <si>
    <t>ALMTAB REDUCING SUBSTANCE TABL</t>
  </si>
  <si>
    <t>SULFOSALICYLIC ACID, 10% AQUEO</t>
  </si>
  <si>
    <t>MULTISTIX 10G REAGENT BOX</t>
  </si>
  <si>
    <t>MULTISTIX 10G REAGENT CASE</t>
  </si>
  <si>
    <t>AIMTAB KETONE TABLETS</t>
  </si>
  <si>
    <t>GLU CONTROL 1</t>
  </si>
  <si>
    <t>GLU CONTROL 3</t>
  </si>
  <si>
    <t>STATSTRIP XPRESS GLU-TEST</t>
  </si>
  <si>
    <t>CALR MUTATION</t>
  </si>
  <si>
    <t>MPL MUTATION</t>
  </si>
  <si>
    <t>SMEAR-CYTOLOGY</t>
  </si>
  <si>
    <t>MILLIPORE FILTRATION</t>
  </si>
  <si>
    <t>PAP SMEAR CV</t>
  </si>
  <si>
    <t>TISSUE GRS ONLY LEVI</t>
  </si>
  <si>
    <t>SURG PATH</t>
  </si>
  <si>
    <t>TISSUE EXAM LEV3</t>
  </si>
  <si>
    <t>TISSUE EXAM LEV4</t>
  </si>
  <si>
    <t>TISSUE EXAM LEV5</t>
  </si>
  <si>
    <t>TISSUE EXAM LEV6</t>
  </si>
  <si>
    <t>DECALCIFICATIONS</t>
  </si>
  <si>
    <t>STAINS, SPECIAL GRT</t>
  </si>
  <si>
    <t xml:space="preserve">FLOW CYTOMETRY,  FIRST MARKER </t>
  </si>
  <si>
    <t>FLOW CYTOMETRY,  ADDITIONAL MA</t>
  </si>
  <si>
    <t>FLOW CYTOMETRY, INTERPRETATION</t>
  </si>
  <si>
    <t>FLOW CYTOMETRY NTERPRETATION 1</t>
  </si>
  <si>
    <t>IMMUNOHISTOCHEMISTRY QUANTITAT</t>
  </si>
  <si>
    <t>IMMUNOHISTOCHEMISTRY IMAGE ANA</t>
  </si>
  <si>
    <t>IN SITU HYBRIDIZATION EACH PRO</t>
  </si>
  <si>
    <t>IN SITU HYBRIDIZATION QUANT,EA</t>
  </si>
  <si>
    <t>CYTOSPIN OR THINPREP</t>
  </si>
  <si>
    <t>O.R. CONSULT</t>
  </si>
  <si>
    <t>CYTO, SMEAR, ANY SOURCE</t>
  </si>
  <si>
    <t>CYTO, SMEAR, EXTENSIVE STUDY</t>
  </si>
  <si>
    <t>CYTO,GYN,BTHSDA W/MAN SCRNING</t>
  </si>
  <si>
    <t>FNA, IMMEDIATE STUDY</t>
  </si>
  <si>
    <t>FNA, INTERPRETATION</t>
  </si>
  <si>
    <t>PATH GROSS ONLY, LEVEL I</t>
  </si>
  <si>
    <t>PATH G&amp;M, LEVEL II</t>
  </si>
  <si>
    <t>PATH G&amp;M, LEVEL III</t>
  </si>
  <si>
    <t>PATH G&amp;M, LEVEL IV</t>
  </si>
  <si>
    <t>FROZEN SECTION OR</t>
  </si>
  <si>
    <t>PATH DECALCIFICATION</t>
  </si>
  <si>
    <t>PATH SPEC STAIN, MICROORG</t>
  </si>
  <si>
    <t>PATH FROZEN SEC.</t>
  </si>
  <si>
    <t>PATH ADDITIONAL FROZEN SEC.</t>
  </si>
  <si>
    <t>PATH IMMUNO E/ANTIBODY</t>
  </si>
  <si>
    <t>ADD FROZEN SECTION</t>
  </si>
  <si>
    <t>CYTO FLUID WASH OR BR, SMEAR</t>
  </si>
  <si>
    <t>CELL CNT, BODY FLUIDS</t>
  </si>
  <si>
    <t>CELL COUNT, CSF</t>
  </si>
  <si>
    <t>ARC- ANTIBODY SCREEN</t>
  </si>
  <si>
    <t>ARC- ANTIBODY IDENTIFICATION,</t>
  </si>
  <si>
    <t>ARC - DAT EACH ANTISERA</t>
  </si>
  <si>
    <t>ARC - ANTIBODY IDENTIFICATION,</t>
  </si>
  <si>
    <t>ARC - TITRATION, EACH</t>
  </si>
  <si>
    <t>ARC-ABO TYPE</t>
  </si>
  <si>
    <t>ARC - RH TYPE</t>
  </si>
  <si>
    <t>ARC - ANTIGEN TYPE, PER ANTIGE</t>
  </si>
  <si>
    <t>ARC - PRESCREEN UNIT USING PAT</t>
  </si>
  <si>
    <t>ARC - PATIENT RBC PHENOTYPE, N</t>
  </si>
  <si>
    <t>ARC - RH PHENOTYPE COMPLETE (D</t>
  </si>
  <si>
    <t>ARC - PRETREATMENT WITH ENZYME</t>
  </si>
  <si>
    <t>ARC - SAMPLE TRANSPORTATION</t>
  </si>
  <si>
    <t>ARC - CALL IN FREE,HR RATE,REF</t>
  </si>
  <si>
    <t>RED CELLS (WASHED)</t>
  </si>
  <si>
    <t>O_N RED BLOOD CELL SURCHARGE</t>
  </si>
  <si>
    <t>APHERESIS PLATELETS</t>
  </si>
  <si>
    <t>APHERESIS PLATELETS - PATHOGEN</t>
  </si>
  <si>
    <t>24 HOUR PLASMA</t>
  </si>
  <si>
    <t>AB PLASMA SURCHARGE</t>
  </si>
  <si>
    <t>CRYOPRECIPITATE (SINGLE)</t>
  </si>
  <si>
    <t>AB CRYO SURCHARGE</t>
  </si>
  <si>
    <t>PLATELETS IRRADIATED</t>
  </si>
  <si>
    <t>CRYO POOLS - AB SURCHARGE</t>
  </si>
  <si>
    <t>IRRADATION CHARGE</t>
  </si>
  <si>
    <t>WASHED FEE</t>
  </si>
  <si>
    <t>DEGLYCED FEE</t>
  </si>
  <si>
    <t>AUTO FEE</t>
  </si>
  <si>
    <t>DIRD FEE</t>
  </si>
  <si>
    <t>UNSCHEDULED DELIVERY</t>
  </si>
  <si>
    <t>EXPIDITED PROCESSING FEE</t>
  </si>
  <si>
    <t>PLATELETS PHERESIS LEUKO RED</t>
  </si>
  <si>
    <t>HLA SELECT XMAT PLT;PLT</t>
  </si>
  <si>
    <t>PLT AG NEG/ OTHER COMP HLA</t>
  </si>
  <si>
    <t>HLA SELECT PLT CAT1; HLA</t>
  </si>
  <si>
    <t>HPA-LA/PLA 1 NEG PLT HLA</t>
  </si>
  <si>
    <t>PLT AG NEG/ NOT HPA LA NGA</t>
  </si>
  <si>
    <t>HLA STAT PRODUCT, ROUTINE</t>
  </si>
  <si>
    <t>HLA STAT PRODUCT, NON-ROUTINE</t>
  </si>
  <si>
    <t>HLA STAT SAMPLE ROUTINE HOURS</t>
  </si>
  <si>
    <t>HLA STAT SAMPLE, NON-ROUTINE</t>
  </si>
  <si>
    <t>PLATELET CROSSMATCH, PER TEST</t>
  </si>
  <si>
    <t>HLA, SINGLE ANTIGEN</t>
  </si>
  <si>
    <t>RBC DEGLYCEROLIZED</t>
  </si>
  <si>
    <t>PLATELETS PHER LR CMV-NEG IRRA</t>
  </si>
  <si>
    <t>BLOOD ADMINISTRATION</t>
  </si>
  <si>
    <t>TYPE &amp; SCREEN</t>
  </si>
  <si>
    <t>SPUTUM CULTURE</t>
  </si>
  <si>
    <t>STREP A</t>
  </si>
  <si>
    <t>STREP B</t>
  </si>
  <si>
    <t>WOUND CULTURE WITH GRAM STAIN</t>
  </si>
  <si>
    <t>ABO &amp; RH</t>
  </si>
  <si>
    <t>SPUTUM AFB</t>
  </si>
  <si>
    <t>SPUTUM AFB SMEAR + CULTURE</t>
  </si>
  <si>
    <t>QUANTIFERON GOLD TEST</t>
  </si>
  <si>
    <t>T SPOT</t>
  </si>
  <si>
    <t>AFB BLOOD CULTURE</t>
  </si>
  <si>
    <t>AFB STOOL CULTURE</t>
  </si>
  <si>
    <t>SARCOPTES SCABEI</t>
  </si>
  <si>
    <t>NUCLEIC ACID TESTS</t>
  </si>
  <si>
    <t>SEROLOGY COVI-19</t>
  </si>
  <si>
    <t>SEROTONIN RELEASE ASSAY (SRA),</t>
  </si>
  <si>
    <t>SARS COV-2 ANTIGEN TESTING</t>
  </si>
  <si>
    <t>VANCMYCIN RESISTANT ENTEROCOC</t>
  </si>
  <si>
    <t>CARBAPENEM RESISTANT ENTEROBAC</t>
  </si>
  <si>
    <t>DRUG MONIT FENTANYL QUANT URIN</t>
  </si>
  <si>
    <t>CLINITEK STATUS+ ANALYZER</t>
  </si>
  <si>
    <t>PH BODY FLUID</t>
  </si>
  <si>
    <t>ACETYLCHOLINE RECEPTOR BINDING</t>
  </si>
  <si>
    <t>MALARIA AND BLOOD PARASITTES</t>
  </si>
  <si>
    <t>ACETONE SERUM</t>
  </si>
  <si>
    <t>ARC- ELUTION</t>
  </si>
  <si>
    <t>ARC - STAT SAMPLE TRANSPORT</t>
  </si>
  <si>
    <t>ARC - RH PHENOTYPING</t>
  </si>
  <si>
    <t>ARC - AG SCREEN W/ PT SERUM</t>
  </si>
  <si>
    <t>ARC - CALL IN FEE/UNSCHEDULED</t>
  </si>
  <si>
    <t>ARC - GEL RED CELL PREP EACH</t>
  </si>
  <si>
    <t>DNA (DS) ANTIBODY</t>
  </si>
  <si>
    <t>RESPIRATORY 2 PANEL (RP2)</t>
  </si>
  <si>
    <t>PCR BLOOD CULTURE PANEL</t>
  </si>
  <si>
    <t>MYOCARDIAL ANTIBODY SCREEN W/</t>
  </si>
  <si>
    <t>ALCOHOL, ETHYL</t>
  </si>
  <si>
    <t>MYOGLOBIN, URINE</t>
  </si>
  <si>
    <t>PROTEIN ELECTROPHORESIS</t>
  </si>
  <si>
    <t>PROINSULIN</t>
  </si>
  <si>
    <t>MYCOPLASMA HOMINIS/UREAPLASMA</t>
  </si>
  <si>
    <t>VITAMIN B6, PLASMA</t>
  </si>
  <si>
    <t>PROTEIN S ANTIGEN, TOTAL</t>
  </si>
  <si>
    <t>LUPUS ANTICOAGULANT EVALUATION</t>
  </si>
  <si>
    <t>LYMPHOCYTE SUBSET PANEL 3</t>
  </si>
  <si>
    <t>LYMPHOCYTE SUBSET PANEL 4</t>
  </si>
  <si>
    <t>LYMPHOCYTE SUBSET PANEL 5</t>
  </si>
  <si>
    <t>CYTOMEGALOVIRUS ANTIBODY IGM</t>
  </si>
  <si>
    <t>MYELOPEROXIDASE ANTIBODY</t>
  </si>
  <si>
    <t>GLIADIN DEAMIDATED AB IGG,IGA</t>
  </si>
  <si>
    <t>TISSUE TRANSGLUTAMINASE AB</t>
  </si>
  <si>
    <t>KAPPA/LAMBDA LIGHT CHAINS,</t>
  </si>
  <si>
    <t>C4 BINDING PROTEIN, SERUM</t>
  </si>
  <si>
    <t>ADAMTS13 ACTIVITY WITH REFLEX</t>
  </si>
  <si>
    <t>ASPERGILLUS ANTIGEN, EIA</t>
  </si>
  <si>
    <t>RHEUMATOID FACTOR</t>
  </si>
  <si>
    <t>FACTOR V (LEIDEN) MUTATION</t>
  </si>
  <si>
    <t>FISH, MDS/MYELOID PANEL, -5/5Q</t>
  </si>
  <si>
    <t>MTB COMPLEX, PCR, RESPIRATORY</t>
  </si>
  <si>
    <t>SEX HORMONE BINDING GLOBULIN</t>
  </si>
  <si>
    <t>PSA, FREE AND TOTAL</t>
  </si>
  <si>
    <t>PROTEINASE-3 ANTIBODY</t>
  </si>
  <si>
    <t>SUSCEPTIBILITY, ANTIMICROBIAL</t>
  </si>
  <si>
    <t>HERPES SIMPLEX VIRUS, TYPE 1</t>
  </si>
  <si>
    <t>PLATELET ANTIBODIES, INDIRECT</t>
  </si>
  <si>
    <t>INTERLEUKIN-6 (IL-6), SERUM</t>
  </si>
  <si>
    <t>HELICOBACTER PYLORI ANTIGEN,</t>
  </si>
  <si>
    <t>HEMOGLOBINOPATHY EVALUATION</t>
  </si>
  <si>
    <t>DIHYDROTESTOSTERONE, FREE,</t>
  </si>
  <si>
    <t>HPV DNA, LOW AND HIGH RISK</t>
  </si>
  <si>
    <t>OXCARBAZEPINE METABOLITE</t>
  </si>
  <si>
    <t>HEXAGONAL PHASE CONFIRMATION</t>
  </si>
  <si>
    <t>QUANTIFERON(R)-TB GOLD PLUS,</t>
  </si>
  <si>
    <t>HERPES SIMPLEX VIRUS 1/2 AB</t>
  </si>
  <si>
    <t>BCR-ABL1 GENE REARRANGEMENT,</t>
  </si>
  <si>
    <t>HISTOPLASMA GALACTOMANNAN AG</t>
  </si>
  <si>
    <t>14-3-3 ETA PROTEIN</t>
  </si>
  <si>
    <t>SURESWAB(R),MYCOPLASMA GENITAL</t>
  </si>
  <si>
    <t>PEANUT COMPONENT PANEL</t>
  </si>
  <si>
    <t>FOOD ALLERGY PANEL WITH REFLEX</t>
  </si>
  <si>
    <t>CHILDHOOD ALLERGY</t>
  </si>
  <si>
    <t>JAK2, EXON 12 MUTATION</t>
  </si>
  <si>
    <t>MOLD SUSCEPTIBILITY, 5 DRUG</t>
  </si>
  <si>
    <t>LIVER FIBROSIS, FIBROTEST-ACTI</t>
  </si>
  <si>
    <t>ALLERGY PANEL, ANIMAL GROUP</t>
  </si>
  <si>
    <t>HEPATITIS C AB W/REFLEX TO HCV</t>
  </si>
  <si>
    <t>RESPIRATORY ALLERGY PROFILE</t>
  </si>
  <si>
    <t>FOOD ALLERGY PROFILE</t>
  </si>
  <si>
    <t>BICARBONATE, URINE (0645U)</t>
  </si>
  <si>
    <t>VARICELLA-ZOSTER VIRUS (VZV)</t>
  </si>
  <si>
    <t>EOSINOPHIL CATIONIC PROTEIN</t>
  </si>
  <si>
    <t>PLASMINOGEN ACTIVITY</t>
  </si>
  <si>
    <t>CREATINE KINASE ISOENZYMES</t>
  </si>
  <si>
    <t>PROTEIN,TOTAL,WITH CREATININE</t>
  </si>
  <si>
    <t>CORTISOL, FREE AND TOTAL,</t>
  </si>
  <si>
    <t>FUNGAL IDENTIFICATION, MOLDS</t>
  </si>
  <si>
    <t>ARC- PRE-RX RBCS W/CHEMICALS/</t>
  </si>
  <si>
    <t>ARC - INDIRECT TITER, PER AB</t>
  </si>
  <si>
    <t>ARC -  DIFFERENTIAL/AUTO ADS,</t>
  </si>
  <si>
    <t>ARC -  DILUTION OF SERUM, PER</t>
  </si>
  <si>
    <t>ARC-RBC AG OTHER THAN ABO OR D</t>
  </si>
  <si>
    <t>SARS COVS TOTAL ANTIBODY SERUM</t>
  </si>
  <si>
    <t>SARS COV 2 ANTIBODIES,QUAL</t>
  </si>
  <si>
    <t>4PLEX RT PCR COVID-19</t>
  </si>
  <si>
    <t>HEPARIN - INDUCED PLATELET</t>
  </si>
  <si>
    <t>SPECIMEN COLLECTION FEE</t>
  </si>
  <si>
    <t>CULTURE URINE COLONY COUNT</t>
  </si>
  <si>
    <t>CULTURE BACTERIA ISOLATION</t>
  </si>
  <si>
    <t>SENSITIVITY FOR ORGANISM</t>
  </si>
  <si>
    <t>SUSCEPTIBILITY, KB EACH PLATE</t>
  </si>
  <si>
    <t>PSA,FREE</t>
  </si>
  <si>
    <t>WOUND CULTURE COLONY COUNT &amp;</t>
  </si>
  <si>
    <t>RT PCR XPRESS SARS COVID 2</t>
  </si>
  <si>
    <t>H PYLORI UREA BREATH TEST</t>
  </si>
  <si>
    <t>ORGANISM ID</t>
  </si>
  <si>
    <t>INFLUENZA PANEL A+B</t>
  </si>
  <si>
    <t>FACTOR VII ACTIVITY, CLOTTING</t>
  </si>
  <si>
    <t>PROTHROMBIN</t>
  </si>
  <si>
    <t>PARANEOPLASTIC ANTIBODY EXPAND</t>
  </si>
  <si>
    <t>AEROSOL MASK</t>
  </si>
  <si>
    <t>OXYGEN CANNULA</t>
  </si>
  <si>
    <t>AEROSOL DRAING BAG</t>
  </si>
  <si>
    <t>OXYGEN MAS</t>
  </si>
  <si>
    <t>CORRUGATED TUBING</t>
  </si>
  <si>
    <t>OXYGEN TUBING</t>
  </si>
  <si>
    <t>BIPAP &amp; CPAP MASK</t>
  </si>
  <si>
    <t>BALLARD SUCTION KIT</t>
  </si>
  <si>
    <t>PEAK FLOW METER</t>
  </si>
  <si>
    <t>PEEP VALVE</t>
  </si>
  <si>
    <t>HUMIFIER</t>
  </si>
  <si>
    <t>TRACH MASK</t>
  </si>
  <si>
    <t>INCENTIVE SPIROMETRY</t>
  </si>
  <si>
    <t>HME</t>
  </si>
  <si>
    <t>DOUBLE SWIVEL ELBOW</t>
  </si>
  <si>
    <t>PULSE OX PROBE</t>
  </si>
  <si>
    <t>PULMONARY FUNCTION TEST W/DLCO</t>
  </si>
  <si>
    <t>EKG 12 LEAD</t>
  </si>
  <si>
    <t>24 HOUR HOLTER RECORDING</t>
  </si>
  <si>
    <t>LEXI STRESS TEST</t>
  </si>
  <si>
    <t>ECHO 2D / M MODE</t>
  </si>
  <si>
    <t>COLOR FLOW</t>
  </si>
  <si>
    <t>ECHO STRESS</t>
  </si>
  <si>
    <t>ABG COMPLETE</t>
  </si>
  <si>
    <t>COLOR DOPPLER</t>
  </si>
  <si>
    <t>DISP AMBU BAG</t>
  </si>
  <si>
    <t>ECHO DOPPLER 2DMO</t>
  </si>
  <si>
    <t>ET TUBE HOLDER</t>
  </si>
  <si>
    <t>TEE ECHOCARDIOGRAM</t>
  </si>
  <si>
    <t>ECHO/DOBUTAMINE</t>
  </si>
  <si>
    <t>DOBUTAMINE STRESS ECHO</t>
  </si>
  <si>
    <t>HOLTER 24</t>
  </si>
  <si>
    <t>PFT-PRE &amp; POST BRONCHODILATOR</t>
  </si>
  <si>
    <t>PFT-CLOSING VOLUME</t>
  </si>
  <si>
    <t>PFT-FUNCTIONAL RESIDUAL CAPACI</t>
  </si>
  <si>
    <t>PFT-FLOW VOLUM LOOP</t>
  </si>
  <si>
    <t>PFT-SPIRO TEST ONLY-BREATHING</t>
  </si>
  <si>
    <t>PFT-VITAL CAPACITY</t>
  </si>
  <si>
    <t>VENTILATOR DAILY</t>
  </si>
  <si>
    <t>DOBUMATINE STRESS ECHO</t>
  </si>
  <si>
    <t>PHARMACOLOGIC STRESS</t>
  </si>
  <si>
    <t>ECHO/TRANSESOPH</t>
  </si>
  <si>
    <t>TREADMILL STRESS ECHO</t>
  </si>
  <si>
    <t>EEG ROUTINE</t>
  </si>
  <si>
    <t>STRESS TEST</t>
  </si>
  <si>
    <t>STRESS ECHO W/PHARMACOLOGIC</t>
  </si>
  <si>
    <t>BIPAP/CPAP DAILY</t>
  </si>
  <si>
    <t>PULMONARY FUNCTION TEST COMPET</t>
  </si>
  <si>
    <t>BAER</t>
  </si>
  <si>
    <t>24 HOUR HOLTER ANALYSIS</t>
  </si>
  <si>
    <t>24 HOUR HOLTER HOOK UP</t>
  </si>
  <si>
    <t>24 HOLTER TECHNICAL</t>
  </si>
  <si>
    <t>MTC EVENTS TECHNICAL</t>
  </si>
  <si>
    <t>24 HOLTER HOOK-UP</t>
  </si>
  <si>
    <t>24 HOUR MONITOR TECH.</t>
  </si>
  <si>
    <t>MTC EVENTS HOOK-UP</t>
  </si>
  <si>
    <t>ABD 1 V KUB</t>
  </si>
  <si>
    <t>ABD 2 V</t>
  </si>
  <si>
    <t>ABD COMP W/ DECUB</t>
  </si>
  <si>
    <t>ABD COMP ACUTE SERIES</t>
  </si>
  <si>
    <t>AC JOINTS BILAT</t>
  </si>
  <si>
    <t>ANGIO BRACH RETRO S&amp;I</t>
  </si>
  <si>
    <t>ANKLE COMP 3 WV +</t>
  </si>
  <si>
    <t>AORTOGRPH ABD S&amp;I</t>
  </si>
  <si>
    <t>AORTO ABD &amp; LOW EXT W/ S&amp;I</t>
  </si>
  <si>
    <t>AORTOGRAPHY BY SERIALOGRAPH S&amp;</t>
  </si>
  <si>
    <t>AORTOGRAPHY WO SERIALOGRAPH S&amp;</t>
  </si>
  <si>
    <t>MYELOGRAPHY NECK SPINE</t>
  </si>
  <si>
    <t>MYELOGRAPHY THORACIC SPINE</t>
  </si>
  <si>
    <t>MYELOGRAPHY L-S SPINE</t>
  </si>
  <si>
    <t>MYELOGRAPHY 2/&gt; SPINE REGIONS</t>
  </si>
  <si>
    <t>DISCOGRAPHY CERVICAL / THORACI</t>
  </si>
  <si>
    <t>BONE SURVEY LTD</t>
  </si>
  <si>
    <t>DISCOGRAPHY, LUMBAR</t>
  </si>
  <si>
    <t>EPIDUROGRAPHY</t>
  </si>
  <si>
    <t>X-RAY EXAM SPINE, LUMBOSACRAL,</t>
  </si>
  <si>
    <t>X-RAY EXAM, SPINE, THORACIC, M</t>
  </si>
  <si>
    <t>RADIOLOGIC EXAM, SHOULDER, ART</t>
  </si>
  <si>
    <t>DXA BONE DENSITY AXIAL</t>
  </si>
  <si>
    <t>DXA BONE DENSITY PERIPHERAL</t>
  </si>
  <si>
    <t>CERVICAL SPINE 2 V</t>
  </si>
  <si>
    <t>CERVICAL SPINE 3 VIEW</t>
  </si>
  <si>
    <t>CERVICAL SPINE COMP MIN 4V</t>
  </si>
  <si>
    <t>CERVICAL SPINE-FLEX/EXT</t>
  </si>
  <si>
    <t>CHEST FRONT 1V</t>
  </si>
  <si>
    <t>CHEST FRONT &amp; LAT 2V</t>
  </si>
  <si>
    <t>CHEST OBLQ PROJTN 2V</t>
  </si>
  <si>
    <t>CHEST APCL LRD IND EX</t>
  </si>
  <si>
    <t>CHOLANGIO INTRAOP S&amp;I</t>
  </si>
  <si>
    <t>CHOLAN PAN PSTOP THRU CATH S&amp;I</t>
  </si>
  <si>
    <t>CLAVICLE COMP 2V</t>
  </si>
  <si>
    <t>COLON BARIUM ENEMA</t>
  </si>
  <si>
    <t>COLON W AIR CONTRAST</t>
  </si>
  <si>
    <t>CYSTOGRAPHY 3V+ S&amp;I</t>
  </si>
  <si>
    <t>ELBOW COMP MIN 3V</t>
  </si>
  <si>
    <t>ERCP S&amp;I</t>
  </si>
  <si>
    <t>ESOPHAGUS 6 V</t>
  </si>
  <si>
    <t>FACIAL BONES COMP MIN 3V</t>
  </si>
  <si>
    <t>FEMUR INCL 1 JNT 2 V</t>
  </si>
  <si>
    <t>FINGERS 3 V</t>
  </si>
  <si>
    <t>FLUORO GUIDE INJ PROC</t>
  </si>
  <si>
    <t>FLUORO OVER 1 HR</t>
  </si>
  <si>
    <t>FLUORO UP TO 1 HR</t>
  </si>
  <si>
    <t>FOOT COMP 3 V</t>
  </si>
  <si>
    <t>FOREARM 2 V</t>
  </si>
  <si>
    <t>HAND COMP 3 V</t>
  </si>
  <si>
    <t>FLUORO GUIDANCE FOR CVAD PLACE</t>
  </si>
  <si>
    <t>HIP 2 V+</t>
  </si>
  <si>
    <t>HIP UNI 1V INCLUDES PELVIS  WH</t>
  </si>
  <si>
    <t>HIP BILAT 2 OR 3 VIEWS</t>
  </si>
  <si>
    <t>HUMERUS INCL 1 JT 2V</t>
  </si>
  <si>
    <t>INTRO GASTRIC TUBE REQ PHY SKI</t>
  </si>
  <si>
    <t>IVP</t>
  </si>
  <si>
    <t>IVP INFUSION</t>
  </si>
  <si>
    <t>KNEE COMP 4 V</t>
  </si>
  <si>
    <t>KNEE LTD 2 V</t>
  </si>
  <si>
    <t>LUMBAR LTD SPINE 2-3V</t>
  </si>
  <si>
    <t>LUMBOSACRAL COMP SPN MIN</t>
  </si>
  <si>
    <t>MANOTBLE COMP MIN 4V</t>
  </si>
  <si>
    <t>MASTOLDS COMP 8 V</t>
  </si>
  <si>
    <t>NASAL BONES 3 V</t>
  </si>
  <si>
    <t>NECK SOF TISSUES 1 V</t>
  </si>
  <si>
    <t>ORBIT COMP MIN 4V</t>
  </si>
  <si>
    <t>OS CALCIS 2 V</t>
  </si>
  <si>
    <t>PARANASAL SINUSES COMP MIN 3V</t>
  </si>
  <si>
    <t>PELVIS AP 1-2V</t>
  </si>
  <si>
    <t>FLUORO GUIDANCE FOR NDL PLACE</t>
  </si>
  <si>
    <t>PHARNYX OR LARYNX</t>
  </si>
  <si>
    <t>RIBS BI 3V</t>
  </si>
  <si>
    <t>RIBS UNI 2 V</t>
  </si>
  <si>
    <t>SACROILIAC JNTS 3V+</t>
  </si>
  <si>
    <t>SACRUM &amp; COCCYX MIN 2V</t>
  </si>
  <si>
    <t>SCAPULA COMP</t>
  </si>
  <si>
    <t>SHOULDER 1 V</t>
  </si>
  <si>
    <t>SHOULDER COMP 3 V+</t>
  </si>
  <si>
    <t>SINUS TRACT S&amp;I</t>
  </si>
  <si>
    <t>SKULL COMP 4 V</t>
  </si>
  <si>
    <t>SKULL LTD 2 V</t>
  </si>
  <si>
    <t>SM BOWEL INDEP STUDY</t>
  </si>
  <si>
    <t>STERNUM MIN 2V</t>
  </si>
  <si>
    <t>THORACIC 3 V</t>
  </si>
  <si>
    <t>TIBIA/FIBULA 2 V</t>
  </si>
  <si>
    <t>TMJ S BIL 6 V</t>
  </si>
  <si>
    <t>TOE S 3 V</t>
  </si>
  <si>
    <t>UGI W/ KUB W/BAR</t>
  </si>
  <si>
    <t>UGI W/BAR SB FOLLOW-THRU</t>
  </si>
  <si>
    <t>URETHROCYSTO RETRO S&amp;I</t>
  </si>
  <si>
    <t>UROGRAPHY RETROGRADE</t>
  </si>
  <si>
    <t>WRIST COMP 3 V</t>
  </si>
  <si>
    <t>LUMBAR PUNCTURE UNDER FLUORO</t>
  </si>
  <si>
    <t>ANGIO RENAL UNI S&amp;I</t>
  </si>
  <si>
    <t>ANGIO RENAL BIL S&amp;I</t>
  </si>
  <si>
    <t>ANGIO EXTREM UNI S&amp;I</t>
  </si>
  <si>
    <t>ANGIO EXTREM BIL S&amp;I</t>
  </si>
  <si>
    <t>SELECT CATH PLACEMENT 1ST ORDE</t>
  </si>
  <si>
    <t>SELECT CATH PLACEMENT 2ND ORDE</t>
  </si>
  <si>
    <t>SELECT CATH PLACEMENT 3RD ORDE</t>
  </si>
  <si>
    <t>SELE CATH PLACE ADDL 2ND OR 3R</t>
  </si>
  <si>
    <t>NDL BIOPSY BREAST</t>
  </si>
  <si>
    <t>NDL BIOPSY LIVER</t>
  </si>
  <si>
    <t>NDL BIOPSY PROSTATE</t>
  </si>
  <si>
    <t>NDL BIOPSY THYROID</t>
  </si>
  <si>
    <t>SURGICAL PARACENTESIS</t>
  </si>
  <si>
    <t>SURGICAL THORACENTESIS ASPIR</t>
  </si>
  <si>
    <t>FNA W IMAGE GUIDANCE</t>
  </si>
  <si>
    <t>SURGICAL THORACENTESIS TUBE</t>
  </si>
  <si>
    <t>US URINE CAPACITY MEASURE</t>
  </si>
  <si>
    <t>SRGY US GUID ENDOMYOCARDIAL BI</t>
  </si>
  <si>
    <t>X-RAY PORTABLE CHARGE</t>
  </si>
  <si>
    <t>TECH ASSIST</t>
  </si>
  <si>
    <t>CXR +PPD SLMC EMPLOYEE</t>
  </si>
  <si>
    <t>TC99M CHOLETEC UP TO 15MCI</t>
  </si>
  <si>
    <t>TC99M HEPATOLITE UP TO 15MCI</t>
  </si>
  <si>
    <t>TC99M PYROPHOSPHATE UP TO 25MC</t>
  </si>
  <si>
    <t>TECHNETIUM MYOVIEW DOSE</t>
  </si>
  <si>
    <t>BONE SCAN-MULT AREAS</t>
  </si>
  <si>
    <t>BONE/JOINT 3PHASE</t>
  </si>
  <si>
    <t>THALLIUM TL-201 PER MCI</t>
  </si>
  <si>
    <t>THALLOUS CHLORIDE TL-201 PER M</t>
  </si>
  <si>
    <t>THALLIUM SCAN (STRESS ONLY)</t>
  </si>
  <si>
    <t>BRAIN SCAN 4 V FLOW</t>
  </si>
  <si>
    <t>CEREBRO BLOOD FLOW</t>
  </si>
  <si>
    <t>GALLIUM LOC TUMOR MULTIPLE</t>
  </si>
  <si>
    <t>HEPATOBILLIARY SCAN</t>
  </si>
  <si>
    <t>LABELLED RBC SCAN</t>
  </si>
  <si>
    <t>LIVER &amp; SPLEEN W/FLOW</t>
  </si>
  <si>
    <t>NUCLEAR VENOGRAM</t>
  </si>
  <si>
    <t>PARATHYROID SCAN</t>
  </si>
  <si>
    <t>PERF LUNG SCAN PARTI</t>
  </si>
  <si>
    <t>RADIO. LOC. ABCESS WHL</t>
  </si>
  <si>
    <t>RENAL SCAN-FLOW</t>
  </si>
  <si>
    <t>RENOGRAM</t>
  </si>
  <si>
    <t>SCROTAL SCAN W/FLOW</t>
  </si>
  <si>
    <t>THALLIUM SCAN MULTI</t>
  </si>
  <si>
    <t>THYROID IMAGING W UPTAKE MULT</t>
  </si>
  <si>
    <t>THYROID SCAN</t>
  </si>
  <si>
    <t>VENT LUNG SCAN AERO</t>
  </si>
  <si>
    <t>WALL MOT EJT FRC DBL</t>
  </si>
  <si>
    <t>WALL MOT EJT FRC RST</t>
  </si>
  <si>
    <t>TC99M ULTRATAG UP TO 30MCI</t>
  </si>
  <si>
    <t>TECHNETIUM OTHER PRODUCT</t>
  </si>
  <si>
    <t>TC99M AERO DTPA UP TO 25MCI</t>
  </si>
  <si>
    <t>TC99M MAG 3 UP TO 15MCI</t>
  </si>
  <si>
    <t>TC99M CERETEC WBC LABEL</t>
  </si>
  <si>
    <t>TC99M CERETEC UP TO 25MCI</t>
  </si>
  <si>
    <t>I-123 CAPSULE DIAGNOSTIC</t>
  </si>
  <si>
    <t>XENON-133 PER 10 MCI</t>
  </si>
  <si>
    <t>IN-111 DTPA PER 0.5MCI</t>
  </si>
  <si>
    <t>IN-111 WHITE CELL LABEL</t>
  </si>
  <si>
    <t>GALLIUM-67 PER MCI</t>
  </si>
  <si>
    <t>CT ANGIOGRAPHY HEAD C/S CONTRA</t>
  </si>
  <si>
    <t>CT ABD W/CON</t>
  </si>
  <si>
    <t>CT ABD W/O CON</t>
  </si>
  <si>
    <t>CT ABDOMEN WO/W CON</t>
  </si>
  <si>
    <t>CT BRAIN W/CON</t>
  </si>
  <si>
    <t>CT BRAIN W/O CON</t>
  </si>
  <si>
    <t>CT BRAIN W/WO CON</t>
  </si>
  <si>
    <t>CT CERVICAL W/CON</t>
  </si>
  <si>
    <t>CT CERVICAL WO CON</t>
  </si>
  <si>
    <t>CT CERVICAL WO/W CON</t>
  </si>
  <si>
    <t>CT CHEST W/ CON</t>
  </si>
  <si>
    <t>CT CHEST W/O CON</t>
  </si>
  <si>
    <t>CT CHEST WO/W CONTRAST</t>
  </si>
  <si>
    <t>CT GUIDE NEEDLE BX</t>
  </si>
  <si>
    <t>CT LOWER EXTR W/CONT</t>
  </si>
  <si>
    <t>CT LUMBAR W/CON</t>
  </si>
  <si>
    <t>CT LUMBAR WO CON</t>
  </si>
  <si>
    <t>CT LUMBAR WO/W CON</t>
  </si>
  <si>
    <t>CT LOWER EXTR W/O &amp; W/ CON</t>
  </si>
  <si>
    <t>CT NECK DBL STUDY</t>
  </si>
  <si>
    <t>CT NECK W/CON</t>
  </si>
  <si>
    <t>CT NECK W/O CON</t>
  </si>
  <si>
    <t>CT ORBITS W/CON</t>
  </si>
  <si>
    <t>CT ORBITS W/O CON</t>
  </si>
  <si>
    <t>CT ORBTIS W/WO CON</t>
  </si>
  <si>
    <t>CT PELVIS W/CON</t>
  </si>
  <si>
    <t>CT PELVIS W/O CON</t>
  </si>
  <si>
    <t>CT PELVIS W/WO CON</t>
  </si>
  <si>
    <t>CT SINUSES COR W/CON</t>
  </si>
  <si>
    <t>CT SINUSES COR WO/CON</t>
  </si>
  <si>
    <t>CT SINUSES COR WO/W CON</t>
  </si>
  <si>
    <t>CT THORACIC SPINE W/CON</t>
  </si>
  <si>
    <t>CT THORACIC SPINE WO CON</t>
  </si>
  <si>
    <t>CT T SPINE W/O &amp; W/CON ADDL SE</t>
  </si>
  <si>
    <t>CT UPPER EXTR W/CON</t>
  </si>
  <si>
    <t>CT UPPER EXTR WO CON</t>
  </si>
  <si>
    <t>CT UPPER EXTR WO/W CON</t>
  </si>
  <si>
    <t>CT LOWER EXTR W/O CONT</t>
  </si>
  <si>
    <t>CT SINUSES AXIAL W/O CONT</t>
  </si>
  <si>
    <t>CT SINUSES AXIAL W/ CONT</t>
  </si>
  <si>
    <t>CT SINUSES AXIAL W/O &amp; W/CONT</t>
  </si>
  <si>
    <t>CT ABDOMEN &amp; PELVIS W/O CONT</t>
  </si>
  <si>
    <t>CT ABDOMEN&amp;PELVIS W/CONT</t>
  </si>
  <si>
    <t>CT ABD &amp; PELVIS W/O &amp; W/ CONT</t>
  </si>
  <si>
    <t>CT FACIAL WITHOUT CON</t>
  </si>
  <si>
    <t>CT FACIAL WITH CON</t>
  </si>
  <si>
    <t>CT FACIAL WITHOUT/WITH CON</t>
  </si>
  <si>
    <t>FLUORO GUIDE PARACENTESIS</t>
  </si>
  <si>
    <t>US ABDOMINAL COMP</t>
  </si>
  <si>
    <t>US GUIDANCE FOR PICC LINE</t>
  </si>
  <si>
    <t>US EXTREMITY, NONVASCULAR, LIM</t>
  </si>
  <si>
    <t>US AV FIST</t>
  </si>
  <si>
    <t>BIOSPY U/S GUIDANCE</t>
  </si>
  <si>
    <t>US BREAST BILATERAL</t>
  </si>
  <si>
    <t>US BREAST UNILAT</t>
  </si>
  <si>
    <t>US DOPPLER CAROTID</t>
  </si>
  <si>
    <t>U/S GUIDANCE FOR VASCULAR ACCE</t>
  </si>
  <si>
    <t>DUPLEX SCAN ARTERY BILAT L.E.</t>
  </si>
  <si>
    <t>DUPLEX SCAN ARTERY UNILAT L.E.</t>
  </si>
  <si>
    <t>DUPLEX SCAN ARTERY BILAT U.E.</t>
  </si>
  <si>
    <t>DUPLEX SCAN ARTERY UNILAT U.E.</t>
  </si>
  <si>
    <t>VENOUS DOPPLER BILAT L.E.</t>
  </si>
  <si>
    <t>VENOUS DOPPLER UNILAT L.E.</t>
  </si>
  <si>
    <t>VENOUS DOPPLER BILAT U.E.</t>
  </si>
  <si>
    <t>VENOUS DOPPLER UNILAT U.E.</t>
  </si>
  <si>
    <t>US TRANSRECTAL</t>
  </si>
  <si>
    <t>LTD ABO ULTRASOUND</t>
  </si>
  <si>
    <t>LTD PELVIC U/S</t>
  </si>
  <si>
    <t>US OB LTD 1 OR MORE FETUS</t>
  </si>
  <si>
    <t>US GUIDE PARACENTESIS</t>
  </si>
  <si>
    <t>US PELVIC NON-OB COMP</t>
  </si>
  <si>
    <t>US RENAL ARTERYCOMP</t>
  </si>
  <si>
    <t>US RENAL COMP</t>
  </si>
  <si>
    <t>US SCROTAL</t>
  </si>
  <si>
    <t>US GUIDE THORACENTISIS</t>
  </si>
  <si>
    <t>US THYROID</t>
  </si>
  <si>
    <t>US TRANSVAGINAL</t>
  </si>
  <si>
    <t>US GUIDE ENDOMYOCARD S&amp;I</t>
  </si>
  <si>
    <t>US GUIDE PERICARD S&amp;I</t>
  </si>
  <si>
    <t>VEIN MAPPING BILATERAL U.E.</t>
  </si>
  <si>
    <t>VEIN MAPPING UNILATERAL U.E.</t>
  </si>
  <si>
    <t>UNLISTED ULTRASOUND PROCEDURE</t>
  </si>
  <si>
    <t>MRA ABD</t>
  </si>
  <si>
    <t>MRA CHEST</t>
  </si>
  <si>
    <t>MRA LE</t>
  </si>
  <si>
    <t>MRA SPINAL CANAL</t>
  </si>
  <si>
    <t>MRA UE</t>
  </si>
  <si>
    <t>MRI ABD</t>
  </si>
  <si>
    <t>MRI BONE MARROW</t>
  </si>
  <si>
    <t>MRI BRAIN W/O CON</t>
  </si>
  <si>
    <t>MRI BRAIN W/O &amp; W/CONT</t>
  </si>
  <si>
    <t>MRI BRAIN WITH CON</t>
  </si>
  <si>
    <t>MRI CARD MORPH W/O &amp; W/ CONT</t>
  </si>
  <si>
    <t>MRI CARD MORPH WO CONT</t>
  </si>
  <si>
    <t>MRI CARD VEL FLOW</t>
  </si>
  <si>
    <t>MRI CERVICAL SPINE WO CON</t>
  </si>
  <si>
    <t>MRI CHEST</t>
  </si>
  <si>
    <t>MRI C-SPINE W/CON</t>
  </si>
  <si>
    <t>MRI C-SPINE W/O &amp; W/ CONT</t>
  </si>
  <si>
    <t>MRI L-SPINE W/CON</t>
  </si>
  <si>
    <t>MRI L-SPINE W/O &amp; W/CONT</t>
  </si>
  <si>
    <t>MRI NASAL PHARYNX</t>
  </si>
  <si>
    <t>MRI OF IAC</t>
  </si>
  <si>
    <t>MRI OF LUMBAR SPINE WO CON</t>
  </si>
  <si>
    <t>MRI ORBITS BILATERAL</t>
  </si>
  <si>
    <t>MRI PELVIS</t>
  </si>
  <si>
    <t>MRI SALIVARY GLAND</t>
  </si>
  <si>
    <t>MRI THORACIC SPINE WO CON</t>
  </si>
  <si>
    <t>MRI THYROID</t>
  </si>
  <si>
    <t>MRI TMJ BILATERAL</t>
  </si>
  <si>
    <t>MRI TMJ UNILATERAL</t>
  </si>
  <si>
    <t>MRI T-SPINE W/CON</t>
  </si>
  <si>
    <t>MRI T-SPINE W/O &amp; W/CONT</t>
  </si>
  <si>
    <t>MRI UE OTH/THN JT W/O CONT</t>
  </si>
  <si>
    <t>MRI UE OTH/THN JT W/ CONT</t>
  </si>
  <si>
    <t>MRI UE OTH/THN JT W/O&amp;W/ CONT</t>
  </si>
  <si>
    <t>MRI ANY JT UPPER EXTR W/O CONT</t>
  </si>
  <si>
    <t>MRI ANY JT UPPER EXTR W/ CONT</t>
  </si>
  <si>
    <t>MRI ANY JT UE W/O &amp; W/ CONT</t>
  </si>
  <si>
    <t>MRI LE OTH/THN JT W/O CONT</t>
  </si>
  <si>
    <t>MRI LE OTH/THN JT W/CON</t>
  </si>
  <si>
    <t>MRI LE OTH/THN JT WO/&amp;W/ CONT</t>
  </si>
  <si>
    <t>MRI ANY JT LOWER EXTR  W/O CON</t>
  </si>
  <si>
    <t>MRI ANY JT LOWER EXTR  W/ CONT</t>
  </si>
  <si>
    <t>MRI ANY JT LE W/O &amp; W/ CONT</t>
  </si>
  <si>
    <t>MRCP WO CONTRAST</t>
  </si>
  <si>
    <t>MRCP W CONTRAST</t>
  </si>
  <si>
    <t>MRCP W/O &amp; W/ CONT</t>
  </si>
  <si>
    <t>MRI BREAST UNIL W/ CONT</t>
  </si>
  <si>
    <t>MRI BREAST UNIL W/O CONT</t>
  </si>
  <si>
    <t>MRI BREAST W/O &amp; W/ CONT</t>
  </si>
  <si>
    <t>MRI BREAST BILAT W/ CONT</t>
  </si>
  <si>
    <t>MRI BREAST BILAT W/O CONT</t>
  </si>
  <si>
    <t>MRI BREAST BILAT W/O &amp; W/ CONT</t>
  </si>
  <si>
    <t>MRA UPPER EXTR W/CONT</t>
  </si>
  <si>
    <t>MRA UPPER EXTR  W/O &amp; W/CONT</t>
  </si>
  <si>
    <t>MRA HEAD W/O CONT</t>
  </si>
  <si>
    <t>MRA HEAD W/ CONT</t>
  </si>
  <si>
    <t>MRA HEAD W/O &amp; W/ CONT</t>
  </si>
  <si>
    <t>MRA NECK W/O CONT</t>
  </si>
  <si>
    <t>MRA NECK W/ CONT</t>
  </si>
  <si>
    <t>MRA NECK W/O &amp; W/ CONT</t>
  </si>
  <si>
    <t>MRA LOWER EXTR W/CONT</t>
  </si>
  <si>
    <t>MRA  LOWER EXTR W/O CONT</t>
  </si>
  <si>
    <t>MRA  LOWER EXTR W/O &amp; W/ CONT</t>
  </si>
  <si>
    <t>MRA ABD W/CONT</t>
  </si>
  <si>
    <t>MRA ABD W/O CONT</t>
  </si>
  <si>
    <t>MRA ABD W/O &amp; W/ CONT</t>
  </si>
  <si>
    <t>MRA  CHEST W/CONT</t>
  </si>
  <si>
    <t>MRA CHEST W/O CONT</t>
  </si>
  <si>
    <t>MRA CHEST W/O &amp; W/ CONT</t>
  </si>
  <si>
    <t>MRA UPPER EXTR W/O CONT</t>
  </si>
  <si>
    <t>ISOVUE 300 PER ML (100 ML)</t>
  </si>
  <si>
    <t>INJ GADOLINIUM CONT NOS PER ML</t>
  </si>
  <si>
    <t>CT ANGIOGRAPHY CHEST C/S CONTR</t>
  </si>
  <si>
    <t>BARIUM SWALLOW</t>
  </si>
  <si>
    <t>ULTRASOUND SOFT TISSUE</t>
  </si>
  <si>
    <t>DOTAREM</t>
  </si>
  <si>
    <t>LUMBAR PUNCTURE</t>
  </si>
  <si>
    <t>TRAY THORACENTESIS</t>
  </si>
  <si>
    <t>VENT CIRCUIT</t>
  </si>
  <si>
    <t>AMBU BAG</t>
  </si>
  <si>
    <t>HHN TX INIT</t>
  </si>
  <si>
    <t>HHN TX SUB</t>
  </si>
  <si>
    <t>INTUBATION LMA TUBE</t>
  </si>
  <si>
    <t>VEIN STRIPPER</t>
  </si>
  <si>
    <t>PFT COMPLETE STUDY</t>
  </si>
  <si>
    <t>IPPB TX INIT</t>
  </si>
  <si>
    <t>IPPB TX SUB</t>
  </si>
  <si>
    <t>IPPB S/U</t>
  </si>
  <si>
    <t>I/S TX</t>
  </si>
  <si>
    <t>I/S S/U</t>
  </si>
  <si>
    <t>USN</t>
  </si>
  <si>
    <t>USN EA 1/2 HR TX</t>
  </si>
  <si>
    <t>SPUTUM INDUCED</t>
  </si>
  <si>
    <t>AERO S/U</t>
  </si>
  <si>
    <t>CONTINUOUS AEROSOL 1ST HR</t>
  </si>
  <si>
    <t>CPR</t>
  </si>
  <si>
    <t>VITAL CAPACITY</t>
  </si>
  <si>
    <t>MDI INITIAL</t>
  </si>
  <si>
    <t>MDI TREATMENT SUB</t>
  </si>
  <si>
    <t>HOURLY OXYGEN RATE</t>
  </si>
  <si>
    <t>OXYGEN S/U</t>
  </si>
  <si>
    <t>ABG KIT</t>
  </si>
  <si>
    <t>VOLUME VENT S/U</t>
  </si>
  <si>
    <t>VOLUME VENT INITIAL DAY</t>
  </si>
  <si>
    <t>BIPAP/CPAP SET-UP</t>
  </si>
  <si>
    <t>BIPAP PER DAY</t>
  </si>
  <si>
    <t>BIPAP CIRCUIT</t>
  </si>
  <si>
    <t>INITIAL ASSESSMENT</t>
  </si>
  <si>
    <t>RE-ASSESSMENT</t>
  </si>
  <si>
    <t>CHEST PHYSIO THERAPY INITIAL</t>
  </si>
  <si>
    <t>ABG STUDY</t>
  </si>
  <si>
    <t>ABG</t>
  </si>
  <si>
    <t>ABG PUNCTURE</t>
  </si>
  <si>
    <t>PULSE OX EA HR</t>
  </si>
  <si>
    <t>SUCTION CONTINUOUS</t>
  </si>
  <si>
    <t>SPIROMETRY ONLY</t>
  </si>
  <si>
    <t>PFT SPIRO TEST ONLY</t>
  </si>
  <si>
    <t>PFT VC</t>
  </si>
  <si>
    <t>PRE-POST BRONCHO TX</t>
  </si>
  <si>
    <t>PFT CLOSING VOLUME</t>
  </si>
  <si>
    <t>PFT FRC</t>
  </si>
  <si>
    <t>FLOW VOLUME LOOP</t>
  </si>
  <si>
    <t>HHN TX INIT W/ PEAK FLOW</t>
  </si>
  <si>
    <t>HHN TX SUB W/ PEAK FLOW</t>
  </si>
  <si>
    <t>CONTINUOUS AEROSOL ADDL HR</t>
  </si>
  <si>
    <t>CHEST PHYSIO THERAPY SUB</t>
  </si>
  <si>
    <t>DLCO</t>
  </si>
  <si>
    <t>SUCTION INTERMITTENT</t>
  </si>
  <si>
    <t>6 MIN. WALK TEST</t>
  </si>
  <si>
    <t>RE-EVAL PT EXTENDED</t>
  </si>
  <si>
    <t>RE-EVAL PT COMPREHENSIVE</t>
  </si>
  <si>
    <t>RANGE OF MOTION MEASUREMENTS</t>
  </si>
  <si>
    <t>LIMB MANUAL MUSCLE TESTING</t>
  </si>
  <si>
    <t>BODY MANUAL MUSCLE TESTING</t>
  </si>
  <si>
    <t>TRACTION MECHANICAL</t>
  </si>
  <si>
    <t>ELECTRODE PLACEMENT</t>
  </si>
  <si>
    <t>APPL VASOPNEUMATIC DEVICE</t>
  </si>
  <si>
    <t>MICROWAVE</t>
  </si>
  <si>
    <t>WHIRLPOOL LARGE</t>
  </si>
  <si>
    <t>WHIRLPOOL SMALL</t>
  </si>
  <si>
    <t>DIATHERMY</t>
  </si>
  <si>
    <t>INFRARED</t>
  </si>
  <si>
    <t>ULTRAVIOLET</t>
  </si>
  <si>
    <t>PARRAFIN BATH</t>
  </si>
  <si>
    <t>CONTRAST BATH THERAPY 15 MIN</t>
  </si>
  <si>
    <t>ELEC STIM MANUAL 15 MIN</t>
  </si>
  <si>
    <t>PT E-STIM UNATTENDED 15MIN</t>
  </si>
  <si>
    <t>IONTOPHERESIS 15 MIN</t>
  </si>
  <si>
    <t xml:space="preserve"> PT ULTRASOUND 15 MIN</t>
  </si>
  <si>
    <t>HUBBARD TANK 15 MIN</t>
  </si>
  <si>
    <t>MANUAL THERAPY 15MIN.</t>
  </si>
  <si>
    <t>THERAPEUTIC PROCEDURE 15 MIN</t>
  </si>
  <si>
    <t>NEUROMUSC REED/BALA COORD 15 M</t>
  </si>
  <si>
    <t>AQUATIC THERAPY</t>
  </si>
  <si>
    <t>GAIT TRAINING 15 MIN</t>
  </si>
  <si>
    <t>TRACTION MANUAL 15 MIN</t>
  </si>
  <si>
    <t>MASSAGE 15 MIN</t>
  </si>
  <si>
    <t>UNLISTED THERAPEUTIC PROCEDURE</t>
  </si>
  <si>
    <t>THERAPEUTIC PROCEDURE GRP</t>
  </si>
  <si>
    <t>PATIENT EDUC SAFETY INSTR</t>
  </si>
  <si>
    <t>SOFT TISSUE MOBILIZATION 15 MI</t>
  </si>
  <si>
    <t>MANIPULATION</t>
  </si>
  <si>
    <t>PT HEP / FAMILY TRAINING</t>
  </si>
  <si>
    <t>PT EVALUATION - COMPLEXITY LOW</t>
  </si>
  <si>
    <t>PT EVALUATION - COMPLEXITY MOD</t>
  </si>
  <si>
    <t>PT EVALUATION - COMPLEXITY HIG</t>
  </si>
  <si>
    <t>PT RE-EVAL</t>
  </si>
  <si>
    <t>JOINT MOBILIZATION 15 MIN</t>
  </si>
  <si>
    <t>ORTHOTICS FITTING 15 MIN</t>
  </si>
  <si>
    <t>PROSTHETIC TRAINING 15 MIN</t>
  </si>
  <si>
    <t>PT WHEELCHAIR ASSESS / MANAGEM</t>
  </si>
  <si>
    <t>PT WHEELCHAIR TRAINING 15MIN</t>
  </si>
  <si>
    <t>WORK HARDENING INIT 2 HRS</t>
  </si>
  <si>
    <t>WORK HARDENING ADDL HR</t>
  </si>
  <si>
    <t>PT NON SELECT DEBRIDE</t>
  </si>
  <si>
    <t>PT DEBRIDE &lt;/= 20 SQ CM</t>
  </si>
  <si>
    <t>PT DEBRIDE &gt; 20 SQ CM</t>
  </si>
  <si>
    <t>DEBRIDE SKIN/MUSCLE</t>
  </si>
  <si>
    <t>BIOFEEDBACK</t>
  </si>
  <si>
    <t>STRAPPING ELBOW/WRIST</t>
  </si>
  <si>
    <t>STRAPPING HAND/FINGER</t>
  </si>
  <si>
    <t>STRAPPING OF KNEE</t>
  </si>
  <si>
    <t>STRAPPING OF ANKLE</t>
  </si>
  <si>
    <t>APPL LONG LEG SPLINT</t>
  </si>
  <si>
    <t>CHECKOUT ORTH/PROS 15 MIN</t>
  </si>
  <si>
    <t>PHYSICAL PERFORM TEST 15 MIN</t>
  </si>
  <si>
    <t>PT WOUND VAC &lt;/= 50 SQ CM</t>
  </si>
  <si>
    <t>PT WOUND VAC &gt; 50 SQ CM</t>
  </si>
  <si>
    <t>ELECT STIM UNATTEND 1 OR &gt; ARE</t>
  </si>
  <si>
    <t>ELECT STIM UNATT OTHER THAN WN</t>
  </si>
  <si>
    <t>KINETIC ACTIVITIES 15 MIN</t>
  </si>
  <si>
    <t>OT EVALUATION - COMPLEXITY LOW</t>
  </si>
  <si>
    <t>OT EVALUATION - COMPLEXITY MOD</t>
  </si>
  <si>
    <t>OT EVALUATION - COMPLEXITY HIG</t>
  </si>
  <si>
    <t>OT RE- EVALUATION</t>
  </si>
  <si>
    <t>OT ADDL SKILLS TRAINING 15 MIN</t>
  </si>
  <si>
    <t>OT APP SPLINT FINGER DYN</t>
  </si>
  <si>
    <t>OT APP SPLINT FINGER STC</t>
  </si>
  <si>
    <t>OT APP SPLINT SHRT ARM STC</t>
  </si>
  <si>
    <t>OT APP SPLINT SHRT ARM DYN</t>
  </si>
  <si>
    <t>OT COGNITIVE TRAINING 15 MIN /</t>
  </si>
  <si>
    <t>OT COM / WORK REINT 15 MIN</t>
  </si>
  <si>
    <t>OT CONTRAST BATH 15 MIN</t>
  </si>
  <si>
    <t>OT E-STIM ATTEND 15 MIN</t>
  </si>
  <si>
    <t>OT E-STIM UNATTENDED OTHER</t>
  </si>
  <si>
    <t>OT HEP / FAMILY TRAINING 15 MI</t>
  </si>
  <si>
    <t>OT IONTOPHORESIS</t>
  </si>
  <si>
    <t>OT MANUAL THERAPY 15 MIN</t>
  </si>
  <si>
    <t>OT MYOFASCIAL RELEASE 15 MIN</t>
  </si>
  <si>
    <t>OT NEUROMM RE-ED / BAL / COORD</t>
  </si>
  <si>
    <t>OT ORTH / PROSTH CK 15 MIN</t>
  </si>
  <si>
    <t xml:space="preserve">OT ORTHOTIC FIT / TRAINING 15 </t>
  </si>
  <si>
    <t>OT PARAFFIN BATH THERAPY</t>
  </si>
  <si>
    <t>OT PROSTHETIC TRAINING 15 MIN</t>
  </si>
  <si>
    <t xml:space="preserve">OT SELF CARE / SAFETY EDUC 15 </t>
  </si>
  <si>
    <t>OT SENSORY TECH 15 MIN</t>
  </si>
  <si>
    <t>OT SOFT TISSUE MOB 15 MIN</t>
  </si>
  <si>
    <t>OT STRAP ELBOW OR WRIST</t>
  </si>
  <si>
    <t>OT STRAP HAND OR FINGER</t>
  </si>
  <si>
    <t>OT THERAPEUTIC ACTIVITIES 15 M</t>
  </si>
  <si>
    <t>OT THERAPEUTIC EXERCISE 15 MIN</t>
  </si>
  <si>
    <t>OT ULTRASOUND 15 MIN</t>
  </si>
  <si>
    <t>OT WHIRLPOOL ONE EXTREMITY</t>
  </si>
  <si>
    <t>OT WORK HARDENING INI 2 HOUR</t>
  </si>
  <si>
    <t>OT WORK HARDENING ADD HOUR</t>
  </si>
  <si>
    <t>OTHER PT/OT CURRENT STATUS</t>
  </si>
  <si>
    <t>MOTION FLUORO EVAL SWALLOW FUN</t>
  </si>
  <si>
    <t>ST TREATMENT</t>
  </si>
  <si>
    <t>ASSESS APHASIA</t>
  </si>
  <si>
    <t>ST COGNITIVE THERAPY 30 MIN</t>
  </si>
  <si>
    <t>DEVELOPMENTAL TEST EXTENDED</t>
  </si>
  <si>
    <t>DEVELOPMENTAL TESTING</t>
  </si>
  <si>
    <t>ST EVAL SWALLOW</t>
  </si>
  <si>
    <t>ST SWALLOW EVAL 15 MIN</t>
  </si>
  <si>
    <t>ST SWALLOW EVAL 30 MIN</t>
  </si>
  <si>
    <t>ST SWALLOW EVAL 45 MIN</t>
  </si>
  <si>
    <t>ST EVAL VOICE PROSTHESIS</t>
  </si>
  <si>
    <t>ST SWALLOW EVAL 60 MIN</t>
  </si>
  <si>
    <t>LARYNGEAL FUNCTION STUDIES</t>
  </si>
  <si>
    <t>ST MODIFY VOICE PROSTHESIS</t>
  </si>
  <si>
    <t>ST TREATMENT GROUP</t>
  </si>
  <si>
    <t>ST TREATMENT SWALLOW</t>
  </si>
  <si>
    <t>ST EVAL OF SPEECH FLUENCY (15M</t>
  </si>
  <si>
    <t>ST EVAL OF SPEECH FLUENCY (30M</t>
  </si>
  <si>
    <t>ST EVAL OF SPEECH FLUENCY (45M</t>
  </si>
  <si>
    <t>ST EVAL OF SPEECH FLUENCY (60M</t>
  </si>
  <si>
    <t>ST EVAL SPEECH PRODUCTION (15M</t>
  </si>
  <si>
    <t>ST EVAL SPEECH PRODUCTION (30M</t>
  </si>
  <si>
    <t>ST EVAL SPEECH PRODUCTION (45M</t>
  </si>
  <si>
    <t>ST EVAL SPEECH PRODUCTION (60M</t>
  </si>
  <si>
    <t>ST EVAL SPEECH SOUND LANG COMP</t>
  </si>
  <si>
    <t>ST BEHAV/QUALITATIVE VOICE/RES</t>
  </si>
  <si>
    <t>OT TREATMENT</t>
  </si>
  <si>
    <t>BIOFEEDBACK TRAIN ANY METH</t>
  </si>
  <si>
    <t>BIOFEEDBACK PERI/URO/RECTAL</t>
  </si>
  <si>
    <t>PT EVALUATION LOW COMPLEXITY</t>
  </si>
  <si>
    <t>PT RE-EVALUATION</t>
  </si>
  <si>
    <t>HOT OR COLD PACKS THERAPY</t>
  </si>
  <si>
    <t>MECHANICAL TRACTION THERAPY</t>
  </si>
  <si>
    <t>ELECTRIC STIMULATION THERAPY</t>
  </si>
  <si>
    <t>VASOPNEUMATIC DEVICE THERAPY</t>
  </si>
  <si>
    <t>PARAFFIN BATH THERAPY</t>
  </si>
  <si>
    <t>WHIRLPOOL THERAPY</t>
  </si>
  <si>
    <t>DIATHERMY EG MICROWAVE</t>
  </si>
  <si>
    <t>INFRARED THERAPY</t>
  </si>
  <si>
    <t>ULTRAVIOLET THERAPY</t>
  </si>
  <si>
    <t>ELECTRICAL STIMULATION</t>
  </si>
  <si>
    <t>ELECTRIC CURRENT THERAPY</t>
  </si>
  <si>
    <t>CONTRAST BATH THERAPY</t>
  </si>
  <si>
    <t>ULTRASOUND THERAPY</t>
  </si>
  <si>
    <t>HYDROTHERAPY</t>
  </si>
  <si>
    <t>PHYSICAL THERAPY TREATMENT</t>
  </si>
  <si>
    <t>THERAPEUTIC EXERCISES</t>
  </si>
  <si>
    <t>NEUROMUSCULAR REEDUCATION</t>
  </si>
  <si>
    <t>AQUATIC THERAPY/EXERCISES</t>
  </si>
  <si>
    <t>GAIT TRAINING THERAPY</t>
  </si>
  <si>
    <t>MASSAGE THERAPY</t>
  </si>
  <si>
    <t>PHYSICAL MEDICINE PROCEDURE</t>
  </si>
  <si>
    <t>MANUAL THERAPY</t>
  </si>
  <si>
    <t>GROUP THERAPEUTIC PROCEDURES</t>
  </si>
  <si>
    <t>THERAPEUTIC ACTIVITIES</t>
  </si>
  <si>
    <t>RMVL DEVITAL TIS ADDL 20 CM&lt;</t>
  </si>
  <si>
    <t>WOUND(S) CARE NON-SELECTIVE</t>
  </si>
  <si>
    <t>NEG PRESS WOUND TX &lt; 50 CM</t>
  </si>
  <si>
    <t>NEG PRESS WOUND TX &gt; 50 CM</t>
  </si>
  <si>
    <t>PHYSICAL PERFORMANCE TEST</t>
  </si>
  <si>
    <t>ORTHOTIC MGMT AND TRAINING</t>
  </si>
  <si>
    <t>PROSTHETIC TRAINING</t>
  </si>
  <si>
    <t>C/O FOR ORTHOTIC/PROSTH USE</t>
  </si>
  <si>
    <t>WOUND ULTRASOUND</t>
  </si>
  <si>
    <t>ELEC STIM UNATTEND FOR PRESS</t>
  </si>
  <si>
    <t>ELEC STIM OTHER THAN WOUND</t>
  </si>
  <si>
    <t>PHY THER TREAT INC MOD PROC IN</t>
  </si>
  <si>
    <t>PHY THER TREAT INC MOD PROC EA</t>
  </si>
  <si>
    <t xml:space="preserve">PHY THER ANY TEST MEAS INI 30 </t>
  </si>
  <si>
    <t>PHYS THERAPY PRELIM EVAL REHAB</t>
  </si>
  <si>
    <t>PHY THER CASE CONSUL AND RPT</t>
  </si>
  <si>
    <t>CASE CONFERENCE AND REPORT EAC</t>
  </si>
  <si>
    <t>COGNITIVE SKILLS DEVELOP</t>
  </si>
  <si>
    <t>SENSORY INTEGRATION</t>
  </si>
  <si>
    <t>SELF CARE MGMT TRAINING</t>
  </si>
  <si>
    <t>COMMUNITY/WORK REINTEGRAT</t>
  </si>
  <si>
    <t>WHEELCHAIR MANAG/PROP EA 15 MI</t>
  </si>
  <si>
    <t>ACT WOUND CARE 20CM OR &lt;</t>
  </si>
  <si>
    <t>PROSTHETIC TRAIN EA 15 MIN WC</t>
  </si>
  <si>
    <t>SPEECH/HEARING EVALUATION FLUE</t>
  </si>
  <si>
    <t>SPEECH/HEARING THERAPY INDIVID</t>
  </si>
  <si>
    <t>SPEECH/HEARING THERAPY 2 OR MO</t>
  </si>
  <si>
    <t>ORAL FUNCTION THERAPY/ SWALLOW</t>
  </si>
  <si>
    <t>ASSESSMENT OF APHASIA</t>
  </si>
  <si>
    <t>SPEECHLANGUAGE THER INDIVID PE</t>
  </si>
  <si>
    <t>SPCH THERAPY PRELIM EVAL REHAB</t>
  </si>
  <si>
    <t>EX FOR SPEECH DEVICE RX, 1 HR</t>
  </si>
  <si>
    <t>USE OF SPEECH DEVICE SERVICE</t>
  </si>
  <si>
    <t>EVAL SWALLOWING FUNCTION</t>
  </si>
  <si>
    <t>MOTION FLUORO/SWALLOW</t>
  </si>
  <si>
    <t>COGNITIVE PERFORMANCE TEST PER</t>
  </si>
  <si>
    <t>COGNITIVE SKILLS DEVELOPMENT 1</t>
  </si>
  <si>
    <t>SENSORY INTEGRATION, 15 MIN</t>
  </si>
  <si>
    <t>OT EVALUATION LOW</t>
  </si>
  <si>
    <t>OT EVALUATION MOD</t>
  </si>
  <si>
    <t>OT EVALUATION HIGH</t>
  </si>
  <si>
    <t>OT RE-EVALUATION</t>
  </si>
  <si>
    <t>COGNITIVE SKILLS DEVELOPMENT</t>
  </si>
  <si>
    <t>SELF CARE MNGMENT TRAINING</t>
  </si>
  <si>
    <t>COMMUNITY/WORK REINTEGRATION</t>
  </si>
  <si>
    <t>WHEELCHAIR MNGMENT TRAINING</t>
  </si>
  <si>
    <t>ASSISTIVE TECHNOLOGY ASSESS</t>
  </si>
  <si>
    <t>OCC THER EVAL EA ADD 15 MIN,PL</t>
  </si>
  <si>
    <t>OCC THER CSE CONF INI 30 MIN</t>
  </si>
  <si>
    <t>OCC THER CSE CONF EA ADD 15 MI</t>
  </si>
  <si>
    <t xml:space="preserve">OCC THERAPY PRELIM EVAL REHAB </t>
  </si>
  <si>
    <t>OCC THER TREAT INI 30 MIN</t>
  </si>
  <si>
    <t>OCC THER TREAT EA ADD 15 MIN</t>
  </si>
  <si>
    <t xml:space="preserve">OCC THERAPY CASE CONSULTATION </t>
  </si>
  <si>
    <t>MECHANICAL TRACTION</t>
  </si>
  <si>
    <t>TENS TREATMENT UNATTENDED</t>
  </si>
  <si>
    <t>MODALITY APPL VASOPNEUMATIC</t>
  </si>
  <si>
    <t>PARAFFIN BATH</t>
  </si>
  <si>
    <t>WHIRLPOOL</t>
  </si>
  <si>
    <t>MODALITY APPL INFRARED</t>
  </si>
  <si>
    <t>ELEC STIMULATION EA 15 MIN</t>
  </si>
  <si>
    <t>IONTOPHORESIS</t>
  </si>
  <si>
    <t>CONTRAT BATH 15 MIN</t>
  </si>
  <si>
    <t>ULTRASOUND 15 MIN</t>
  </si>
  <si>
    <t>THERAPEUTIC EXERCISE</t>
  </si>
  <si>
    <t>NEUROMUSCULAR REEDUCATION EA 1</t>
  </si>
  <si>
    <t>PHYS MED TX INIT 30 MIN</t>
  </si>
  <si>
    <t>MASSAGE EA 15 MIN</t>
  </si>
  <si>
    <t>MYOFASCIAL RELEASE 15 MIN</t>
  </si>
  <si>
    <t>THERAPEUTIC PROC EA 15 MIN</t>
  </si>
  <si>
    <t>THERAPEUTIC ACTIVITY EA 15 MIN</t>
  </si>
  <si>
    <t>WOUND DEBRIDEMENT 20CM OR &lt;</t>
  </si>
  <si>
    <t>WOUND DEBRIDEMENT &gt;20CM</t>
  </si>
  <si>
    <t>SOFT TISS MOBIL INIT 30 WC</t>
  </si>
  <si>
    <t>PHYSICAL PERF TEST W/RPT 15 MI</t>
  </si>
  <si>
    <t>ORTHOTIC MGMT/TRAIN EA 15 MIN</t>
  </si>
  <si>
    <t>PROSTHETIC TRAINING WA 15 MIN</t>
  </si>
  <si>
    <t>CHECKOUT ORTH/PROS EA 15 MIN</t>
  </si>
  <si>
    <t>CASE CON REPORT EA ADD 15 MIN</t>
  </si>
  <si>
    <t>PROSTHETIC TRAINING EA 15 MIN</t>
  </si>
  <si>
    <t>THERAPEUTIC ACTIVITIES EA 15 M</t>
  </si>
  <si>
    <t>SUCTION CATHETER 14FR</t>
  </si>
  <si>
    <t>PRX HUM LO PLT 11H 190MM</t>
  </si>
  <si>
    <t>BIFURCATED EXTENSION SET</t>
  </si>
  <si>
    <t>REMEDY ESSENTIALS SPRAY</t>
  </si>
  <si>
    <t>WATER PITCHER</t>
  </si>
  <si>
    <t>PITCHER LINER</t>
  </si>
  <si>
    <t>SHAVING CREAM</t>
  </si>
  <si>
    <t>TOOTHPASTE</t>
  </si>
  <si>
    <t>RAZOR DOUBLE LAME</t>
  </si>
  <si>
    <t>TOOTH BRUSH INDIVIDUAL</t>
  </si>
  <si>
    <t>BLACK COMBS</t>
  </si>
  <si>
    <t>TOOTHETTE</t>
  </si>
  <si>
    <t>BAND AID 1X3</t>
  </si>
  <si>
    <t>ADHESIVE BANDAGES</t>
  </si>
  <si>
    <t>ADHESIVE BANDAGES SPOTS</t>
  </si>
  <si>
    <t>LOTION 2 OZ</t>
  </si>
  <si>
    <t>ANTI-PERSPIRANT</t>
  </si>
  <si>
    <t>BAR SOAP</t>
  </si>
  <si>
    <t>TOTAL BODY CLEANSER</t>
  </si>
  <si>
    <t>INCONTINENCE KNIT PANTS</t>
  </si>
  <si>
    <t>FACIAL TISSUES</t>
  </si>
  <si>
    <t>DENTURE CUPS</t>
  </si>
  <si>
    <t>PAD BOOSTER</t>
  </si>
  <si>
    <t>24 HOUR URINE CONTAINER</t>
  </si>
  <si>
    <t>CANNISOTR 1500CC</t>
  </si>
  <si>
    <t>CATH CONDOM</t>
  </si>
  <si>
    <t>SPECIPAN</t>
  </si>
  <si>
    <t>0.9NS INJECTION, 10ML</t>
  </si>
  <si>
    <t>HK INGILTRATION TUBING</t>
  </si>
  <si>
    <t>CLOSUREFAST CATHETER</t>
  </si>
  <si>
    <t>IRRIGATION 9% NS 500ML</t>
  </si>
  <si>
    <t>PROPHASE WOUND WASH</t>
  </si>
  <si>
    <t>0.25ML STERILE. NONPYROGENIC.</t>
  </si>
  <si>
    <t>SMALLBORE FILTERED EXT SET</t>
  </si>
  <si>
    <t>BD E-Z SCRUB 107 4% CHG</t>
  </si>
  <si>
    <t>TAPE PLASTIC 1"</t>
  </si>
  <si>
    <t>TAPE PLASTIC 2"</t>
  </si>
  <si>
    <t>TAPE PAPER 1"</t>
  </si>
  <si>
    <t>TAPE PAPER 2"</t>
  </si>
  <si>
    <t>ISOLATION GOWN</t>
  </si>
  <si>
    <t>N95 MASK</t>
  </si>
  <si>
    <t>COTTON TIPPED APPLICATORS</t>
  </si>
  <si>
    <t>HI-FLO 3-WAY STOPCOCK</t>
  </si>
  <si>
    <t>TOUNGE DEPPRESOR</t>
  </si>
  <si>
    <t>SUREPREP</t>
  </si>
  <si>
    <t>BENZOIN TINTURE 0.6ML</t>
  </si>
  <si>
    <t>STETHOSCOPE DISP</t>
  </si>
  <si>
    <t>SCD PUMP</t>
  </si>
  <si>
    <t>STATLOCK CATH</t>
  </si>
  <si>
    <t>CATHETER PLUG</t>
  </si>
  <si>
    <t>POST-MORTENM SHROUD PACK</t>
  </si>
  <si>
    <t>LEUR ACT. VLV FOR IV ACC, 0.25</t>
  </si>
  <si>
    <t>OIL EULSION DRESSING 3X3</t>
  </si>
  <si>
    <t>SIDE RAIL PADDING</t>
  </si>
  <si>
    <t>CLEANING TOWELETTES</t>
  </si>
  <si>
    <t>NAIL POLISH REMOVER PADS</t>
  </si>
  <si>
    <t>ADHESIVE REMOVER PADS</t>
  </si>
  <si>
    <t>PROBE COVER KIT WITH GEL</t>
  </si>
  <si>
    <t>DUAL LL CAP STERILE</t>
  </si>
  <si>
    <t>SWABPACK, 10 SWABCAPS</t>
  </si>
  <si>
    <t>PROTECTOR MITTENS</t>
  </si>
  <si>
    <t>LAPIPLASTY SYSTEM 2</t>
  </si>
  <si>
    <t>LAPIPLASTY 3.5MM TRANS SCREW</t>
  </si>
  <si>
    <t>LAPIPLASTY SAW BLADE 40MM</t>
  </si>
  <si>
    <t>I.V. PUMP</t>
  </si>
  <si>
    <t>CONTINU-FLO SOLUTION SET</t>
  </si>
  <si>
    <t>IV TUBING/SECONDARY MEDICATION</t>
  </si>
  <si>
    <t>PTA BALLOON 7 X 8</t>
  </si>
  <si>
    <t>PTA BALLOON 8 X 4</t>
  </si>
  <si>
    <t>PTA BALLOON 6 X 4</t>
  </si>
  <si>
    <t>PTA BALLOON 8 X 8</t>
  </si>
  <si>
    <t>PTA BALLOON 7 X 4</t>
  </si>
  <si>
    <t>PTA BALLOON 12 X 4</t>
  </si>
  <si>
    <t>PTA BALLOON 14 X 4</t>
  </si>
  <si>
    <t>MINI BIO SUTURE TAK DISP KIT</t>
  </si>
  <si>
    <t>TENNIS ELBOW UNIVERSAL</t>
  </si>
  <si>
    <t>0 30 PROL BL MONO CT</t>
  </si>
  <si>
    <t>6X4X50</t>
  </si>
  <si>
    <t>3.5 90 S RP PROBE</t>
  </si>
  <si>
    <t>4.0 AGGRESIVE PLUS</t>
  </si>
  <si>
    <t>4.0 BARREL BUR</t>
  </si>
  <si>
    <t>4.0 RESECTOR</t>
  </si>
  <si>
    <t>OPTI-GARD EYE PROTECTOR</t>
  </si>
  <si>
    <t>SEPRA FILM</t>
  </si>
  <si>
    <t>TISSEEL FIBRIN SEALANT</t>
  </si>
  <si>
    <t>4.0 ROUND BURR</t>
  </si>
  <si>
    <t>4.0 TOM CAT</t>
  </si>
  <si>
    <t>5.5 AGRESSIVE PLUS BLADE</t>
  </si>
  <si>
    <t>5.5 BARRED BUR</t>
  </si>
  <si>
    <t>5.5 RESECTOR</t>
  </si>
  <si>
    <t>ANGLE TOMCAT 4.0</t>
  </si>
  <si>
    <t>TRADITIONAL GUEDEL AIRWAY 90MM</t>
  </si>
  <si>
    <t>ANKLE SPLINT LG</t>
  </si>
  <si>
    <t>ANKLE SPLINT MEDIUM</t>
  </si>
  <si>
    <t>BLUNT NEEDLE</t>
  </si>
  <si>
    <t>BLUNT POINT TROCAR</t>
  </si>
  <si>
    <t>BIO-TRANSFIX DISP SET</t>
  </si>
  <si>
    <t>BOUGIE DILATOR</t>
  </si>
  <si>
    <t>ENDO CLIP</t>
  </si>
  <si>
    <t>BIO SCREW 11 MM X 35 MM</t>
  </si>
  <si>
    <t>ANKLE SPLINT SMALL</t>
  </si>
  <si>
    <t>ANKLE SPLINT XL</t>
  </si>
  <si>
    <t>BIO SCREW 12 MM X 35 MM</t>
  </si>
  <si>
    <t>TRACHEOSOFT XLT 8.0MM</t>
  </si>
  <si>
    <t>DISPOSABLE INNER CANNULA 8.0</t>
  </si>
  <si>
    <t>INSULATED BAYONET FORCEPS 0.5</t>
  </si>
  <si>
    <t>BLADE SKIN GRAFT DERMATOME BRO</t>
  </si>
  <si>
    <t>BLAKE 10MM FLAT FULL / FLTD</t>
  </si>
  <si>
    <t>BLAKE DRN 19FR R / F</t>
  </si>
  <si>
    <t>EXPRESS SLEEVES KNEE LENGTH LA</t>
  </si>
  <si>
    <t>CANNULA, DILATOR, 15MM, RADIAL</t>
  </si>
  <si>
    <t>CEMENT SCULPS KIT</t>
  </si>
  <si>
    <t>DRAIN JACKSON PRATT</t>
  </si>
  <si>
    <t>DRAIN PENROSE</t>
  </si>
  <si>
    <t>DRAIN RESERVOIR</t>
  </si>
  <si>
    <t>GAUZE SPONGE 4X4</t>
  </si>
  <si>
    <t>CLIP, APPLIER, ENDOSCOPIC, 5MM</t>
  </si>
  <si>
    <t>DRSG OPSITE</t>
  </si>
  <si>
    <t>DRAIN, CHEST, HEIMLICH, STERIL</t>
  </si>
  <si>
    <t>DRAIN, CHEST, PLEURAVACA</t>
  </si>
  <si>
    <t>EOPHAGEAL STETH</t>
  </si>
  <si>
    <t>ELASTIC NET, SZ 6, STRETCH, 24</t>
  </si>
  <si>
    <t>F.R.E.D DEVICE</t>
  </si>
  <si>
    <t>ELASTIC NET, SZ 9, STRETCH, 35</t>
  </si>
  <si>
    <t>EMERGENCY BIRTH KIT</t>
  </si>
  <si>
    <t>HARMONIC SCALPEL</t>
  </si>
  <si>
    <t>HARMONIC SHEARS</t>
  </si>
  <si>
    <t>FINGER TRAPS  DOUBLES MEDIUM</t>
  </si>
  <si>
    <t>HYPOTHERMIA BLANKET</t>
  </si>
  <si>
    <t>INSUFFLATOR TUBE</t>
  </si>
  <si>
    <t>CATHETER EXTENSION SET</t>
  </si>
  <si>
    <t>FINGER TRAPS DOUBLES SMALL</t>
  </si>
  <si>
    <t>LAPRA-TY</t>
  </si>
  <si>
    <t>FLO CONTROL/ARTHROSCOPY PUMP</t>
  </si>
  <si>
    <t>GORE SSMOOTHER 7.9</t>
  </si>
  <si>
    <t>GRASPER, ANVIL, HANDLE, RATCHE</t>
  </si>
  <si>
    <t>HANDPIECE IRRIGATION PULSED IN</t>
  </si>
  <si>
    <t>INTERPULSE HANDPEICE SET W TIP</t>
  </si>
  <si>
    <t>HANDSWITCH, LIGASURE, ATLAS, 3</t>
  </si>
  <si>
    <t>HEATED INSUFFALATION TUBING</t>
  </si>
  <si>
    <t>HEWSON SUTURE RETRIEVER</t>
  </si>
  <si>
    <t>HOOD, PERSONAL PROTECTION WITH</t>
  </si>
  <si>
    <t>INJECTION GOLD PROBE,MS,#6015</t>
  </si>
  <si>
    <t>INSTRUMENT, TISSUE-FUSION, LIG</t>
  </si>
  <si>
    <t>KNEE IMMOBILIZER 19"</t>
  </si>
  <si>
    <t>KNEE IMMOBILIZER 22"</t>
  </si>
  <si>
    <t>KNEE IMMOBILIZER 24"</t>
  </si>
  <si>
    <t>KNEE SLEEVE MEDIUM</t>
  </si>
  <si>
    <t>KNEE SLEEVE SMALL</t>
  </si>
  <si>
    <t>LAVAGE TUBE 32 RF</t>
  </si>
  <si>
    <t>OBLATOR</t>
  </si>
  <si>
    <t>SPINAL NEEDLE 18 G X 3.5 IN</t>
  </si>
  <si>
    <t>PACK, DOUBLE BASIN, SURE SET</t>
  </si>
  <si>
    <t>PACK, EYE II</t>
  </si>
  <si>
    <t>SURGIPORT CONVERTOR</t>
  </si>
  <si>
    <t>PACK, KNEE ARTHROSCOPY III</t>
  </si>
  <si>
    <t>SUTURE GENERAL SGL</t>
  </si>
  <si>
    <t>SUTURE PLASTIC</t>
  </si>
  <si>
    <t>LAMIECTOMY I-LF</t>
  </si>
  <si>
    <t>FOLEY TRAY 16FR</t>
  </si>
  <si>
    <t>SURE SET- DOUBLE BASIN-LF</t>
  </si>
  <si>
    <t>TRAY MULTI LUMEN</t>
  </si>
  <si>
    <t>TUBE ENDOTRACHEAL</t>
  </si>
  <si>
    <t>BARD NASOGASTRIC SUMP TUBE</t>
  </si>
  <si>
    <t>URINE METER</t>
  </si>
  <si>
    <t>TRANSPAC IV MONITORING KIT</t>
  </si>
  <si>
    <t>MULTI-LUMEN CENTRAL VENOUS</t>
  </si>
  <si>
    <t>PACK,EXTREMITY IV</t>
  </si>
  <si>
    <t>LAP CHOLE I-LF PACK</t>
  </si>
  <si>
    <t>PALACOS BONE CEMENT</t>
  </si>
  <si>
    <t>SURGICLIP</t>
  </si>
  <si>
    <t>PROLENE, MONO, BLUE, 3/0, 36",</t>
  </si>
  <si>
    <t>PROTACK, 5MM, TITANIUM, 1X USE</t>
  </si>
  <si>
    <t>REGULAR HEATED TUBING</t>
  </si>
  <si>
    <t>ELECTROSURGICAL HANDPEICE</t>
  </si>
  <si>
    <t>ANESTHESIA SUPER CIRCUIT</t>
  </si>
  <si>
    <t>REGULATOR WITH TUBING</t>
  </si>
  <si>
    <t>SILASTIC TUBING</t>
  </si>
  <si>
    <t>RETRACTOR, ENDOSCOPIC, II 10MM</t>
  </si>
  <si>
    <t>ROTATABLE RETRIVAL BASKET</t>
  </si>
  <si>
    <t>DRSG XEROFORM 5X9</t>
  </si>
  <si>
    <t>EVAC CAUTERY</t>
  </si>
  <si>
    <t xml:space="preserve">SHEARS, CURVED, HARMONIC ACE, </t>
  </si>
  <si>
    <t>SHILEY 7.0 MM</t>
  </si>
  <si>
    <t>SHORT THROW SNARE OVAL</t>
  </si>
  <si>
    <t>SHOULDER SUSPENPENSION KIT</t>
  </si>
  <si>
    <t>SLEEVE,COMPRESSION,KNEE HI,LG,</t>
  </si>
  <si>
    <t>SLEEVE,COMPRESSION,THIGH,LG,SE</t>
  </si>
  <si>
    <t>STAPLER 35 WIDEKIN STAPLER</t>
  </si>
  <si>
    <t>SLEEVE,COMPRESSION,THIGH,MED,D</t>
  </si>
  <si>
    <t>YANKAUR WITH BULB TIP</t>
  </si>
  <si>
    <t>SLEEVE,COMPRESSIONM,THIGH,SM,S</t>
  </si>
  <si>
    <t>TUBE CONNECTING 9FT</t>
  </si>
  <si>
    <t>SPATULA (STRYKER)</t>
  </si>
  <si>
    <t>SCREW CANNULA 8MM</t>
  </si>
  <si>
    <t>SPLINT, UNIVERSAL WRIST AND TH</t>
  </si>
  <si>
    <t>STAPLER, ENDO GIA UNIVERSAL, X</t>
  </si>
  <si>
    <t>CONTRO-BULB SYRINGE 60 ML</t>
  </si>
  <si>
    <t>SUPPORT, BACK, ELASTIC, CRISS-</t>
  </si>
  <si>
    <t>DRILL POINTS</t>
  </si>
  <si>
    <t>FASTFIX AB CURVED</t>
  </si>
  <si>
    <t>TI-CRON SUTURE</t>
  </si>
  <si>
    <t>FAST FIX KNOTT PUSHER</t>
  </si>
  <si>
    <t>BASEBALL FINGER SPLINT LG</t>
  </si>
  <si>
    <t>DERMABOND PRINEO</t>
  </si>
  <si>
    <t>PROXIMATE PLUS SKIN STAPLER</t>
  </si>
  <si>
    <t>AIR WALKER ALL SIZES</t>
  </si>
  <si>
    <t>THE MILL DISPOSABLE MD</t>
  </si>
  <si>
    <t>ENDO BUTTON</t>
  </si>
  <si>
    <t>TOMCAT, 5.0</t>
  </si>
  <si>
    <t>TRACTION BOOT LG</t>
  </si>
  <si>
    <t>INTERPULSE</t>
  </si>
  <si>
    <t>CSW 400 SMALL 3/32</t>
  </si>
  <si>
    <t>GLIDE WIRE .035/450</t>
  </si>
  <si>
    <t>ELITE PASS NEEDLE</t>
  </si>
  <si>
    <t>ENDO CURVE SCISSORS</t>
  </si>
  <si>
    <t>ENDO SCISSOR 5MM</t>
  </si>
  <si>
    <t>ENDO RETRACT II</t>
  </si>
  <si>
    <t>UNNA-Z ZINC PASTER BANDAGE</t>
  </si>
  <si>
    <t>DIABETIC SHOE (POST OP SHOE)</t>
  </si>
  <si>
    <t>ANKLE GAUNTLET</t>
  </si>
  <si>
    <t>TRACTION BOOT MEDIUM</t>
  </si>
  <si>
    <t>ARIZONA KNEE BRACE LEFT</t>
  </si>
  <si>
    <t>STIRRUP ANKLE</t>
  </si>
  <si>
    <t>BONE MARROW ASPIRATOR</t>
  </si>
  <si>
    <t>ERCP CANNULA</t>
  </si>
  <si>
    <t>BILIARY STENT INTRODUC KIT 7FR</t>
  </si>
  <si>
    <t>BILIARY STENT INTRODUCER 10FR</t>
  </si>
  <si>
    <t>TRIPLE LUMEN RETRIEVAL BALLOON</t>
  </si>
  <si>
    <t>JAGWIRE-GUIDEWIRE</t>
  </si>
  <si>
    <t>2.8MM GUIDE WIREÃÂ¿Â½TROCAR POIN</t>
  </si>
  <si>
    <t>CANNULATED DRILL BIT 5.0MM LRG</t>
  </si>
  <si>
    <t>INLET</t>
  </si>
  <si>
    <t>VERSAPORT</t>
  </si>
  <si>
    <t>BLUNT TIP TROCAR&amp;SYRINGE</t>
  </si>
  <si>
    <t>TRACTION BOOT SMALL</t>
  </si>
  <si>
    <t>PTA BALLOON 8 X 6</t>
  </si>
  <si>
    <t>PTA BALLOON 10 X 6</t>
  </si>
  <si>
    <t>PTA BALLOON 7 X6</t>
  </si>
  <si>
    <t>HEMODIALYSIS CATH 5MM</t>
  </si>
  <si>
    <t>DETACH-A-PORT</t>
  </si>
  <si>
    <t>DUPLO REACH</t>
  </si>
  <si>
    <t>EC 60 LINEAR CUTTER</t>
  </si>
  <si>
    <t>EC 60 LINEAR CUTTER LONG</t>
  </si>
  <si>
    <t>EC 60 RELOAD</t>
  </si>
  <si>
    <t>ENDO ART LINEAR CUTTER ETS FLE</t>
  </si>
  <si>
    <t>TRAY,PH BASIC BIOPSY,NO NEEDLE</t>
  </si>
  <si>
    <t>TROCAR, ENDO, XCEL, BLADELESS,</t>
  </si>
  <si>
    <t>TROCAR, ENDOPATH XCEL, BLADELE</t>
  </si>
  <si>
    <t>CARPAL TUNNEL RELEASE SYS</t>
  </si>
  <si>
    <t>PIN COVERS</t>
  </si>
  <si>
    <t>SMOOTHER</t>
  </si>
  <si>
    <t>TROCAR, VERSAPORT V2, 5MM</t>
  </si>
  <si>
    <t>SURGICEL 4X8</t>
  </si>
  <si>
    <t>MAHURKAR TRAY 11.5FR X 13.5CM</t>
  </si>
  <si>
    <t>TUBE SET KITS,INFLOW</t>
  </si>
  <si>
    <t>C.R.E ESOPHAGEAL BALLOON CATH</t>
  </si>
  <si>
    <t>DISP ARTICULATOR INJ NEEDLE</t>
  </si>
  <si>
    <t>BIPOLAR COAGULATION PROBE 10FR</t>
  </si>
  <si>
    <t>BIPOLAR COAGULATION PROBE 7FR</t>
  </si>
  <si>
    <t>URETHRAL CATHETER OPEN END</t>
  </si>
  <si>
    <t>TUBE,TRACH,CUFFED,SZ 8.0</t>
  </si>
  <si>
    <t>TUBE,TRACH,EXT LGHT,CUFF,PROXI</t>
  </si>
  <si>
    <t>SUTURE BOOTS</t>
  </si>
  <si>
    <t>INFLATION DEVICE</t>
  </si>
  <si>
    <t>TUBE,TRACH,EXT LGTH,UNCUFF,DIS</t>
  </si>
  <si>
    <t>CENTRAL LINE DRESSING CHANGE</t>
  </si>
  <si>
    <t>SOFT VU 5FR 65CM KUMP ACCESS</t>
  </si>
  <si>
    <t>SOFT VU 5FR 65CM RIM</t>
  </si>
  <si>
    <t>SOFT VU 5FR 75CM RIM</t>
  </si>
  <si>
    <t>XXL BALLOON DILATION CATH</t>
  </si>
  <si>
    <t>TUBING INSUFFLATOR HEATED</t>
  </si>
  <si>
    <t>ANGIO PLASTY BALL 6MMX6CMX75CM</t>
  </si>
  <si>
    <t>ANGIO PLASTY BALL 6MMX4CMX50CM</t>
  </si>
  <si>
    <t>ANGIO PLASTY BALL 10MMX6CMX75C</t>
  </si>
  <si>
    <t>ANGIO PLASTY BALL 10MMX4CMX75C</t>
  </si>
  <si>
    <t>INSUFFULATION TUBE</t>
  </si>
  <si>
    <t>ANGIO PLASTY BALL 10MMX4CMX50C</t>
  </si>
  <si>
    <t>DUAL SPRAY PROCEDURE KIT SURGE</t>
  </si>
  <si>
    <t>INQN PLUS DELIVERY SYSTEM</t>
  </si>
  <si>
    <t>ANTIFUNGAL CREAM INZO</t>
  </si>
  <si>
    <t>CALAZIME CREAM</t>
  </si>
  <si>
    <t>MEDICAL DEVICE ORGANIZER</t>
  </si>
  <si>
    <t>EXTRACTOR PRO XL</t>
  </si>
  <si>
    <t>MICRO ABLATOR</t>
  </si>
  <si>
    <t>CUTTING LOOP ELECTRODE</t>
  </si>
  <si>
    <t>SERFAS ABLATOR (ALL)</t>
  </si>
  <si>
    <t>ULTRATOME XL</t>
  </si>
  <si>
    <t>ENTERALAL FEEDING TUBE 14FR</t>
  </si>
  <si>
    <t>ENTERALAL FEEDING TUBE</t>
  </si>
  <si>
    <t>ANGIO PLASTY BALL 7MMX6CMX75CM</t>
  </si>
  <si>
    <t>ANGIO PLASTY BALL 7MMX4CMX75CM</t>
  </si>
  <si>
    <t>GLIDEWIRE .35 150CM</t>
  </si>
  <si>
    <t>GLIDEWIRE .38 150CM</t>
  </si>
  <si>
    <t>VASCULAR DILATORS 5FR 1-7MM</t>
  </si>
  <si>
    <t>MICRO INTRODUCR KIT 5FR COAXIA</t>
  </si>
  <si>
    <t>MICRO ACCESS KIT 4FR</t>
  </si>
  <si>
    <t>BIOPSY TRAY</t>
  </si>
  <si>
    <t>PINNACLE 6FR</t>
  </si>
  <si>
    <t>PINNACLE 7FR</t>
  </si>
  <si>
    <t>PINNACLE 8FR</t>
  </si>
  <si>
    <t>PINNACLE 9FR</t>
  </si>
  <si>
    <t>CAUTERY CYSTO</t>
  </si>
  <si>
    <t>PULSE VU NEEDLE 18G X 2 3/4 IN</t>
  </si>
  <si>
    <t>FLO-SWITCH HP</t>
  </si>
  <si>
    <t>ANGIO PLASTY BALL 7MMX4CMX50CM</t>
  </si>
  <si>
    <t>ANGIO PLASTY BALL 8MMX6CMX75CM</t>
  </si>
  <si>
    <t>ANGIO PLASTY BALL 8MMX4CMX75CM</t>
  </si>
  <si>
    <t>CATHETER THRU LUMEN FOGARTY</t>
  </si>
  <si>
    <t>FOGARTY 3FR</t>
  </si>
  <si>
    <t>FOGARTY 4FR</t>
  </si>
  <si>
    <t>2.7MM SHORT DRILL () BIT W/QC</t>
  </si>
  <si>
    <t>ENDO BOVIE SPATULA</t>
  </si>
  <si>
    <t>CATHETER ADAPTER CHRISTMAS TRE</t>
  </si>
  <si>
    <t>CAUTERY TIP HOOK 32CM</t>
  </si>
  <si>
    <t>VASCULAR SILICON TIES (W)</t>
  </si>
  <si>
    <t>VASCULAR SILICON TIES (B)</t>
  </si>
  <si>
    <t>MEDILOOP VESSEL LOOP</t>
  </si>
  <si>
    <t>REPL CONNECTOR FOR GROSHONG</t>
  </si>
  <si>
    <t>BOVIE PENCIL UNIV</t>
  </si>
  <si>
    <t>ROAD RUNNER WIRE GUIDE</t>
  </si>
  <si>
    <t>BULLDOG CLAMP STRAIGHT BLUE</t>
  </si>
  <si>
    <t>BULLDOG CLAMP ANGLED RED</t>
  </si>
  <si>
    <t>BULLDOG CLAMP ANGLED WHITE</t>
  </si>
  <si>
    <t>ULTRA THIN DIAMONT 7MMX4CMX75C</t>
  </si>
  <si>
    <t>NON-CONDUCTIVE SUCTION TUBING</t>
  </si>
  <si>
    <t>EXTREMITY PACK</t>
  </si>
  <si>
    <t>FOREIGN BODY ROTH NET 2.5MM</t>
  </si>
  <si>
    <t>ENDOSCOPIC CYTOLOGY BRUSH</t>
  </si>
  <si>
    <t>ALLIANCE INTEGR INFLATION SYST</t>
  </si>
  <si>
    <t>HOT BIOPSY FORCEPS</t>
  </si>
  <si>
    <t>BALLOON REPLACEMENT 22FR</t>
  </si>
  <si>
    <t>CLIP APPLIER</t>
  </si>
  <si>
    <t>KANGAROO</t>
  </si>
  <si>
    <t>MORGAN LENS</t>
  </si>
  <si>
    <t>PACK BASIC</t>
  </si>
  <si>
    <t>LAPAROTOMY DRAPE PACK</t>
  </si>
  <si>
    <t>GASTRIC BYPASS PACK</t>
  </si>
  <si>
    <t>PROTACK 5MM TITANIUM</t>
  </si>
  <si>
    <t>MD DRESSING / GRANU FOAM</t>
  </si>
  <si>
    <t>QUICK-VAC MIXING BOWL SINGLE</t>
  </si>
  <si>
    <t>S/O 19.0X90X1.27MM BLADE STRYK</t>
  </si>
  <si>
    <t xml:space="preserve">PATELLA REAMER W/PILOT HDE SZ </t>
  </si>
  <si>
    <t xml:space="preserve">S+OSC BLD FINE 20 5.5X13X0.45 </t>
  </si>
  <si>
    <t>PALACOS R+G 1X40 SGL W/GENTAMI</t>
  </si>
  <si>
    <t>AQUA SHIELD</t>
  </si>
  <si>
    <t>VASCULAR PACK LF</t>
  </si>
  <si>
    <t>CONVEX 1-PIECE PRECUT UROSTOMY</t>
  </si>
  <si>
    <t>LARYNGEAL MASK #4</t>
  </si>
  <si>
    <t>LARYNGEAL MASK #5</t>
  </si>
  <si>
    <t>ETHILON G695 5-0 18 INCH</t>
  </si>
  <si>
    <t>ETHILON 663G 3-0 18 INCH</t>
  </si>
  <si>
    <t>VICRYL J351 2-0 27 INCH</t>
  </si>
  <si>
    <t>VICRYL J416 3-0 27 INCH</t>
  </si>
  <si>
    <t>VICRYL J426</t>
  </si>
  <si>
    <t>ETHILON SILK 1679 3-0 18 INCH</t>
  </si>
  <si>
    <t>PROLENE 8717 5-0 18 INCH</t>
  </si>
  <si>
    <t>ETHILON 16674 4-0 18 INCH</t>
  </si>
  <si>
    <t>EC 60 RELOADS BLACK</t>
  </si>
  <si>
    <t>TIP THREADED GUIDE PIN 3.2MM</t>
  </si>
  <si>
    <t>LOW PROFILE PTA BALLOON DILATI</t>
  </si>
  <si>
    <t>BRAD PT DRILL SHORT 3.5MM</t>
  </si>
  <si>
    <t>IMHS CP 130 D 12 X 19.5R</t>
  </si>
  <si>
    <t>ABDOMINAL BINDER 12"" XXXL</t>
  </si>
  <si>
    <t>ABDOMINAL BINDER 12"" XXL</t>
  </si>
  <si>
    <t>ABDOMINAL BINDER UNIVERSAL</t>
  </si>
  <si>
    <t>BIO PATCH DRESSING</t>
  </si>
  <si>
    <t>XXL VASC BALLOON DILATATION CA</t>
  </si>
  <si>
    <t>FINGER SPLINT STACK #4</t>
  </si>
  <si>
    <t>FINGER SPLINT STACK #2</t>
  </si>
  <si>
    <t>FINGER SPLINT STACK #3</t>
  </si>
  <si>
    <t>FINGER SPLINT STACK #6</t>
  </si>
  <si>
    <t>FINGER SPLINT STACK #5</t>
  </si>
  <si>
    <t>FINGER SPLINT FROG LARGE</t>
  </si>
  <si>
    <t>FINGER SPLINT FROG MEDIUM</t>
  </si>
  <si>
    <t>FINGER SPLINT FROG SMALL</t>
  </si>
  <si>
    <t>AMPLATZ SUPER STIFF GUIDEWIRE</t>
  </si>
  <si>
    <t>HI PERF AMPLATZ GUIDEWIRE</t>
  </si>
  <si>
    <t>WOUND V.A.C SYSTEM / NPWT ELEC</t>
  </si>
  <si>
    <t>V.A.C GRANUFOAM DRESSING</t>
  </si>
  <si>
    <t>CANISTER DISP, USED WITH WOUND</t>
  </si>
  <si>
    <t>VITAPREP</t>
  </si>
  <si>
    <t>IV START KIT W/CHLORAPREP APP</t>
  </si>
  <si>
    <t>FINGER SPLINT CURVED MD</t>
  </si>
  <si>
    <t>FINGER SPLINT CURVED SM</t>
  </si>
  <si>
    <t>FINGER SPLINT CURVED LG</t>
  </si>
  <si>
    <t>C.A.S.H. BRACE</t>
  </si>
  <si>
    <t>TRUEPATH CTO DEVICE(PERIPHERAL</t>
  </si>
  <si>
    <t>PASSY-MUIR VALVE</t>
  </si>
  <si>
    <t>ANKLE WRAP, FIGURE EIGHT LG</t>
  </si>
  <si>
    <t>ANKLE WRAP, FIGURE EIGHT MD</t>
  </si>
  <si>
    <t>ABDOMINAL BINDER UNIVERSAL 9""</t>
  </si>
  <si>
    <t>ALGINATED DRESSING 4X4</t>
  </si>
  <si>
    <t>5FR DUAL PRO PICC NURSING TRAY</t>
  </si>
  <si>
    <t>MUSTANG OVERT THE WIRE 3X4X135</t>
  </si>
  <si>
    <t>WALKER BOOT XL</t>
  </si>
  <si>
    <t>FLOSEAL</t>
  </si>
  <si>
    <t>FIBER CHAIN</t>
  </si>
  <si>
    <t>FIBER LOOP</t>
  </si>
  <si>
    <t>FIBER WIRE</t>
  </si>
  <si>
    <t>PROCESSED HUMAN ALLOGRAFT TSU</t>
  </si>
  <si>
    <t>PRECLUDE DURA SUBSTITUTE</t>
  </si>
  <si>
    <t>TRIM-IT DRILL PIN DISPOS KIT</t>
  </si>
  <si>
    <t>SUPER MULTIVAC 50</t>
  </si>
  <si>
    <t>AMB MEGAVAC 90</t>
  </si>
  <si>
    <t>FRAZIER TIP 8 FR</t>
  </si>
  <si>
    <t>GELFOAM PLUS SMALL</t>
  </si>
  <si>
    <t>GELFOAM PLUS LARGE</t>
  </si>
  <si>
    <t>GELFOAM PLUS HEMOSTASIS KIT</t>
  </si>
  <si>
    <t>ASPEN CERVICAL COLLAR</t>
  </si>
  <si>
    <t>SAGE 2% CHLORHEXIDINE CLOTH</t>
  </si>
  <si>
    <t>HEYMAN SYSTEM UROLOGIST TRAY</t>
  </si>
  <si>
    <t>ICONIX 1.4MM SUTURE ANCHOR</t>
  </si>
  <si>
    <t>2.3MM ANCHOR W/ 2 STRANDS ICON</t>
  </si>
  <si>
    <t>OFFROAD POSITIONING BALLOON CA</t>
  </si>
  <si>
    <t>PLATINUM PLUS GUIDEWIRE</t>
  </si>
  <si>
    <t>UROSTOMY BAG</t>
  </si>
  <si>
    <t>LAPOROTMY DRAPE WITH POUCHES</t>
  </si>
  <si>
    <t>BAG / FOLEY</t>
  </si>
  <si>
    <t>DISP INF DEVICE KIT</t>
  </si>
  <si>
    <t>COAXIAL MICRO-INTRODUCR KT 4FR</t>
  </si>
  <si>
    <t>COAXIAL MICRO-INTRODUCR KT 5FR</t>
  </si>
  <si>
    <t>WELCH ALLYN THERMOMETER PROBE</t>
  </si>
  <si>
    <t>HEMODIALYSIS CATH KIT 15.5 X32</t>
  </si>
  <si>
    <t>HEMODIALYSIS CATH KIT 15.5 X28</t>
  </si>
  <si>
    <t>AIR LOSS MATTRESS</t>
  </si>
  <si>
    <t>PULSE-VU NEEDLE 18GA X 2 3/4""</t>
  </si>
  <si>
    <t>GLIDE WIRE .038</t>
  </si>
  <si>
    <t>GLIDE WIRE .035</t>
  </si>
  <si>
    <t>PINNACLE SHEATH 6FR</t>
  </si>
  <si>
    <t>PINNACLE SHEATH 7FR</t>
  </si>
  <si>
    <t>PINNACLE SHEATH 8FR</t>
  </si>
  <si>
    <t>GREENFIELD VENACAVA FILTER-FEM</t>
  </si>
  <si>
    <t>GREENFIELD VENACAVA FILTER-JUG</t>
  </si>
  <si>
    <t>PORTA CATH VENOUS SYS 2.8</t>
  </si>
  <si>
    <t>GROSHON DL LUMEN CATH KT 9.5FR</t>
  </si>
  <si>
    <t>GROSHONG SGL LUMEN CATH KT 8FR</t>
  </si>
  <si>
    <t>GROSHONG PICC LINE KIT 5FR</t>
  </si>
  <si>
    <t>PERC. ENTRY NEEDLE 18GA</t>
  </si>
  <si>
    <t>G-WIRE ROADRUNNER RLPC-35-145</t>
  </si>
  <si>
    <t>G-WIRE ROADRUNNER RFSPC-35-145</t>
  </si>
  <si>
    <t>SCHON XL DBL LUMEN CATH 15CM</t>
  </si>
  <si>
    <t>SCHON XL DBL LUMEN CATH 20CM</t>
  </si>
  <si>
    <t>SCHON XL DBL LUMEN 24CM</t>
  </si>
  <si>
    <t>KUMP ACCESS 5FR</t>
  </si>
  <si>
    <t>FOLEY CATH 2WAY LATEX FREE 18F</t>
  </si>
  <si>
    <t>CATH FOLEY 100% SILIC 16FR 30M</t>
  </si>
  <si>
    <t>CATH FOLEY 100% SILIC 18FR 30M</t>
  </si>
  <si>
    <t>AMBIENT SUPER TURBOVAC 90 IFS</t>
  </si>
  <si>
    <t>DURASEAL EXACT 5ML</t>
  </si>
  <si>
    <t>JACKSON TABLE POSITIONER KIT</t>
  </si>
  <si>
    <t xml:space="preserve"> RUBICON 35, 135CM VASCULAR</t>
  </si>
  <si>
    <t>GUIDE WIRE 3 X 100</t>
  </si>
  <si>
    <t>CELLSAVER DISPOSAL KIT</t>
  </si>
  <si>
    <t>CELLSAVER BLOOD FILTER</t>
  </si>
  <si>
    <t>CELLSAVER ANTI-COAG SUCTION</t>
  </si>
  <si>
    <t>GRAFT/STRAIGHT/CM</t>
  </si>
  <si>
    <t>CELLSAVER BLOOD TRANSFER BAG</t>
  </si>
  <si>
    <t>DRILL 4.2 X 300</t>
  </si>
  <si>
    <t>VAP ORALE CARE KIT</t>
  </si>
  <si>
    <t>KWIRE 3.2 X 450</t>
  </si>
  <si>
    <t>SHOULDER ARTHROSCOPY PACK</t>
  </si>
  <si>
    <t>SCOPE PILLOW WARMER DRAPE</t>
  </si>
  <si>
    <t>INTUBATION TRAY</t>
  </si>
  <si>
    <t>ENDO CTR INSTRUMENT</t>
  </si>
  <si>
    <t>ENDOCURVE INTRALUMINAL STAPLER</t>
  </si>
  <si>
    <t>ENDO ETS RELOAD</t>
  </si>
  <si>
    <t>MAXCESS STERILE DISP SHIM KIT</t>
  </si>
  <si>
    <t>MAXCESS DISP SHIM MOD 8200010</t>
  </si>
  <si>
    <t>MAXCESS STERILE DISP KT 320006</t>
  </si>
  <si>
    <t>MAXCESS STERILE DISP KT MOD</t>
  </si>
  <si>
    <t>MAXACESS FIX SHIMS STERILE PR</t>
  </si>
  <si>
    <t>MAXCESS III MODULE 8200001</t>
  </si>
  <si>
    <t>MAXCESS III K-WIRE MOD 8200003</t>
  </si>
  <si>
    <t>K-WIRE NON-STERILE DISP 323010</t>
  </si>
  <si>
    <t>KNIFE BAYONETTED ANNULOTOMY</t>
  </si>
  <si>
    <t>LIGHT CABLE STERIL DISP 320002</t>
  </si>
  <si>
    <t>MAS TLIF HOOP SHIM (NON-STERIL</t>
  </si>
  <si>
    <t>MAS TLIF HOOP SHIM (STERILE DI</t>
  </si>
  <si>
    <t>MAS TLIF DISPOSABLE MODULE</t>
  </si>
  <si>
    <t xml:space="preserve">MAS TLIF LIGHT CABLE AND HOOP </t>
  </si>
  <si>
    <t>MAS TLIF HOOP SHIM MODULE</t>
  </si>
  <si>
    <t>SCREW TEST MOD W/NO STIM SOURC</t>
  </si>
  <si>
    <t>SCREW TEST MOD W/PEDICLE PROBE</t>
  </si>
  <si>
    <t>SCREW TEST MOD JBB INSTIM K-WI</t>
  </si>
  <si>
    <t>DYN SCREW TEST MOD W/SM CLIP</t>
  </si>
  <si>
    <t>DYN SCREW TEST MOD W/LG CLIP</t>
  </si>
  <si>
    <t>SCREW TEST MOD SM CLIP W/SHEAT</t>
  </si>
  <si>
    <t>SCREW TEST MOD LG CLIP W/SHEAT</t>
  </si>
  <si>
    <t>SCREW TEST MOD W/NRV RETRACTOR</t>
  </si>
  <si>
    <t>SCREW TEST MOD W/XLIF DISPOSAB</t>
  </si>
  <si>
    <t>NDL ELECTRODE MOD W/NO STIM SR</t>
  </si>
  <si>
    <t>NDL ELECTRODE MOD W/PEDICL PRO</t>
  </si>
  <si>
    <t>NDL ELECTRODE MOD W/IN STIM</t>
  </si>
  <si>
    <t>NDL ELECTRODE MOD W/SM CLIP</t>
  </si>
  <si>
    <t>NDL ELECTRODE MOD W/LG CLIP</t>
  </si>
  <si>
    <t>NDL ELECTRODE MOD SM CLIP&amp;SHEA</t>
  </si>
  <si>
    <t>NDL ELECTRODE MOD LG CLIP&amp;SHEA</t>
  </si>
  <si>
    <t>NDL ELECTRODE MOD W/NRV RETRAC</t>
  </si>
  <si>
    <t>NDL ELECTRODE MOD W/XLIF DISP</t>
  </si>
  <si>
    <t>JJB PEDICLE PROBE 1007266</t>
  </si>
  <si>
    <t>JJB INSTIM K-WIRE INSULATOR 10</t>
  </si>
  <si>
    <t>DYNAMIC STIM CLIP SM 1010946</t>
  </si>
  <si>
    <t>DYNAMIC STIM CLIP LG 1011106</t>
  </si>
  <si>
    <t>DYN STIM CLIP SM &amp; SHEATH</t>
  </si>
  <si>
    <t>DYN STIM CLIP LG &amp; SHEATH</t>
  </si>
  <si>
    <t>SHEATH 2010036</t>
  </si>
  <si>
    <t>NERVE ROOT RETRACTOR</t>
  </si>
  <si>
    <t>I-PAS WITH DIAMOND TIP 2010024</t>
  </si>
  <si>
    <t>I-PAS WITH BEVELLED TIP 201002</t>
  </si>
  <si>
    <t>NEUROVISION NDL ELECTRODE 4-PK</t>
  </si>
  <si>
    <t>NEUROVISION XLIF DISP KT 20100</t>
  </si>
  <si>
    <t>MEP ADD-ON KIT 8010101</t>
  </si>
  <si>
    <t xml:space="preserve">SURFACE ELECTRODES JJB MODULE </t>
  </si>
  <si>
    <t>NDL ELECTROD JJB MODII MEP ADD</t>
  </si>
  <si>
    <t>M5 EMG MODULE 8020015</t>
  </si>
  <si>
    <t>M5 MEP MODULE 8020215</t>
  </si>
  <si>
    <t>M5 SSEP MODULE 8020315</t>
  </si>
  <si>
    <t>M5 EMG MODULE W/ PEDICLE PROBE</t>
  </si>
  <si>
    <t>M5 EMG MODULE W/ CLIP 8020018</t>
  </si>
  <si>
    <t>M5 EMG MOD W/PROBE&amp;CLIP 802002</t>
  </si>
  <si>
    <t>M5 EMG MOD W/CLIP&amp;SHEATH 80200</t>
  </si>
  <si>
    <t>M5 EMG MOD W/XLIF KIT 8020029</t>
  </si>
  <si>
    <t>M5 EMG NEEDLE MODULE 8050015</t>
  </si>
  <si>
    <t>M5 MEP NEEDLE MODULE 8050215</t>
  </si>
  <si>
    <t>M5 SSEP NEEDLE MODULE 8050315</t>
  </si>
  <si>
    <t>M5 EMG NDL MOD W/PEDICLE PROBL</t>
  </si>
  <si>
    <t>M5 EMG NDL MOD W/CLIP 8050018</t>
  </si>
  <si>
    <t>M5 EMG NDL MOD W/PROBLE &amp; CLIP</t>
  </si>
  <si>
    <t>M5 EMG NDL MOD W/CLIP &amp; SHEATH</t>
  </si>
  <si>
    <t>NDL ELECTRODE MOD W/XLIF KT</t>
  </si>
  <si>
    <t>M5 PROBE - SINGLE USE 2012021</t>
  </si>
  <si>
    <t>M5 STIM CLIP&amp;INCLINE ACT 20120</t>
  </si>
  <si>
    <t>M5 XLIF DISPOSABLE KIT 2029950</t>
  </si>
  <si>
    <t>MAX III ANNULOTOMY KNIFE MOD</t>
  </si>
  <si>
    <t>FOAM DRESSING HONEY</t>
  </si>
  <si>
    <t>SYLVASORB GEL .25OZ</t>
  </si>
  <si>
    <t>MAXORB ROPE AG</t>
  </si>
  <si>
    <t>MAXORB FLAT ROPE</t>
  </si>
  <si>
    <t>BEACON TIP ROYAL FLUSH CATH</t>
  </si>
  <si>
    <t>CIAGLIA BLUE RHINO PERCUTANEOU</t>
  </si>
  <si>
    <t>FLUSH CATH STRAIGHT 4FR</t>
  </si>
  <si>
    <t>MAR BER CATH 4FX130CM</t>
  </si>
  <si>
    <t>MAR KUMPE CATH 4FX100CM</t>
  </si>
  <si>
    <t>MAR ST CATH 4FRX90CM</t>
  </si>
  <si>
    <t>OMNI FLUSH CATH 4FR</t>
  </si>
  <si>
    <t>SVKUMPE 4FR 100 .035NB</t>
  </si>
  <si>
    <t xml:space="preserve"> J TIP GUIDE</t>
  </si>
  <si>
    <t>ADVANCE 14 LP LOW PROFILE BALL</t>
  </si>
  <si>
    <t>ADVANCE 18 LP LOW PROFILE BALL</t>
  </si>
  <si>
    <t>APPROACH CTO MICROWIRE WIRE GU</t>
  </si>
  <si>
    <t>APPROACH HYDRO ST MICROWIRE WI</t>
  </si>
  <si>
    <t>APPROACH PRO LT MICROWIRE WIRE</t>
  </si>
  <si>
    <t>BEACON TIP TORCON ANGIOGRAPHIC</t>
  </si>
  <si>
    <t>BENTSON STRAIGHT HEPARIN COATE</t>
  </si>
  <si>
    <t>CXI SUPPORT CATHETER</t>
  </si>
  <si>
    <t>ACCU CHECK</t>
  </si>
  <si>
    <t>FLEXOR ANSEL GUIDING SHEATH</t>
  </si>
  <si>
    <t>FLEXOR HIGH-FLEX  GUIDING SHEA</t>
  </si>
  <si>
    <t>ACCU CHECK STRIP</t>
  </si>
  <si>
    <t xml:space="preserve">ELAST-NET SZ 2 STRETCH 7X25YD </t>
  </si>
  <si>
    <t xml:space="preserve">ELAST-NET SZ 3 STRETCH 9X25YD </t>
  </si>
  <si>
    <t xml:space="preserve">ELAST-NET SZ4 STRETCH 11X25YD </t>
  </si>
  <si>
    <t xml:space="preserve">ELAST-NET SZ5 STRETCH 12X25YD </t>
  </si>
  <si>
    <t xml:space="preserve">ELAST-NET SZ7 STRETCH 28X25YD </t>
  </si>
  <si>
    <t xml:space="preserve">ELAST-NET SZ8 STRETCH 31X25YD </t>
  </si>
  <si>
    <t xml:space="preserve">ELAST-NET SZ9 STRETCH 35X25YD </t>
  </si>
  <si>
    <t xml:space="preserve">ELAST-NET SZ10 STRTCH 36X25YD </t>
  </si>
  <si>
    <t>TRAY SUPRAPUBIC INTRO FOLEY CA</t>
  </si>
  <si>
    <t>HIWIRE HYDROPHILIC  WIRE GUIDE</t>
  </si>
  <si>
    <t>DSG COLLAG PURACOL PLUS AG 4.5</t>
  </si>
  <si>
    <t>DSG STRATASORB COMP ISLAND 4X1</t>
  </si>
  <si>
    <t>CLINITRON BED</t>
  </si>
  <si>
    <t>STATLOCK PICC PLUS</t>
  </si>
  <si>
    <t>TENDER WET</t>
  </si>
  <si>
    <t>DRSG STRATASORB</t>
  </si>
  <si>
    <t>TRAY, HEYMON, UROLOGIST</t>
  </si>
  <si>
    <t>POWER PICC TRAY BARD</t>
  </si>
  <si>
    <t>MICRO INTRODUCER 4FR</t>
  </si>
  <si>
    <t>MICRO INTRODUCER 5FR</t>
  </si>
  <si>
    <t>PINNACLE 7FR SHORT</t>
  </si>
  <si>
    <t>POSTURAL DRAINAGE</t>
  </si>
  <si>
    <t>PINNACLE 5FR SHORT</t>
  </si>
  <si>
    <t>SHEATH - 4 FR X 11 CM .035 GW</t>
  </si>
  <si>
    <t>SHEATH - 5 FR X 11 CM</t>
  </si>
  <si>
    <t>SHEATH 6 FR X 11CM .035 GW</t>
  </si>
  <si>
    <t>SLIP-CATH BEACON TIP HYDROPHIL</t>
  </si>
  <si>
    <t>SOFT VU KUMPE CATH</t>
  </si>
  <si>
    <t>STRAIGHT FLOOPY GUIDE WIRE</t>
  </si>
  <si>
    <t>VASCULAR CLOSURE 7FR</t>
  </si>
  <si>
    <t>RHINO ROCKET NASAL PACK XL</t>
  </si>
  <si>
    <t>DRESSING OPTIFOAM</t>
  </si>
  <si>
    <t>SILVASORB SHEET 4X8</t>
  </si>
  <si>
    <t xml:space="preserve"> STRATOSORB DRESSING 4X4</t>
  </si>
  <si>
    <t>STRATOSORB DRESSING 2.5 X 2</t>
  </si>
  <si>
    <t>STRATOSORB COMPOSITE</t>
  </si>
  <si>
    <t xml:space="preserve"> THERA HONEY GEL .5OZ</t>
  </si>
  <si>
    <t>OPTILOCK WOUND DRESSING 10X10</t>
  </si>
  <si>
    <t>BALLOON CATHETER</t>
  </si>
  <si>
    <t>DISPOSABLE INFLATION DEV KIT</t>
  </si>
  <si>
    <t xml:space="preserve"> OPTILOCK WOUND DRESSING 16.5 </t>
  </si>
  <si>
    <t>KUMP ACCESS CATHETER 5FR</t>
  </si>
  <si>
    <t>PTA BALLOON DILATOR 7 X 4</t>
  </si>
  <si>
    <t>HEMODIALYSIS CATH 15.5 X 28 CM</t>
  </si>
  <si>
    <t>ASPIRING ABLATOR 44MM</t>
  </si>
  <si>
    <t>STRYKER TUBING BLUE</t>
  </si>
  <si>
    <t>BUR, STRYKER</t>
  </si>
  <si>
    <t>LUMBAR GRAFT KIT LEVEL 2 SURGE</t>
  </si>
  <si>
    <t>ASSEMBLY PROCEDURE KIT 11:1</t>
  </si>
  <si>
    <t>APPLICATOR TIP DUAL SPRAY</t>
  </si>
  <si>
    <t>SPRAY APPLICATOR KI-SPRAY KIT</t>
  </si>
  <si>
    <t>ERYTHROCYTE AND MARROW PREP KI</t>
  </si>
  <si>
    <t xml:space="preserve">OVER THE WIRE 4FR 2.0MMX120MM </t>
  </si>
  <si>
    <t>4FR 4.0MMX120MM 150CM OVER THE</t>
  </si>
  <si>
    <t>V14 CONTROL/W STRAGHT TIP</t>
  </si>
  <si>
    <t xml:space="preserve"> OPEN AXXCESS CATH 6FR</t>
  </si>
  <si>
    <t>0VER THE WIRE 5FR X120MM 135CM</t>
  </si>
  <si>
    <t xml:space="preserve">OVER THE WIRE 4FR 3.0MMX220MM </t>
  </si>
  <si>
    <t>OVER THE WIRE 10MMX40MMX75CM</t>
  </si>
  <si>
    <t>OVER THE WIRE 8MMX40MMX75CM</t>
  </si>
  <si>
    <t>Â EPIC 8 X 41 MM X 120 CMÂ </t>
  </si>
  <si>
    <t>JETSTREAM CATHETER</t>
  </si>
  <si>
    <t>JETSTREAM CATHETER L</t>
  </si>
  <si>
    <t>JETSTREAM CATHETER G3SF 1.85</t>
  </si>
  <si>
    <t>JETSTREAM CATHETER G3SF 1.6</t>
  </si>
  <si>
    <t>JETWIRE</t>
  </si>
  <si>
    <t>GUNTHER TULIP VENA CAVA FILTER</t>
  </si>
  <si>
    <t>COYOTE BALLOON 3MM</t>
  </si>
  <si>
    <t>COYOTE BALLOON 2.0MM</t>
  </si>
  <si>
    <t>EPIC ILIAC</t>
  </si>
  <si>
    <t>EPIC ILIAC 8 X 61 X 75</t>
  </si>
  <si>
    <t>EPIC ILIAC 9 X 51 X 75</t>
  </si>
  <si>
    <t>EPIC ILIAC 10 X 40 X 75</t>
  </si>
  <si>
    <t>V-14 LONG TAPER 300CM</t>
  </si>
  <si>
    <t>HASSAN ENDO TROCAR</t>
  </si>
  <si>
    <t>MARATHON SKIN PROTECTANT</t>
  </si>
  <si>
    <t>OPTIFOAM GENTLE 6X6 SILICONE</t>
  </si>
  <si>
    <t>THERA HONEY GEL 1.5OZ</t>
  </si>
  <si>
    <t>SHOULDER IMMOBILIZER / PILLOW</t>
  </si>
  <si>
    <t>14-AM MIDAS REX</t>
  </si>
  <si>
    <t>MIDAS REX 10 AM DISSECTING TOO</t>
  </si>
  <si>
    <t>BONE COLLECTOR</t>
  </si>
  <si>
    <t>MAXORB ES AG/ALGINATE RIBBON</t>
  </si>
  <si>
    <t>DRESSING OPTIFOAM 6X5.5</t>
  </si>
  <si>
    <t>OPTIFOAM GENTLE EX 4X4</t>
  </si>
  <si>
    <t>OPTIFOAM POST OP STRIP</t>
  </si>
  <si>
    <t>OPTIFOAM HEEL WOUND DRESSING</t>
  </si>
  <si>
    <t>INFINITY VISION FLUID MGMT KIT</t>
  </si>
  <si>
    <t>VBG KIT</t>
  </si>
  <si>
    <t>LITHOTOMY DRAPE W TOUCH</t>
  </si>
  <si>
    <t>EXTREMITY  DRAPE</t>
  </si>
  <si>
    <t>MAYO STAND COVER</t>
  </si>
  <si>
    <t>DRAPE, T,ARTHROSCOPY, W POUCH</t>
  </si>
  <si>
    <t>BILATERAL LIMB DRAPE</t>
  </si>
  <si>
    <t>THYROID DRAPE</t>
  </si>
  <si>
    <t>TABLE COVER REINFORCED</t>
  </si>
  <si>
    <t>SPLIT DRAPE W ADHESIVES</t>
  </si>
  <si>
    <t>KIT, EYE CARE, CATARACT</t>
  </si>
  <si>
    <t>MICROKNIFE 15, 5MM W/FULL HAND</t>
  </si>
  <si>
    <t>STOCKINETTE,DOUBLE PLY,6X48,ST</t>
  </si>
  <si>
    <t>BASIC PACK 1</t>
  </si>
  <si>
    <t>PREMIUM WET SKIN PREP TRAY</t>
  </si>
  <si>
    <t>UNIVERSAL SPLIT PACK</t>
  </si>
  <si>
    <t>CYSTOSCOPY PACK 1 MEDLINE</t>
  </si>
  <si>
    <t>MAGNETIC INTRUMENT DRAPE</t>
  </si>
  <si>
    <t>LARGE FILM U DRAPE IMPERVIOUS</t>
  </si>
  <si>
    <t>PROBE, VITRECTOMY INFINITY VIS</t>
  </si>
  <si>
    <t>SLEEVE IRRIGATION COAXIAL ANTE</t>
  </si>
  <si>
    <t>DYONICS 25 INFLO TUBE SET</t>
  </si>
  <si>
    <t>BIODOPTIX 1.5CM X 2.0CM</t>
  </si>
  <si>
    <t>HEEL PROTECTOR CONVOLUTED FOAM</t>
  </si>
  <si>
    <t>FOREARM SPLINT</t>
  </si>
  <si>
    <t>SWAN GANZ 7FR</t>
  </si>
  <si>
    <t>SUTURE ANCHOR WITH NEEDLES</t>
  </si>
  <si>
    <t>IRRIGATION 4WAY TUBING</t>
  </si>
  <si>
    <t>ABLATOR</t>
  </si>
  <si>
    <t>SHOULDER IMMOBILIZER</t>
  </si>
  <si>
    <t>TUBING, 4 WAY</t>
  </si>
  <si>
    <t>PHYSIOMESH COMPOSITE 20X25CM O</t>
  </si>
  <si>
    <t>FLEXIBLE IRISH RETRACTOR (CATA</t>
  </si>
  <si>
    <t>INSUFFLATOR DEVICE KIT</t>
  </si>
  <si>
    <t>TENODESIS DIP KIT</t>
  </si>
  <si>
    <t>NITONAL SUTURE WIRE</t>
  </si>
  <si>
    <t>K-WIRE</t>
  </si>
  <si>
    <t>FINGER TRAP</t>
  </si>
  <si>
    <t>THERMOMETER, DIGITAL</t>
  </si>
  <si>
    <t>SENSICARE SURG GLOVES W/ ALOE</t>
  </si>
  <si>
    <t>X-RAY GLOVES</t>
  </si>
  <si>
    <t>CAUTERY TIP CLEANER</t>
  </si>
  <si>
    <t>BEAR HUGGER BLANKET</t>
  </si>
  <si>
    <t>CLIPPER/SHAVER</t>
  </si>
  <si>
    <t>FLANGE TIP YANKAUER</t>
  </si>
  <si>
    <t>SPECIMEN CONTAINER STERILE</t>
  </si>
  <si>
    <t>X RAY DETECTABLE SPONGE RAYTEC</t>
  </si>
  <si>
    <t>REGULAR GLOVES</t>
  </si>
  <si>
    <t>SUCTION BOTTLE</t>
  </si>
  <si>
    <t>SURE SET-DOUBLE BASIN-LF</t>
  </si>
  <si>
    <t>BAG DECANTER</t>
  </si>
  <si>
    <t>BLOGEL/ORTHO GLOVES</t>
  </si>
  <si>
    <t>BOVIE TIP CLEANER</t>
  </si>
  <si>
    <t>BAIR HUGGER BLANKET</t>
  </si>
  <si>
    <t>BETADINE PREP TRAY</t>
  </si>
  <si>
    <t>LAP SPONGES</t>
  </si>
  <si>
    <t>PACK SURG TOWELS</t>
  </si>
  <si>
    <t>YANKAUER</t>
  </si>
  <si>
    <t>SPECIMEN CUP STERILE</t>
  </si>
  <si>
    <t>X-RAY DETECTABLE GAUZE SPONGE</t>
  </si>
  <si>
    <t>VALVULOTOME 98CM</t>
  </si>
  <si>
    <t>LOANER TRAYS</t>
  </si>
  <si>
    <t>TEMP STRIP</t>
  </si>
  <si>
    <t>PRONE VIEW</t>
  </si>
  <si>
    <t>BULB RESERVOIR</t>
  </si>
  <si>
    <t>GLOVES NON STERILE</t>
  </si>
  <si>
    <t>TISSEEL 4ML</t>
  </si>
  <si>
    <t>SUTURE MULTIPACK</t>
  </si>
  <si>
    <t>SPLASH SHIELD TIP</t>
  </si>
  <si>
    <t>US SURGICAL STAPLER</t>
  </si>
  <si>
    <t>US SURGICAL STAPLER RELOAD</t>
  </si>
  <si>
    <t>USSC RELOADS</t>
  </si>
  <si>
    <t>VASCULAR SUTURE</t>
  </si>
  <si>
    <t>ANDREW PADDING</t>
  </si>
  <si>
    <t>BERKELEY CANNULA</t>
  </si>
  <si>
    <t>JACKSON TABLE PADDING</t>
  </si>
  <si>
    <t>MENISCUS BLADE SURG #10</t>
  </si>
  <si>
    <t>MENISCUS BLADE SURG #15</t>
  </si>
  <si>
    <t>MENISCUS BLADE SURG #20</t>
  </si>
  <si>
    <t>MENISCUS BLADE #11 SS STRL LF</t>
  </si>
  <si>
    <t>SUSPENSION KITS</t>
  </si>
  <si>
    <t>TRUCUT</t>
  </si>
  <si>
    <t>TRUCUT / ASAP</t>
  </si>
  <si>
    <t>TUR / CYSTO TUBING</t>
  </si>
  <si>
    <t>ABD BINDER</t>
  </si>
  <si>
    <t>2 X 2 SPONGE</t>
  </si>
  <si>
    <t>SURGICL SKIN MARKER</t>
  </si>
  <si>
    <t>SCROTUM SUPPORT SM</t>
  </si>
  <si>
    <t>SCROTUM SUPPORT MD</t>
  </si>
  <si>
    <t>SCROTUM SUPPORT XL</t>
  </si>
  <si>
    <t>ENDO. BX. SNARE</t>
  </si>
  <si>
    <t>BLUE X-RAY O.R TOWEL</t>
  </si>
  <si>
    <t>VASCULAR GRAFT</t>
  </si>
  <si>
    <t>BLADE DERMATOME</t>
  </si>
  <si>
    <t>CHOLANGIOCATH / KARLAN</t>
  </si>
  <si>
    <t>CATH FOGARTY</t>
  </si>
  <si>
    <t>CATH STONE BASKET</t>
  </si>
  <si>
    <t>CEMENT ACCESORY</t>
  </si>
  <si>
    <t>CEMENT RESTRICTOR BUCK FEM. 18</t>
  </si>
  <si>
    <t>CLAMP BUILDOG DISP</t>
  </si>
  <si>
    <t>RESOLUTION 360 CLIP ENDO</t>
  </si>
  <si>
    <t>CORSON PROBE / GU</t>
  </si>
  <si>
    <t>DISECTOR ENDO</t>
  </si>
  <si>
    <t>DISPOSE-A-PROBE</t>
  </si>
  <si>
    <t>CHANNELFLAT DRAIN SILLICONE10M</t>
  </si>
  <si>
    <t>C-ARM DRAPE</t>
  </si>
  <si>
    <t>MICROSHIELD MICROSCOPE DRAPE F</t>
  </si>
  <si>
    <t>LARGE TOWEL DRAPE</t>
  </si>
  <si>
    <t>CSW 400 SMALL HEMOVAC DRAIN</t>
  </si>
  <si>
    <t>ENDO BABCOCK</t>
  </si>
  <si>
    <t>ENDO GIA</t>
  </si>
  <si>
    <t>ENDO GIA RELOAD</t>
  </si>
  <si>
    <t>ENDO LOOP</t>
  </si>
  <si>
    <t>EYE PAD</t>
  </si>
  <si>
    <t>URETERAL STENT</t>
  </si>
  <si>
    <t>LEVEL1 ACOUSTASCOPE ESOPHAGEA</t>
  </si>
  <si>
    <t>GRASPER ENDO</t>
  </si>
  <si>
    <t>ORAL AIRWAY</t>
  </si>
  <si>
    <t>ULPA FILTER</t>
  </si>
  <si>
    <t>HYPERTHERMIA BLK</t>
  </si>
  <si>
    <t>MULTIPLE CLIP APLLIER MEIDIUM</t>
  </si>
  <si>
    <t>SURGICEL 2X3</t>
  </si>
  <si>
    <t>ADULT MED CONCENTRAION 02MASK</t>
  </si>
  <si>
    <t>MENISCUS BLADE</t>
  </si>
  <si>
    <t>MICROBORE 60"" EXT</t>
  </si>
  <si>
    <t>MIC TUBE</t>
  </si>
  <si>
    <t>NEEDLE VARIES</t>
  </si>
  <si>
    <t>POST-OP SHOE</t>
  </si>
  <si>
    <t>PAD MAGNETIC INSTRUMENT</t>
  </si>
  <si>
    <t>PAD MAGNETIC NEEDLE</t>
  </si>
  <si>
    <t>PEG CATHETER SET</t>
  </si>
  <si>
    <t>OXYGEN DAILY SERVICE</t>
  </si>
  <si>
    <t>OXYGEN 1/4 HR</t>
  </si>
  <si>
    <t>ENDO CTR BLADE</t>
  </si>
  <si>
    <t>4 WAY ATHROSCOPY TUBING</t>
  </si>
  <si>
    <t>SEAMGUARD</t>
  </si>
  <si>
    <t>GOWN SLEEVE</t>
  </si>
  <si>
    <t>SHUNT CARATOID B.</t>
  </si>
  <si>
    <t>STAPLE SKIN CLOSURE</t>
  </si>
  <si>
    <t>STOCKINETTE TUBULAR 4""</t>
  </si>
  <si>
    <t>STOCKINETTE TUBULAR 6""</t>
  </si>
  <si>
    <t>SUTURE B</t>
  </si>
  <si>
    <t>SUTURE C</t>
  </si>
  <si>
    <t>SUTURE D</t>
  </si>
  <si>
    <t>TRAY CHEST DRAIN</t>
  </si>
  <si>
    <t>TROCAR REDUCER</t>
  </si>
  <si>
    <t>TUBE SHAPPARD</t>
  </si>
  <si>
    <t>VACURETTE</t>
  </si>
  <si>
    <t>BERKELEY TUBING</t>
  </si>
  <si>
    <t>VISCERA RETAINER</t>
  </si>
  <si>
    <t>BNDG ESMARK 6""</t>
  </si>
  <si>
    <t>BONE WAX</t>
  </si>
  <si>
    <t>DILATATION ESOPHOGEAL</t>
  </si>
  <si>
    <t>ESOPHAGEAL BALLOON DILATOR</t>
  </si>
  <si>
    <t>GIA RELOAD UNIT</t>
  </si>
  <si>
    <t>LEGGINGS</t>
  </si>
  <si>
    <t>NEEDLE MARCON HABER</t>
  </si>
  <si>
    <t>BRONCHIAL BIOPSY PUNCH</t>
  </si>
  <si>
    <t>EEA STAPLES</t>
  </si>
  <si>
    <t>TA STAPLES</t>
  </si>
  <si>
    <t>GIA STAPLES</t>
  </si>
  <si>
    <t>PEDICLE SCREWS</t>
  </si>
  <si>
    <t>BONE GRAFT</t>
  </si>
  <si>
    <t>BONE MARROW BIOPSY NEEDLE</t>
  </si>
  <si>
    <t>TOE IMPLANT W/ GROMMETS</t>
  </si>
  <si>
    <t>TOE IMPLANT FLEX HINGE</t>
  </si>
  <si>
    <t>NAIL NEUFELD</t>
  </si>
  <si>
    <t>PIN HAGIE</t>
  </si>
  <si>
    <t>STEINMAN PIN / K-WIRE</t>
  </si>
  <si>
    <t>PROS HIP AUST MOOR REG</t>
  </si>
  <si>
    <t>SCREW BONE</t>
  </si>
  <si>
    <t>SCREW LAG COMP</t>
  </si>
  <si>
    <t>STAPLE SERRATED</t>
  </si>
  <si>
    <t>BAG LEG LG</t>
  </si>
  <si>
    <t>NASOPHARYNGEAL AIRWAY 34 FR</t>
  </si>
  <si>
    <t>ORAL AIRWAY DISP 6CM</t>
  </si>
  <si>
    <t>ORAL AIRWAY DISP 7CM</t>
  </si>
  <si>
    <t>ORAL AIRWAY DISP 9CM</t>
  </si>
  <si>
    <t>TIBALIS TENDON FF</t>
  </si>
  <si>
    <t>ORAL AIRWAY DISP 5CM</t>
  </si>
  <si>
    <t>ORAL AIRWAY DISP 11CM</t>
  </si>
  <si>
    <t>BIOTRANSFIX 5 X 50</t>
  </si>
  <si>
    <t>TB-09 9 X 35 DELTA SCREW</t>
  </si>
  <si>
    <t>CERVICAL PLATE ONE LEVEL 22MM</t>
  </si>
  <si>
    <t>SLOTTED HOLE COVER ASSEMBLY</t>
  </si>
  <si>
    <t>BONE SCREW, 4.3 MM X 12MM</t>
  </si>
  <si>
    <t>AUTOTRANSFUSER KIT</t>
  </si>
  <si>
    <t>BILE BAG / GU</t>
  </si>
  <si>
    <t>BAG LEG MED</t>
  </si>
  <si>
    <t>LEG BAG</t>
  </si>
  <si>
    <t>BANDNET #5</t>
  </si>
  <si>
    <t>BANDNET #7</t>
  </si>
  <si>
    <t>BANDNET #9</t>
  </si>
  <si>
    <t>BANDNET #10</t>
  </si>
  <si>
    <t>SIZE 2 ANGLED LPT</t>
  </si>
  <si>
    <t>ANTERIOR TIBIALIS TENDON</t>
  </si>
  <si>
    <t>CERVICAL IMPLANT</t>
  </si>
  <si>
    <t>CATH 3-WAY</t>
  </si>
  <si>
    <t>CERVICAL PLATE</t>
  </si>
  <si>
    <t>BELT MATERNITY</t>
  </si>
  <si>
    <t>BELT PELVIC TRACTION</t>
  </si>
  <si>
    <t>BELT RIB UNIV</t>
  </si>
  <si>
    <t>BINDER ABD SM</t>
  </si>
  <si>
    <t>12"" ABDOMINAL BINDER SM</t>
  </si>
  <si>
    <t>BINDER ABD M, LG</t>
  </si>
  <si>
    <t>GI BIOPSY FORCEPS</t>
  </si>
  <si>
    <t>BIOPSY PUNCH</t>
  </si>
  <si>
    <t>BLOOD WARMER COIL TUBING</t>
  </si>
  <si>
    <t>BRACE WRIST ALL</t>
  </si>
  <si>
    <t>BRUSH BRONCH MEDITECH</t>
  </si>
  <si>
    <t>CANNISTER SUCTION LG</t>
  </si>
  <si>
    <t>DISP INNER CANULLA #4</t>
  </si>
  <si>
    <t>DISP INNER CANULLA #6</t>
  </si>
  <si>
    <t>DISP INNER CANULLA #8</t>
  </si>
  <si>
    <t>DISP INNER CANULLA #10</t>
  </si>
  <si>
    <t>CARDIOVASCULAR PATCH</t>
  </si>
  <si>
    <t>TUBE GRIP ALL SIZE</t>
  </si>
  <si>
    <t>CAST SHOE SM</t>
  </si>
  <si>
    <t>CAST SHOE MD</t>
  </si>
  <si>
    <t>CAST SHOE LG</t>
  </si>
  <si>
    <t>CATH FEMORAL ARTERY KIT</t>
  </si>
  <si>
    <t>CATH ARTERY RADIAL KIT.</t>
  </si>
  <si>
    <t>CATH RADIAL ARTERY</t>
  </si>
  <si>
    <t>ARTERIAL LINE KIT</t>
  </si>
  <si>
    <t>CATH CENTRAL VEN 3 LUM</t>
  </si>
  <si>
    <t>CATH BRONCH ASP</t>
  </si>
  <si>
    <t>CATH CARDIO BALLON WDG</t>
  </si>
  <si>
    <t>KAREAN CHOLANGIOCATH</t>
  </si>
  <si>
    <t>CATH COUDE 14FR 5CC</t>
  </si>
  <si>
    <t>CATH COUDE 16FR 5CC</t>
  </si>
  <si>
    <t>CATH COUDE 18FR 5CC</t>
  </si>
  <si>
    <t>CATH COUDE 20F 5CC</t>
  </si>
  <si>
    <t>CATH COUDE 22F 5CC</t>
  </si>
  <si>
    <t>CATH COUDE 24F 5CC</t>
  </si>
  <si>
    <t>CATH EMBOLECTOMY</t>
  </si>
  <si>
    <t>CATH FEMALE KIT</t>
  </si>
  <si>
    <t>CATH PHILLIPS</t>
  </si>
  <si>
    <t>CATH PHILLIPS FOLL #8</t>
  </si>
  <si>
    <t>CATH PHILLIPS FOLL #10</t>
  </si>
  <si>
    <t>CATH PHILLIPS FOLL #12</t>
  </si>
  <si>
    <t>CATH PHILLIPS FOLL #14</t>
  </si>
  <si>
    <t>CATH PHILLIPS FOLL #16</t>
  </si>
  <si>
    <t>CATH PHILLIPS FOLL #18</t>
  </si>
  <si>
    <t>CATH PHILLIPS FOLL #20</t>
  </si>
  <si>
    <t>CATH PHILLIPS FOLL #22</t>
  </si>
  <si>
    <t>CATH PHILLIPS FOLL #24</t>
  </si>
  <si>
    <t>CATH PHILLIPS FOLL #26</t>
  </si>
  <si>
    <t>CATH PHILLIPS FOLL #28</t>
  </si>
  <si>
    <t>CATH FILLIFORM ALL</t>
  </si>
  <si>
    <t>CATH FOLEY 14FR 30CC</t>
  </si>
  <si>
    <t>CATH FOLEY 16FR 30CC</t>
  </si>
  <si>
    <t>CATH FOLEY 20FR 30CC</t>
  </si>
  <si>
    <t>CATH FOLEY 22FR 30CC</t>
  </si>
  <si>
    <t>CATH FOLEY 24FR 30CC</t>
  </si>
  <si>
    <t>CATH FOLEY 26FR 30CC</t>
  </si>
  <si>
    <t>CATH FOLEY 28FR 30CC</t>
  </si>
  <si>
    <t>CATH FOLEY 30FR 30CC</t>
  </si>
  <si>
    <t>CATH 2WY 30FR 30CC</t>
  </si>
  <si>
    <t>CATH FOL 2WY 5CC</t>
  </si>
  <si>
    <t>CATH 8FR 2WAY 3CC</t>
  </si>
  <si>
    <t>CATH FOL 3CC</t>
  </si>
  <si>
    <t>CATH 3WY 24FR 30CC</t>
  </si>
  <si>
    <t>CATH 3WY 26FR 30CC</t>
  </si>
  <si>
    <t>CATH 3WY 28FR 30CC</t>
  </si>
  <si>
    <t>CATH FOL 3WY 30CC</t>
  </si>
  <si>
    <t>CATH NASAL BILIARY</t>
  </si>
  <si>
    <t>CATH INTROD SHEATH</t>
  </si>
  <si>
    <t>CATH FOLEY 12FR 5CC</t>
  </si>
  <si>
    <t>CATH FOLEY 14FR 5CC</t>
  </si>
  <si>
    <t>CATH FOLEY 16FR 5CC</t>
  </si>
  <si>
    <t>CATH FOLEY 18FR 5CC</t>
  </si>
  <si>
    <t>CATH FOLEY 20FR 5CC</t>
  </si>
  <si>
    <t>CATH FOLEY 22FR 5CC</t>
  </si>
  <si>
    <t>CATH FOLEY 24FR 5CC</t>
  </si>
  <si>
    <t>CATH FOLEY 26FR 5CC</t>
  </si>
  <si>
    <t>CATH FOLEY 28FR 5CC</t>
  </si>
  <si>
    <t>CATH CONDOM SM</t>
  </si>
  <si>
    <t>CATH CONDOM MED</t>
  </si>
  <si>
    <t>CATH CONDOM LG</t>
  </si>
  <si>
    <t>CATH PACING SWANZ</t>
  </si>
  <si>
    <t>CATH PERCU INTROD 8F</t>
  </si>
  <si>
    <t>CATH PNEUMOTHORAX</t>
  </si>
  <si>
    <t>CATH QUINTON</t>
  </si>
  <si>
    <t>CATH ROBINSON</t>
  </si>
  <si>
    <t>CATH SILASTIC</t>
  </si>
  <si>
    <t>SUBCLAVIAN CATH</t>
  </si>
  <si>
    <t>CYSTOCATH / GU</t>
  </si>
  <si>
    <t>CATH SWANG THERMODIL</t>
  </si>
  <si>
    <t>CATH SWAN GANZ</t>
  </si>
  <si>
    <t>CHEST TUBE/ STRAIGHT</t>
  </si>
  <si>
    <t>CHEST TUBE/ RT ANGLE</t>
  </si>
  <si>
    <t>CATH UMBIL ARTER</t>
  </si>
  <si>
    <t>CATH URET SPIRAL TIP</t>
  </si>
  <si>
    <t>CATH URETERAL WHISTLE TIP 6X70</t>
  </si>
  <si>
    <t>CIRCUIT ANESTHESIA SET</t>
  </si>
  <si>
    <t>DERMATONE BLADE</t>
  </si>
  <si>
    <t>DIALYSIS HEMO</t>
  </si>
  <si>
    <t>CLAVICLE SPLINT</t>
  </si>
  <si>
    <t>COLLAR CERV UNIV</t>
  </si>
  <si>
    <t>SILICONE PENREOSE 0.5 1/2</t>
  </si>
  <si>
    <t>DRAISILICONE PENROSE .025</t>
  </si>
  <si>
    <t>DRAIN SARATOGA SUMP</t>
  </si>
  <si>
    <t>COMPEEL DSNG</t>
  </si>
  <si>
    <t>CRADLE ARM SLING</t>
  </si>
  <si>
    <t>DRSG UNIT PLEUREVAC</t>
  </si>
  <si>
    <t>DRSG UNIT HEMOVAC</t>
  </si>
  <si>
    <t>DRSG UNIT TUR</t>
  </si>
  <si>
    <t>SURESITE WINDOW 2.375X2.75</t>
  </si>
  <si>
    <t>NASAL DRESSING 8CM</t>
  </si>
  <si>
    <t>DRSG COMBINE 4X6</t>
  </si>
  <si>
    <t>DRSG DUODERM THIN 6*6</t>
  </si>
  <si>
    <t>DRSG DUODERM 6*6</t>
  </si>
  <si>
    <t>DRSG DUODERM 8*12</t>
  </si>
  <si>
    <t>DRSG DUODERM 15MG TB</t>
  </si>
  <si>
    <t>DRSG FULLER SHIELD</t>
  </si>
  <si>
    <t>DRSG SCARLET 5 X 9</t>
  </si>
  <si>
    <t>DRSG TELFA 3X4</t>
  </si>
  <si>
    <t>TELFA ADHESIVE ISLAND DRESSING</t>
  </si>
  <si>
    <t>DRSG FLEXZAN 4*4</t>
  </si>
  <si>
    <t>DRSG FLEXZAN 4*8</t>
  </si>
  <si>
    <t>DRSG FLEXZAN 8*8</t>
  </si>
  <si>
    <t>DRSG KALOSTAT 1G</t>
  </si>
  <si>
    <t>DRSG KALOSTAT 2G</t>
  </si>
  <si>
    <t>DRSG KALOSTAT 12</t>
  </si>
  <si>
    <t>DRSG KALOSTAT 10*20</t>
  </si>
  <si>
    <t>DRSG CHRONICURE</t>
  </si>
  <si>
    <t>DRSG GEL</t>
  </si>
  <si>
    <t>DRSG INTROCITE</t>
  </si>
  <si>
    <t>DRSG MITRAFLEX 4*4</t>
  </si>
  <si>
    <t>DRSG MITRAFLEX 6*6</t>
  </si>
  <si>
    <t>DRSG MITRAFLEX 4*8</t>
  </si>
  <si>
    <t>XEROFORM DRESSING 1X8</t>
  </si>
  <si>
    <t>DRSG XEROFORM 1X8</t>
  </si>
  <si>
    <t>XEROFORM  DRESSING 5X9</t>
  </si>
  <si>
    <t xml:space="preserve">DRSG OPSITE 4"" * 5"" 1/ </t>
  </si>
  <si>
    <t>DRSG PRO-CLUDE 6 * 6</t>
  </si>
  <si>
    <t>ELECTRODE BI POLAR PAC</t>
  </si>
  <si>
    <t>ELECTRODE EXTENNAL</t>
  </si>
  <si>
    <t>ELICK EVALUATOR</t>
  </si>
  <si>
    <t>ENDO EEA PURSE STR SUT</t>
  </si>
  <si>
    <t>GASTROSTOMY KIT</t>
  </si>
  <si>
    <t>GASTROSCOPY/COLONOSCOPY SUPPLY</t>
  </si>
  <si>
    <t>DRAIN/SPLIT</t>
  </si>
  <si>
    <t>GRIPPER NON-CORING NEEDLE</t>
  </si>
  <si>
    <t>GAUZE VASELINE 1X8</t>
  </si>
  <si>
    <t>GAUZE VASELINE 3X18</t>
  </si>
  <si>
    <t>IMMOB SHOULDER SM</t>
  </si>
  <si>
    <t>IMMOB SHOULDER MD</t>
  </si>
  <si>
    <t>IMMOB SHOULDER LG</t>
  </si>
  <si>
    <t>INJECTION SET COLD</t>
  </si>
  <si>
    <t>IMMOB SHOULDER XL</t>
  </si>
  <si>
    <t>IMMOB KNEE SM</t>
  </si>
  <si>
    <t>INFUSOR CVP</t>
  </si>
  <si>
    <t>IMMOB KNEE MD</t>
  </si>
  <si>
    <t>IMMOB KNEE LG</t>
  </si>
  <si>
    <t>INFUSION SET EMERG</t>
  </si>
  <si>
    <t>IMMOB KNEE XL</t>
  </si>
  <si>
    <t>INSUFLATION TUBING</t>
  </si>
  <si>
    <t>INTRODUCER IO FR</t>
  </si>
  <si>
    <t>INTRODUCER SWAN GANZ</t>
  </si>
  <si>
    <t>IV CATH CHOLANGIO</t>
  </si>
  <si>
    <t>CATH CUTDOWN</t>
  </si>
  <si>
    <t>INTRA-AORTIC BALLOON</t>
  </si>
  <si>
    <t>BD ANGIO CATH 14G 5.25</t>
  </si>
  <si>
    <t>K-PAD DISP</t>
  </si>
  <si>
    <t>KIT BRUSH BRONCH</t>
  </si>
  <si>
    <t>KIT PAP SMEAR</t>
  </si>
  <si>
    <t>KNEE BRACE</t>
  </si>
  <si>
    <t>IV START KIT W/ CHLORAPREP</t>
  </si>
  <si>
    <t>IV TUBING SECONDARY MEDICATION</t>
  </si>
  <si>
    <t>LAVAGE GASTRIC KIT</t>
  </si>
  <si>
    <t>LAVAGE TUBE 36FR</t>
  </si>
  <si>
    <t>LAVAGE TUBE 28FR</t>
  </si>
  <si>
    <t>L-HOOK SHORT</t>
  </si>
  <si>
    <t>L-HOOK LONG</t>
  </si>
  <si>
    <t>LIGASURE CVD SMALL 16.5-19CM</t>
  </si>
  <si>
    <t>PISTOL GRIP TROCAR</t>
  </si>
  <si>
    <t>ROTATING CLIP APPLIER</t>
  </si>
  <si>
    <t>LENS MORGAN</t>
  </si>
  <si>
    <t>LOOP 24F</t>
  </si>
  <si>
    <t>VESSEL LOOP-BLUE</t>
  </si>
  <si>
    <t>MANOMETER</t>
  </si>
  <si>
    <t>NASOPHARYGEAL AIRWAY 7.0</t>
  </si>
  <si>
    <t>NASOPHARYNGEAL AIRWAY   8.0</t>
  </si>
  <si>
    <t>NEEDLE BIOPSY DISP</t>
  </si>
  <si>
    <t>NEEDLE CARDIAC</t>
  </si>
  <si>
    <t>NEEDLE JAMSHIDI</t>
  </si>
  <si>
    <t>NEEDLE PORTA CATH</t>
  </si>
  <si>
    <t>SPINAL NEEDLE 22GX3.50 IN</t>
  </si>
  <si>
    <t>NEEDLE SPINAL 20X3 1/2</t>
  </si>
  <si>
    <t>NEEDLE SPINAL 22X1 1/2</t>
  </si>
  <si>
    <t>NEEDLE SPINAL 25X3 1/2</t>
  </si>
  <si>
    <t>OBTURATOR AIRWAY</t>
  </si>
  <si>
    <t>OST BAG DRN KARAYA</t>
  </si>
  <si>
    <t>OST BAG UROSTOMY BX</t>
  </si>
  <si>
    <t>OST BELT</t>
  </si>
  <si>
    <t>OST CLAMP</t>
  </si>
  <si>
    <t>OST COLOPLAST</t>
  </si>
  <si>
    <t>OST DR BAG LOOP</t>
  </si>
  <si>
    <t>OST DRAIN BAG KARAYA BX</t>
  </si>
  <si>
    <t>OST BRIDGE</t>
  </si>
  <si>
    <t>OST GASKET</t>
  </si>
  <si>
    <t>OST IRRIG STARTER SET</t>
  </si>
  <si>
    <t>OST SKIN GEL</t>
  </si>
  <si>
    <t>OST STOMAHESIVE 4 X 4</t>
  </si>
  <si>
    <t>OXISENSOR ADULT</t>
  </si>
  <si>
    <t>ABDOMINAL PAD</t>
  </si>
  <si>
    <t>PAD K-GAYMAR SM</t>
  </si>
  <si>
    <t>RADIOTRANSPARENT ELECTRODE</t>
  </si>
  <si>
    <t>P.E.G. SET</t>
  </si>
  <si>
    <t>PILLOW ABDUCTION</t>
  </si>
  <si>
    <t>PILLOW CERVICAL</t>
  </si>
  <si>
    <t>PILLOW LUMBAR</t>
  </si>
  <si>
    <t>PIN ADAPTER UNIVERSAL</t>
  </si>
  <si>
    <t>PROLAPSE HEMORRHOID SET</t>
  </si>
  <si>
    <t>PURSTRING</t>
  </si>
  <si>
    <t>PROBE RECTAL</t>
  </si>
  <si>
    <t>RETRAC TAPE 16X30</t>
  </si>
  <si>
    <t>RETRAC TAPE 16X45</t>
  </si>
  <si>
    <t>RING RUBBER INFLATE</t>
  </si>
  <si>
    <t>SEQ COMP SLV MED</t>
  </si>
  <si>
    <t>SEQ COMP SLV LG</t>
  </si>
  <si>
    <t>SHEATH URO</t>
  </si>
  <si>
    <t>CONTOUR 6F</t>
  </si>
  <si>
    <t>MAXAN GREEN 4 LVL 68MM FIX PLT</t>
  </si>
  <si>
    <t>VASCULAR STENT</t>
  </si>
  <si>
    <t>LINEUM 3.5MM X 80MM COCR ROD</t>
  </si>
  <si>
    <t>AMISTEM-P STD.#1</t>
  </si>
  <si>
    <t>MPACT TWO HOLE CUP 54MM</t>
  </si>
  <si>
    <t>MPACT TWO HOLE CUP 56MM</t>
  </si>
  <si>
    <t>MPACT FLAT LINER HC 40/F</t>
  </si>
  <si>
    <t>40MM BIOLOX DELTA HEAD L</t>
  </si>
  <si>
    <t>SHIELD EYE</t>
  </si>
  <si>
    <t>NELLCOR ADULT SP02 SENSOR</t>
  </si>
  <si>
    <t>SHUNT LEVEEN</t>
  </si>
  <si>
    <t>SCRIBNER SHUNT SET</t>
  </si>
  <si>
    <t>SKIN TRAC ADULT</t>
  </si>
  <si>
    <t>SLEENE SURG</t>
  </si>
  <si>
    <t>SKIN TRAC INFANT</t>
  </si>
  <si>
    <t>SLING ARM CRADLE</t>
  </si>
  <si>
    <t>SLING ARM SM</t>
  </si>
  <si>
    <t>SLING ARM MED</t>
  </si>
  <si>
    <t>SLING ARM LG</t>
  </si>
  <si>
    <t>SLING ARM PEDS</t>
  </si>
  <si>
    <t>FASTFIX KNOT PUSHER/CUTTER</t>
  </si>
  <si>
    <t>SORBSAN</t>
  </si>
  <si>
    <t>SPLINT ANKLE</t>
  </si>
  <si>
    <t>SPLINT CLAV</t>
  </si>
  <si>
    <t>SPLINT COLLES</t>
  </si>
  <si>
    <t>SPLINT FNGR ALUMINUM</t>
  </si>
  <si>
    <t>SPLINT VELPEAU</t>
  </si>
  <si>
    <t>SPRAY APPLICATOR EXT.</t>
  </si>
  <si>
    <t>KNEE IMMOBILIZER</t>
  </si>
  <si>
    <t>SPLINT BASEBALL</t>
  </si>
  <si>
    <t>SPLINT METACARPAL</t>
  </si>
  <si>
    <t>STRAP CLAVICLE SM</t>
  </si>
  <si>
    <t>STRAP CLAVICLE MED</t>
  </si>
  <si>
    <t>CRESCENT KNIFE</t>
  </si>
  <si>
    <t>STRAP CLAVICLE LG</t>
  </si>
  <si>
    <t>STRAP CLAVICLE XL</t>
  </si>
  <si>
    <t>WETFIELD ERASER</t>
  </si>
  <si>
    <t>EYE INST TRAY</t>
  </si>
  <si>
    <t>FLATT DRAIN SILLICONE 7MM JP</t>
  </si>
  <si>
    <t>BEAVER BLADE #5521</t>
  </si>
  <si>
    <t>SPLINT WRST ELAS</t>
  </si>
  <si>
    <t>SPLINT ORTHOPLAST</t>
  </si>
  <si>
    <t>SPLINT PLASTER 3""</t>
  </si>
  <si>
    <t>SKIN STAPLE REMOVER</t>
  </si>
  <si>
    <t>CONTOUR CUD STAPLES</t>
  </si>
  <si>
    <t>CONTOUR RELOAD</t>
  </si>
  <si>
    <t>INTRALUMINAR STAPLES CURVED</t>
  </si>
  <si>
    <t>ROTICULATOR SIZE 55</t>
  </si>
  <si>
    <t>STAPLE INTESTINAL</t>
  </si>
  <si>
    <t>SKIN STAPLER MULTI-FIRE</t>
  </si>
  <si>
    <t>SKIN STAPLER RELOAD</t>
  </si>
  <si>
    <t>STAPLE INTESTINAL APP</t>
  </si>
  <si>
    <t>STAPLE SIZEN</t>
  </si>
  <si>
    <t>STOCKINETTE TUBE 8""</t>
  </si>
  <si>
    <t>STOCKINETTE TUBE 2""</t>
  </si>
  <si>
    <t>STRAP MONTGOMERY</t>
  </si>
  <si>
    <t>CLAVICLE STRAP</t>
  </si>
  <si>
    <t>STRIPPER VEIN</t>
  </si>
  <si>
    <t>SUPPORT LUMBAR SML</t>
  </si>
  <si>
    <t>SUPPORT LUMBAR MED</t>
  </si>
  <si>
    <t>SUPPORT LUMBAR LG</t>
  </si>
  <si>
    <t>SUPPORT LUMBAR XLG</t>
  </si>
  <si>
    <t>SURGIFIX</t>
  </si>
  <si>
    <t>SUPPORT SCROTAL L</t>
  </si>
  <si>
    <t>SUPPORT SCROTAL XLG</t>
  </si>
  <si>
    <t>3-0 VICRYL SH</t>
  </si>
  <si>
    <t>SUTURA WIRE</t>
  </si>
  <si>
    <t>SWAN GANZ TIP 5FR</t>
  </si>
  <si>
    <t>SWAN GANZ 7.5 FR</t>
  </si>
  <si>
    <t>FIBERGLASS ROLL 2"</t>
  </si>
  <si>
    <t>FIBERGLASS ROLL 3"</t>
  </si>
  <si>
    <t>MICROPORE TAPE 2""</t>
  </si>
  <si>
    <t>FIBERGLASS ROLL 6"</t>
  </si>
  <si>
    <t>TAPE FIBERGLASS 5""</t>
  </si>
  <si>
    <t>FIBERGLASS ROLL 4"</t>
  </si>
  <si>
    <t>CASTIN TAPE 4""</t>
  </si>
  <si>
    <t>TRACTION BOOT BUKS</t>
  </si>
  <si>
    <t>TRACTION HEAD HALTER</t>
  </si>
  <si>
    <t>TRANSDUCER DOME DOUBLE</t>
  </si>
  <si>
    <t>TRANSDUCER DOME SINGLE</t>
  </si>
  <si>
    <t>TRAY BASIC BIOPSY</t>
  </si>
  <si>
    <t>TRAY BONE MARROW</t>
  </si>
  <si>
    <t>TRAY TRIPLE LUMEN</t>
  </si>
  <si>
    <t>TRAY CUP ARROW</t>
  </si>
  <si>
    <t>TRAY CVC 3LUMEN 7FR 30CM</t>
  </si>
  <si>
    <t>TRAY DRAINAGE CLOSED</t>
  </si>
  <si>
    <t>CORKSCREW 5.0</t>
  </si>
  <si>
    <t>BIO SUTURE TRN MIN</t>
  </si>
  <si>
    <t>MINI BIO ANCHOR</t>
  </si>
  <si>
    <t>2MM ABLATION PROBE</t>
  </si>
  <si>
    <t>TRAY EPIDURAL CONT</t>
  </si>
  <si>
    <t>URINARY DRAINAGE BAG</t>
  </si>
  <si>
    <t>TRAY ADD-A-CATH</t>
  </si>
  <si>
    <t>TRAY FOLEY 16FR</t>
  </si>
  <si>
    <t>TRAY GASTRIC LAVAGE</t>
  </si>
  <si>
    <t>ARTHROSCOPY CANNULA</t>
  </si>
  <si>
    <t>ARTHRO SHAVAER BLADE</t>
  </si>
  <si>
    <t>LMA 3</t>
  </si>
  <si>
    <t>ARTHRO FLOW IRRING</t>
  </si>
  <si>
    <t>TRAY GASTRIC LAVAGE MD.</t>
  </si>
  <si>
    <t>TRAY GASTRIC LAVAGE LG.</t>
  </si>
  <si>
    <t>TRAY GASTROSTOMY</t>
  </si>
  <si>
    <t>INTERMITTENT</t>
  </si>
  <si>
    <t>URINE METER CATH TRAY</t>
  </si>
  <si>
    <t>TRAY INCIS DRAIN</t>
  </si>
  <si>
    <t>TRAY LIVER BIOPSY</t>
  </si>
  <si>
    <t>TRAY LUMBAR PUNCTURE</t>
  </si>
  <si>
    <t>TRAY LUMBAR PUN PED</t>
  </si>
  <si>
    <t>TRAY LUMBAR PUN NEO</t>
  </si>
  <si>
    <t>TRAY CENTRAL VENOUS</t>
  </si>
  <si>
    <t>FILLIFORM STR AND SPIRAL</t>
  </si>
  <si>
    <t>EPIDURAL TRAY SPINAL ANESTH</t>
  </si>
  <si>
    <t>TRAY SUTURE</t>
  </si>
  <si>
    <t>TRAY SUTURE REMOVAL</t>
  </si>
  <si>
    <t>TRAY STPL REMOVAL</t>
  </si>
  <si>
    <t>TRAY TROCAR CATH</t>
  </si>
  <si>
    <t>TROCAR 20FR</t>
  </si>
  <si>
    <t>TROCAR 24FR</t>
  </si>
  <si>
    <t>TRAY URINE METER</t>
  </si>
  <si>
    <t>TROCAR 28FR</t>
  </si>
  <si>
    <t>TROCAR 32FR</t>
  </si>
  <si>
    <t>THORACIC 36FR ST</t>
  </si>
  <si>
    <t>TROCAR SLEEVE</t>
  </si>
  <si>
    <t>TUBE ARTERIAL PRESS. 6""</t>
  </si>
  <si>
    <t>TUBE ENDO CUFFED 7.0</t>
  </si>
  <si>
    <t>TUBE ENDO CUFFED 8.0</t>
  </si>
  <si>
    <t>TUBE BLAKEMORE</t>
  </si>
  <si>
    <t>TUBE CANTOR</t>
  </si>
  <si>
    <t>TUBE FEEDING 5FRX15</t>
  </si>
  <si>
    <t>TUBE FEEDING 5FRX36</t>
  </si>
  <si>
    <t>TUBE FEEDING 8FRX15</t>
  </si>
  <si>
    <t>TUBE FEEDING 8FRX42</t>
  </si>
  <si>
    <t>MAXAN GREEN 4 LVL 72MM FIX PLT</t>
  </si>
  <si>
    <t>ENDOTRACHEAL TUBE 8.0MM</t>
  </si>
  <si>
    <t>TUBE ENDO CUFFED 4.0</t>
  </si>
  <si>
    <t>TUBE ENDO CUFFED 4.5</t>
  </si>
  <si>
    <t>TUBE ENDO CUFFED #5</t>
  </si>
  <si>
    <t>TUBE ENDO CUFFED 5.5</t>
  </si>
  <si>
    <t>HIP COMPRESSION SCREW</t>
  </si>
  <si>
    <t>TUBE ENDO CUFFED 6.0</t>
  </si>
  <si>
    <t>TUBE ENDO CUFFED 6.5</t>
  </si>
  <si>
    <t>CERV 14D X 16W X 8H 6DEG</t>
  </si>
  <si>
    <t>LINEUM 3.5MM X 240MM COCR ROD</t>
  </si>
  <si>
    <t>TUBE ENDO CUFFED 7.5</t>
  </si>
  <si>
    <t>LINEUM 3.0MM TAP</t>
  </si>
  <si>
    <t>LINEUM 3.5MM DRILL</t>
  </si>
  <si>
    <t>TUBE ENDO CUFFED 8.5</t>
  </si>
  <si>
    <t>SHOE POST-OP</t>
  </si>
  <si>
    <t>TUBE ENDO CUFFED 9.5</t>
  </si>
  <si>
    <t>SOFT TOUCH LANCET</t>
  </si>
  <si>
    <t>TUBE ET NO CUFF</t>
  </si>
  <si>
    <t>SPLINT MTRL OCL</t>
  </si>
  <si>
    <t>SPLINT NASAL ALUMINIM</t>
  </si>
  <si>
    <t>TUBE FEEDING ENT 8FR</t>
  </si>
  <si>
    <t>SPLINT POST PLASTER</t>
  </si>
  <si>
    <t>TUBE FEEDING ENT 10FR</t>
  </si>
  <si>
    <t>SPLINT SAGER</t>
  </si>
  <si>
    <t>STAPLE FIX</t>
  </si>
  <si>
    <t>TUBE KASLOW</t>
  </si>
  <si>
    <t>STKG TED KNEE SM REG</t>
  </si>
  <si>
    <t>TUBE LEVIN 12 FR</t>
  </si>
  <si>
    <t>STKG TED KNEE MED RE</t>
  </si>
  <si>
    <t>TUBE LEVIN 14FR</t>
  </si>
  <si>
    <t>STKG TED KNEE MED LN</t>
  </si>
  <si>
    <t>TUBE LEVIN 16FR</t>
  </si>
  <si>
    <t>STKG TED KNEE LG LNG</t>
  </si>
  <si>
    <t>TUBE LEVIN 18FR</t>
  </si>
  <si>
    <t>STKG TED KNEE LG</t>
  </si>
  <si>
    <t>TUBE LINTON</t>
  </si>
  <si>
    <t>STKG TED KNEE XLG RE</t>
  </si>
  <si>
    <t>FORM FIT THUMB SPICA LT SM</t>
  </si>
  <si>
    <t>STKG TED KNEE XLG LN</t>
  </si>
  <si>
    <t>TUBE MILLER/ABBOTT</t>
  </si>
  <si>
    <t>TED STOCKING / THIGH</t>
  </si>
  <si>
    <t>TUBE ENDO CUFFED 9.0</t>
  </si>
  <si>
    <t>STKG THIGH SMALL REG</t>
  </si>
  <si>
    <t>TUBE NASO/GASTRIC</t>
  </si>
  <si>
    <t>STKG THIGH SM LNG</t>
  </si>
  <si>
    <t>TUBE RECTAL</t>
  </si>
  <si>
    <t>STKG TED THIGH MED/SHT</t>
  </si>
  <si>
    <t>TUBE URET PRESS W/GUAGE</t>
  </si>
  <si>
    <t>STKG TED THIGH MED/REG</t>
  </si>
  <si>
    <t>RESERVOIR</t>
  </si>
  <si>
    <t>STKG TED THIGH MED/LNG</t>
  </si>
  <si>
    <t>STKG THIGH LG SHT</t>
  </si>
  <si>
    <t>TUBE SALEM SUMP 18FR</t>
  </si>
  <si>
    <t>STKG THIGH LG REG</t>
  </si>
  <si>
    <t>STKG THIGH LG LNG</t>
  </si>
  <si>
    <t>TUBE STOMACH</t>
  </si>
  <si>
    <t>TUBE T</t>
  </si>
  <si>
    <t>TUBE EWALD</t>
  </si>
  <si>
    <t>TUBE TRACH CUFFED</t>
  </si>
  <si>
    <t>SUPPORT ANKLE SMALL.</t>
  </si>
  <si>
    <t>38 MM PLATE</t>
  </si>
  <si>
    <t>TUBE TRACH CUFFED #6</t>
  </si>
  <si>
    <t>SUPPORT ANKLE MED.</t>
  </si>
  <si>
    <t>PRIMARY SCREWS 12 MM</t>
  </si>
  <si>
    <t>TUBE TRACH CUFFED #8</t>
  </si>
  <si>
    <t>DISPOSABLE DRILL 12 MM</t>
  </si>
  <si>
    <t>TUBE TRACH CUFFED #10</t>
  </si>
  <si>
    <t>SUPPORT ANKLE XLARGE</t>
  </si>
  <si>
    <t>ALLOQUENT 6 MM CERV ALLOGRAFT</t>
  </si>
  <si>
    <t>TUBE TRACH NO CUFF</t>
  </si>
  <si>
    <t>ALLOQUENT 7 MM CERV ALLOGRAFT</t>
  </si>
  <si>
    <t>TUBE TRACH CFN 8.</t>
  </si>
  <si>
    <t>ALLOQUENT 8 MM CERV ALLOGRAFT</t>
  </si>
  <si>
    <t>TUBE TRACK PLUG</t>
  </si>
  <si>
    <t>12 MM RESCUE SCREW</t>
  </si>
  <si>
    <t>TUBE TRACK HOLO ATRAP</t>
  </si>
  <si>
    <t>TUBE TRACH JACKSON PRATT</t>
  </si>
  <si>
    <t>WIRE KIRSCHNER 3/16</t>
  </si>
  <si>
    <t>BLADE PODIATRY</t>
  </si>
  <si>
    <t>URINEMETER</t>
  </si>
  <si>
    <t>HICKMAN CATHETHER</t>
  </si>
  <si>
    <t>URETERAL STENT J</t>
  </si>
  <si>
    <t>WALKER SHORT LEG</t>
  </si>
  <si>
    <t>GUIDE WIRE / GU</t>
  </si>
  <si>
    <t>ELLIK EVACUATOR</t>
  </si>
  <si>
    <t>CERVICAL TACK</t>
  </si>
  <si>
    <t>WIRE CUTTER</t>
  </si>
  <si>
    <t>INFUSE BONE GRAFT- LARGE BMP</t>
  </si>
  <si>
    <t>MESH MARLEX LG</t>
  </si>
  <si>
    <t>MESH MARLEX SM</t>
  </si>
  <si>
    <t>BLADE MENISCUS CVD</t>
  </si>
  <si>
    <t>NERVE STIMULATOR</t>
  </si>
  <si>
    <t>BLADE MENISCUS STRAIGHT</t>
  </si>
  <si>
    <t>PIN HIP GUIDE</t>
  </si>
  <si>
    <t>BLADE MENISCUS</t>
  </si>
  <si>
    <t>DCP PLATE</t>
  </si>
  <si>
    <t>PODIETRY BLADE</t>
  </si>
  <si>
    <t>SMALL FRAGMENT PLATE</t>
  </si>
  <si>
    <t>LEVEEN SHUNT</t>
  </si>
  <si>
    <t>URETHRAL STENT</t>
  </si>
  <si>
    <t>TA RELOAD UNIT</t>
  </si>
  <si>
    <t>STERILE GLY 1.5% 3000ML</t>
  </si>
  <si>
    <t>VEIN STRIPPER EA.</t>
  </si>
  <si>
    <t>PLAS. CAST/LONG ARM</t>
  </si>
  <si>
    <t>PLAS. CAST/SHORT LEG</t>
  </si>
  <si>
    <t>CASTING TAPE 2""</t>
  </si>
  <si>
    <t>CASTING TAPE 4""</t>
  </si>
  <si>
    <t>CASTING TAPE 6""</t>
  </si>
  <si>
    <t>VASC CELL SAVER</t>
  </si>
  <si>
    <t>HEIMICH CHEST DRAIN</t>
  </si>
  <si>
    <t>IMPLANT MAMMARY</t>
  </si>
  <si>
    <t>STRAIGHT 26D X 9W X 14H 6DEG</t>
  </si>
  <si>
    <t>POL TRANS 5.5 TI 7.5X45MM TRNS</t>
  </si>
  <si>
    <t>GREAT TOE IMPLANT</t>
  </si>
  <si>
    <t>POL 5.5 TI PLUG SPINAL SYSTEM</t>
  </si>
  <si>
    <t>POL 5.5 TI 45MM TI CURVED ROD</t>
  </si>
  <si>
    <t>POL 5.5 TI 6.5MM TAP</t>
  </si>
  <si>
    <t>STRAIGHT 26D X 9W X 12H 6DEG</t>
  </si>
  <si>
    <t>STRAIGHT 22D X 9W X 8H 6DEG</t>
  </si>
  <si>
    <t>IMPLANT HIP THOMPSON</t>
  </si>
  <si>
    <t>PLFM CM STRIP 2X125X4 1/BX 10C</t>
  </si>
  <si>
    <t>POL5.5TI 10.5X70 MA ILIAC SCR</t>
  </si>
  <si>
    <t>POL5.5TI 5.5X510 STD HEX ROD</t>
  </si>
  <si>
    <t>POL TRANS DBL-LEAD TAP 7.5MM</t>
  </si>
  <si>
    <t>POL TRANS DBL-LEAD TAP 6.5MM</t>
  </si>
  <si>
    <t>POL TRANS 5.5 TI 7.5X50MM TRNS</t>
  </si>
  <si>
    <t>POL 5.5 TI 7.5X45MM MA RED SCR</t>
  </si>
  <si>
    <t>POL TRANS 5.5 TI 8.5X35MM TRNS</t>
  </si>
  <si>
    <t>POL TRANS 5.5 TI 8.540MM TRNS</t>
  </si>
  <si>
    <t>POL 5.5 TI LAT CONN OPEN 50MM</t>
  </si>
  <si>
    <t>PROXIMAL LATERAL TIBIAL 3.5MM</t>
  </si>
  <si>
    <t>1.6MM STANDARD DRILL TIP GUIDE</t>
  </si>
  <si>
    <t>PATELLA TENDON BTB</t>
  </si>
  <si>
    <t>LOCK PLATE</t>
  </si>
  <si>
    <t>2.7MM STANDARD CANNULATED DRIL</t>
  </si>
  <si>
    <t>DRILL BIT Q-C, 3-FLUTED, 2.5MM</t>
  </si>
  <si>
    <t>PERI LOCKING SCREW 3.5MM X 70M</t>
  </si>
  <si>
    <t>PERI LOCKING SCREW 3.5MM X 65M</t>
  </si>
  <si>
    <t>PERIARTICULAR SCREW 3.5MM X 32</t>
  </si>
  <si>
    <t>PERIARTICULAR SCREW 3.5MM X 34</t>
  </si>
  <si>
    <t>PERIARTICULAR SCREW 3.5MM X 40</t>
  </si>
  <si>
    <t>K-WIRE SS 1.6X127MM NS</t>
  </si>
  <si>
    <t>DRILL BIT 2.2MM NS</t>
  </si>
  <si>
    <t>DVR LOCK MEDIUM L</t>
  </si>
  <si>
    <t>LOCK SCREW SQUARE 2.7MM X 20MM</t>
  </si>
  <si>
    <t>LOCK SCREW SQUARE 2.7MM X 18MM</t>
  </si>
  <si>
    <t>LP NON LOCK 2.7MM X 14MM</t>
  </si>
  <si>
    <t>LP NON LOCK 2.7MM X 16MM</t>
  </si>
  <si>
    <t>MAXAN SCR 4.5X18MM VAR SCREW</t>
  </si>
  <si>
    <t>MAXAN SCR 4.0X16MM VAR SCREW</t>
  </si>
  <si>
    <t>MAXAN SCREWS TACK</t>
  </si>
  <si>
    <t>CERV 12D X 14W X 6H 6DEG</t>
  </si>
  <si>
    <t>CER 14D X 16W X 6H 6DEG</t>
  </si>
  <si>
    <t>CERV 14D X 16W X 7H 6DEG</t>
  </si>
  <si>
    <t>LINEUM 4.0MM X 18MM CC SCREW</t>
  </si>
  <si>
    <t>LINEUM 4.0MM X 16MM CC SCREW</t>
  </si>
  <si>
    <t>LINEUM 4.35MM X 20MM CC SCREW</t>
  </si>
  <si>
    <t>LINEUM HF PLUG</t>
  </si>
  <si>
    <t>LINEUM 3.5MM X 80MM TI ROD</t>
  </si>
  <si>
    <t>Z NAIL CPM 10MMX21.5CM 130 R</t>
  </si>
  <si>
    <t>Z NAIL 5.0X30 CORT SCREW</t>
  </si>
  <si>
    <t>Z NAIL 10.5 X 85 LAG SCREW</t>
  </si>
  <si>
    <t>SCHNEIDER ROD</t>
  </si>
  <si>
    <t>CM CALIBRATED DRILL 4.3MM</t>
  </si>
  <si>
    <t>STRAIGHT 26D X 9W X 13H 6DEG</t>
  </si>
  <si>
    <t>POL 5.5 TI 8.5X50MM MA SCREW</t>
  </si>
  <si>
    <t>PACEMAKER GENERATOR</t>
  </si>
  <si>
    <t>POL5.5TI 5.5X510 HI HEX ROD</t>
  </si>
  <si>
    <t>POL5.5TI 10.5X50MM MA ILC SCR</t>
  </si>
  <si>
    <t>STRAIGHT 22D X 9W 12H 6DEG</t>
  </si>
  <si>
    <t>STRAIGHT 26D X 9W X 10H 6DEG</t>
  </si>
  <si>
    <t>POL 5.5 TI 8.5MM TAP</t>
  </si>
  <si>
    <t>POL 5.5 TI 8.5X45MM MA SCREW</t>
  </si>
  <si>
    <t>POL 5.5 TI 8.5X40MM MA SCREW</t>
  </si>
  <si>
    <t>POL 5.5 TI 7.5MM TAP</t>
  </si>
  <si>
    <t>HIPO/HYPERTHERMIA BLANK</t>
  </si>
  <si>
    <t>TESERASC 17.5X15X8 7 STAND ALO</t>
  </si>
  <si>
    <t>TESERASC 3.5X14 SCREW</t>
  </si>
  <si>
    <t>PIN, GUIDE</t>
  </si>
  <si>
    <t>TESERASC GEN 2 LOCKING COVER P</t>
  </si>
  <si>
    <t>LOCK SCREW SQUARE 2.7MM X 12MM</t>
  </si>
  <si>
    <t>LP NON LOCK 2.7MM X 20MM</t>
  </si>
  <si>
    <t>DVR LOCK STANDARD R</t>
  </si>
  <si>
    <t>LOCK SCREW SQUARE 2.7MM X 14MM</t>
  </si>
  <si>
    <t>SMOOTH LOCK PEG 2.2MM X 14MM</t>
  </si>
  <si>
    <t>SMOOTH LOCK PEG 2.2MM X 18MM</t>
  </si>
  <si>
    <t>PLATE, BONE HIRSC</t>
  </si>
  <si>
    <t>PLATE BONE HEAVY HIRSC</t>
  </si>
  <si>
    <t>POL 5.5 TI 6.5X45MM MA RED SCR</t>
  </si>
  <si>
    <t>PLATE COMP HIP</t>
  </si>
  <si>
    <t>POL TRANS 5.5 TI 7.5X40MM TRNS</t>
  </si>
  <si>
    <t>5.5MM TI MED CROSS CONNECTOR</t>
  </si>
  <si>
    <t>5.5MM TI LARGE CROSS CONNECTOR</t>
  </si>
  <si>
    <t>POL 5.5 TI LAT CONN OPN 35MM</t>
  </si>
  <si>
    <t>POL 5.5 TI 9.5X80 MA ILIAC SCR</t>
  </si>
  <si>
    <t>STRAIGHT 22D X 9W X 9H 6DEG</t>
  </si>
  <si>
    <t>STRAIGHT 22D X 9W X 10H 6DEG</t>
  </si>
  <si>
    <t>Z NAIL 5.0X37.5 CORT SCREW FA</t>
  </si>
  <si>
    <t>Z NAIL 10.5 X 115 LAG SCREW</t>
  </si>
  <si>
    <t>CMN SET SCREW TITANIUM</t>
  </si>
  <si>
    <t>3.2MM THREADED PIN, 450MM</t>
  </si>
  <si>
    <t>REAMER, LOW PROFILE</t>
  </si>
  <si>
    <t>DISP KIT, TRANS-TIB ACL W/SAWB</t>
  </si>
  <si>
    <t>BLADE PARALLEL GRAFTKNIFE 10MM</t>
  </si>
  <si>
    <t>7 X 20MM BC IF SCRW, VENTED</t>
  </si>
  <si>
    <t>9 X 30MM BC IF SCRW, VENTED</t>
  </si>
  <si>
    <t>MENISCAL CLINCH II</t>
  </si>
  <si>
    <t>PORTAL SKID</t>
  </si>
  <si>
    <t>KNOT PUSHER SUTURE CUTTER #2-0</t>
  </si>
  <si>
    <t>FW BPB #5 SUTR, BLU W/NDL</t>
  </si>
  <si>
    <t>2.0MM DRILL BIT, CALIBRATED</t>
  </si>
  <si>
    <t>12-HOLE PLATE</t>
  </si>
  <si>
    <t>TEMPLATE</t>
  </si>
  <si>
    <t>2.0 X 14MM SCREW</t>
  </si>
  <si>
    <t>DRILL BIT</t>
  </si>
  <si>
    <t>R01 C 7MM 12X14 CORDOTIC</t>
  </si>
  <si>
    <t>R01 C 7MM 12X14 ANATOMIC</t>
  </si>
  <si>
    <t>R01 C ANCHOR</t>
  </si>
  <si>
    <t>SACC 17.5MM X 15MM X 8MM HEIGH</t>
  </si>
  <si>
    <t>TESERA SC 3.5MM X 14MM</t>
  </si>
  <si>
    <t>TESERA SC GEN 2 LOCKING COVER</t>
  </si>
  <si>
    <t>500 ML INFU-SURG</t>
  </si>
  <si>
    <t>SPHERE INSERT FLEX LT 10MM S3</t>
  </si>
  <si>
    <t>LO-PRO SCRW TMSS2.7X18MMCORTEX</t>
  </si>
  <si>
    <t>LO-PRO SCRW TMSS2.7X20MMCORTEX</t>
  </si>
  <si>
    <t>LO-PRO SCRWSS4.0X40MMCANLNGTHD</t>
  </si>
  <si>
    <t>.062" GUIDE WIRE W/ TROCAR TIP</t>
  </si>
  <si>
    <t>GUIDE WIRE, TROCAR TIP, 1.35MM</t>
  </si>
  <si>
    <t>IV NEEDLE LOCK DEVICE</t>
  </si>
  <si>
    <t>ELECTRODE PACING Z</t>
  </si>
  <si>
    <t>DRILL BIT, CANNULATED, 2.6MM</t>
  </si>
  <si>
    <t>FIBULOCK IMPLANT SYSTEMSTERILE</t>
  </si>
  <si>
    <t>TOTAL KNEE PACK</t>
  </si>
  <si>
    <t>DUAL CUT SAGITTAL BLADE</t>
  </si>
  <si>
    <t>3.0 X 130MM FIBULA NAIL, LEFT</t>
  </si>
  <si>
    <t>COCR RODS 3.5 X 100 ZIMMERBIOM</t>
  </si>
  <si>
    <t>SYRINGE 30CC</t>
  </si>
  <si>
    <t>NANOSS ADV BONE GRAFT SUB 2CC</t>
  </si>
  <si>
    <t>ADVANCDBONE GRAFT 5CC NAOSS</t>
  </si>
  <si>
    <t>NANOSS ADV BONE GRAFT SUB 10CC</t>
  </si>
  <si>
    <t>PODIATRY PACK</t>
  </si>
  <si>
    <t>SPHERE FEMUR CEMENTED RIGHT S4</t>
  </si>
  <si>
    <t>GMK TIBIAL TRAY CEMENTED RT S4</t>
  </si>
  <si>
    <t>SPHERE INSERT FLEX RT 10MM S4</t>
  </si>
  <si>
    <t>MYKNEE FEMDISCUTBLKCTGMK4RMEDI</t>
  </si>
  <si>
    <t>MYKNEE TIBIALCUTBLKCTGMK4RMEDI</t>
  </si>
  <si>
    <t>TRAY PERCUTANEOUS</t>
  </si>
  <si>
    <t>TRAY RADIAL ARTERY CATH</t>
  </si>
  <si>
    <t>8 X 10 X 25MM 10 CASE</t>
  </si>
  <si>
    <t>45MM SHAFT</t>
  </si>
  <si>
    <t>PUMP TUBING DYONICS</t>
  </si>
  <si>
    <t>ABLATOR 4 MM, ARTHREX</t>
  </si>
  <si>
    <t>SHAVER, DYONICS</t>
  </si>
  <si>
    <t>INTERNAL JUGULAR PUNCT KIT</t>
  </si>
  <si>
    <t>IV CONTINUE FLOW SOLN SET</t>
  </si>
  <si>
    <t>6.5 R SCREW OSS</t>
  </si>
  <si>
    <t>IV BLOOD WARMING SET</t>
  </si>
  <si>
    <t>IV VENTED CON FLOW SET</t>
  </si>
  <si>
    <t>SMR SHOULDER GLENSP/GLENSF36MM</t>
  </si>
  <si>
    <t>IV EXT SET 16""</t>
  </si>
  <si>
    <t>IV PRESSURE TUBING 2""</t>
  </si>
  <si>
    <t>BONE SCREW/VITA SELFTAP/AUTO25</t>
  </si>
  <si>
    <t>SWAN-GANZ THERM SET 8FR</t>
  </si>
  <si>
    <t>BONE SCREW/VITA SELFTAP/AUTO20</t>
  </si>
  <si>
    <t>IV TUBING BUROTROL 60 DROPS</t>
  </si>
  <si>
    <t>7.5 R SCREW OSS</t>
  </si>
  <si>
    <t>SET SCREWS</t>
  </si>
  <si>
    <t>NOVOGRO PUTTY 2.5 CC DEVICE</t>
  </si>
  <si>
    <t>SMR SHOULDER GLENOID/GLENOIDE</t>
  </si>
  <si>
    <t>CATHETER INTRASPINAL</t>
  </si>
  <si>
    <t>SMR SHOULDER CONNTR+SCRWSMALLR</t>
  </si>
  <si>
    <t>SMR SHOULDER FINNED STEM 11MM</t>
  </si>
  <si>
    <t>SMR SHOULDER FINNED STEM 13MM</t>
  </si>
  <si>
    <t>Y-TYPE BLOOD/SOLUTION SET</t>
  </si>
  <si>
    <t>SMR SHOULDER HUMERALBODYREVERS</t>
  </si>
  <si>
    <t>SMR SHOULDER REVERSE LINER STD</t>
  </si>
  <si>
    <t>SMR SHOULDER EXTHUMR REVRSBODY</t>
  </si>
  <si>
    <t>NASAL CANNULA</t>
  </si>
  <si>
    <t>ANTI-REFLUX VALVE</t>
  </si>
  <si>
    <t>ASTS 36X24X16X12 MED</t>
  </si>
  <si>
    <t>ISTO 19091311</t>
  </si>
  <si>
    <t>7MM AIS-C CERVSTNDALNLDLG14X17</t>
  </si>
  <si>
    <t>AIS-C CERV STAND ALONE ANCH LG</t>
  </si>
  <si>
    <t>ISTO 19080610</t>
  </si>
  <si>
    <t>NON REBREATHING MASK</t>
  </si>
  <si>
    <t>FORM FIT THUMB SPICA LT LG</t>
  </si>
  <si>
    <t>FORM FIT THUMB SPICA RT MED</t>
  </si>
  <si>
    <t>ARM SLING SM</t>
  </si>
  <si>
    <t>ARM SLING LG</t>
  </si>
  <si>
    <t>FORM FIT BACK SUPPORT MED.</t>
  </si>
  <si>
    <t>FORM FIT BACK SUPPORT LG.</t>
  </si>
  <si>
    <t>FORM FIT BACK SUPPORT XLG.</t>
  </si>
  <si>
    <t>FORM FIT BACK SUPPORT XXLG.</t>
  </si>
  <si>
    <t>NEOMAX PREMIUM KNEE SLEEVE SM</t>
  </si>
  <si>
    <t>NEWMAX PREMIUM KNEE SLEEVE MED</t>
  </si>
  <si>
    <t>NEOMAX PREMIUM KNEE SLEEVE LG</t>
  </si>
  <si>
    <t>NEOMAX PREMIUM KNEE SLEEVE XLG</t>
  </si>
  <si>
    <t>NEOMAX PREMIUM KNEE SLEEVE XXL</t>
  </si>
  <si>
    <t>SCOTTS FIGURE 8 ANKLE</t>
  </si>
  <si>
    <t>ANTI-SIPHON PCA EXT SET</t>
  </si>
  <si>
    <t>VENTED NITROGLYCERIN SET</t>
  </si>
  <si>
    <t>PEDS U-BAG</t>
  </si>
  <si>
    <t>ANESTHESIA BREATHING CIRCUIT</t>
  </si>
  <si>
    <t>UMBILICAL VESSEL CATH 5FR</t>
  </si>
  <si>
    <t>UMBILICAL VESSEL CATH 3.5FR</t>
  </si>
  <si>
    <t>FINGER SPLINT TOAD</t>
  </si>
  <si>
    <t>THORACIC RT ANGLE 32FR</t>
  </si>
  <si>
    <t>THORACIC RT ANGLE 36FR</t>
  </si>
  <si>
    <t>THORACIC STRAIGHT 28FR</t>
  </si>
  <si>
    <t>THORACIC STRAIGHT 24FR</t>
  </si>
  <si>
    <t>THORACIC STRAIGHT 32 FR</t>
  </si>
  <si>
    <t>FORM FIT THUMB SPICA LT MED</t>
  </si>
  <si>
    <t>FORM FIT THUMB SPICA RT SM</t>
  </si>
  <si>
    <t>FORM FIT THUMB SPICQ RT LG</t>
  </si>
  <si>
    <t>ARM SLING MED</t>
  </si>
  <si>
    <t>FORM FIT BACK SUPPORT SM</t>
  </si>
  <si>
    <t>MANT/PEDS CATH KIT</t>
  </si>
  <si>
    <t>UNIVERSAL SPIKE 1MG SET SYRG</t>
  </si>
  <si>
    <t>PERCUTANEOUS SHEATH 9FR</t>
  </si>
  <si>
    <t>PERITONEAL LAVAGE KIT</t>
  </si>
  <si>
    <t>SURGICEL 2X14</t>
  </si>
  <si>
    <t>THORACIC RT ANGLE 28FR</t>
  </si>
  <si>
    <t>THORACIC 16FR</t>
  </si>
  <si>
    <t>THORACIC 20FR</t>
  </si>
  <si>
    <t>TROCAR 16FR</t>
  </si>
  <si>
    <t>FINGER FROG SPLINT SMALL</t>
  </si>
  <si>
    <t>TRACTION BOOT SM</t>
  </si>
  <si>
    <t>TRACTION BOOT MED</t>
  </si>
  <si>
    <t>RADIAL ARTERY CATHETERIZATION</t>
  </si>
  <si>
    <t>EPIDURAL SING DOSE ANESTH TRAY</t>
  </si>
  <si>
    <t>BELT RIB MALE</t>
  </si>
  <si>
    <t>WRIST SPLINT S RIGHT</t>
  </si>
  <si>
    <t>WRIST SPLINT S LEFT</t>
  </si>
  <si>
    <t>WRIST SPLINT M RIGHT</t>
  </si>
  <si>
    <t>WRIST SPLINT ALL SIZES</t>
  </si>
  <si>
    <t>WRIST SPLINT L RIGHT</t>
  </si>
  <si>
    <t>WRIST SPLINT L LEFT</t>
  </si>
  <si>
    <t>WRIST SPLINT PEDS R</t>
  </si>
  <si>
    <t>WRIST SPLINT PEDS L</t>
  </si>
  <si>
    <t>WRIST SPLINT XL RIGHT</t>
  </si>
  <si>
    <t>WRIST SPLINT XL LEFT</t>
  </si>
  <si>
    <t>BIOPSY NEEDLE 14GA</t>
  </si>
  <si>
    <t>BIOPSY NEEDLE ILLINOIS</t>
  </si>
  <si>
    <t>INNER CANNULA 6</t>
  </si>
  <si>
    <t>INNER CANNULA 4</t>
  </si>
  <si>
    <t>TRACK TI STRAP</t>
  </si>
  <si>
    <t>DRESSING ULCER 6X6</t>
  </si>
  <si>
    <t>DRESSING ULCER 4X4</t>
  </si>
  <si>
    <t>DRESSING ULCER 8X8</t>
  </si>
  <si>
    <t>DRESSING ULCER CONTOUR</t>
  </si>
  <si>
    <t>DRESSING ULCER 6X8</t>
  </si>
  <si>
    <t>BIOPSY SPARE LARGE</t>
  </si>
  <si>
    <t>BIOPSY FORCEP HOT</t>
  </si>
  <si>
    <t>BIOPSY FORCEP TEFLON W/TEETH</t>
  </si>
  <si>
    <t>STAPLER MULTI FIRE GIA 60-3.8</t>
  </si>
  <si>
    <t>STAPLER MULTI FIRE GIA 80-3.8</t>
  </si>
  <si>
    <t>UNNA BOOT</t>
  </si>
  <si>
    <t>CATHETER GI-2-T-RB</t>
  </si>
  <si>
    <t>GUIDE WIRE GI MET-35-480</t>
  </si>
  <si>
    <t>NEEDLE UIN-23</t>
  </si>
  <si>
    <t>CATH BRONCHO 35 RT</t>
  </si>
  <si>
    <t>CATH BRONCHO 35 LT</t>
  </si>
  <si>
    <t>CATH BRONCHO 37 RT</t>
  </si>
  <si>
    <t>CATH BRONCHO 37 LT</t>
  </si>
  <si>
    <t>CATH BRONCHO 39 RT</t>
  </si>
  <si>
    <t>CATH BRONCHO 39 LT</t>
  </si>
  <si>
    <t>SPLINT WRIST THUMB RYNO XSM-RT</t>
  </si>
  <si>
    <t>SPLINT WRIST THUMB RYNO XSMLT</t>
  </si>
  <si>
    <t>SPLINT WRIST THUMB RYNO SM-RT</t>
  </si>
  <si>
    <t>SPLINT WRIST THUMB RYNO M-LT</t>
  </si>
  <si>
    <t>SPLINT WRIST THUMB RYNO M-RT</t>
  </si>
  <si>
    <t>SPLINT WRIST THUMB RYNO LG-LT</t>
  </si>
  <si>
    <t>SPLINT WRIST THUMB RYNO LG-RT</t>
  </si>
  <si>
    <t>SPLINT WRIST THUMB RYNO XLG-LT</t>
  </si>
  <si>
    <t>SPLINT WRIST THUMB RYNO XL-RT</t>
  </si>
  <si>
    <t>SPLINT WRIST THUMB RYNO SM-LT</t>
  </si>
  <si>
    <t>SUPPORT KNEE SLEEVE XSM</t>
  </si>
  <si>
    <t>SUPPORT KNEE SLEEVE SM</t>
  </si>
  <si>
    <t>SUPPORT KNEE SLEEVE MED</t>
  </si>
  <si>
    <t>SUPPORT KNEE SLEEVE LG</t>
  </si>
  <si>
    <t>SUPPORT KNEE SLEEVE XL</t>
  </si>
  <si>
    <t>SUPPORT KNEE SLEEVE XXL</t>
  </si>
  <si>
    <t>WALKER BOOT SM</t>
  </si>
  <si>
    <t>SPLINT LEG ALUMINIUM SM</t>
  </si>
  <si>
    <t>SPLINT LEG ALUMINIUM M</t>
  </si>
  <si>
    <t>SPLINT LEG ALUMINIUM LG</t>
  </si>
  <si>
    <t>WALKER BOOT MED</t>
  </si>
  <si>
    <t>WALKER BOOT LRG</t>
  </si>
  <si>
    <t>INJECTION NEEDLE</t>
  </si>
  <si>
    <t>ERCP CATHETER GT-2-T</t>
  </si>
  <si>
    <t>NASOPHARYNGEAL AIRWAY 9.0</t>
  </si>
  <si>
    <t>GI LIGATOR MBL-6-OV</t>
  </si>
  <si>
    <t>GI LIGATOR COLON</t>
  </si>
  <si>
    <t>CAPTIVATOR II POLYPSNARE</t>
  </si>
  <si>
    <t>GI BIPOLAR PROBE</t>
  </si>
  <si>
    <t>GRASPING FORCEPS</t>
  </si>
  <si>
    <t>INJECTION NEEDLE VIN-23</t>
  </si>
  <si>
    <t>BELT RIB UNIVERSAL</t>
  </si>
  <si>
    <t>LOOP ELECTRODE 0490</t>
  </si>
  <si>
    <t>LOOP ELECTRODE 0430</t>
  </si>
  <si>
    <t>LOOP ELECTRODE 0450</t>
  </si>
  <si>
    <t>LOOP ELECTRODE 0460</t>
  </si>
  <si>
    <t>ELECTRODE E2 CLAIM</t>
  </si>
  <si>
    <t>LOOP ELECTRODE 0440</t>
  </si>
  <si>
    <t>LOOP ELECTRODE 0470</t>
  </si>
  <si>
    <t>LOOP LEAP ELEC R2008</t>
  </si>
  <si>
    <t>LOOP LEAP ELEC R1010</t>
  </si>
  <si>
    <t>CATH FOLEY EFR 300</t>
  </si>
  <si>
    <t>S.C.D SLEEVE SMALL</t>
  </si>
  <si>
    <t>EYE SUTURE</t>
  </si>
  <si>
    <t>INTERCEED</t>
  </si>
  <si>
    <t>3-0 VICRYL SH CR/8</t>
  </si>
  <si>
    <t>ASPIRATION TUBING</t>
  </si>
  <si>
    <t>LAM TUBING</t>
  </si>
  <si>
    <t>BEACH CHAIR KIT</t>
  </si>
  <si>
    <t>DIONIC SHAVER BLADE</t>
  </si>
  <si>
    <t>UMBILICAL TAPE</t>
  </si>
  <si>
    <t>ARTHROSCOPIC BLADE / BURR</t>
  </si>
  <si>
    <t>MITEK ELECTRODE</t>
  </si>
  <si>
    <t>MITEK VAPORIZOR</t>
  </si>
  <si>
    <t>PIGTAIL INFLATOR</t>
  </si>
  <si>
    <t>COAXIAL INTRODUCER, 4FR</t>
  </si>
  <si>
    <t>COAXIAL INTRODUCER, 5FR</t>
  </si>
  <si>
    <t>0.035 GUIDEWIRE</t>
  </si>
  <si>
    <t>0.038 GUIDEWIRE</t>
  </si>
  <si>
    <t>ARROW KIT</t>
  </si>
  <si>
    <t>SCORPION NEEDLE</t>
  </si>
  <si>
    <t>SUTURE LASSO ALL STYLES</t>
  </si>
  <si>
    <t>INSTRUMENT CANNULA ALL SIZES</t>
  </si>
  <si>
    <t>TRANSFIX ACL KIT</t>
  </si>
  <si>
    <t>TRANSTIBIAL ACL KIT</t>
  </si>
  <si>
    <t>TRANSGASTRIC JEJUN TUBE KT 8FR</t>
  </si>
  <si>
    <t>2.5 PERITONEAL DIALYSIS SOL</t>
  </si>
  <si>
    <t>SOFT VU KUMPE ACCESS 5FR</t>
  </si>
  <si>
    <t>STIMUPLEX INSUL NEEDLE 20GX4</t>
  </si>
  <si>
    <t>FLO-SWITCH</t>
  </si>
  <si>
    <t>DRS CONFEEL 7X8</t>
  </si>
  <si>
    <t>DRS FILLER SEUSORB</t>
  </si>
  <si>
    <t>SOLUTION SET WITH DUO-VENT</t>
  </si>
  <si>
    <t>CALMOSEPTINE</t>
  </si>
  <si>
    <t>SWAN GANZ 7.5FR</t>
  </si>
  <si>
    <t>POST-OP SHOE LG</t>
  </si>
  <si>
    <t>POST-OP SHOE MED</t>
  </si>
  <si>
    <t>POST-OP SHOE SM</t>
  </si>
  <si>
    <t>ANKLE STIRRUP</t>
  </si>
  <si>
    <t>DAWSON-MUELLER DRAIN CATH 12FR</t>
  </si>
  <si>
    <t>DAWSON-MUELLER DRAIN CATH 10.2</t>
  </si>
  <si>
    <t>DAWSON-MUELLER DRAINAGE CATH</t>
  </si>
  <si>
    <t>MULTIPUR 25CM DRAIN CATH 8.5FR</t>
  </si>
  <si>
    <t>MULTIPUR 45CM DRAIN CATH 8.5FR</t>
  </si>
  <si>
    <t>MULTI 25CM DRAIN CATH 10.2FR</t>
  </si>
  <si>
    <t>MULTIPUR 45CM DRAIN CATH 12 FR</t>
  </si>
  <si>
    <t>BIOPSY NEEDLE 18GA/20CM</t>
  </si>
  <si>
    <t>BIOPSY NEEDLE 18GA/15CM</t>
  </si>
  <si>
    <t>BIOPSY NEEDLE 18GA/9CM</t>
  </si>
  <si>
    <t>INSTRUMENT WIPE</t>
  </si>
  <si>
    <t>CATARACT TRAY</t>
  </si>
  <si>
    <t>LID TRAY</t>
  </si>
  <si>
    <t>SPECIMEN CUP STERIL</t>
  </si>
  <si>
    <t>SUPER SHARP</t>
  </si>
  <si>
    <t>WEK-CELL SPONGES</t>
  </si>
  <si>
    <t>PHACO DRAPE</t>
  </si>
  <si>
    <t>STERI STRIP REINFORCED SKIN</t>
  </si>
  <si>
    <t>Q-TIP STERILE</t>
  </si>
  <si>
    <t>3/4 SHEET</t>
  </si>
  <si>
    <t>SAGITTAL SAW BLADES</t>
  </si>
  <si>
    <t>TUBULAR STOCKINETTE 6"</t>
  </si>
  <si>
    <t>WOUND CLEANSER</t>
  </si>
  <si>
    <t>PICC LINE TRAY 5FR</t>
  </si>
  <si>
    <t>CATH MAHURKAR</t>
  </si>
  <si>
    <t>1 COATED BLADE WITH EXT INSULA</t>
  </si>
  <si>
    <t>OSTEOFILL</t>
  </si>
  <si>
    <t>LOPEZ VALVE NON STERILE</t>
  </si>
  <si>
    <t>SKINTEGRITY HYDROGEL</t>
  </si>
  <si>
    <t>BONE CHIPS</t>
  </si>
  <si>
    <t>THYROID TRAY</t>
  </si>
  <si>
    <t>IDENT SPACER 12X10X25 10DEG</t>
  </si>
  <si>
    <t>IDENT SPACER 13X10X25MM 10DEG</t>
  </si>
  <si>
    <t>MAROMAX 19101012</t>
  </si>
  <si>
    <t>MINI BIO TAK ANCHOR</t>
  </si>
  <si>
    <t>6FR TRAPEASE VENA CAVA FILTER</t>
  </si>
  <si>
    <t>ANGIODYNAMICS CUFF CATH</t>
  </si>
  <si>
    <t>CARBOFLO GRAFT 7-4MMX40CM</t>
  </si>
  <si>
    <t>INFUSE BONE GRAFT</t>
  </si>
  <si>
    <t>MULTI BAND LIGATOR SIX SHOOTER</t>
  </si>
  <si>
    <t>CERVICAL PLATE &amp; SCREWS</t>
  </si>
  <si>
    <t>ALLOGRAFT 7 X 11 X 14</t>
  </si>
  <si>
    <t>ACTIFUSE BONE GRAFT</t>
  </si>
  <si>
    <t>PUSH LOCK ANCHOR 3.5MM X 14MM</t>
  </si>
  <si>
    <t>SPINAL CORD STIMULATR LEADS EA</t>
  </si>
  <si>
    <t>BIO SCREW ALL SIZES ACL RECON</t>
  </si>
  <si>
    <t>BIPOLAR HIP IMPLANT</t>
  </si>
  <si>
    <t>AMBI HIP SCREW SYSTEM</t>
  </si>
  <si>
    <t>GRAFTON DBM 2.5 CC</t>
  </si>
  <si>
    <t>GRAFTON DBM 5 CC</t>
  </si>
  <si>
    <t>SCREW 9X23</t>
  </si>
  <si>
    <t>RIGID FIX 2.7</t>
  </si>
  <si>
    <t>CALAXO SCREW 9X30</t>
  </si>
  <si>
    <t>TITANIUM RADIAL HEAD IMPLANT</t>
  </si>
  <si>
    <t>HYDROXY APPETITE EYE IMPL 16MM</t>
  </si>
  <si>
    <t>TIGHT ROPE SYNDESMOSIS RPR KIT</t>
  </si>
  <si>
    <t>3.5 TRIMIT SCREW</t>
  </si>
  <si>
    <t>2MM TRIMIT PIN</t>
  </si>
  <si>
    <t>TWIN FIX 5.0 AB</t>
  </si>
  <si>
    <t>STEP GRAFT 3-6 X 45CM</t>
  </si>
  <si>
    <t>FIBERCHAIN #2</t>
  </si>
  <si>
    <t>SWIVELOCK ANCHOR</t>
  </si>
  <si>
    <t>DORSAL WRIST PLATE W/ SCREWS</t>
  </si>
  <si>
    <t>SCREW CLIP</t>
  </si>
  <si>
    <t>LAG SCREW</t>
  </si>
  <si>
    <t>GUIDE PINS</t>
  </si>
  <si>
    <t>4.5 SELF TAPPING SCREW</t>
  </si>
  <si>
    <t>6.5 X 32MM SCREW</t>
  </si>
  <si>
    <t>AMBI HIP SCREW</t>
  </si>
  <si>
    <t>ENDO DISSECTOR</t>
  </si>
  <si>
    <t>ENDO CATCH</t>
  </si>
  <si>
    <t>ENDO CLOSE</t>
  </si>
  <si>
    <t>ENDO DUPLO CATH</t>
  </si>
  <si>
    <t>12 FR FEMORAL TITANIUM FILTER</t>
  </si>
  <si>
    <t>12 FR JUGULAR TITANIUM FILTER</t>
  </si>
  <si>
    <t>SYNERGY TOTAL HIP</t>
  </si>
  <si>
    <t>BILIARY STENT KIT 10 X 7</t>
  </si>
  <si>
    <t>BILIARY STENT KIT 7 X 9</t>
  </si>
  <si>
    <t>2.3MM CONTRAST 25G/4MM/240CM N</t>
  </si>
  <si>
    <t>PROSTOP IMPLANT</t>
  </si>
  <si>
    <t>RADIAL HEAD IMPLANT</t>
  </si>
  <si>
    <t>STEM IMPLANT</t>
  </si>
  <si>
    <t>CANNULATED SCREW 7.3 16MM/80MM</t>
  </si>
  <si>
    <t>CANNULATED SCREW 7.3 16MM/90MM</t>
  </si>
  <si>
    <t>CANNULATED SCREW 7.3 16MM/100M</t>
  </si>
  <si>
    <t>WASHER 13.0MM</t>
  </si>
  <si>
    <t>HEMOSPLIT</t>
  </si>
  <si>
    <t>MINILOK QUICK ANCHOR PLUS L/O</t>
  </si>
  <si>
    <t>CERVICAL CAGE 9MM</t>
  </si>
  <si>
    <t>CERVICAL PLATE 24MM</t>
  </si>
  <si>
    <t>FIXED SCREW 14MM</t>
  </si>
  <si>
    <t>FIXED SCREW 12MM</t>
  </si>
  <si>
    <t>5FR NITINOL WIRE GD W/PLATINUM</t>
  </si>
  <si>
    <t>HEMOSPLIT 14FR</t>
  </si>
  <si>
    <t>DOUBLE LUMEN CATH XL20CM SCHON</t>
  </si>
  <si>
    <t>DOUBLE LUMEN CATH XL24CM SCHON</t>
  </si>
  <si>
    <t>HEMOSPLIT 14.5FR KIT</t>
  </si>
  <si>
    <t>VASCULAR GRAFT 3-6MM 45CM STEP</t>
  </si>
  <si>
    <t>VASCULAR GRAFT 4-6MM 45CM STEP</t>
  </si>
  <si>
    <t>VASCULAR GRAFT 4-7MM 45CM STEP</t>
  </si>
  <si>
    <t>QUINTON CURL CATH</t>
  </si>
  <si>
    <t>6 SHOOTER SAEED MULTI-BAND LIG</t>
  </si>
  <si>
    <t>VENA CAVA FILTER FEMORAL</t>
  </si>
  <si>
    <t>VENA CAVA FILTER JUGULAR</t>
  </si>
  <si>
    <t>BARD X PORTISM 8FR</t>
  </si>
  <si>
    <t>GROSHONG 9.5FR DUAL LUMEN</t>
  </si>
  <si>
    <t>CERVICAL RODS</t>
  </si>
  <si>
    <t>PEDICLE SCREW</t>
  </si>
  <si>
    <t>BALLOON G-TUBE 20FR</t>
  </si>
  <si>
    <t>CARDIOVASCULAR PTCH 2.5X150X0.</t>
  </si>
  <si>
    <t>CARDIO VASCULAR PATCH 20MMX90X</t>
  </si>
  <si>
    <t>VASC GRFT 6-4MM 4CM SHORT TAPE</t>
  </si>
  <si>
    <t>VASCULAR GRFT 6MM 50CM STRAIGH</t>
  </si>
  <si>
    <t>VASCULAR GRFT THINWALL 6MM 50C</t>
  </si>
  <si>
    <t>VASC GRAFT VENOFLOW 4-6MM 25CM</t>
  </si>
  <si>
    <t xml:space="preserve">VASC GRFT VENOFLO TAPER 4-6MM </t>
  </si>
  <si>
    <t>BALLOON G-TUBE 22FR</t>
  </si>
  <si>
    <t>CVL CATH POWER 6FR DUAL LUMEN</t>
  </si>
  <si>
    <t>PATELLAR LIGAMENT-SPLIT</t>
  </si>
  <si>
    <t>PROSTOP ARTHRORESIS IMPLANT</t>
  </si>
  <si>
    <t>BALLOON G-TUBE 24FR</t>
  </si>
  <si>
    <t>CAPLESS POLYAXL SCREW 6.5X45MM</t>
  </si>
  <si>
    <t>CAPLESS POLYAXL SCREW 7.5X40MM</t>
  </si>
  <si>
    <t>CURVED ROD 5.5X70MM</t>
  </si>
  <si>
    <t>TRIM-IT DRILL DISP KIT 1.5X100</t>
  </si>
  <si>
    <t>COCR 12/14 FEM HD 28 + 4</t>
  </si>
  <si>
    <t>SYN PRO HO FEM COM SZ 12</t>
  </si>
  <si>
    <t>TANDEM BIPOLAR COCR 46OD 28ID</t>
  </si>
  <si>
    <t>10.5 X 35MM SCREW</t>
  </si>
  <si>
    <t>POLYPRO HERNIA MESH LAP BAND</t>
  </si>
  <si>
    <t>SYN POR HO FEM COM SZ14</t>
  </si>
  <si>
    <t>TANDEM BIPOLAR COCR 530D 28ID</t>
  </si>
  <si>
    <t>ENDO. STITCH</t>
  </si>
  <si>
    <t>BALL TP GDE RD 3MM X 1000MM</t>
  </si>
  <si>
    <t>IMHS CP SUBTROCH 12.7X80</t>
  </si>
  <si>
    <t>MIS HEADED SCREW 33MM (1/PKG)</t>
  </si>
  <si>
    <t>NEXGEN ALL-POLY PATELLA 29MM</t>
  </si>
  <si>
    <t>BARD MESH (25.0CM X 35.5CM) 10</t>
  </si>
  <si>
    <t>NEXGEN PRECT TIBIAL PLATE SZ 1</t>
  </si>
  <si>
    <t>CR-FLEX GSF PRECOAT FEM SZ D-R</t>
  </si>
  <si>
    <t>BILIARY STENT 10FR/10CM</t>
  </si>
  <si>
    <t>ENDO. STITCH RELOAD</t>
  </si>
  <si>
    <t>CERVICAL PLATE BLACKSTONE</t>
  </si>
  <si>
    <t>BMP LARGE</t>
  </si>
  <si>
    <t>3.5MM LCK COMP PL 10H 154MM</t>
  </si>
  <si>
    <t>3.5MM LP S-T CRTX SCREW 10MM</t>
  </si>
  <si>
    <t>3.5MM S-T CRTX LCK SCREW 16MM</t>
  </si>
  <si>
    <t>3.5MM S-T CRTX LCK SCREW 18MM</t>
  </si>
  <si>
    <t>3.5MM S-T CRTX LCK SCREW 20MM</t>
  </si>
  <si>
    <t>3.5MM LOCKING SCREW GUIDE</t>
  </si>
  <si>
    <t>3.5MM S/R HEXDRIVER SH 119MM</t>
  </si>
  <si>
    <t>OSTEOCEL BONE MATRIX 5013001</t>
  </si>
  <si>
    <t>OSTEOCEL BONE MATRIX 5013005</t>
  </si>
  <si>
    <t>HYDROFIX VAS SHIELD PVS-01-061</t>
  </si>
  <si>
    <t>HYDROFIX VASO SHIELD .8MM</t>
  </si>
  <si>
    <t>STAPLER VALTRAC</t>
  </si>
  <si>
    <t>SPINAL FUSION SCREWS 6.5 X 30</t>
  </si>
  <si>
    <t>SPINAL FUSION SCREWS 6.5 X 35</t>
  </si>
  <si>
    <t>SPINAL FUSION SCREWS 6.5 X 40</t>
  </si>
  <si>
    <t>SPINAL FUSION SCREWS 6.5 X 45</t>
  </si>
  <si>
    <t>SPINAL FUSION SCREWS 7.2 X 30</t>
  </si>
  <si>
    <t>SPINAL FUSION ROD 70 MM</t>
  </si>
  <si>
    <t>SPINAL FUSION SCREWS 7.2 X 35</t>
  </si>
  <si>
    <t>BILIARY STENT 10FR/7CM</t>
  </si>
  <si>
    <t xml:space="preserve">BILIARY STENT 7FR/10CMBILIARY </t>
  </si>
  <si>
    <t>10.0 CM LAP BAND SYSTEM</t>
  </si>
  <si>
    <t>2.0/8MM DOUBLE BEND MINIPLATE</t>
  </si>
  <si>
    <t>2.0/4MM SELF-TAPPING SCREW</t>
  </si>
  <si>
    <t>2.0/8MM SELF-TAPPING SCREW</t>
  </si>
  <si>
    <t>2.0/10MM SELF-TAPPING SCREW</t>
  </si>
  <si>
    <t>2.0/6MM SELF-TAPPING SCREW</t>
  </si>
  <si>
    <t>4MM SELF DRILLING SCREW</t>
  </si>
  <si>
    <t>6 MM SELF DRILLING SCREW</t>
  </si>
  <si>
    <t>BILIARY STENT 7FR/7CM</t>
  </si>
  <si>
    <t>CATHETER, 24FR 3-WAY IR</t>
  </si>
  <si>
    <t>CATHETER, CANNON 15FR 28CM</t>
  </si>
  <si>
    <t>CATHETER, FOLEY, 26FR30ML, LAT</t>
  </si>
  <si>
    <t>CATHETER, FOLEY, 3-WAY, 22 FR,</t>
  </si>
  <si>
    <t>PORTA CATH X-PORT 8FR</t>
  </si>
  <si>
    <t>DIALYSIS CATH 23CM HEMOSPLIT</t>
  </si>
  <si>
    <t>DIALYSIS CATH 27CM HEMOSPLIT</t>
  </si>
  <si>
    <t>RIGIDFIX2.7MM BTB CROSSPIN KIT</t>
  </si>
  <si>
    <t>MILAGRO INTERFERENCE SCREW9X30</t>
  </si>
  <si>
    <t>PATELLAR LIG W/ QUAD BICEP</t>
  </si>
  <si>
    <t>10MM X 34CM X 130 IMHS CP NAIL</t>
  </si>
  <si>
    <t>12.7 X 75MM IMHS CP LAG SCREW</t>
  </si>
  <si>
    <t>3.2MM GUIDE PIN</t>
  </si>
  <si>
    <t>3.2MM IMHS CP GUIDE PIN</t>
  </si>
  <si>
    <t>3.5MM SHORT DRILL</t>
  </si>
  <si>
    <t>30 X 1000MM GUIDE ROD</t>
  </si>
  <si>
    <t>PICC LINE SUPPLY</t>
  </si>
  <si>
    <t>PWR SRG PLIF CAGE 5DEG 8X22X10</t>
  </si>
  <si>
    <t>POWER SURG PLIF CAGE 10X22X9MM</t>
  </si>
  <si>
    <t>PEDICLE SCREW 6.5 X 40MM</t>
  </si>
  <si>
    <t>RODS - CURVED 5.5 X 70MM</t>
  </si>
  <si>
    <t>SCREW CAPS</t>
  </si>
  <si>
    <t>MEDIUM CROSS LINK</t>
  </si>
  <si>
    <t>VITOSS BA PACK 10CC</t>
  </si>
  <si>
    <t>VITOSS FOAM STRIP 5CC</t>
  </si>
  <si>
    <t>VITOSS FOAM STRIP 10CC</t>
  </si>
  <si>
    <t>VITOSS FOAM STRIP 20CC</t>
  </si>
  <si>
    <t>MUSCULOSKELETAL DBX STRIP</t>
  </si>
  <si>
    <t>OSTEO 16MM LG-R EXPANSE BONE I</t>
  </si>
  <si>
    <t xml:space="preserve">OSTEOTECH MAGNIFUSE PL LUMB 5 </t>
  </si>
  <si>
    <t>OSTEOTECH MAGNIFUSE PL LUMB 10</t>
  </si>
  <si>
    <t>OSTEOTECH XPANSE CERVICAL SM</t>
  </si>
  <si>
    <t xml:space="preserve">NUVASIVE PEEK XL XLIF IMP ALL </t>
  </si>
  <si>
    <t xml:space="preserve">MEDTRONIC SPACR XSTOP IPD ALL </t>
  </si>
  <si>
    <t>OSTEO 8MM SM-R XPANSE R BONEIN</t>
  </si>
  <si>
    <t>BIOSET RT ALLOGRFT PASTE 10CC</t>
  </si>
  <si>
    <t>LEGACY V-FLEX 40MM</t>
  </si>
  <si>
    <t>XXL BALLOON CATH</t>
  </si>
  <si>
    <t xml:space="preserve">CATHETER, FOLEY, COUDE, 14FR, </t>
  </si>
  <si>
    <t>DISP VEIN STRIPPER</t>
  </si>
  <si>
    <t>TRAP-EASE VENA CAVA FILTER KIT</t>
  </si>
  <si>
    <t>VILEX SCREW 2.5 X 16MM</t>
  </si>
  <si>
    <t>4.0 CANCELLOUS SCREW 16MM</t>
  </si>
  <si>
    <t>4.0 CANCELLOUS SCREW 18MM</t>
  </si>
  <si>
    <t>3.5 SELF TAPPING SCREW 12MM</t>
  </si>
  <si>
    <t>3.5 SELF TAPPING SCREW 14MM</t>
  </si>
  <si>
    <t>3.5 SELF TAPPING SCREW 18MM</t>
  </si>
  <si>
    <t>3.5 SELF TAPPING SCREW 20MM</t>
  </si>
  <si>
    <t>3.5 SLEF TAPPING SCREW 22MM</t>
  </si>
  <si>
    <t>3.5 SELF TAPPING SCREW 24MM</t>
  </si>
  <si>
    <t>3.5 PLATE 5MM</t>
  </si>
  <si>
    <t>LARGE MESH PLUG</t>
  </si>
  <si>
    <t>BARD MESH 1"" X 4""</t>
  </si>
  <si>
    <t>3.5 PLATE 6MM</t>
  </si>
  <si>
    <t>BIO SUTURE TAK ANCHOR</t>
  </si>
  <si>
    <t>BIO CORK SCREW ANCHOR</t>
  </si>
  <si>
    <t>MENISCAL DARTS ALL SIZES</t>
  </si>
  <si>
    <t xml:space="preserve">CATHETER, FOLEY, COUDE, 16FR, </t>
  </si>
  <si>
    <t>GRACILIAS TENDON</t>
  </si>
  <si>
    <t>BIOTRANS FIX</t>
  </si>
  <si>
    <t>ACL SCREW BIO</t>
  </si>
  <si>
    <t>TS FEMUR</t>
  </si>
  <si>
    <t>TS BASE PLATE</t>
  </si>
  <si>
    <t>PATELLA S29 MM</t>
  </si>
  <si>
    <t>PATELLA S31 MM</t>
  </si>
  <si>
    <t>PATELLA S33 MM</t>
  </si>
  <si>
    <t>CEMENTED STEM 12MM</t>
  </si>
  <si>
    <t>TIBIAL BEARING INSERT</t>
  </si>
  <si>
    <t>MENISCAL CINCH</t>
  </si>
  <si>
    <t>BIO TENODESIS SCREW</t>
  </si>
  <si>
    <t>SUPER QUICK ANCHOR DEPUY MITEK</t>
  </si>
  <si>
    <t>BIOLOGICS INFUS BONE GRFT LG K</t>
  </si>
  <si>
    <t xml:space="preserve">BIOLOGICS INFUS BONE GRFT MED </t>
  </si>
  <si>
    <t>BIOLOGICS INFUS BONE GRFT SM K</t>
  </si>
  <si>
    <t>VITOSS BA PACK 5CC</t>
  </si>
  <si>
    <t>CANN 2.0MM LAG SCREW S20-06S-0</t>
  </si>
  <si>
    <t>CANN 2.0MM LAG SCREW S20-07S-0</t>
  </si>
  <si>
    <t>CANN 2.0MM LAG SCREW S20-08S-0</t>
  </si>
  <si>
    <t>CANN 2.0MM LAG SCREW S20-09S-0</t>
  </si>
  <si>
    <t>CANN 2.0MM LAG SCREW S20-10S-0</t>
  </si>
  <si>
    <t>CANN 2.0MM LAG SCREW S20-11S-0</t>
  </si>
  <si>
    <t>CANN 2.00MM LAG SCREW S20-12S-</t>
  </si>
  <si>
    <t>CANN 2.0MM LAG SCREW S20-13S-0</t>
  </si>
  <si>
    <t>CANN 2.0MM LAG SCREW S20-14S-0</t>
  </si>
  <si>
    <t>CANN 2.0MM LAG SCREW S20-15S-0</t>
  </si>
  <si>
    <t>CANN 2.0MM LAG SCREW S20-16S-0</t>
  </si>
  <si>
    <t>CANN 2.0MM LAG SCREW S20-17S-0</t>
  </si>
  <si>
    <t>CANN 2.0MM LAG SCREW S20-18S-0</t>
  </si>
  <si>
    <t>CANN 2.0MM LAG SCREW S20-19S-0</t>
  </si>
  <si>
    <t>CANN 2.0MM LAG SCREW S20-20S-0</t>
  </si>
  <si>
    <t>CANN 2.0MM LAG SCREW S20-21S-0</t>
  </si>
  <si>
    <t>CANN 2.0MM LAG SCREW S20-22S-0</t>
  </si>
  <si>
    <t>CANN 2.0MM LAG SCREW S20-23S-0</t>
  </si>
  <si>
    <t>CANN 2.0MM LAG SCREW S20-24S-0</t>
  </si>
  <si>
    <t>CANN 2.0MM LAG SCREW S20-36S-0</t>
  </si>
  <si>
    <t>CANN 2.5MM LAG SCREW S25-06S-0</t>
  </si>
  <si>
    <t>CANN 2.5MM LAG SCREW S25-08S-0</t>
  </si>
  <si>
    <t>CANN 2.5MM LAG SCREW S25-10S-0</t>
  </si>
  <si>
    <t>CANN 2.5MM LAG SCREW S25-12S-0</t>
  </si>
  <si>
    <t>CANN 2.5MM LAG SCREW S25-14S-0</t>
  </si>
  <si>
    <t>CANN 2.5MM LAG SCREW S25-16S-0</t>
  </si>
  <si>
    <t>CANN 2.5MM LAG SCREW S25-18S-0</t>
  </si>
  <si>
    <t>CANN 2.5MM LAG SCREW S25-20S-0</t>
  </si>
  <si>
    <t>CANN 2.5MM LAG SCREW S25-22S-0</t>
  </si>
  <si>
    <t>CANN 2.5MM LAG SCREW S25-24S-0</t>
  </si>
  <si>
    <t>CANN 2.5MM LAG SCREW S25-26S-0</t>
  </si>
  <si>
    <t>CANN 2.5MM LAG SCREW S25-28S-0</t>
  </si>
  <si>
    <t>CANN 2.5MM LAG SCREW S25-30S-0</t>
  </si>
  <si>
    <t>CANN 3.0MM LAG SCREW S30-06S-1</t>
  </si>
  <si>
    <t>CANN 3.0MM LAG SCREW S30-08S-1</t>
  </si>
  <si>
    <t>CANN 3.0MM LAG SCREW S30-10S-1</t>
  </si>
  <si>
    <t>CANN 3.0MM LAG SCREW S30-12S-1</t>
  </si>
  <si>
    <t>CANN 3.0MM LAG SCREW S30-14S-1</t>
  </si>
  <si>
    <t>CANN 3.0MM LAG SCREW S30-16S-1</t>
  </si>
  <si>
    <t>CANN 3.0MM LAG SCREW S30-18S-1</t>
  </si>
  <si>
    <t>CANN 3.0MM LAG SCREW S30-19S-1</t>
  </si>
  <si>
    <t>CANN 3.0MM LAG SCREW S30-20S-1</t>
  </si>
  <si>
    <t>CANN 3.0MM LAG SCREW S30-22S-1</t>
  </si>
  <si>
    <t>CANN 3.0MM LAG SCREW S30-24S-1</t>
  </si>
  <si>
    <t>CANN 3.0MM LAG SCREW S30-26S-1</t>
  </si>
  <si>
    <t>CANN 3.0MM LAG SCREW S30-28S-1</t>
  </si>
  <si>
    <t>CANN 3.0MM LAG SCREW S30-30S-1</t>
  </si>
  <si>
    <t>CANN 3.0MM LAG SCREW S30-32S-1</t>
  </si>
  <si>
    <t>CANN 3.0MM LAG SCREW S30-34S-1</t>
  </si>
  <si>
    <t>CANN 3.0MM LAG SCREW S30-36S-1</t>
  </si>
  <si>
    <t>CANN 3.0MM LAG SCREW S30-38S-1</t>
  </si>
  <si>
    <t>CANN 3.0MM LAG SCREW S30-40S-1</t>
  </si>
  <si>
    <t>CANN 3.5MM LAG SCREW S35-10S-1</t>
  </si>
  <si>
    <t>CANN 3.5MM LAG SCREW S35-12S-1</t>
  </si>
  <si>
    <t>CANN 3.5MM LAG SCREW S35-14S-1</t>
  </si>
  <si>
    <t>CANN 3.5MM LAG SCREW S35-16S-1</t>
  </si>
  <si>
    <t>CANN 3.5MM LAG SCREW S35-18S-1</t>
  </si>
  <si>
    <t>CANN 3.5MM LAG SCREW S35-20S-1</t>
  </si>
  <si>
    <t>CANN 3.5MM LAG SCREW S35-22S-1</t>
  </si>
  <si>
    <t>CANN 3.5MM LAG SCREW S35-24S-1</t>
  </si>
  <si>
    <t>CANN 3.5MM LAG SCREW S35-26S-1</t>
  </si>
  <si>
    <t>CANN 3.5MM LAG SCREW S35-28S-1</t>
  </si>
  <si>
    <t>CANN 3.5MM LAG SCREW S35-30S-1</t>
  </si>
  <si>
    <t>CANN 3.5MM LAG SCREW S35-32S-1</t>
  </si>
  <si>
    <t>CANN 3.5MM LAG SCREW S35-34S-1</t>
  </si>
  <si>
    <t>CANN 3.5MM LAG SCREW S35-36S-1</t>
  </si>
  <si>
    <t>CANN 3.5MM LAG SCREW S35-38S-1</t>
  </si>
  <si>
    <t>CANN 3.5MM LAG SCREW S35-40S-1</t>
  </si>
  <si>
    <t>CANN 3.5MM LAG SCREW S35-42S-1</t>
  </si>
  <si>
    <t>CANN 3.5MM LAG SCREW S35-44S-1</t>
  </si>
  <si>
    <t>CANN 3.5MM LAG SCREW S35-46S-1</t>
  </si>
  <si>
    <t>CANN 3.5MM LAG SCREW S35-48S-1</t>
  </si>
  <si>
    <t>CANN 3.5MM LAG SCREW S35-50S-1</t>
  </si>
  <si>
    <t>GUIDE WIRE K100-09S</t>
  </si>
  <si>
    <t>GUIDE WIRE K100-11S</t>
  </si>
  <si>
    <t>GUIDE WIRE K100-14S</t>
  </si>
  <si>
    <t>OVERDRILL Z400-100-22</t>
  </si>
  <si>
    <t>OVERDRILL Z400-100-27</t>
  </si>
  <si>
    <t>SUTURABLE DURAGEN</t>
  </si>
  <si>
    <t>DURA SUBSTITUTE - ALL</t>
  </si>
  <si>
    <t>DBX PUTTY 10CC</t>
  </si>
  <si>
    <t>DBX MIX 10CC</t>
  </si>
  <si>
    <t>MTF CANCELLOUS CHIPS 30CC</t>
  </si>
  <si>
    <t>MTF STRIP 2.5CM X 10CM</t>
  </si>
  <si>
    <t>TRUBLOCK BGS 25 X 25 X 0 CM</t>
  </si>
  <si>
    <t>H-GENIN CRUNCH 2.5CC</t>
  </si>
  <si>
    <t>OSTEOTECH GRAFTON MATRIX A4220</t>
  </si>
  <si>
    <t>ALLOFUSE DBM GEL</t>
  </si>
  <si>
    <t>H-GENIN CRUNCH 5CC</t>
  </si>
  <si>
    <t>EXTENSURE H2 ALLOGRFT 12MMX30M</t>
  </si>
  <si>
    <t>MEDTRONIC MASTERGRAFT PUTTY</t>
  </si>
  <si>
    <t>ACTIFUSE ABX PUTTY</t>
  </si>
  <si>
    <t>ALLOFUSE H-GENIN PUTTY 10CC</t>
  </si>
  <si>
    <t>ALLOSPONGE STRIPS 15 X 40</t>
  </si>
  <si>
    <t>ALLOFUSE DBM PUTTY 10CC</t>
  </si>
  <si>
    <t>DBM CANCELLOUS STRIP 44X20X3 M</t>
  </si>
  <si>
    <t>DBM CANCELLOUS STRIP 44X19X4 M</t>
  </si>
  <si>
    <t>PURE PUTTY</t>
  </si>
  <si>
    <t>DBM PUTTY 5CC</t>
  </si>
  <si>
    <t xml:space="preserve">CATHETER, FOLEY, COUDE, 18FR, </t>
  </si>
  <si>
    <t>CATHETER,EMBOLECTOMY,FOGARTY,T</t>
  </si>
  <si>
    <t>CATHETER,THERMODILUTION,INCR F</t>
  </si>
  <si>
    <t>CONTOUR ERCP CANNULA TAPER TIP</t>
  </si>
  <si>
    <t>CRE 12-15MM ESOPHAGEAL BALLOON</t>
  </si>
  <si>
    <t>CRE 15-18MM 8CM F/G</t>
  </si>
  <si>
    <t>CRE 18-20MM 8CM F/G</t>
  </si>
  <si>
    <t>CRE GUIDE WIRE 8-10MM/180CM/5.</t>
  </si>
  <si>
    <t>CRE WG 6-8MM/180CM/5.5 FIX WIR</t>
  </si>
  <si>
    <t xml:space="preserve">DORADO PTA BALLOON DILATATION </t>
  </si>
  <si>
    <t>DREAMTOME RX49 SPHINCTERTOME</t>
  </si>
  <si>
    <t>EXTRACTOR PRO XL 12-15 MM ABOV</t>
  </si>
  <si>
    <t>EXTRACTOR PRO XL 15 - 18MM BLN</t>
  </si>
  <si>
    <t>EXTRACTOR PRO XL 9-12 MM ABOVE</t>
  </si>
  <si>
    <t>EXTRACTOR XL 8.5 MM BLNBILIARY</t>
  </si>
  <si>
    <t>G/WIRE 035/150 ANGLED</t>
  </si>
  <si>
    <t>G/WIRE 035/150 STRAIGHT</t>
  </si>
  <si>
    <t>G/WIRE 038/150 STRAIGHT</t>
  </si>
  <si>
    <t>GRAFT, BONE SUBSTITUTE RESORBA</t>
  </si>
  <si>
    <t>GUNTHER TULIP 7.0FR</t>
  </si>
  <si>
    <t>HEMOSTATIC CLIPPING DEVICE 235</t>
  </si>
  <si>
    <t>HYDROPHILIC</t>
  </si>
  <si>
    <t>JAGWIRE/035/STRAIGHT</t>
  </si>
  <si>
    <t>KIT, CATHETER, CE, MAHURKAR, 1</t>
  </si>
  <si>
    <t>LARGE OVAL WITH EPTFE 5.4" X 7</t>
  </si>
  <si>
    <t>MESH, PERFIX PLUG, MEDIUM, 1.3</t>
  </si>
  <si>
    <t>PEG 24 PERCUTANEUOUS ENDOSCOPI</t>
  </si>
  <si>
    <t>PHYSIOMESH 7</t>
  </si>
  <si>
    <t>PHYSIOMESH MESH</t>
  </si>
  <si>
    <t>PICC LINE TRAY</t>
  </si>
  <si>
    <t>PIGTAIL UNVSFT URETERAL STNT S</t>
  </si>
  <si>
    <t>PLUG, PERFIX, LIGHT, LARGE</t>
  </si>
  <si>
    <t>PLUG, PERFIX, LIGHT, SMALL</t>
  </si>
  <si>
    <t>POWER PICC TRAY</t>
  </si>
  <si>
    <t>PROLENE MESH 3X6</t>
  </si>
  <si>
    <t>PULL G-TUBE 20FR_DOME</t>
  </si>
  <si>
    <t>RADIAL JAW 4 JUMBO W/NDL 240CM</t>
  </si>
  <si>
    <t>ROADRUNNER PC WIRE GD .035 145</t>
  </si>
  <si>
    <t>ROADRUNNER PC WIRE GD .035 180</t>
  </si>
  <si>
    <t>ROADRUNNER WIRE GD .035 145 AN</t>
  </si>
  <si>
    <t>RX LITHOTRIPTER COMPATABLE BAS</t>
  </si>
  <si>
    <t>SHEATH - 8 FR X 11 CM .035 GW</t>
  </si>
  <si>
    <t>SHEATH - 9 FR X 11 CM .035 GW</t>
  </si>
  <si>
    <t xml:space="preserve">SLIP-CATH BEACON TIP CATH 4FR </t>
  </si>
  <si>
    <t xml:space="preserve">SLIP-CATH BEACON TIP CATHETER </t>
  </si>
  <si>
    <t>SLIP-CATHÂ®BEACON TIP CATHETERS</t>
  </si>
  <si>
    <t>SOFT MESH 3" X 6"</t>
  </si>
  <si>
    <t>SYSTEM,HERNIA,EXTENDED,PROLENE</t>
  </si>
  <si>
    <t xml:space="preserve">TRAY, CATHETER, SE, MAHURKAR, </t>
  </si>
  <si>
    <t>TRITON BALLOON REPLACEMENT GAS</t>
  </si>
  <si>
    <t>TWISTER POLYP RETRIEVAL-13MM</t>
  </si>
  <si>
    <t>ULTRATOME XL 3 LUMEN 20/SHORT</t>
  </si>
  <si>
    <t>H-GENIN PUTTY 5CC BERKELEY ADV</t>
  </si>
  <si>
    <t xml:space="preserve">DBM CANCELLOUS STRIP PINNACLE </t>
  </si>
  <si>
    <t>DBM SPONGE STRIP PINNACLE TRAN</t>
  </si>
  <si>
    <t>NANOSS BIOACTIVE BONE VOID FIL</t>
  </si>
  <si>
    <t>ORTHOCON HEMASORB</t>
  </si>
  <si>
    <t>HEMASORB ABSORBABLE BONE MATRI</t>
  </si>
  <si>
    <t>INQU PASTE MIX PLUS 5CC</t>
  </si>
  <si>
    <t>INQU MATRIX 5X5CM</t>
  </si>
  <si>
    <t>INQU PASTE MIX PLUS 10CC</t>
  </si>
  <si>
    <t>EXPANDABLE VALVULOTOME</t>
  </si>
  <si>
    <t>STAPLE ENDO CUTTER</t>
  </si>
  <si>
    <t>HERNIA MESH PROLENE 4CM</t>
  </si>
  <si>
    <t>CHARGER BALLOON</t>
  </si>
  <si>
    <t>BOWEL CATHETER KIT</t>
  </si>
  <si>
    <t>INQU MATRIX 5X10CM</t>
  </si>
  <si>
    <t>FASCIA LATTA 2X20CM IMPLANT</t>
  </si>
  <si>
    <t>EXPRESS BILIARY STENT</t>
  </si>
  <si>
    <t>SURE STRAP STAPLE</t>
  </si>
  <si>
    <t>VITAGEL 2.0</t>
  </si>
  <si>
    <t>VITAGEL 4.5</t>
  </si>
  <si>
    <t>SB 5.5 X 35MM POLYAXIAL PEDICL</t>
  </si>
  <si>
    <t>SB 5.5 X 40MM POLYAXIAL PEDICL</t>
  </si>
  <si>
    <t>SB 5.5 X 45MM POLYAXIAL PEDICL</t>
  </si>
  <si>
    <t>SB 6.5 X 40MM POLYAXIAL PEDICL</t>
  </si>
  <si>
    <t>SB 6.5 X 45MM POLYAXIAL PEDICL</t>
  </si>
  <si>
    <t>SB 6.5 X 50MM POLYAXIAL PEDICL</t>
  </si>
  <si>
    <t>SB 7.5 X 40MM POLYAXIAL PEDICL</t>
  </si>
  <si>
    <t>SB 7.5 X 45MM POLYAXIAL PEDICL</t>
  </si>
  <si>
    <t>SB 7.5 X 50MM POLYAXIAL PEDICL</t>
  </si>
  <si>
    <t xml:space="preserve">SB PRE-CONTOURED ROD, 5.5MM X </t>
  </si>
  <si>
    <t>SB COUNTOURED CROSSBAR, SMALL,</t>
  </si>
  <si>
    <t>SB COUNTOURED CROSSBAR, MEDIUM</t>
  </si>
  <si>
    <t>SB COUNTOURED CROSSBAR, LARGE,</t>
  </si>
  <si>
    <t>SB LOCKING CAP</t>
  </si>
  <si>
    <t>SB TLIF IMP, 11MMX27MMX7MM, LO</t>
  </si>
  <si>
    <t>AGRESSIVE PLUS CUTTER</t>
  </si>
  <si>
    <t>DYONICS PUMP TUBING</t>
  </si>
  <si>
    <t>SB TLIF IMP, 11MMX27MMX8MM, LO</t>
  </si>
  <si>
    <t>SB TLIF IMP, 11MMX27MMX9MM, LO</t>
  </si>
  <si>
    <t>SB TLIF IMP, 11MMX27MMX10MM, L</t>
  </si>
  <si>
    <t>SB TLIF IMP, 11MMX27MMX11MM, L</t>
  </si>
  <si>
    <t>SB TLIF IMP, 11MMX27MMX12MM, L</t>
  </si>
  <si>
    <t>SB TLIF IMP, 11MMX27MMX13MM, L</t>
  </si>
  <si>
    <t>ARTHREX ABLATION</t>
  </si>
  <si>
    <t>SB ACDF IMP, 13MMX12MMX5MM, LO</t>
  </si>
  <si>
    <t>SB ACDF IMP, 13MMX12MMX6MM, LO</t>
  </si>
  <si>
    <t>SB ACDF IMP, 13MMX12MMX7MM, LO</t>
  </si>
  <si>
    <t>SB ACDF IMP, 13MMX12MMX8MM, LO</t>
  </si>
  <si>
    <t>SB ACDF IMP, 15MMX13MMX5MM, LO</t>
  </si>
  <si>
    <t>SB ACDF IMP, 15MMX13MMX6MM, LO</t>
  </si>
  <si>
    <t>SB ACDF IMP, 15MMX13MMX7MM, LO</t>
  </si>
  <si>
    <t>SB ACDF IMP, 15MMX13MMX8MM, LO</t>
  </si>
  <si>
    <t>SB ACDF IMP, 15MMX13MMX9MM, LO</t>
  </si>
  <si>
    <t>SB ANTERIOR CERVICAL PLATE, 12</t>
  </si>
  <si>
    <t>SB ANTERIOR CERVICAL PLATE, 14</t>
  </si>
  <si>
    <t>SB ANTERIOR CERVICAL PLATE, 28</t>
  </si>
  <si>
    <t>SB ANTERIOR CERVICAL PLATE, 31</t>
  </si>
  <si>
    <t>SB ANTERIOR CERVICAL PLATE, 34</t>
  </si>
  <si>
    <t>SB ANTERIOR CERVICAL PLATE, 45</t>
  </si>
  <si>
    <t>SB ANTERIOR CERVICAL PLATE, 48</t>
  </si>
  <si>
    <t>SB ANTERIOR CERVICAL PLATE, 51</t>
  </si>
  <si>
    <t>ROD 80MM STRAIGHT</t>
  </si>
  <si>
    <t>TETRIS VBR 11 X 11 X 20 4</t>
  </si>
  <si>
    <t>ROD 100MM STRAIGHT</t>
  </si>
  <si>
    <t xml:space="preserve">SB VARIABLE BONE SCREW, 4.0MM </t>
  </si>
  <si>
    <t xml:space="preserve">SB VARIABLE BONE SCREW, 4.5MM </t>
  </si>
  <si>
    <t>DENALI VENA CAVA FILTER(VASCUL</t>
  </si>
  <si>
    <t>DENALI VENA CAVA FLTER JUGULAR</t>
  </si>
  <si>
    <t>ANTIOBIOTIC CEMENT  SIMPLEX</t>
  </si>
  <si>
    <t>SELF EXPANDING STENT VASCULAR</t>
  </si>
  <si>
    <t>GORE-TEX 6MM X 60 X 80CM GRAFT</t>
  </si>
  <si>
    <t>RENAL-BILIARY 5.0MMX19MMX150CM</t>
  </si>
  <si>
    <t>INTERLOCK DETACHABLE COIL VASC</t>
  </si>
  <si>
    <t>INTERLOCK DETACHABLE COIL CUBE</t>
  </si>
  <si>
    <t>LENS COLLAMER 3-PC</t>
  </si>
  <si>
    <t>ACRYSOF OPTIC LENSE</t>
  </si>
  <si>
    <t>TORQUE DEVICE (VASCULAR)</t>
  </si>
  <si>
    <t>CONTOUR URETERAL STENT 6X26</t>
  </si>
  <si>
    <t>CAGES GRAFT</t>
  </si>
  <si>
    <t>FLUENCY PLUS STENT SIZE 8 9 10</t>
  </si>
  <si>
    <t>8 X 23 TENODESIS SCREW</t>
  </si>
  <si>
    <t>HEADLESS SCREW - ALL SIZES</t>
  </si>
  <si>
    <t>PACEMAKER</t>
  </si>
  <si>
    <t>QUICK ANCHOR</t>
  </si>
  <si>
    <t>MICROMATRIZ 100MG</t>
  </si>
  <si>
    <t>BURN MATRIX 10X15 CM</t>
  </si>
  <si>
    <t>2.0MM DRILL BIT (IN856)</t>
  </si>
  <si>
    <t>SET CAP 05SLT15</t>
  </si>
  <si>
    <t>4.0X30MM ROD 0440030</t>
  </si>
  <si>
    <t>3.5X10MM SCREW 135010</t>
  </si>
  <si>
    <t>ARTEGRAFT COLLAGEN</t>
  </si>
  <si>
    <t>LORDOTEIC IMPLANT</t>
  </si>
  <si>
    <t>NCB-DF DRILL BIT 4.3MM 300MM</t>
  </si>
  <si>
    <t>NCB DRILL BIT 4.3MM X195MM</t>
  </si>
  <si>
    <t>NCB DISTAL FEMUR PLT,RT,5H167M</t>
  </si>
  <si>
    <t>DRILL BIT 2.5MM X180MM Q/C</t>
  </si>
  <si>
    <t>KIRCHNER WIRE 2.0MM</t>
  </si>
  <si>
    <t>NCB CANC SCREW 5.0 X 70MM</t>
  </si>
  <si>
    <t>NCB CANC SCRW 5.0 X 75MM</t>
  </si>
  <si>
    <t>NCB CORT SCREW5.0X28MM SELF-TA</t>
  </si>
  <si>
    <t>NCB 4.0MM DRILL BIT, L 24</t>
  </si>
  <si>
    <t>NCB LOCKING SCREW CAP</t>
  </si>
  <si>
    <t>NCB CANC SCREW 5.0 X 60MM</t>
  </si>
  <si>
    <t>NCB CORT SCREW 5.0X34MM SELF-T</t>
  </si>
  <si>
    <t>NCB CORT SCREW 5.0X36MM SELF-T</t>
  </si>
  <si>
    <t>SM VBR10'14X16 CAGE</t>
  </si>
  <si>
    <t>LINEUM 3.5MMX240MM COCR ROD</t>
  </si>
  <si>
    <t>ANTERIO CERVICAL PLATE 3LVL51M</t>
  </si>
  <si>
    <t>SELF DRILLING SCR 4X14MM</t>
  </si>
  <si>
    <t>INTERBODY SYST CERV 14X16X8MM</t>
  </si>
  <si>
    <t>LOQTER PLATE 6 HOLE 3.5</t>
  </si>
  <si>
    <t>LOQTER PLATE STRIGHT 6HOLE 3.5</t>
  </si>
  <si>
    <t>CORTICAL SCREW 3.5X14MM</t>
  </si>
  <si>
    <t>CORTICAL SCREW 3.5X16MM</t>
  </si>
  <si>
    <t>CORTICAL SCREW 3.518MM</t>
  </si>
  <si>
    <t>CORTICAL SCREW 3.5X20MM</t>
  </si>
  <si>
    <t>CORTICAL SCREW 3.5X22MM</t>
  </si>
  <si>
    <t>CORTICAL SCREW 3.5X24MM</t>
  </si>
  <si>
    <t>CANCELLOUS SCREW 3.5X18MM</t>
  </si>
  <si>
    <t>2.7 DRILL BIT</t>
  </si>
  <si>
    <t>01.6X180 K-WIRE 2.0</t>
  </si>
  <si>
    <t>POL 5.5 SS 8.5X45MM MAS</t>
  </si>
  <si>
    <t>POL 5.5 SS 8.5 X 50MM MAS</t>
  </si>
  <si>
    <t>POL 5.5 SS 8.5 X 40MM MAS</t>
  </si>
  <si>
    <t>POL 5.5 SS 7.5 X40MM MAS</t>
  </si>
  <si>
    <t>POL 5.5. SS 5.5 PLUG</t>
  </si>
  <si>
    <t>POL5.5 SS 510MM ROD XHARD W/HX</t>
  </si>
  <si>
    <t>POL 5.5 SS 25MM LAT CONN OPEN</t>
  </si>
  <si>
    <t>5.5MM SS CROSS CONNECTOR LG</t>
  </si>
  <si>
    <t>5.5MM SS CORSS CONN MEDIUM</t>
  </si>
  <si>
    <t>MODULIFT SIZE S 14X16MM 5"</t>
  </si>
  <si>
    <t>L TRANS 5.5 TI 7.5X50MM TRNS</t>
  </si>
  <si>
    <t>BIPLR HP-AVRN-FIT ST</t>
  </si>
  <si>
    <t>MAXAN SCR 4.0X14MM VAR SCREW</t>
  </si>
  <si>
    <t>MAXAN GREEN 1 LVL 12MM FIX PLT</t>
  </si>
  <si>
    <t>IFACTOR PUTTY 1CC</t>
  </si>
  <si>
    <t>STRAIGHT 22D X 9W X 12H 6DEG</t>
  </si>
  <si>
    <t>STRAIGHT 26D X 9W X 15H 6DEG</t>
  </si>
  <si>
    <t>POL 5.5 TI 8.5X35MM MA SCREW</t>
  </si>
  <si>
    <t>POL 5.5 TI 65MM TI CURVED ROD</t>
  </si>
  <si>
    <t>POL 5.5 TI 80MM TI CURVED ROD</t>
  </si>
  <si>
    <t>BIOLOGICS</t>
  </si>
  <si>
    <t>8.5X45 STAINLESS STEEL SCREW</t>
  </si>
  <si>
    <t>8.5X40 STAINLESS STEEL SCREW</t>
  </si>
  <si>
    <t>IOL TESTING</t>
  </si>
  <si>
    <t>5-LEVEL 80MM FIXED PLATE</t>
  </si>
  <si>
    <t>MAXAN SCR 4.5X14MM VAR SCREW</t>
  </si>
  <si>
    <t>LINEUM 4.0MM X14MM CC SCREW</t>
  </si>
  <si>
    <t>LINEUM 3.5X32MM CC SMOOTH</t>
  </si>
  <si>
    <t>LINEUM LONG LATERAL CONNECTOR</t>
  </si>
  <si>
    <t>LINEUM 3.5MM X12MM CC SCREW</t>
  </si>
  <si>
    <t>AR-13995N</t>
  </si>
  <si>
    <t>5.5MM BC CORKSCREW FT W/SUTURE</t>
  </si>
  <si>
    <t>BIO-COMP SWVLK C,CLD4.75X19.1M</t>
  </si>
  <si>
    <t>CANNULA, TWIST-IN</t>
  </si>
  <si>
    <t>MYKNEE FEMDISCUTBI-CT-GMK-LM#2</t>
  </si>
  <si>
    <t>MYKNEE TIB CUT BLOCK-CT-GMK#3L</t>
  </si>
  <si>
    <t>SPHERE FEMUR CEMENTED LEFT S2</t>
  </si>
  <si>
    <t>GMK TIBIAL TRAY CEMENTED LT S3</t>
  </si>
  <si>
    <t>PATELLA RESURFACING S2</t>
  </si>
  <si>
    <t>SPHERE INSERT FLEX LT 12MM S3</t>
  </si>
  <si>
    <t>35MM CONTINUOUS RADIOUS ROD</t>
  </si>
  <si>
    <t>6.5MMX35MM CANNULATED PEDICLE</t>
  </si>
  <si>
    <t>6.5MMX45MM CANNULAED PEDICLE S</t>
  </si>
  <si>
    <t>7.5MMX40MM CANNULATED PEDICLE</t>
  </si>
  <si>
    <t>SERV 14D X 16W X7H 6DEG</t>
  </si>
  <si>
    <t>POL TRANS 5.5 TI 6.5X35MM TRNS</t>
  </si>
  <si>
    <t>LINEUM 3.5/5.5 COCR TRANS ROD</t>
  </si>
  <si>
    <t>CERV 14D X16W X 7H 6DEG</t>
  </si>
  <si>
    <t>POL TRANS 5.5 TI 6.5X35MM TRAN</t>
  </si>
  <si>
    <t>LINEUM 3.5/5.5 COCR TRAN ROD</t>
  </si>
  <si>
    <t>35MM CONTINUOUS RADIUS ROD</t>
  </si>
  <si>
    <t>6.5MMX45 CANNULATED PEDICLE SC</t>
  </si>
  <si>
    <t>MYKNEE FEMDISCUTBL-CT-GMK-LM#2</t>
  </si>
  <si>
    <t>MYKNEE TIB CUT BLOK-CT-GMK#3L</t>
  </si>
  <si>
    <t>SPHERE FEMUR CEMENTED LEFT S3</t>
  </si>
  <si>
    <t>INNOVA 6 X 80 X 130</t>
  </si>
  <si>
    <t>SWANSON FLEXSPAN HINGE TOE</t>
  </si>
  <si>
    <t>PROLARYN PLUS</t>
  </si>
  <si>
    <t>MAXAN GREEN 4 LVL 72MM FIX P</t>
  </si>
  <si>
    <t>CERV 14D X 16W X8H 6DEG</t>
  </si>
  <si>
    <t>CERV 14D X 16W X7H 6DEG</t>
  </si>
  <si>
    <t>LINEUM 4.0MM X18MM CC SCREW</t>
  </si>
  <si>
    <t>LINEUM 3.0 MM TAP</t>
  </si>
  <si>
    <t>CERV 14D X16W X8H 6DEG</t>
  </si>
  <si>
    <t>MAXAN GREEN 1 LVL 11MM FIX PLT</t>
  </si>
  <si>
    <t>MYKNEE DISCUTBLKCT-GMK#3ML</t>
  </si>
  <si>
    <t>SUPERIOR ENDPLATE MEDIUM 11'</t>
  </si>
  <si>
    <t>SUPERIOR ENPLATE MEDIUM 0'</t>
  </si>
  <si>
    <t>INLAY MD 10MM</t>
  </si>
  <si>
    <t>8.5 SET SCREW</t>
  </si>
  <si>
    <t>7 SET SCREW</t>
  </si>
  <si>
    <t>8.5 X55 SCREW</t>
  </si>
  <si>
    <t>8 X 55 SCREW</t>
  </si>
  <si>
    <t>10.5X50 SCREW</t>
  </si>
  <si>
    <t>10.5X90 SCREW</t>
  </si>
  <si>
    <t>400MM CC ROD</t>
  </si>
  <si>
    <t>CROSS LINK 49-64</t>
  </si>
  <si>
    <t>10.5 X 19.5 SET SCREW</t>
  </si>
  <si>
    <t>BONE GRAFT 2.5CC I-FACOT</t>
  </si>
  <si>
    <t>453 FOAM ELECTRODES</t>
  </si>
  <si>
    <t>NCB DISTAL FEMUR PLT,RT,SH167M</t>
  </si>
  <si>
    <t>DIAMONDBACK 360 EXCHANGE SYST</t>
  </si>
  <si>
    <t>BED ALRAM PAD</t>
  </si>
  <si>
    <t>BIPOLAR SEALER AGUAMANTIS</t>
  </si>
  <si>
    <t>KNEE-JOURNEY OXY W/VERI&amp;NP TIB</t>
  </si>
  <si>
    <t>10.5 X 80MM SCREW</t>
  </si>
  <si>
    <t>ZIMMER MC1005T</t>
  </si>
  <si>
    <t>RIM SPEED PIN 65MM STERILE</t>
  </si>
  <si>
    <t>GNS TROCAR PIN 1/8IN X 5IN</t>
  </si>
  <si>
    <t>GEN TROCAR PIN 1/8 X 3</t>
  </si>
  <si>
    <t>SCORPION-MULTIFIRE NEEDLE</t>
  </si>
  <si>
    <t>5.5MM BC CORKSCREW FT W/ SUTUR</t>
  </si>
  <si>
    <t>BIO-COMP SWVLK C,LD4.75X19.1MM</t>
  </si>
  <si>
    <t>CANNULA, PARTIALLY THREADED</t>
  </si>
  <si>
    <t>TRIMANO BEACH CHAIR KIT</t>
  </si>
  <si>
    <t>UNIVERS REVERS HUMERAL STEM S7</t>
  </si>
  <si>
    <t>UNIVERS REVERS SUTURE CUP 36 N</t>
  </si>
  <si>
    <t>HUMERAL INSERT S/36+3 TOFIT36C</t>
  </si>
  <si>
    <t>24MM BASEPLATE, MONOBLOCK POST</t>
  </si>
  <si>
    <t>5.5X20MM PERIPHERALSCREWLOCKIN</t>
  </si>
  <si>
    <t>36 +4 LAT/24 GLENOSPHERE</t>
  </si>
  <si>
    <t>INSTRUMENT USAGE FEE</t>
  </si>
  <si>
    <t>DRILL BIT, 3.5MM</t>
  </si>
  <si>
    <t>LO-PRO LOCK SCRW,SS 2.7X14MM</t>
  </si>
  <si>
    <t>LO-PRO LOCK SCRW,SS 2.7X16MM</t>
  </si>
  <si>
    <t>LO-PRO LOCK SCRW,SS 2.7X18MM</t>
  </si>
  <si>
    <t>CANCLUS SCRWFULLTHRDEDSS3X18MM</t>
  </si>
  <si>
    <t>LO-PRO SCRW TM SS 3.5X14MMCORT</t>
  </si>
  <si>
    <t>LO-PRO SCRW TM SS 3.5X16MMCORT</t>
  </si>
  <si>
    <t>2.5MM DRILL BIT</t>
  </si>
  <si>
    <t>LOCK DISTAL FIBULA PLT,SSLFT5H</t>
  </si>
  <si>
    <t>LINEUM STD. LATERAL CONNECTOR</t>
  </si>
  <si>
    <t>POL 5.5 TI LAT CONN OPEN 25MM</t>
  </si>
  <si>
    <t>OCT ARCHED X CONNECTOR 37-62MM</t>
  </si>
  <si>
    <t>PLFM CM BLOCK 2X625X8 1/BX 10C</t>
  </si>
  <si>
    <t>CER 120 X 14W X 7H 6DEG</t>
  </si>
  <si>
    <t>MAXAN GREEN 4 LVL 80MM FIX PLT</t>
  </si>
  <si>
    <t>LINEUM 4.0MM X 12MM CC SCREW</t>
  </si>
  <si>
    <t>LINEUM 4.0MM X 10MM CC SCREW</t>
  </si>
  <si>
    <t>LINEUM 4.35MM X 24MM CC SCREW</t>
  </si>
  <si>
    <t>POL TRANS 5.5 TI 6.5X30MM TRNS</t>
  </si>
  <si>
    <t>POL TRANS 5.5 TI 6.5X35M TRNS</t>
  </si>
  <si>
    <t>4COATED BLADE WITH EXT ISULA</t>
  </si>
  <si>
    <t>ALCON ACRYSOF IOL B PCL</t>
  </si>
  <si>
    <t>OLYMPUS PLASMALOOP 12-30</t>
  </si>
  <si>
    <t>PEEK-OPTIMA SUTURE ANCHOR 5.5</t>
  </si>
  <si>
    <t>SABER .018" BALLOON 5MMX250MM</t>
  </si>
  <si>
    <t>SABER .018" BALLOON 2MMX300MM</t>
  </si>
  <si>
    <t>GROUNDING PAD</t>
  </si>
  <si>
    <t>RTI SURGICAL 5.5 X 30 SCREW</t>
  </si>
  <si>
    <t>RTI SURGICAL 5.5 X 35 SCREW</t>
  </si>
  <si>
    <t>RTI SURGICAL 4.5 X 30 SCREW</t>
  </si>
  <si>
    <t>RTI SURGICAL SET SCREWS</t>
  </si>
  <si>
    <t>RTI SURGICAL 5CC NANOSS 3D</t>
  </si>
  <si>
    <t>RTI SURGICAL 65MM ROD</t>
  </si>
  <si>
    <t>PERITONEAL DIALYSIS CATHETER</t>
  </si>
  <si>
    <t>PERITONEAL DIALYSIS ACCESSORY</t>
  </si>
  <si>
    <t>BOVIE MACHINE</t>
  </si>
  <si>
    <t>LAMINECTOMY A &amp; B</t>
  </si>
  <si>
    <t>A-LIF TRAYS</t>
  </si>
  <si>
    <t>BUXTON RETRACTOR TRAY</t>
  </si>
  <si>
    <t>CERVICAL EXCTRACTOR</t>
  </si>
  <si>
    <t>CERVICAL TRAY</t>
  </si>
  <si>
    <t>CURETTES TRAY</t>
  </si>
  <si>
    <t>DR. ROGERS INSTRUMENT TRAY</t>
  </si>
  <si>
    <t>DURA REPAIR TRAY</t>
  </si>
  <si>
    <t>KERRISON SST TRAY</t>
  </si>
  <si>
    <t>MCCULLOUGH RETARCTOR TRAY</t>
  </si>
  <si>
    <t>MCELROY RETRACTOR</t>
  </si>
  <si>
    <t>MICRONEURO SET TRAY</t>
  </si>
  <si>
    <t>MICROSET TRAY</t>
  </si>
  <si>
    <t>MIDAS REX TRAY</t>
  </si>
  <si>
    <t>PEA PODS TRAY</t>
  </si>
  <si>
    <t>PHANTOM CERVICAL RETRACTOR</t>
  </si>
  <si>
    <t>RHOTON/MICRODISSECTOR TRAY</t>
  </si>
  <si>
    <t>SHADOWLINE RETRACTOR TRAY</t>
  </si>
  <si>
    <t>STRYKER CORE TRAY</t>
  </si>
  <si>
    <t>SUPER SLIDE RETRACTOR TRAY</t>
  </si>
  <si>
    <t>WILSON FRAME KIT</t>
  </si>
  <si>
    <t>MIZUHO PRONE POSITIONER</t>
  </si>
  <si>
    <t>HOTLINE FLUID WARMIMG SET</t>
  </si>
  <si>
    <t>RAPID INFUSER</t>
  </si>
  <si>
    <t>SCD</t>
  </si>
  <si>
    <t>HEADLIGHT</t>
  </si>
  <si>
    <t>PORTABLE LIGHTS</t>
  </si>
  <si>
    <t>MIDAS REX EQUIPMENT</t>
  </si>
  <si>
    <t>STRYKER CORE</t>
  </si>
  <si>
    <t>AQUA MANTYS</t>
  </si>
  <si>
    <t>AQUA-MANTYS KIT</t>
  </si>
  <si>
    <t>INSTRUMENT POUCH</t>
  </si>
  <si>
    <t>LUER LOCK CANNULA</t>
  </si>
  <si>
    <t>HOTLINE MACHINE</t>
  </si>
  <si>
    <t>MIDAS REX</t>
  </si>
  <si>
    <t>LAMINECTOMY ARM CRADDLE</t>
  </si>
  <si>
    <t>POLYHESIVE ADULT PT RETURN ELE</t>
  </si>
  <si>
    <t>CULTURE TUBE/ANAEROBIC</t>
  </si>
  <si>
    <t>ELBOW PADS</t>
  </si>
  <si>
    <t>STERILE SAFTEY PINS</t>
  </si>
  <si>
    <t>COBAN 2"</t>
  </si>
  <si>
    <t>PULSATING IRRIGATION</t>
  </si>
  <si>
    <t>NON WOVEN DRAIN SPONGE</t>
  </si>
  <si>
    <t>GAUZE BULK 2X2</t>
  </si>
  <si>
    <t>BULKEE II SUPER FLUFF SPONGE</t>
  </si>
  <si>
    <t>IODOFORM PACKING STRIP</t>
  </si>
  <si>
    <t>VASELINE GAUZE_"X72"</t>
  </si>
  <si>
    <t>TUBERCULIN SAF SYR W/ NED, 28G</t>
  </si>
  <si>
    <t>GAUZE DRAIN SPONGE</t>
  </si>
  <si>
    <t>INTROCAN SAFETY IV CATH, 20G</t>
  </si>
  <si>
    <t>IOBAN 2 SMALL</t>
  </si>
  <si>
    <t>CORDIS</t>
  </si>
  <si>
    <t>KPE MACHINE (PHACO)</t>
  </si>
  <si>
    <t>STRABISMUS TRAY</t>
  </si>
  <si>
    <t>CHALAZION TRAY</t>
  </si>
  <si>
    <t>IV PUMP</t>
  </si>
  <si>
    <t>ANTERIOR CHAMBER CANNULA</t>
  </si>
  <si>
    <t>KNIFE, MICRO</t>
  </si>
  <si>
    <t>EYE TAKE HOME PACK</t>
  </si>
  <si>
    <t>STERI DRAPE SMALL DRAPE</t>
  </si>
  <si>
    <t>IV INJECTION CAP</t>
  </si>
  <si>
    <t>LENS</t>
  </si>
  <si>
    <t>LEMON GLYCERIN SWABSTICK</t>
  </si>
  <si>
    <t>URINAL</t>
  </si>
  <si>
    <t>TEMPERATURE PROBE</t>
  </si>
  <si>
    <t>WARMING UNIT</t>
  </si>
  <si>
    <t>CURLIN INFUSION ADMIN TUBE</t>
  </si>
  <si>
    <t>COLD COMPRESS</t>
  </si>
  <si>
    <t>INSTANT HOT PACK</t>
  </si>
  <si>
    <t>WLASTIC BANDAGE 6 IN</t>
  </si>
  <si>
    <t>KERLIX BANDAGE</t>
  </si>
  <si>
    <t>XEROFORM</t>
  </si>
  <si>
    <t>SUCTION TUBING 12"</t>
  </si>
  <si>
    <t>PEROTINEAL DIALYSIS CATHETER</t>
  </si>
  <si>
    <t>MEPILEX 4 X 8 DRESSING</t>
  </si>
  <si>
    <t>MEPILEX 8X8 DRESSING</t>
  </si>
  <si>
    <t>MODULAR INSERT, 2.5MM OFFSET</t>
  </si>
  <si>
    <t>GRAFT DELIVERY DEVICE</t>
  </si>
  <si>
    <t>TRIMANO FEE</t>
  </si>
  <si>
    <t>CERVICAL SA SPACER 7X14X12MM</t>
  </si>
  <si>
    <t>CERVICAL SA SPACER 6X14X12MM</t>
  </si>
  <si>
    <t>SCREW T15 MD 3.5X24MM NS</t>
  </si>
  <si>
    <t>GUIDE WIRE</t>
  </si>
  <si>
    <t>NO LOCKING SCREW 3.5X24,SS</t>
  </si>
  <si>
    <t>HEMODIALYSIS</t>
  </si>
  <si>
    <t>HEMOFILTRATION</t>
  </si>
  <si>
    <t>HEMOPERFUSION</t>
  </si>
  <si>
    <t>PERITONEAL DIALYSIS PROCEDURE</t>
  </si>
  <si>
    <t>DRY RUN</t>
  </si>
  <si>
    <t>PERITONEAL CYCLER</t>
  </si>
  <si>
    <t>UNSTERILE SURGICAL TOWELS 100</t>
  </si>
  <si>
    <t>PLAS CAST/SPICA</t>
  </si>
  <si>
    <t>IV CATHETER</t>
  </si>
  <si>
    <t>U DRAPE 1015</t>
  </si>
  <si>
    <t>SOF-FORM 6 IN  KLING</t>
  </si>
  <si>
    <t>ARTHREX GENERATOR</t>
  </si>
  <si>
    <t>IRIS RETRACTOR</t>
  </si>
  <si>
    <t>LENS CARTRIDGE</t>
  </si>
  <si>
    <t>COBAN 4"</t>
  </si>
  <si>
    <t>COBAN 6"</t>
  </si>
  <si>
    <t>LUBRICATING JELLY</t>
  </si>
  <si>
    <t>2.0MM PIN</t>
  </si>
  <si>
    <t>CALIBRATED DRILL 4.3MM SHORT</t>
  </si>
  <si>
    <t>Z NAIL 5.0X35 CORT SCREW FA</t>
  </si>
  <si>
    <t>Z NAIL 10.5 X 100 LAG SCREW</t>
  </si>
  <si>
    <t>LAPAROTOMY SHEET WITH POUCH</t>
  </si>
  <si>
    <t>CHRISTMAS TREE</t>
  </si>
  <si>
    <t>GORE CV PATCH</t>
  </si>
  <si>
    <t>VASCULAR PATCH IMPRA</t>
  </si>
  <si>
    <t>VESSEL LOOP- WHITE</t>
  </si>
  <si>
    <t>VESSEL LOOP- MICRO</t>
  </si>
  <si>
    <t>GROSHONG CATHETER</t>
  </si>
  <si>
    <t>FORMALIN CUP</t>
  </si>
  <si>
    <t>VASILINEDRESSING ADAPTIC 3X8</t>
  </si>
  <si>
    <t>PENROSE</t>
  </si>
  <si>
    <t>PEANUT SPONGE</t>
  </si>
  <si>
    <t>SPONGE TONSIL</t>
  </si>
  <si>
    <t>INSTRUMENT MAGNET</t>
  </si>
  <si>
    <t>FOGARTY 3F</t>
  </si>
  <si>
    <t>FOGARTY 4F</t>
  </si>
  <si>
    <t>BARD- X-PORT-A-CATH</t>
  </si>
  <si>
    <t>BIOSUTURE TAK MINI</t>
  </si>
  <si>
    <t>DYONIC ORBIT</t>
  </si>
  <si>
    <t>SHOULDER HOLDER/BEAN BAG</t>
  </si>
  <si>
    <t>STRYKER PUMP</t>
  </si>
  <si>
    <t>T-TUBE</t>
  </si>
  <si>
    <t>VULCAN GENERATOR</t>
  </si>
  <si>
    <t>VULCAN WAND</t>
  </si>
  <si>
    <t>WATERBUG</t>
  </si>
  <si>
    <t>DYONICS SHAVER BLADE</t>
  </si>
  <si>
    <t>SHOULDER HOLDER</t>
  </si>
  <si>
    <t>VALPEAU IMMOBILIZER/SHOULDER</t>
  </si>
  <si>
    <t>WEBRIL</t>
  </si>
  <si>
    <t>BIO-CORKSCREW ANCHOR</t>
  </si>
  <si>
    <t>BIO-SUTURE TAK ANCHOR</t>
  </si>
  <si>
    <t>HAGIE PIN</t>
  </si>
  <si>
    <t>DRAPE SPACE STATION</t>
  </si>
  <si>
    <t>TRANSVERSE LAPAROTOMY DRAPE</t>
  </si>
  <si>
    <t>ELASTIC BANDAGE 4IN X 5</t>
  </si>
  <si>
    <t>BIAS CUT 4 IN X4</t>
  </si>
  <si>
    <t>BIAS 6"</t>
  </si>
  <si>
    <t>WOVEN GUAZE SPONE 2X2 2 PC</t>
  </si>
  <si>
    <t>GAUZE SPONGE 4X4 10 PC</t>
  </si>
  <si>
    <t>WOVEN GAUZE SPONGES</t>
  </si>
  <si>
    <t>KERLIX ROLL</t>
  </si>
  <si>
    <t>NU-GAUZE/IODOPHOR</t>
  </si>
  <si>
    <t>BONE PREP / THR</t>
  </si>
  <si>
    <t>MICRO KIT 5FR</t>
  </si>
  <si>
    <t>FLOW SWITCH</t>
  </si>
  <si>
    <t>SOFT VU RIM</t>
  </si>
  <si>
    <t>ULTRA THIN SDS-CATHETER</t>
  </si>
  <si>
    <t>EKG PRE</t>
  </si>
  <si>
    <t>EKG POST</t>
  </si>
  <si>
    <t>VERTECEM V SYRINGE KIT</t>
  </si>
  <si>
    <t>DIET INSTR W/ ASSESSMENT</t>
  </si>
  <si>
    <t>MEDIFAST PACK</t>
  </si>
  <si>
    <t>INITIAL NUTRITIONAL CONSULT</t>
  </si>
  <si>
    <t>6.5 40MM REDUCTION SCREW</t>
  </si>
  <si>
    <t>6.5 45MM REDUCTION SCREW</t>
  </si>
  <si>
    <t>7.5 45MM REDUCTION SCREW</t>
  </si>
  <si>
    <t>HELICAL FLANGE PLUGS</t>
  </si>
  <si>
    <t>10.5 X 70 SCREW</t>
  </si>
  <si>
    <t>510 COCR HIGH ROD</t>
  </si>
  <si>
    <t>22 X 9 X 12 TRELLOS CAGE</t>
  </si>
  <si>
    <t>26 X 9 X 12 TRELLOS CAGE</t>
  </si>
  <si>
    <t>8.5 X 40MM MA SCREW</t>
  </si>
  <si>
    <t>8.5 X 45MM MA SCREW</t>
  </si>
  <si>
    <t>7.5 X 45MM TRANSLATION SCREW</t>
  </si>
  <si>
    <t>10.5 X 60MM MA SCREW</t>
  </si>
  <si>
    <t>10.5 X 45MM MA SCREW</t>
  </si>
  <si>
    <t>7.5 X 45 REDUCTION SCREW</t>
  </si>
  <si>
    <t>ART PRP PLUS</t>
  </si>
  <si>
    <t>SM VOLUME KIT</t>
  </si>
  <si>
    <t>ART BMC</t>
  </si>
  <si>
    <t>INJECTION KIT</t>
  </si>
  <si>
    <t>IFACTOR PUTTY 5CC</t>
  </si>
  <si>
    <t>I-FACTOR PUTTY 2.5CC (700-025)</t>
  </si>
  <si>
    <t>CANCELLOUS CHIPS 15CC 9400145</t>
  </si>
  <si>
    <t>NANOSS BONE FILLER 5CC 3D</t>
  </si>
  <si>
    <t>6.5 X 35 SCREW (48146535)</t>
  </si>
  <si>
    <t>VITALLIUM ROD 35MM (481322035)</t>
  </si>
  <si>
    <t>SET SCREW (481322035)</t>
  </si>
  <si>
    <t>VITALLIUM 40MM (481322035)</t>
  </si>
  <si>
    <t>VOX PLATE 45MM X18MM X 10MM</t>
  </si>
  <si>
    <t>DISPOSABLE PEDICLE SCREW PROBE</t>
  </si>
  <si>
    <t>LIGHT CABLE SISPOSABLE</t>
  </si>
  <si>
    <t>MOBIL-C IMPLANT 15X15 H5 US</t>
  </si>
  <si>
    <t>DISTR SCREWS Q-STRT 12MM 2PK</t>
  </si>
  <si>
    <t>DISTR SCREWS Q-STRT 14MM 2PK</t>
  </si>
  <si>
    <t>MAXAN GREEN 2 LVL 32MM FIX PLT</t>
  </si>
  <si>
    <t>CERV 14D X 16W X6H 6DEG</t>
  </si>
  <si>
    <t>POLTRANS 5.5 TI 6.5X35MM TRNS</t>
  </si>
  <si>
    <t>LINEUM 4.0MM X 14MM CC SCREW</t>
  </si>
  <si>
    <t>5.5MM TI XXSMALL X CONNECTOR</t>
  </si>
  <si>
    <t>SMALL VBR IMPLANT DIAX24-40MMT</t>
  </si>
  <si>
    <t>22X9X12 TRELLOS CAGE</t>
  </si>
  <si>
    <t>26X9X12 TRELLOS CAGE</t>
  </si>
  <si>
    <t>7.5X45 TRAN SCREW</t>
  </si>
  <si>
    <t>8.5 X 40 SCREW</t>
  </si>
  <si>
    <t>ROD 60MM PRE BENT</t>
  </si>
  <si>
    <t>ROD 65MM PRE BENT</t>
  </si>
  <si>
    <t>TERESA SA LOCKING COVER PLATE</t>
  </si>
  <si>
    <t>TERSERA SA 45MM X 23 MM SCREW</t>
  </si>
  <si>
    <t>TERSERA SA 45MM X 20 MM SCREW</t>
  </si>
  <si>
    <t>TERSERA SA ALIF 38 MM X 30 MM</t>
  </si>
  <si>
    <t>SIGNAFUSE BONE GRAFT MEDIUM</t>
  </si>
  <si>
    <t>SIGNAFUSE BONE GRAFT STANDAR</t>
  </si>
  <si>
    <t>ETS FLEX ARTICNG LNR CUTR 45mm</t>
  </si>
  <si>
    <t>ETS ARTIC LNR CUTR NO KNIFE CD</t>
  </si>
  <si>
    <t xml:space="preserve">ENDOPATH*BLUNT CHERRY DISSECT </t>
  </si>
  <si>
    <t>ENDOPATH*BLUNT TIP DISSECTOR E</t>
  </si>
  <si>
    <t>ILS 21MM, CURVED EC11</t>
  </si>
  <si>
    <t>ILS 21MM, CURVED EC12</t>
  </si>
  <si>
    <t>ECHELON CIRCULAR Powered Stape</t>
  </si>
  <si>
    <t>ILS 25MM, CURVED EC60A</t>
  </si>
  <si>
    <t>ILS 25MM, CURVED ECR45B</t>
  </si>
  <si>
    <t>Stapler Proximate Ils Curved 2</t>
  </si>
  <si>
    <t>ILS 33MM, CURVED ECS21A</t>
  </si>
  <si>
    <t>ILS 33MM, CURVED ECS25A</t>
  </si>
  <si>
    <t>ENDOPATH*BIPOLAR FORCEPS MACRO</t>
  </si>
  <si>
    <t>ENDOPATH*BIPOLAR FORCEPS MICRO</t>
  </si>
  <si>
    <t>ENDOSUTURE SYSTEM ENDONEEDLE E</t>
  </si>
  <si>
    <t>ECHELON 45 ARTICULATING ENDOPA</t>
  </si>
  <si>
    <t>ECHELON 60 ARTICULATING ENDOPA</t>
  </si>
  <si>
    <t>BLUE RELOAD FOR ECHELON 45 GST</t>
  </si>
  <si>
    <t>GOLD RELOAD FOR ECHELON 45 GST</t>
  </si>
  <si>
    <t>GREEN RELOAD FOR ECHELON 45 GS</t>
  </si>
  <si>
    <t>GREEN RELOAD FOR ECHELON 45 J0</t>
  </si>
  <si>
    <t>GRAY RELOAD FOR 45mm ECHELON J</t>
  </si>
  <si>
    <t>WHITE RELOAD FOR ECHELON 45 KA</t>
  </si>
  <si>
    <t>BLUE RELOAD FOR ECHELON 60 LON</t>
  </si>
  <si>
    <t>BLUE RELOAD FOR ECHELON 60 LT1</t>
  </si>
  <si>
    <t>GOLD RELOAD FOR ECHELON 60 LT1</t>
  </si>
  <si>
    <t>GOLD RELOAD FOR ECHELON 60 LT2</t>
  </si>
  <si>
    <t>GREEN RELOAD FOR ECHELON 60 LT</t>
  </si>
  <si>
    <t>GRAY RELOAD FOR 60MM ECHELON L</t>
  </si>
  <si>
    <t>GRAY RELOAD FOR 60MM ECHELON M</t>
  </si>
  <si>
    <t>ENDO ILS 21MM, CURVED MCM20</t>
  </si>
  <si>
    <t>ENDO ILS 21MM, CURVED MCM30</t>
  </si>
  <si>
    <t>ENDO ILS 25MM, CURVED MCS20</t>
  </si>
  <si>
    <t>ENDO ILS 25MM, CURVED MSM20</t>
  </si>
  <si>
    <t>ENDO ILS 29MM, CURVED PCE45A</t>
  </si>
  <si>
    <t>ENDO ILS 29MM, CURVED PCE60A</t>
  </si>
  <si>
    <t>ILS 33MM, CURVED PCEE45A</t>
  </si>
  <si>
    <t>ILS 33MM, CURVED PCEE60A</t>
  </si>
  <si>
    <t>0 ENDOLOOP LIG W/VCL CT VL PLE</t>
  </si>
  <si>
    <t xml:space="preserve">LIGAMAX-5mm ENDO CLIP APPLIER </t>
  </si>
  <si>
    <t>LIGACLIP*ENDO ROTATING MCA POU</t>
  </si>
  <si>
    <t>LIGACLIP*ENDO ROTATING MCA PPH</t>
  </si>
  <si>
    <t>LIGACLIP*ENDO ROTATING MCA PRR</t>
  </si>
  <si>
    <t>LIGACLIP*ENDO ROTATING MCA PRW</t>
  </si>
  <si>
    <t xml:space="preserve">ENDOSUTURE SYSTEM ENDO-HOLDER </t>
  </si>
  <si>
    <t>ENDO KNOT W/EBOND EXTRA PSEE60</t>
  </si>
  <si>
    <t>ENDO KNOT W/EBOND EXTRA PVE35A</t>
  </si>
  <si>
    <t>0 ENDOLOOP LIG W/PDS II PXR35</t>
  </si>
  <si>
    <t>0 ENDOLOOP LIG W/PDS II PXW35</t>
  </si>
  <si>
    <t>Endopath Echelon 45mm Reload w</t>
  </si>
  <si>
    <t>ENDOPATH ECHELON Endoscopic Li</t>
  </si>
  <si>
    <t>COATED VICRYL*VIOLET BRAIDED T</t>
  </si>
  <si>
    <t>ENDOKNOT VL CT VCL TR90</t>
  </si>
  <si>
    <t>ENDOKNOT VL CT VCL TRD75</t>
  </si>
  <si>
    <t>ENDO LAPRA-TY ABS CLP APP TRH9</t>
  </si>
  <si>
    <t>ENDO LAPRA-TY ABS CLP APP TRT1</t>
  </si>
  <si>
    <t>LAPRA-TY ABSORBABLE SUTURE CLI</t>
  </si>
  <si>
    <t>ECHELON 60 LONG ARTICULATING E</t>
  </si>
  <si>
    <t xml:space="preserve">LIGACLIP*EXTRA TITANIUM CLIPS </t>
  </si>
  <si>
    <t>LIGACLIP MCA LARGE</t>
  </si>
  <si>
    <t>LIGACLIP*MCA LARGE APPLIER 10X</t>
  </si>
  <si>
    <t>LIGACLIP*MCA MED APPLIER 10X86</t>
  </si>
  <si>
    <t>LIGACLIP*MCA MED APPLIER 1588H</t>
  </si>
  <si>
    <t xml:space="preserve">LIGACLIP*MCA MED LONG APPLIER </t>
  </si>
  <si>
    <t>LIGACLIP MCA MEDIUM</t>
  </si>
  <si>
    <t>LIGACLIP MCA SMALL</t>
  </si>
  <si>
    <t>LIGACLIP*MCA SMALL APPLIER 162</t>
  </si>
  <si>
    <t>LIGACLIP*MCA MED SHORT APPLIER</t>
  </si>
  <si>
    <t>Powered ECHELON FLEX 45 compac</t>
  </si>
  <si>
    <t xml:space="preserve">PWRD ECH FLEX 60MM 28CM SHAFT </t>
  </si>
  <si>
    <t xml:space="preserve">Echelon Flex(TM) Powered Plus </t>
  </si>
  <si>
    <t>POWERED 60 ECHELON +, 280MM SH</t>
  </si>
  <si>
    <t>Powered ECHELON FLEX 45 Long a</t>
  </si>
  <si>
    <t>ECHELON FLEX Powered Plus Stap</t>
  </si>
  <si>
    <t>ENDOPOUCH RETRIEVER SPEC BAG 1</t>
  </si>
  <si>
    <t>PROXIMATE PPH PROCEDURE SET 16</t>
  </si>
  <si>
    <t xml:space="preserve">PROXIMATE*RH REG SKIN STAPLER </t>
  </si>
  <si>
    <t>PROXIMATE*RH WIDE SKIN STPLR 1</t>
  </si>
  <si>
    <t>Powered ECHELON FLEX 45 articu</t>
  </si>
  <si>
    <t xml:space="preserve">ECHELON FLEX Powered Vascular </t>
  </si>
  <si>
    <t>PROXIMATE*SKIN STAPLER-REGULAR</t>
  </si>
  <si>
    <t>PROXIMATE*SKIN STAPLER-WIDE 16</t>
  </si>
  <si>
    <t xml:space="preserve">ECHELON 60 SHORT ARTICULATING </t>
  </si>
  <si>
    <t>ILS 21MM, STRAIGHT 1674H</t>
  </si>
  <si>
    <t>ILS 21MM, STRAIGHT 1675H</t>
  </si>
  <si>
    <t>ILS 25MM, STRAIGHT 1676G</t>
  </si>
  <si>
    <t>ILS 25MM, STRAIGHT 1677G</t>
  </si>
  <si>
    <t>ILS 29MM, STRAIGHT 1678H</t>
  </si>
  <si>
    <t>ILS 29MM, STRAIGHT 1679H</t>
  </si>
  <si>
    <t>ILS 33MM, STRAIGHT 1683H</t>
  </si>
  <si>
    <t>ILS 33MM, STRAIGHT 1684G</t>
  </si>
  <si>
    <t>PROXIMATE*CUTTER RELOAD UNIT 1</t>
  </si>
  <si>
    <t>PROXIMATE*LINEAR CUTTER 1710G</t>
  </si>
  <si>
    <t>PROXIMATE*LINEAR CUTTER 1713G</t>
  </si>
  <si>
    <t xml:space="preserve">PROXIMATE*LINEAR CUTTER THICK </t>
  </si>
  <si>
    <t>PROXIMATE*RL TITANIUM 30mm 173</t>
  </si>
  <si>
    <t xml:space="preserve">PROXIMATE*RL TITANIUM STAPLER </t>
  </si>
  <si>
    <t>PROXIMATE* LINEAR CUTTER 1755G</t>
  </si>
  <si>
    <t>PROXIMATE* LINEAR CUTTER 1757G</t>
  </si>
  <si>
    <t>PROXIMATE*55MM LINEAR CUTTER 1</t>
  </si>
  <si>
    <t>PROXIMATE*75mm LINEAR CUTTER 1</t>
  </si>
  <si>
    <t>PROXIMATE*RELOAD UNIT 30mm 176</t>
  </si>
  <si>
    <t>PROXIMATE*RELOAD UNIT 30mm 177</t>
  </si>
  <si>
    <t xml:space="preserve">ETS*45 ENDO LIN CUT RELOAD GR </t>
  </si>
  <si>
    <t xml:space="preserve">ETS*45 ENDO LIN CUT RELOAD WH </t>
  </si>
  <si>
    <t>PROXIMATE*RELOAD UNIT 60mm 178</t>
  </si>
  <si>
    <t>PROXIMATE*RELOAD UNIT 60mm 179</t>
  </si>
  <si>
    <t>PROXIMATE*RELOAD UNIT 90mm 179</t>
  </si>
  <si>
    <t>PROXIMATE*CUTTER RELOAD GOLD 1</t>
  </si>
  <si>
    <t>PROXIMATE*TITANIUM RELOAD 30mm</t>
  </si>
  <si>
    <t>PROXIMATE*TITANIUM RELOAD 60mm</t>
  </si>
  <si>
    <t>PROXIMATE*TITANIUM RELOAD 90mm</t>
  </si>
  <si>
    <t xml:space="preserve">PROXIMATE*RELOAD THICK TISSUE </t>
  </si>
  <si>
    <t>PROXIMATE*RELOAD VASCULAR 30mm</t>
  </si>
  <si>
    <t>PROXIMATE*CUTTER VASCULAR 55mm</t>
  </si>
  <si>
    <t>PROXIMATE*RELOAD VASC LIN CUTT</t>
  </si>
  <si>
    <t>PROXIMATE*LINEAR STAP RELOAD 1</t>
  </si>
  <si>
    <t>PROXIMATE*VASC LIN STAP RELOAD</t>
  </si>
  <si>
    <t>PROXIMATE*LINEAR STAP RELOAD 2</t>
  </si>
  <si>
    <t>PDS*II VIOLET MONOFILAMENT 264</t>
  </si>
  <si>
    <t>PDS*II VIOLET MONOFILAMENT 277</t>
  </si>
  <si>
    <t>0 ENDOKNOT PDSII* VL 2790G</t>
  </si>
  <si>
    <t>0 ENDOKNOT PDSII* VL 2793G</t>
  </si>
  <si>
    <t>2/0 10-30 ETH EXT GRN WHT 2794</t>
  </si>
  <si>
    <t>2/0 10-30 ETH EXT GRN WHT 2795</t>
  </si>
  <si>
    <t>2/0 5-30 ETH EXT GRN WHT 2800G</t>
  </si>
  <si>
    <t>2/0 5-30 ETH EXT GRN WHT 2808G</t>
  </si>
  <si>
    <t>3/0 10-30 ETH EXT GRN WHT 2809</t>
  </si>
  <si>
    <t>3/0 10-30 ETH EXT GRN WHT 2810</t>
  </si>
  <si>
    <t>2/0 5-36 ETH EXC GRN WHT 2813G</t>
  </si>
  <si>
    <t>2/0 5-36 ETH EXC GRN WHT 2815G</t>
  </si>
  <si>
    <t>2/0 5-30 ETH EXT GRN WHT 2819G</t>
  </si>
  <si>
    <t>2/0 5-30 ETH EXT GRN WHT 2820G</t>
  </si>
  <si>
    <t>2/0 5-30 ETHBND GRN WHT B 2822</t>
  </si>
  <si>
    <t>2/0 5-30 ETHBND GRN WHT B 2829</t>
  </si>
  <si>
    <t>2/0 5-36 ETH EXC GRN WHT 2830G</t>
  </si>
  <si>
    <t>2/0 5-36 ETH EXC GRN WHT 2849G</t>
  </si>
  <si>
    <t>2/0 18 SILK BLK BR 2850G</t>
  </si>
  <si>
    <t>2/0 18 SILK BLK BR 2860G</t>
  </si>
  <si>
    <t>4/0 18 ETHLN CLR MONO PS- 2870</t>
  </si>
  <si>
    <t>4/0 18 ETHLN CLR MONO PS- 2881</t>
  </si>
  <si>
    <t>4/0 18 ETHLN CLR MONO PS- 2890</t>
  </si>
  <si>
    <t>4/0 18 ETHLN CLR MONO PS- 2892</t>
  </si>
  <si>
    <t>2/0 27 CHROMIC GUT PS-2 2894G</t>
  </si>
  <si>
    <t>2/0 27 CHROMIC GUT PS-2 2897G</t>
  </si>
  <si>
    <t>5/0 18 PL GUT PS-3 2898G</t>
  </si>
  <si>
    <t>5/0 18 PL GUT PS-3 3304H</t>
  </si>
  <si>
    <t>4/0 18 PL GUT PS-2 3305H</t>
  </si>
  <si>
    <t>4/0 18 PL GUT PS-2 3307H</t>
  </si>
  <si>
    <t>4/0 18 PLIBLZD ETHLN BLK 3321H</t>
  </si>
  <si>
    <t>4/0 18 PLIBLZD ETHLN BLK 3521H</t>
  </si>
  <si>
    <t>3/0 27 PL GUT PS-2 3522H</t>
  </si>
  <si>
    <t>3/0 27 PL GUT PS-2 3523H</t>
  </si>
  <si>
    <t>5/0 18 PL GUT PS-4 3526H</t>
  </si>
  <si>
    <t>5/0 18 PL GUT PS-4 3555H</t>
  </si>
  <si>
    <t>4/0 18 PL GUT PS-4 3556H</t>
  </si>
  <si>
    <t>4/0 18 PL GUT PS-4 3557H</t>
  </si>
  <si>
    <t>6/0 18 CHROMIC GUT PS-3 3558H</t>
  </si>
  <si>
    <t>6/0 18 CHROMIC GUT PS-3 3580H</t>
  </si>
  <si>
    <t>5/0 18 CHROMIC GUT BL PS- 3581</t>
  </si>
  <si>
    <t>5/0 18 CHROMIC GUT BL PS- 3701</t>
  </si>
  <si>
    <t>4/0 18 CHROMIC GUT PS-2 3702H</t>
  </si>
  <si>
    <t>4/0 18 CHROMIC GUT PS-2 3703H</t>
  </si>
  <si>
    <t>3/0 27 CHROMIC GUT PS-2 3706H</t>
  </si>
  <si>
    <t>3/0 27 CHROMIC GUT PS-2 3707H</t>
  </si>
  <si>
    <t>6/0 18 SILK BLK BR P-3 3709H</t>
  </si>
  <si>
    <t>6/0 18 SILK BLK BR P-3 3710H</t>
  </si>
  <si>
    <t>3/0 27 PL GUT PS-1 3711H</t>
  </si>
  <si>
    <t>3/0 27 PL GUT PS-1 3717H</t>
  </si>
  <si>
    <t>6/0 18 CHROMIC GUT PS-4 3720H</t>
  </si>
  <si>
    <t>6/0 18 CHROMIC GUT PS-4 3725H</t>
  </si>
  <si>
    <t>5/0 18 CHROMIC GUT BL PS- 3726</t>
  </si>
  <si>
    <t>5/0 18 CHROMIC GUT BL PS- 3735</t>
  </si>
  <si>
    <t>4/0 18 CHROMIC GUT PS-4 3762H</t>
  </si>
  <si>
    <t>4/0 18 CHROMIC GUT PS-4 3776H</t>
  </si>
  <si>
    <t>4/0 18 PL GUT 3803T</t>
  </si>
  <si>
    <t>4/0 18 PL GUT 3805H</t>
  </si>
  <si>
    <t>7/0 18 ETHLN BLK MONO P-6 3806</t>
  </si>
  <si>
    <t>7/0 18 ETHLN BLK MONO P-6 3811</t>
  </si>
  <si>
    <t>5/0 18 CHROMIC GUT BL PS- 3812</t>
  </si>
  <si>
    <t>5/0 18 CHROMIC GUT BL PS- 3813</t>
  </si>
  <si>
    <t>4/0 18 CHROMIC GUT PS-5 3842H</t>
  </si>
  <si>
    <t>4/0 18 CHROMIC GUT PS-5 3844G</t>
  </si>
  <si>
    <t>4/0 18 CHROMIC GUT 3846T</t>
  </si>
  <si>
    <t>4/0 18 CHROMIC GUT 3975H</t>
  </si>
  <si>
    <t>5/0 18 CHROMIC GUT BL P-2 3976</t>
  </si>
  <si>
    <t>5/0 18 CHROMIC GUT BL P-2 413H</t>
  </si>
  <si>
    <t>4/0 18 CHROMIC GUT P-2 423H</t>
  </si>
  <si>
    <t>4/0 18 CHROMIC GUT P-2 424H</t>
  </si>
  <si>
    <t>6/0 18 PLIBLZD ETHLN BLK 443H</t>
  </si>
  <si>
    <t>6/0 18 PLIBLZD ETHLN BLK 44T</t>
  </si>
  <si>
    <t>5/0 18 PLIBLZD ETHLN BLK 450G</t>
  </si>
  <si>
    <t>5/0 18 PLIBLZD ETHLN BLK 460T</t>
  </si>
  <si>
    <t>4/0 18 PLIBLZD ETHLN BLK 467G</t>
  </si>
  <si>
    <t>4/0 18 PLIBLZD ETHLN BLK 470G</t>
  </si>
  <si>
    <t>3/0 18 PLIBLZD ETHLN BLK 47T</t>
  </si>
  <si>
    <t>3/0 18 PLIBLZD ETHLN BLK 482T</t>
  </si>
  <si>
    <t>3/0 18 PLIBLZD ETHLN BLK 485T</t>
  </si>
  <si>
    <t>3/0 18 PLIBLZD ETHLN BLK 486H</t>
  </si>
  <si>
    <t>6/0 18 PLIBLZD ETHLN BLK 489T</t>
  </si>
  <si>
    <t>6/0 18 PLIBLZD ETHLN BLK 48G</t>
  </si>
  <si>
    <t>5/0 18 PLIBLZD ETHLN BLK 490T</t>
  </si>
  <si>
    <t>5/0 18 PLIBLZD ETHLN BLK 4915H</t>
  </si>
  <si>
    <t>5/0 18 PLIBLZD ETHLN BLK 4924H</t>
  </si>
  <si>
    <t>5/0 18 PLIBLZD ETHLN BLK 4925H</t>
  </si>
  <si>
    <t>4/0 18 PLIBLZD ETHLN BLK 497G</t>
  </si>
  <si>
    <t>4/0 18 PLIBLZD ETHLN BLK 4995H</t>
  </si>
  <si>
    <t>4/0 18 PLIBLZD ETHLN BLK 52T</t>
  </si>
  <si>
    <t>4/0 18 PLIBLZD ETHLN BLK 53T</t>
  </si>
  <si>
    <t>5/0 18 PLIBLZD ETHLN BLK 5424H</t>
  </si>
  <si>
    <t>5/0 18 PLIBLZD ETHLN BLK 5425H</t>
  </si>
  <si>
    <t>5/0 18 PLIBLZD ETHLN BLK 5503T</t>
  </si>
  <si>
    <t>5/0 18 PLIBLZD ETHLN BLK 5589T</t>
  </si>
  <si>
    <t>3/0 18 PLIBLZD ETHLN BLK 562H</t>
  </si>
  <si>
    <t>3/0 18 PLIBLZD ETHLN BLK 5665G</t>
  </si>
  <si>
    <t>ETHILON BLK 30IN(75CM) USP4-0(</t>
  </si>
  <si>
    <t>4/0 30 ETHLN BLK MONO FSL 583H</t>
  </si>
  <si>
    <t>4/0 30 ETHLN BLK MONO FSL 585H</t>
  </si>
  <si>
    <t>3/0 30 ETHLN BLK MONO FSL 590H</t>
  </si>
  <si>
    <t>3/0 30 ETHLN BLK MONO FSL 591H</t>
  </si>
  <si>
    <t>ETHILON BLK 30IN(75CM) USP3-0(</t>
  </si>
  <si>
    <t>3/0 30 ETHLN BLK MONO FSL 603G</t>
  </si>
  <si>
    <t>3/0 30 ETHLN BLK MONO FSL 607G</t>
  </si>
  <si>
    <t>ETHILON BLK 75CM M3 USP2/0 S/A</t>
  </si>
  <si>
    <t>2/0 30 ETHLN BLK MONO FSL 621H</t>
  </si>
  <si>
    <t>2/0 30 ETHLN BLK MONO FSL 622H</t>
  </si>
  <si>
    <t>6/0 18 SILK BLK BR PS-3 623H</t>
  </si>
  <si>
    <t>6/0 18 SILK BLK BR PS-3 624H</t>
  </si>
  <si>
    <t>5/0 18 SILK BLK BR PS-2 626H</t>
  </si>
  <si>
    <t>5/0 18 SILK BLK BR PS-2 627H</t>
  </si>
  <si>
    <t>4/0 18 SILK BLK BR PS-2 628H</t>
  </si>
  <si>
    <t>4/0 18 SILK BLK BR PS-2 629G</t>
  </si>
  <si>
    <t>5/0 18 SILK BLK BR PS-3 631G</t>
  </si>
  <si>
    <t>5/0 18 SILK BLK BR PS-3 632G</t>
  </si>
  <si>
    <t>3/0 18 SILK BLK BR PS-2 634G</t>
  </si>
  <si>
    <t>3/0 18 SILK BLK BR PS-2 635H</t>
  </si>
  <si>
    <t>3/0 30 ETHLN BLK MONO PSL 636H</t>
  </si>
  <si>
    <t>3/0 30 ETHLN BLK MONO PSL 637H</t>
  </si>
  <si>
    <t>3/0 18 SILK BLK BR 639G</t>
  </si>
  <si>
    <t>3/0 18 SILK BLK BR 640G</t>
  </si>
  <si>
    <t>4/0 18 SILK BLK BR PS-4 641G</t>
  </si>
  <si>
    <t>4/0 18 SILK BLK BR PS-4 642G</t>
  </si>
  <si>
    <t>2/0 30 SILK BLK BR FSLX 654H</t>
  </si>
  <si>
    <t>2/0 30 SILK BLK BR FSLX 658G</t>
  </si>
  <si>
    <t>3/0 30 ETHLN BLK MONO PSL 661G</t>
  </si>
  <si>
    <t>3/0 30 ETHLN BLK MONO PSL 661H</t>
  </si>
  <si>
    <t>7/0 18 ETHLN BLK MONO P-1 662G</t>
  </si>
  <si>
    <t>7/0 18 ETHLN BLK MONO P-1 662H</t>
  </si>
  <si>
    <t>2/0 30 ETHLN BLK MONO PSL 663G</t>
  </si>
  <si>
    <t>2/0 30 ETHLN BLK MONO PSL 663H</t>
  </si>
  <si>
    <t>6/0 18 PLIBLZD ETHLN BLK 664G</t>
  </si>
  <si>
    <t>6/0 18 PLIBLZD ETHLN BLK 664H</t>
  </si>
  <si>
    <t>10/0 12 PROL BL MONO CS14 665H</t>
  </si>
  <si>
    <t>10/0 12 PROL BL MONO CS14 667G</t>
  </si>
  <si>
    <t>10/0 8 PROL BL MONO STC-6 668G</t>
  </si>
  <si>
    <t>10/0 8 PROL BL MONO STC-6 669H</t>
  </si>
  <si>
    <t>8/0 12 ETHLN BLK MONO TG1 673H</t>
  </si>
  <si>
    <t>8/0 12 ETHLN BLK MONO TG1 675H</t>
  </si>
  <si>
    <t>8/0 12 ETHLN BLK MONO TG1 677G</t>
  </si>
  <si>
    <t>8/0 12 ETHLN BLK MONO TG1 678G</t>
  </si>
  <si>
    <t>6/0 18 MERS WH BR S-14 679H</t>
  </si>
  <si>
    <t>6/0 18 MERS WH BR S-14 680H</t>
  </si>
  <si>
    <t>6/0 18 CHROMIC GUT BL TG1 682G</t>
  </si>
  <si>
    <t>6/0 18 CHROMIC GUT BL TG1 683G</t>
  </si>
  <si>
    <t>6/0 18 SILK BLK BR TG140- 684G</t>
  </si>
  <si>
    <t>6/0 18 SILK BLK BR TG140- 685G</t>
  </si>
  <si>
    <t>6/0 18 PL GUT TG140-8 686G</t>
  </si>
  <si>
    <t>6/0 18 PL GUT TG140-8 687G</t>
  </si>
  <si>
    <t>5/0 18 ETHLN BLK MONO 689G</t>
  </si>
  <si>
    <t>5/0 18 ETHLN BLK MONO 690G</t>
  </si>
  <si>
    <t>7/0 18 CHROMIC GUT TG100- 691G</t>
  </si>
  <si>
    <t>7/0 18 CHROMIC GUT TG100- 697G</t>
  </si>
  <si>
    <t>7/0 18 CHROMIC GUT CS175- 697H</t>
  </si>
  <si>
    <t>7/0 18 CHROMIC GUT CS175- 698G</t>
  </si>
  <si>
    <t>9/0 6 PROL BL MONO TG140- 698H</t>
  </si>
  <si>
    <t>9/0 6 PROL BL MONO TG140- 699G</t>
  </si>
  <si>
    <t>10/0 6 PROL BL MONO CS160 699H</t>
  </si>
  <si>
    <t>10/0 6 PROL BL MONO CS160 706G</t>
  </si>
  <si>
    <t>10/0 6 PROL BL MONO TG140 707G</t>
  </si>
  <si>
    <t>10/0 6 PROL BL MONO TG140 709H</t>
  </si>
  <si>
    <t>5/0 18 MERS WH BR S-14 714G</t>
  </si>
  <si>
    <t>5/0 18 MERS WH BR S-14 723G</t>
  </si>
  <si>
    <t>5/0 18 MERS GR BR S-24 724G</t>
  </si>
  <si>
    <t>5/0 18 MERS GR BR S-24 734G</t>
  </si>
  <si>
    <t>4/0 18 MERS GR BR S-24 735G</t>
  </si>
  <si>
    <t>4/0 18 MERS GR BR S-24 736G</t>
  </si>
  <si>
    <t>5/0 18 MERS WH BR S-24 737G</t>
  </si>
  <si>
    <t>5/0 18 MERS WH BR S-24 740G</t>
  </si>
  <si>
    <t>5/0 12 CHROMIC GUT BL S-1 742G</t>
  </si>
  <si>
    <t>5/0 12 CHROMIC GUT BL S-1 744G</t>
  </si>
  <si>
    <t>10/0 12 PROL BL MONO TG14 746G</t>
  </si>
  <si>
    <t>10/0 12 PROL BL MONO TG14 749G</t>
  </si>
  <si>
    <t>5/0 18 PL GUT S-14 751G</t>
  </si>
  <si>
    <t>5/0 18 PL GUT S-14 752G</t>
  </si>
  <si>
    <t>5/0 12 PL GUT S-14 765G</t>
  </si>
  <si>
    <t>5/0 12 PL GUT S-14 766G</t>
  </si>
  <si>
    <t>4/0 18 MERS WH BR S-4 768G</t>
  </si>
  <si>
    <t>4/0 18 MERS WH BR S-4 769G</t>
  </si>
  <si>
    <t>4/0 18 MERS WH BR S-2 7707G</t>
  </si>
  <si>
    <t>4/0 18 MERS WH BR S-2 770G</t>
  </si>
  <si>
    <t>6/0 18 SILK BLK BR S-14 7711G</t>
  </si>
  <si>
    <t>6/0 18 SILK BLK BR S-14 7717G</t>
  </si>
  <si>
    <t>6/0 18 CHROMIC GUT BL S-1 7718</t>
  </si>
  <si>
    <t>6/0 18 CHROMIC GUT BL S-1 7729</t>
  </si>
  <si>
    <t>5/0 18 CHROMIC GUT BL S-1 772G</t>
  </si>
  <si>
    <t>5/0 18 CHROMIC GUT BL S-1 7731</t>
  </si>
  <si>
    <t>4/0 18 CHROMIC GUT S-4 7733G</t>
  </si>
  <si>
    <t>4/0 18 CHROMIC GUT S-4 7734G</t>
  </si>
  <si>
    <t>7/0 18 CHROMIC GUT BL TG1 773G</t>
  </si>
  <si>
    <t>7/0 18 CHROMIC GUT BL TG1 7740</t>
  </si>
  <si>
    <t>4/0 18 CHROMIC GUT S-2 774G</t>
  </si>
  <si>
    <t>4/0 18 CHROMIC GUT S-2 7756G</t>
  </si>
  <si>
    <t>6/0 18 CHROMIC GUT PS-6 7757G</t>
  </si>
  <si>
    <t>6/0 18 CHROMIC GUT PS-6 775G</t>
  </si>
  <si>
    <t>4/0 18 PL GUT SC-1 7760G</t>
  </si>
  <si>
    <t>4/0 18 PL GUT SC-1 7761G</t>
  </si>
  <si>
    <t>4/0 18 PL GUT SC-1 7770G</t>
  </si>
  <si>
    <t>4/0 18 PL GUT SC-1 7796G</t>
  </si>
  <si>
    <t>5/0 18 PLIBLZD ETHLN BLK 780G</t>
  </si>
  <si>
    <t>5/0 18 PLIBLZD ETHLN BLK 783G</t>
  </si>
  <si>
    <t>4/0 18 PLIBLZD ETHLN BLK 786G</t>
  </si>
  <si>
    <t>4/0 18 PLIBLZD ETHLN BLK 788G</t>
  </si>
  <si>
    <t>5/0 18 PLIBLZD ETHLN BLK 789G</t>
  </si>
  <si>
    <t>5/0 18 PLIBLZD ETHLN BLK 790G</t>
  </si>
  <si>
    <t>6/0 18 PLIBLZD ETHLN BLK 792G</t>
  </si>
  <si>
    <t>6/0 18 PLIBLZD ETHLN BLK 793G</t>
  </si>
  <si>
    <t>4/0 18 PLIBLZD ETHLN BLK 794G</t>
  </si>
  <si>
    <t>4/0 18 PLIBLZD ETHLN BLK 795G</t>
  </si>
  <si>
    <t>5/0 18 PLIBLZD ETHLN BLK 796G</t>
  </si>
  <si>
    <t>5/0 18 PLIBLZD ETHLN BLK 798G</t>
  </si>
  <si>
    <t>6/0 18 PLIBLZD ETHLN BLK 800H</t>
  </si>
  <si>
    <t>6/0 18 PLIBLZD ETHLN BLK 801H</t>
  </si>
  <si>
    <t>3/0 18 PLIBLZD ETHLN BLK 802H</t>
  </si>
  <si>
    <t>3/0 18 PLIBLZD ETHLN BLK 803H</t>
  </si>
  <si>
    <t>4/0 18 PLIBLZD ETHLN BLK 805H</t>
  </si>
  <si>
    <t>4/0 18 PLIBLZD ETHLN BLK 810H</t>
  </si>
  <si>
    <t>5/0 18 PLIBLZD ETHLN BLK 811H</t>
  </si>
  <si>
    <t>5/0 18 PLIBLZD ETHLN BLK 812H</t>
  </si>
  <si>
    <t>5/0 18 PL FST ABS GUT PC- 813H</t>
  </si>
  <si>
    <t>5/0 18 PL FST ABS GUT PC- 814H</t>
  </si>
  <si>
    <t>6/0 18 PL FST ABS GUT PC- 816H</t>
  </si>
  <si>
    <t>6/0 18 PL FST ABS GUT PC- 817H</t>
  </si>
  <si>
    <t>5/0 18 SILK BLK BR PC-3 8190G</t>
  </si>
  <si>
    <t>5/0 18 SILK BLK BR PC-3 8204H</t>
  </si>
  <si>
    <t>5/0 18 PLIBLZD ETHLN BLK 8205H</t>
  </si>
  <si>
    <t>5/0 18 PLIBLZD ETHLN BLK 8206H</t>
  </si>
  <si>
    <t>4/0 18 PLIBLZD ETHLN BLK 824G</t>
  </si>
  <si>
    <t>4/0 18 PLIBLZD ETHLN BLK 825G</t>
  </si>
  <si>
    <t>5/0 18 PLIBLZD ETHLN BLK 8301H</t>
  </si>
  <si>
    <t>5/0 18 PLIBLZD ETHLN BLK 8304H</t>
  </si>
  <si>
    <t>6/0 18 PLIBLZD ETHLN BLK 8305H</t>
  </si>
  <si>
    <t>6/0 18 PLIBLZD ETHLN BLK 8307H</t>
  </si>
  <si>
    <t>4/0 18 PLIBLZD ETHLN BLK 830H</t>
  </si>
  <si>
    <t>4/0 18 PLIBLZD ETHLN BLK 8318H</t>
  </si>
  <si>
    <t>5/0 18 PLIBLZD ETHLN BLK 8321H</t>
  </si>
  <si>
    <t>5/0 18 PLIBLZD ETHLN BLK 8325H</t>
  </si>
  <si>
    <t>6/0 18 PLIBLZD ETHLN BLK 832H</t>
  </si>
  <si>
    <t>6/0 18 PLIBLZD ETHLN BLK 833H</t>
  </si>
  <si>
    <t>4/0 18 SILK BLK BR PC-5 8356H</t>
  </si>
  <si>
    <t>4/0 18 SILK BLK BR PC-5 8357H</t>
  </si>
  <si>
    <t>3/0 18 PLIBLZD ETHLN BLK 837H</t>
  </si>
  <si>
    <t>3/0 18 PLIBLZD ETHLN BLK 838H</t>
  </si>
  <si>
    <t>4/0 18 PLIBLZD ETHLN BLK 839H</t>
  </si>
  <si>
    <t>4/0 18 PLIBLZD ETHLN BLK 8410H</t>
  </si>
  <si>
    <t>5/0 18 PLIBLZD ETHLN BLK 8411H</t>
  </si>
  <si>
    <t>5/0 18 PLIBLZD ETHLN BLK 8412H</t>
  </si>
  <si>
    <t>3/0 18 CHROMIC GUT PS-4C 8417H</t>
  </si>
  <si>
    <t>3/0 18 CHROMIC GUT PS-4C 8418H</t>
  </si>
  <si>
    <t>4/0 18 CHROMIC GUT PS-4C 8422H</t>
  </si>
  <si>
    <t>4/0 18 CHROMIC GUT PS-4C 8423H</t>
  </si>
  <si>
    <t>8/0 5 PROL BL MONO BV130- 8424</t>
  </si>
  <si>
    <t>8/0 5 PROL BL MONO BV130- 8425</t>
  </si>
  <si>
    <t>10/0 5 PROL BL MONO BV75- 842H</t>
  </si>
  <si>
    <t>10/0 5 PROL BL MONO BV75- 8433</t>
  </si>
  <si>
    <t>9/0 5 PROL BL MONO BV100- 8434</t>
  </si>
  <si>
    <t>9/0 5 PROL BL MONO BV100- 8435</t>
  </si>
  <si>
    <t>10/0 5 PROL BL MONO BV100 843H</t>
  </si>
  <si>
    <t>10/0 5 PROL BL MONO BV100 8444</t>
  </si>
  <si>
    <t>10/0 2 PROL BL MONO BV100 844H</t>
  </si>
  <si>
    <t>10/0 2 PROL BL MONO BV100 8454</t>
  </si>
  <si>
    <t>9/0 10 ETHLN BLK MONO BV1 8455</t>
  </si>
  <si>
    <t>9/0 10 ETHLN BLK MONO BV1 846H</t>
  </si>
  <si>
    <t>8/0 5 ETHLN BLK MONO BV13 8519</t>
  </si>
  <si>
    <t>8/0 5 ETHLN BLK MONO BV13 8521</t>
  </si>
  <si>
    <t>9/0 5 ETHLN BLK MONO BV13 8522</t>
  </si>
  <si>
    <t>9/0 5 ETHLN BLK MONO BV13 8523</t>
  </si>
  <si>
    <t>10/0 5 ETHLN BLK MONO BV1 8526</t>
  </si>
  <si>
    <t>10/0 5 ETHLN BLK MONO BV1 852H</t>
  </si>
  <si>
    <t>9/0 5 ETHLN BLK MONO BV13 8533</t>
  </si>
  <si>
    <t>9/0 5 ETHLN BLK MONO BV13 8534</t>
  </si>
  <si>
    <t>8/0 5 ETHLN BLK MONO BV13 853H</t>
  </si>
  <si>
    <t>8/0 5 ETHLN BLK MONO BV13 8554</t>
  </si>
  <si>
    <t>9/0 5 ETHLN BLK MONO BV13 8555</t>
  </si>
  <si>
    <t>9/0 5 ETHLN BLK MONO BV13 8556</t>
  </si>
  <si>
    <t>10/0 5 ETHLN BLK MONO BV1 8557</t>
  </si>
  <si>
    <t>10/0 5 ETHLN BLK MONO BV1 8558</t>
  </si>
  <si>
    <t>8/0 5 ETHLN BLK MONO BV13 8559</t>
  </si>
  <si>
    <t>8/0 5 ETHLN BLK MONO BV13 8571</t>
  </si>
  <si>
    <t>NYL BLK MONO 5 8580H</t>
  </si>
  <si>
    <t>NYL BLK MONO 5 8581H</t>
  </si>
  <si>
    <t>NYL BLK MONO 5 8592G</t>
  </si>
  <si>
    <t>NYL BLK MONO 5 8603G</t>
  </si>
  <si>
    <t>NYL BLK MONO 5 8604G</t>
  </si>
  <si>
    <t>NYL BLK MONO 5 8605G</t>
  </si>
  <si>
    <t>NYL BLK MONO 5 8606G</t>
  </si>
  <si>
    <t>NYL BLK MONO 5 8610H</t>
  </si>
  <si>
    <t>NYL BLK MONO 5 8617G</t>
  </si>
  <si>
    <t>NYL BLK MONO 5 8618G</t>
  </si>
  <si>
    <t>NYL BLK MONO 5 8619G</t>
  </si>
  <si>
    <t>NYL BLK MONO 5 8621H</t>
  </si>
  <si>
    <t>NYL BLK MONO 5 8622H</t>
  </si>
  <si>
    <t>NYL BLK MONO 5 8623H</t>
  </si>
  <si>
    <t>NYL BLK MONO 6 8629H</t>
  </si>
  <si>
    <t>NYL BLK MONO 6 862H</t>
  </si>
  <si>
    <t>NYL BLK MONO 5 8630G</t>
  </si>
  <si>
    <t>NYL BLK MONO 5 8631G</t>
  </si>
  <si>
    <t>NYL BLK MONO 5 8632G</t>
  </si>
  <si>
    <t>NYL BLK MONO 5 8634G</t>
  </si>
  <si>
    <t>8/0 5 ETHLN BLK MONO V130 8635</t>
  </si>
  <si>
    <t>8/0 5 ETHLN BLK MONO V130 8636</t>
  </si>
  <si>
    <t>9/0 5 ETHLN BLK MONO V130 863H</t>
  </si>
  <si>
    <t>9/0 5 ETHLN BLK MONO V130 8648</t>
  </si>
  <si>
    <t>PRONOVA*BL MONO POLY SUTR 8649</t>
  </si>
  <si>
    <t>PRONOVA*BL MONO POLY SUTR 864H</t>
  </si>
  <si>
    <t>PRONOVA*BL MONO POLY SUTR 8655</t>
  </si>
  <si>
    <t>PRONOVA*BL MONO POLY SUTR 8656</t>
  </si>
  <si>
    <t>PRONOVA* BL MONO POLY 865H</t>
  </si>
  <si>
    <t>PRONOVA* BL MONO POLY 8661G</t>
  </si>
  <si>
    <t>PRONOVA*BL MONO POLY SUTR 8663</t>
  </si>
  <si>
    <t>PRONOVA*BL MONO POLY SUTR 8665</t>
  </si>
  <si>
    <t>PRONOVA* BLUE MONO 8675H</t>
  </si>
  <si>
    <t>PRONOVA* BLUE MONO 8680G</t>
  </si>
  <si>
    <t>PRONOVA* BLUE MONO 8681G</t>
  </si>
  <si>
    <t>PRONOVA* BLUE MONO 8682G</t>
  </si>
  <si>
    <t>PRONOVA* BLUE MONO 8682H</t>
  </si>
  <si>
    <t>PRONOVA* BLUE MONO 8683G</t>
  </si>
  <si>
    <t>PRONOVA* BLUE MONO 8684G</t>
  </si>
  <si>
    <t>PRONOVA* BLUE MONO 8685H</t>
  </si>
  <si>
    <t>PRONOVA*BL MONO POLY SUTR 8686</t>
  </si>
  <si>
    <t>PRONOVA*BL MONO POLY SUTR 8687</t>
  </si>
  <si>
    <t>PRONOVA*BL MONO POLY SUTR 8689</t>
  </si>
  <si>
    <t>PRONOVA*BL MONO POLY SUTR 8690</t>
  </si>
  <si>
    <t>PRONOVA* BLUE MONO 8695G</t>
  </si>
  <si>
    <t>PRONOVA* BLUE MONO 8696G</t>
  </si>
  <si>
    <t>PRONOVA* BLUE MONO 8697G</t>
  </si>
  <si>
    <t>PRONOVA* BLUE MONO 8698G</t>
  </si>
  <si>
    <t>PRONOVA*BL MONO POLY SUTR 8699</t>
  </si>
  <si>
    <t>PRONOVA*BL MONO POLY SUTR 8701</t>
  </si>
  <si>
    <t>PRONOVA* BLUE MONO 8702H</t>
  </si>
  <si>
    <t>PRONOVA* BLUE MONO 8703H</t>
  </si>
  <si>
    <t>PRONOVA*BL MONO POLY SUTR 8704</t>
  </si>
  <si>
    <t>PRONOVA*BL MONO POLY SUTR 8705</t>
  </si>
  <si>
    <t>PRONOVA*BL MONO POLY SUTR 8706</t>
  </si>
  <si>
    <t>PRONOVA*BL MONO POLY SUTR 8707</t>
  </si>
  <si>
    <t>PRONOVA*BL MONO POLY SUTR 8708</t>
  </si>
  <si>
    <t>PRONOVA*BL MONO POLY SUTR 8709</t>
  </si>
  <si>
    <t>PRONOVA*BL MONO POLY SUTR 8710</t>
  </si>
  <si>
    <t>PRONOVA*BL MONO POLY SUTR 8711</t>
  </si>
  <si>
    <t>PRONOVA*BL MONO POLY SUTR 8713</t>
  </si>
  <si>
    <t>PRONOVA*BL MONO POLY SUTR 8714</t>
  </si>
  <si>
    <t>PRONOVA*BL MONO POLY SUTR 8717</t>
  </si>
  <si>
    <t>PRONOVA*BL MONO POLY SUTR 8718</t>
  </si>
  <si>
    <t>PRONOVA*BL MONO POLY SUTR 8719</t>
  </si>
  <si>
    <t>PRONOVA*BL MONO POLY SUTR 8720</t>
  </si>
  <si>
    <t>PRONOVA*BL MONO POLY SUTR 8721</t>
  </si>
  <si>
    <t>PRONOVA*BL MONO POLY SUTR 8725</t>
  </si>
  <si>
    <t>PRONOVA*BL MONO POLY SUTR 8726</t>
  </si>
  <si>
    <t>PRONOVA*BL MONO POLY SUTR 872H</t>
  </si>
  <si>
    <t>PRONOVA*BL MONO POLY STR 8730H</t>
  </si>
  <si>
    <t>PRONOVA*BL MONO POLY STR 8732H</t>
  </si>
  <si>
    <t>PRONOVA*BL MONO POLY SUTR 8734</t>
  </si>
  <si>
    <t>PRONOVA*BL MONO POLY SUTR 8735</t>
  </si>
  <si>
    <t>PRONOVA*BL MONO POLY SUTR 873H</t>
  </si>
  <si>
    <t>PRONOVA*BL MONO POLY SUTR 8740</t>
  </si>
  <si>
    <t>PRONOVA*BL MONO POLY SUTR 8741</t>
  </si>
  <si>
    <t>PRONOVA*BL MONO POLY SUTR 8746</t>
  </si>
  <si>
    <t>PRONOVA* BLUE MONO 8747H</t>
  </si>
  <si>
    <t>PRONOVA* BLUE MONO 8752H</t>
  </si>
  <si>
    <t>PRONOVA*BL MONO POLY SUTR 8753</t>
  </si>
  <si>
    <t>PRONOVA*BL MONO POLY SUTR 8754</t>
  </si>
  <si>
    <t>1 3-27 CHROMIC GUT CT 8755H</t>
  </si>
  <si>
    <t>1 3-27 CHROMIC GUT CT 8756H</t>
  </si>
  <si>
    <t>PRONOVA*BL MONO POLY SUTR 8757</t>
  </si>
  <si>
    <t>PRONOVA*BL MONO POLY SUTR 8762</t>
  </si>
  <si>
    <t>PRONOVA*BL MONO POLY SUTR 8766</t>
  </si>
  <si>
    <t>PRONOVA*BL MONO POLY SUTR 8767</t>
  </si>
  <si>
    <t>2/0 3-27 CHROMIC GUT CT-1 8776</t>
  </si>
  <si>
    <t>2/0 3-27 CHROMIC GUT CT-1 8800</t>
  </si>
  <si>
    <t>0 3-27 CHROMIC GUT CT-1 8805H</t>
  </si>
  <si>
    <t>0 3-27 CHROMIC GUT CT-1 8806H</t>
  </si>
  <si>
    <t>1 3-27 CHROMIC GUT CT-1 8807H</t>
  </si>
  <si>
    <t>1 3-27 CHROMIC GUT CT-1 8824G</t>
  </si>
  <si>
    <t>PRONOVA* BLUE MONO 8825G</t>
  </si>
  <si>
    <t>PRONOVA* BLUE MONO 882H</t>
  </si>
  <si>
    <t>0 3-24 PROL BL MONO XLH 8831H</t>
  </si>
  <si>
    <t>0 3-24 PROL BL MONO XLH 8832H</t>
  </si>
  <si>
    <t>2 3-20 PROL BL MONO LR 8833H</t>
  </si>
  <si>
    <t>2 3-20 PROL BL MONO LR 8834H</t>
  </si>
  <si>
    <t>PRONOVA* BLUE MONO 883H</t>
  </si>
  <si>
    <t>PRONOVA* BLUE MONO 8842H</t>
  </si>
  <si>
    <t>PRONOVA* BLUE MONO 8843H</t>
  </si>
  <si>
    <t>PRONOVA* BLUE MONO 8845G</t>
  </si>
  <si>
    <t>2/0 20 SILK BLK BR CT3/FN 884H</t>
  </si>
  <si>
    <t>2/0 20 SILK BLK BR CT3/FN 8853</t>
  </si>
  <si>
    <t>2/0 30 SILK BLK BR CT-1 885H</t>
  </si>
  <si>
    <t>2/0 30 SILK BLK BR CT-1 8860H</t>
  </si>
  <si>
    <t>0 30 SILK BLK BR CT-1 8861H</t>
  </si>
  <si>
    <t>0 30 SILK BLK BR CT-1 8862H</t>
  </si>
  <si>
    <t>2/0 30 SILK BLK BR CP-1 886H</t>
  </si>
  <si>
    <t>2/0 30 SILK BLK BR CP-1 8870H</t>
  </si>
  <si>
    <t>0 27 CHROMIC GUT XLH 8871H</t>
  </si>
  <si>
    <t>0 27 CHROMIC GUT XLH 8872H</t>
  </si>
  <si>
    <t>3/16 X 2.5 887H</t>
  </si>
  <si>
    <t>3/16 X 2.5 8881H</t>
  </si>
  <si>
    <t>2 20 ETHLN BLK MONO LR 8889H</t>
  </si>
  <si>
    <t>2 20 ETHLN BLK MONO LR 8890H</t>
  </si>
  <si>
    <t>2 30 STEEL MONO LR 8925H</t>
  </si>
  <si>
    <t>2 30 STEEL MONO LR 8926H</t>
  </si>
  <si>
    <t>2 20 ETHLN BLK MONO LR 892H</t>
  </si>
  <si>
    <t>2 20 ETHLN BLK MONO LR 8934H</t>
  </si>
  <si>
    <t>0 27 CHROMIC GUT BP-1 8935H</t>
  </si>
  <si>
    <t>0 27 CHROMIC GUT BP-1 8936H</t>
  </si>
  <si>
    <t>2 30 SILK BLK BR LR 8937H</t>
  </si>
  <si>
    <t>2 30 SILK BLK BR LR 893H</t>
  </si>
  <si>
    <t>5 30 SILK BLK BR LR 8975H</t>
  </si>
  <si>
    <t>5 30 SILK BLK BR LR 8976H</t>
  </si>
  <si>
    <t>2/0 30 SILK BLK BR PSL 8977H</t>
  </si>
  <si>
    <t>2/0 30 SILK BLK BR PSL 8978H</t>
  </si>
  <si>
    <t>1 30 ETHLN BLK MONO LR 898H</t>
  </si>
  <si>
    <t>1 30 ETHLN BLK MONO LR 9000G</t>
  </si>
  <si>
    <t>1 27 CHROMIC GUT BP 9001G</t>
  </si>
  <si>
    <t>1 27 CHROMIC GUT BP 9002G</t>
  </si>
  <si>
    <t>2 30 ETHLN BLK MONO LR 9003G</t>
  </si>
  <si>
    <t>2 30 ETHLN BLK MONO LR 9005G</t>
  </si>
  <si>
    <t>1 27 CHROMIC GUT MO-2 9006G</t>
  </si>
  <si>
    <t>1 27 CHROMIC GUT MO-2 9007G</t>
  </si>
  <si>
    <t>0 27 CHROMIC GUT MO-4 9010G</t>
  </si>
  <si>
    <t>0 27 CHROMIC GUT MO-4 9011G</t>
  </si>
  <si>
    <t>1 27 CHROMIC GUT MO-4 9013G</t>
  </si>
  <si>
    <t>1 27 CHROMIC GUT MO-4 9016G</t>
  </si>
  <si>
    <t>3/0 20 STEEL MONO CP-1 9030G</t>
  </si>
  <si>
    <t>3/0 20 STEEL MONO CP-1 9031G</t>
  </si>
  <si>
    <t>1 27 CHROMIC GUT MO-5 9032G</t>
  </si>
  <si>
    <t>1 27 CHROMIC GUT MO-5 9033G</t>
  </si>
  <si>
    <t>3/0 27 PL GUT XLH 9036G</t>
  </si>
  <si>
    <t>3/0 27 PL GUT XLH 9038G</t>
  </si>
  <si>
    <t>2/0 27 PL GUT XLH 903H</t>
  </si>
  <si>
    <t>2/0 27 PL GUT XLH 904H</t>
  </si>
  <si>
    <t>0 30 NURLN BLK BR CT-1 905H</t>
  </si>
  <si>
    <t>0 30 NURLN BLK BR CT-1 9060G</t>
  </si>
  <si>
    <t>1 30 NURLN BLK BR CT-1 9061G</t>
  </si>
  <si>
    <t>1 30 NURLN BLK BR CT-1 9065G</t>
  </si>
  <si>
    <t>3/0 3-18 PL GUT CT-1 9090G</t>
  </si>
  <si>
    <t>3/0 3-18 PL GUT CT-1 9091G</t>
  </si>
  <si>
    <t>1 3-27 CHROMIC GUT MO-4 912H</t>
  </si>
  <si>
    <t>1 3-27 CHROMIC GUT MO-4 913H</t>
  </si>
  <si>
    <t>4/0 30 ETHLN BLK MONO PSL 914H</t>
  </si>
  <si>
    <t>4/0 30 ETHLN BLK MONO PSL 915H</t>
  </si>
  <si>
    <t>5/0 18 NURLN BLK BR PC-1 922H</t>
  </si>
  <si>
    <t>5/0 18 NURLN BLK BR PC-1 923H</t>
  </si>
  <si>
    <t>6/0 18 NURLN BLK BR PC-1 924H</t>
  </si>
  <si>
    <t>6/0 18 NURLN BLK BR PC-1 925H</t>
  </si>
  <si>
    <t>0 18 SILK BLK BR PSL 942H</t>
  </si>
  <si>
    <t>0 18 SILK BLK BR PSL 943H</t>
  </si>
  <si>
    <t>2/0 18 SILK BLK BR PS-2 944H</t>
  </si>
  <si>
    <t>2/0 18 SILK BLK BR PS-2 945H</t>
  </si>
  <si>
    <t>2/0 18 ETHLN BLK MONO 9556H</t>
  </si>
  <si>
    <t>2/0 18 ETHLN BLK MONO 9702H</t>
  </si>
  <si>
    <t>0 30 SILK BLK BR PSL 9706H</t>
  </si>
  <si>
    <t>0 30 SILK BLK BR PSL 975H</t>
  </si>
  <si>
    <t>2/0 30 SILK BLK BR PSLX 977H</t>
  </si>
  <si>
    <t>2/0 30 SILK BLK BR PSLX 982H</t>
  </si>
  <si>
    <t>2/0 18 ETHLN BLK MONO PS- 983H</t>
  </si>
  <si>
    <t>2/0 18 ETHLN BLK MONO PS- 990H</t>
  </si>
  <si>
    <t>0 27 CHROMIC GUT PS 991H</t>
  </si>
  <si>
    <t>0 27 CHROMIC GUT PS A182H</t>
  </si>
  <si>
    <t>4/0 18 STEEL MONO FS-2 A183H</t>
  </si>
  <si>
    <t>4/0 18 STEEL MONO FS-2 A184H</t>
  </si>
  <si>
    <t>3/0 18 STEEL MONO FS-2 A185H</t>
  </si>
  <si>
    <t>3/0 18 STEEL MONO FS-2 A186H</t>
  </si>
  <si>
    <t>3/0 18 PL GUT X-1 A187H</t>
  </si>
  <si>
    <t>3/0 18 PL GUT X-1 A302H</t>
  </si>
  <si>
    <t>2/0 18 STEEL MONO FSLX A303H</t>
  </si>
  <si>
    <t>2/0 18 STEEL MONO FSLX A304H</t>
  </si>
  <si>
    <t>4/0 30 SILK BLK BR A305H</t>
  </si>
  <si>
    <t>4/0 30 SILK BLK BR A306H</t>
  </si>
  <si>
    <t>3/0 30 SILK BLK BR KS A307H</t>
  </si>
  <si>
    <t>3/0 30 SILK BLK BR KS B409T</t>
  </si>
  <si>
    <t>2/0 30 SILK BLK BR KS B499T</t>
  </si>
  <si>
    <t>2/0 30 SILK BLK BR KS C003D</t>
  </si>
  <si>
    <t>0 30 SILK BLK BR KS C004D</t>
  </si>
  <si>
    <t>0 30 SILK BLK BR KS C0125</t>
  </si>
  <si>
    <t>4/0 30 ETHLN BLK MONO C012D</t>
  </si>
  <si>
    <t>4/0 30 ETHLN BLK MONO C0135</t>
  </si>
  <si>
    <t>3/0 30 ETHLN BLK MONO KS C013D</t>
  </si>
  <si>
    <t>3/0 30 ETHLN BLK MONO KS C0145</t>
  </si>
  <si>
    <t>2/0 30 ETHLN BLK MONO KS C014D</t>
  </si>
  <si>
    <t>2/0 30 ETHLN BLK MONO KS C016D</t>
  </si>
  <si>
    <t>4/0 18 SILK BLK BR FS-1 C017D</t>
  </si>
  <si>
    <t>4/0 18 SILK BLK BR FS-1 C018D</t>
  </si>
  <si>
    <t>3/0 18 STEEL MONO FS-1 C021D</t>
  </si>
  <si>
    <t>3/0 18 STEEL MONO FS-1 C022D</t>
  </si>
  <si>
    <t>3/0 18 SILK BLK BR X-1 C026D</t>
  </si>
  <si>
    <t>3/0 18 SILK BLK BR X-1 C027D</t>
  </si>
  <si>
    <t>5/0 27 CHROMIC GUT BL FS- C041</t>
  </si>
  <si>
    <t>5/0 27 CHROMIC GUT BL FS- C045</t>
  </si>
  <si>
    <t>4/0 27 CHROMIC GUT FS-2 C053D</t>
  </si>
  <si>
    <t>4/0 27 CHROMIC GUT FS-2 C054D</t>
  </si>
  <si>
    <t>3/0 27 CHROMIC GUT FS-2 C084D</t>
  </si>
  <si>
    <t>3/0 27 CHROMIC GUT FS-2 C502D</t>
  </si>
  <si>
    <t>2/0 27 CHROMIC GUT FS-1 C503D</t>
  </si>
  <si>
    <t>2/0 27 CHROMIC GUT FS-1 C512D</t>
  </si>
  <si>
    <t>6/0 18 SILK BLK BR P-1 C513D</t>
  </si>
  <si>
    <t>6/0 18 SILK BLK BR P-1 C514D</t>
  </si>
  <si>
    <t>5/0 18 SILK BLK BR P-3 C520D</t>
  </si>
  <si>
    <t>5/0 18 SILK BLK BR P-3 C521D</t>
  </si>
  <si>
    <t>4/0 18 SILK BLK BR C522D</t>
  </si>
  <si>
    <t>4/0 18 SILK BLK BR C526D</t>
  </si>
  <si>
    <t>3/0 18 PLIBLZD ETHLN BLK C527D</t>
  </si>
  <si>
    <t>3/0 18 PLIBLZD ETHLN BLK C541D</t>
  </si>
  <si>
    <t>3/0 27 CHROMIC GUT KS C542D</t>
  </si>
  <si>
    <t>3/0 27 CHROMIC GUT KS C545D</t>
  </si>
  <si>
    <t>5/0 18 PL GUT P-2 C546D</t>
  </si>
  <si>
    <t>5/0 18 PL GUT P-2 C550D</t>
  </si>
  <si>
    <t>5/0 18 PLIBLZD ETHLN BLK C551D</t>
  </si>
  <si>
    <t>5/0 18 PLIBLZD ETHLN BLK C553D</t>
  </si>
  <si>
    <t>5/0 18 PLIBLZD ETHLN BLK C554D</t>
  </si>
  <si>
    <t>5/0 18 PLIBLZD ETHLN BLK C563D</t>
  </si>
  <si>
    <t>4/0 18 PLIBLZD ETHLN BLK C566D</t>
  </si>
  <si>
    <t>4/0 18 PLIBLZD ETHLN BLK C570D</t>
  </si>
  <si>
    <t>4/0 18 PLIBLZD ETHLN BLK C572D</t>
  </si>
  <si>
    <t>4/0 18 PLIBLZD ETHLN BLK C575D</t>
  </si>
  <si>
    <t>3/0 18 PLIBLZD ETHLN BLK C576D</t>
  </si>
  <si>
    <t>3/0 18 PLIBLZD ETHLN BLK C584D</t>
  </si>
  <si>
    <t>3/0 18 PLIBLZD ETHLN BLK C595T</t>
  </si>
  <si>
    <t>3/0 18 PLIBLZD ETHLN BLK C811G</t>
  </si>
  <si>
    <t>2/0 18 ETHLN BLK MONO FS C821G</t>
  </si>
  <si>
    <t>2/0 18 ETHLN BLK MONO FS C822G</t>
  </si>
  <si>
    <t>2/0 18 ETHLN BLK MONO FS C826G</t>
  </si>
  <si>
    <t>2/0 18 ETHLN BLK MONO FS C827G</t>
  </si>
  <si>
    <t>3/0 27 PL GUT KS C841G</t>
  </si>
  <si>
    <t>3/0 27 PL GUT KS C845G</t>
  </si>
  <si>
    <t>6/0 18 PLIBLZD ETHLN BLK CART</t>
  </si>
  <si>
    <t>6/0 18 PLIBLZD ETHLN BLK CC01G</t>
  </si>
  <si>
    <t>5/0 18 PLIBLZD ETHLN BLK CC02G</t>
  </si>
  <si>
    <t>5/0 18 PLIBLZD ETHLN BLK CC03G</t>
  </si>
  <si>
    <t>3/0 30 ETHLN BLK MONO FS- CC04</t>
  </si>
  <si>
    <t>3/0 30 ETHLN BLK MONO FS- CC38</t>
  </si>
  <si>
    <t>2/0 18 SILK BLK BR PSL CC40G</t>
  </si>
  <si>
    <t>2/0 18 SILK BLK BR PSL CC41G</t>
  </si>
  <si>
    <t>3/0 30 SILK BLK BR FSL CP53G</t>
  </si>
  <si>
    <t>3/0 30 SILK BLK BR FSL CX12D</t>
  </si>
  <si>
    <t>2/0 18 SILK BLK BR FSL CX13D</t>
  </si>
  <si>
    <t>2/0 18 SILK BLK BR FSL CX14D</t>
  </si>
  <si>
    <t>0 18 SILK BLK BR FSL CX21D</t>
  </si>
  <si>
    <t>0 18 SILK BLK BR FSL CX22D</t>
  </si>
  <si>
    <t>2/0 30 SILK BLK BR FSL CX26D</t>
  </si>
  <si>
    <t>2/0 30 SILK BLK BR FSL CX27D</t>
  </si>
  <si>
    <t>0 30 SILK BLK BR FSL CX30D</t>
  </si>
  <si>
    <t>0 30 SILK BLK BR FSL CX31D</t>
  </si>
  <si>
    <t>5/0 18 SILK BLK BR FS-2 CX41D</t>
  </si>
  <si>
    <t>5/0 18 SILK BLK BR FS-2 CX42D</t>
  </si>
  <si>
    <t>4/0 18 SILK BLK BR FS-2 CX45D</t>
  </si>
  <si>
    <t>4/0 18 SILK BLK BR FS-2 CX46D</t>
  </si>
  <si>
    <t>3/0 18 SILK BLK BR FS-1 CX74T</t>
  </si>
  <si>
    <t>3/0 18 SILK BLK BR FS-1 CX75T</t>
  </si>
  <si>
    <t>2/0 18 SILK BLK BR FS DS18</t>
  </si>
  <si>
    <t>2/0 18 SILK BLK BR FS DS20</t>
  </si>
  <si>
    <t>5/0 18 PL GUT P-3 DS22</t>
  </si>
  <si>
    <t>5/0 18 PL GUT P-3 DS23</t>
  </si>
  <si>
    <t>5/0 18 CHROMIC GUT BL P-3 DS24</t>
  </si>
  <si>
    <t>5/0 18 CHROMIC GUT BL P-3 DS25</t>
  </si>
  <si>
    <t>6/0 18 ETHLN CLR MONO P-1 DS26</t>
  </si>
  <si>
    <t>6/0 18 ETHLN CLR MONO P-1 DS28</t>
  </si>
  <si>
    <t>5/0 18 ETHLN CLR MONO P-3 DS30</t>
  </si>
  <si>
    <t>5/0 18 ETHLN CLR MONO P-3 DS32</t>
  </si>
  <si>
    <t>4/0 18 ETHLN CLR MONO P-3 DS35</t>
  </si>
  <si>
    <t>4/0 18 ETHLN CLR MONO P-3 DW31</t>
  </si>
  <si>
    <t>6/0 18 PLIBLZD ETHLN BLK EH758</t>
  </si>
  <si>
    <t>6/0 18 PLIBLZD ETHLN BLK EP861</t>
  </si>
  <si>
    <t>6/0 18 PLIBLZD ETHLN BLK EP870</t>
  </si>
  <si>
    <t>5/0 18 PLIBLZD ETHLN BLK EP870</t>
  </si>
  <si>
    <t>5/0 18 PLIBLZD ETHLN BLK EP871</t>
  </si>
  <si>
    <t>4/0 18 PLIBLZD ETHLN BLK EP871</t>
  </si>
  <si>
    <t>4/0 18 PLIBLZD ETHLN BLK EP872</t>
  </si>
  <si>
    <t>4/0 18 PLIBLZD ETHLN BLK EP873</t>
  </si>
  <si>
    <t>6/0 18 SILK BLK BR C-1 EP8732H</t>
  </si>
  <si>
    <t>6/0 18 SILK BLK BR C-1 EP8734H</t>
  </si>
  <si>
    <t>6/0 18 SILK BLK BR C-1 EP8735H</t>
  </si>
  <si>
    <t>6/0 18 SILK BLK BR C-1 EP8740H</t>
  </si>
  <si>
    <t>4/0 18 SILK BLK BR C-1 EP8741H</t>
  </si>
  <si>
    <t>4/0 18 SILK BLK BR C-1 EP8746H</t>
  </si>
  <si>
    <t>6/0 18 SILK BLK BR C-2 EP8747H</t>
  </si>
  <si>
    <t>6/0 18 SILK BLK BR C-2 EP8752H</t>
  </si>
  <si>
    <t>5/0 12 CHROMIC GUT BL C-3 EP87</t>
  </si>
  <si>
    <t>4/0 18 CHROMIC GUT J-1 EP8755H</t>
  </si>
  <si>
    <t>4/0 18 CHROMIC GUT J-1 EP8766H</t>
  </si>
  <si>
    <t>4/0 18 SILK BLK BR J-1 EP8776H</t>
  </si>
  <si>
    <t>4/0 18 SILK BLK BR J-1 EP8800H</t>
  </si>
  <si>
    <t>4/0 12 SILK BLK BR C-3 EP8805H</t>
  </si>
  <si>
    <t>4/0 12 SILK BLK BR C-3 EP8806H</t>
  </si>
  <si>
    <t>4/0 18 SILK BLK BR C-3 EP8807H</t>
  </si>
  <si>
    <t>4/0 18 SILK BLK BR C-3 EP8889H</t>
  </si>
  <si>
    <t>2/0 18 SILK BLK BR X-1 EPH7477</t>
  </si>
  <si>
    <t>2/0 18 SILK BLK BR X-1 EPH8710</t>
  </si>
  <si>
    <t>5/0 18 MERS GR BR RD-1 EPH8716</t>
  </si>
  <si>
    <t>5/0 18 MERS GR BR RD-1 EPH8720</t>
  </si>
  <si>
    <t>4/0 12 PL GUT M-1 EPH8725H</t>
  </si>
  <si>
    <t>4/0 12 PL GUT M-1 EPH8890H</t>
  </si>
  <si>
    <t>4/0 12 CHROMIC GUT M-1 EPH9702</t>
  </si>
  <si>
    <t>4/0 12 CHROMIC GUT M-1 EPM8205</t>
  </si>
  <si>
    <t>5/0 18 MERS WH BR RD-1 EPM8206</t>
  </si>
  <si>
    <t>5/0 18 MERS WH BR RD-1 EPM8610</t>
  </si>
  <si>
    <t>5/0 18 PLIBLZD ETHLN BLK EPM87</t>
  </si>
  <si>
    <t>4/0 12 CHROMIC GUT M-2 EPM8703</t>
  </si>
  <si>
    <t>4/0 12 CHROMIC GUT M-2 EPM8704</t>
  </si>
  <si>
    <t>4/0 12 CHROMIC GUT M-2 EPM8706</t>
  </si>
  <si>
    <t>6/0 18 SILK BLK BR G-7 EPM8707</t>
  </si>
  <si>
    <t>6/0 18 SILK BLK BR G-7 EPM8709</t>
  </si>
  <si>
    <t>7/0 18 SILK BLK BR G-7 EPM8711</t>
  </si>
  <si>
    <t>7/0 18 SILK BLK BR G-7 EPM8718</t>
  </si>
  <si>
    <t>7/0 18 SILK BLK BR G-6 EPM8719</t>
  </si>
  <si>
    <t>7/0 18 SILK BLK BR G-6 EPM8726</t>
  </si>
  <si>
    <t>6/0 18 SILK BLK BR G-6 EPM8727</t>
  </si>
  <si>
    <t>6/0 18 SILK BLK BR G-6 EPM8730</t>
  </si>
  <si>
    <t>NYL BLK MONO 12 EPM8731</t>
  </si>
  <si>
    <t>NYL BLK MONO 12 EPM8732</t>
  </si>
  <si>
    <t>6/0 18 PL GUT G-1 EPM8733</t>
  </si>
  <si>
    <t>6/0 18 PL GUT G-1 EPM8734</t>
  </si>
  <si>
    <t>NYL BLK MONO 8 EPM8735</t>
  </si>
  <si>
    <t>NYL BLK MONO 8 EPM8736</t>
  </si>
  <si>
    <t>9/0 12 ETHLN BLK MONO TG1 EPM8</t>
  </si>
  <si>
    <t>10/0 12 ETHLN BLK MONO TG EPM8</t>
  </si>
  <si>
    <t>6/0 12 SILK BLK BR CC-1 EPM874</t>
  </si>
  <si>
    <t>5-0 18in GUT PLAIN UND MONO DA</t>
  </si>
  <si>
    <t>5/0 18 ETHLN BLK MONO S-2 EPM8</t>
  </si>
  <si>
    <t>7/0 18 SILK BLK BR TG140- EPM8</t>
  </si>
  <si>
    <t>4/0 12 SILK BLK BR C-1 EPM8754</t>
  </si>
  <si>
    <t>4/0 12 SILK BLK BR C-1 EPM8755</t>
  </si>
  <si>
    <t>4-0 18in GUT PLAIN UND MONO DA</t>
  </si>
  <si>
    <t>5/0 12 PROL BL MONO SM-1 EPM87</t>
  </si>
  <si>
    <t>6/0 18 PL GUT G-1 EPM8775</t>
  </si>
  <si>
    <t>6/0 18 PL GUT G-1 EPM8776</t>
  </si>
  <si>
    <t xml:space="preserve">10-0 12in ETHILON BLK MONO DA </t>
  </si>
  <si>
    <t>10/0 6 ETHLN BLK MONO TG1 EPM8</t>
  </si>
  <si>
    <t>6/0 18 PL GUT BL G-6 EPM8807</t>
  </si>
  <si>
    <t>6/0 18 PL GUT BL G-6 EPM8812SL</t>
  </si>
  <si>
    <t>9-0 12in ETHILON BLK MONO DA T</t>
  </si>
  <si>
    <t>10/0 12 PROL BL MONO CS16 G123</t>
  </si>
  <si>
    <t>10/0 12 PROL BL MONO CS16 G124</t>
  </si>
  <si>
    <t>10/0 12 PROL BL MONO CS-C G128</t>
  </si>
  <si>
    <t>10/0 12 PROL BL MONO CS-C G133</t>
  </si>
  <si>
    <t>6-0 18in SILK BLK BRD DA P-1,P</t>
  </si>
  <si>
    <t>4-0 18in SILK BLK BRD DA P-3,P</t>
  </si>
  <si>
    <t>10/0 8 PROL BL MONO CIF-4 G322</t>
  </si>
  <si>
    <t>10/0 8 PROL BL MONO CIF-4 G666</t>
  </si>
  <si>
    <t>4-0 18in SILK BLK BRD SA P-3 G</t>
  </si>
  <si>
    <t>6/0 18 CHROMIC GUT G-1 G696G</t>
  </si>
  <si>
    <t>6/0 18 CHROMIC GUT G-1 G697G</t>
  </si>
  <si>
    <t xml:space="preserve">5-0 18in GUT CHROMIC UND MONO </t>
  </si>
  <si>
    <t xml:space="preserve">4-0 18in GUT CHROMIC UND MONO </t>
  </si>
  <si>
    <t>6/0 18 CHROMIC GUT G-6 H820G</t>
  </si>
  <si>
    <t>6/0 18 CHROMIC GUT G-6 H821H</t>
  </si>
  <si>
    <t>6/0 18 CHROMIC GUT BL G-6 H822</t>
  </si>
  <si>
    <t>6/0 18 CHROMIC GUT BL G-6 H823</t>
  </si>
  <si>
    <t>6/0 18 CHROMIC GUT G-1 HS6822H</t>
  </si>
  <si>
    <t>6/0 18 CHROMIC GUT G-1 HS6855H</t>
  </si>
  <si>
    <t>4/0 18 CHROMIC GUT G-2 HS6856H</t>
  </si>
  <si>
    <t>4/0 18 CHROMIC GUT G-2 HS6857H</t>
  </si>
  <si>
    <t>3/0 27 CHROMIC GUT CT HS6861H</t>
  </si>
  <si>
    <t>3/0 27 CHROMIC GUT CT HS8556H</t>
  </si>
  <si>
    <t>2/0 27 CHROMIC GUT CT J103T</t>
  </si>
  <si>
    <t>2/0 27 CHROMIC GUT CT J104T</t>
  </si>
  <si>
    <t>0 27 CHROMIC GUT CT J105T</t>
  </si>
  <si>
    <t>0 27 CHROMIC GUT CT J106T</t>
  </si>
  <si>
    <t>1 27 CHROMIC GUT CT J109T</t>
  </si>
  <si>
    <t>1 27 CHROMIC GUT CT J110T</t>
  </si>
  <si>
    <t>1 27 CHROMIC GUT CP J111T</t>
  </si>
  <si>
    <t>1 27 CHROMIC GUT CP J112T</t>
  </si>
  <si>
    <t>3/0 27 CHROMIC GUT CT-1 J113T</t>
  </si>
  <si>
    <t>3/0 27 CHROMIC GUT CT-1 J195H</t>
  </si>
  <si>
    <t>2/0 27 CHROMIC GUT CT-1 J196H</t>
  </si>
  <si>
    <t>2/0 27 CHROMIC GUT CT-1 J204G</t>
  </si>
  <si>
    <t>0 27 CHROMIC GUT CT-1 J205G</t>
  </si>
  <si>
    <t>0 27 CHROMIC GUT CT-1 J206G</t>
  </si>
  <si>
    <t>1 27 CHROMIC GUT CT-1 J207G</t>
  </si>
  <si>
    <t>1 27 CHROMIC GUT CT-1 J208G</t>
  </si>
  <si>
    <t>2 27 CHROMIC GUT CT-1 J212H</t>
  </si>
  <si>
    <t>2 27 CHROMIC GUT CT-1 J213H</t>
  </si>
  <si>
    <t>2/0 27 CHROMIC GUT CP-1 J214H</t>
  </si>
  <si>
    <t>2/0 27 CHROMIC GUT CP-1 J215H</t>
  </si>
  <si>
    <t>0 27 CHROMIC GUT CP-1 J218H</t>
  </si>
  <si>
    <t>0 27 CHROMIC GUT CP-1 J219H</t>
  </si>
  <si>
    <t>1 30 PROL BL MONO XLH J232H</t>
  </si>
  <si>
    <t>1 30 PROL BL MONO XLH J258H</t>
  </si>
  <si>
    <t>4/0 24 PROL BL MONO TF J259H</t>
  </si>
  <si>
    <t>4/0 24 PROL BL MONO TF J260H</t>
  </si>
  <si>
    <t>5/0 24 PROL BL MONO TF J261H</t>
  </si>
  <si>
    <t>5/0 24 PROL BL MONO TF J266H</t>
  </si>
  <si>
    <t>7/0 24 PROL BL MONO RB-3 J267H</t>
  </si>
  <si>
    <t>7/0 24 PROL BL MONO RB-3 J268H</t>
  </si>
  <si>
    <t>1 60 ETHLN BLK MONO TP-1 J269H</t>
  </si>
  <si>
    <t>1 60 ETHLN BLK MONO TP-1 J270H</t>
  </si>
  <si>
    <t>2 60 ETHLN BLK MONO TP-1 J275H</t>
  </si>
  <si>
    <t>2 60 ETHLN BLK MONO TP-1 J280H</t>
  </si>
  <si>
    <t>7/0 18 PROL BL MONO BV-1 J281H</t>
  </si>
  <si>
    <t>7/0 18 PROL BL MONO BV-1 J283G</t>
  </si>
  <si>
    <t>7/0 24 PROL BL MONO BV-1 J284G</t>
  </si>
  <si>
    <t>7/0 24 PROL BL MONO BV-1 J285G</t>
  </si>
  <si>
    <t>6/0 24 PROL BL MONO BV-1 J286G</t>
  </si>
  <si>
    <t>6/0 24 PROL BL MONO BV-1 J287G</t>
  </si>
  <si>
    <t>30 PROL J303H</t>
  </si>
  <si>
    <t>30 PROL J304H</t>
  </si>
  <si>
    <t>1 30 ETHLN BLK MONO CTX J305H</t>
  </si>
  <si>
    <t>1 30 ETHLN BLK MONO CTX J306H</t>
  </si>
  <si>
    <t>6/0 18 PROL BL MONO C-1 J310H</t>
  </si>
  <si>
    <t>6/0 18 PROL BL MONO C-1 J311H</t>
  </si>
  <si>
    <t>5/0 36 PROL BL MONO C-1 J315H</t>
  </si>
  <si>
    <t>5/0 36 PROL BL MONO C-1 J316H</t>
  </si>
  <si>
    <t>5/0 24 PROL BL MONO C-1 J317H</t>
  </si>
  <si>
    <t>5/0 24 PROL BL MONO C-1 J322H</t>
  </si>
  <si>
    <t>3/0 27 CHROMIC GUT CP J323H</t>
  </si>
  <si>
    <t>3/0 27 CHROMIC GUT CP J327H</t>
  </si>
  <si>
    <t>2/0 27 CHROMIC GUT CP J328H</t>
  </si>
  <si>
    <t>2/0 27 CHROMIC GUT CP J329H</t>
  </si>
  <si>
    <t>5/0 36 PROL BL MONO RB-1 J332H</t>
  </si>
  <si>
    <t>5/0 36 PROL BL MONO RB-1 J333H</t>
  </si>
  <si>
    <t>4/0 36 PROL BL MONO RB-1 J334H</t>
  </si>
  <si>
    <t>4/0 36 PROL BL MONO RB-1 J335H</t>
  </si>
  <si>
    <t>2/0 27 CHROMIC GUT V-34 J337H</t>
  </si>
  <si>
    <t>2/0 27 CHROMIC GUT V-34 J338H</t>
  </si>
  <si>
    <t>0 27 CHROMIC GUT V-34 J339H</t>
  </si>
  <si>
    <t>0 27 CHROMIC GUT V-34 J340H</t>
  </si>
  <si>
    <t>1 27 CHROMIC GUT V-34 J341H</t>
  </si>
  <si>
    <t>1 27 CHROMIC GUT V-34 J344H</t>
  </si>
  <si>
    <t>3/0 30 PROL BL MONO CT-2 J345H</t>
  </si>
  <si>
    <t>3/0 30 PROL BL MONO CT-2 J346H</t>
  </si>
  <si>
    <t>2/0 30 PROL BL MONO CT-2 J347H</t>
  </si>
  <si>
    <t>2/0 30 PROL BL MONO CT-2 J351H</t>
  </si>
  <si>
    <t>0 30 PROL BL MONO CT-2 J352H</t>
  </si>
  <si>
    <t>0 30 PROL BL MONO CT-2 J353H</t>
  </si>
  <si>
    <t>2/0 30 PROL BL MONO MO-6 J356H</t>
  </si>
  <si>
    <t>2/0 30 PROL BL MONO MO-6 J357H</t>
  </si>
  <si>
    <t>0 30 PROL BL MONO MO-6 J358H</t>
  </si>
  <si>
    <t>0 30 PROL BL MONO MO-6 J359H</t>
  </si>
  <si>
    <t>3/0 30 PROL BL MONO CT-1 J363H</t>
  </si>
  <si>
    <t>3/0 30 PROL BL MONO CT-1 J364H</t>
  </si>
  <si>
    <t>2/0 30 PROL BL MONO CT-1 J365H</t>
  </si>
  <si>
    <t>2/0 30 PROL BL MONO CT-1 J369H</t>
  </si>
  <si>
    <t>0 30 PROL BL MONO CT-1 J370H</t>
  </si>
  <si>
    <t>0 30 PROL BL MONO CT-1 J371H</t>
  </si>
  <si>
    <t>1 30 PROL BL MONO CT-1 J375H</t>
  </si>
  <si>
    <t>1 30 PROL BL MONO CT-1 J376H</t>
  </si>
  <si>
    <t>3/0 27 PL GUT CT-1 J381H</t>
  </si>
  <si>
    <t>3/0 27 PL GUT CT-1 J385H</t>
  </si>
  <si>
    <t>2/0 30 PROL BL MONO CT J386H</t>
  </si>
  <si>
    <t>2/0 30 PROL BL MONO CT J391H</t>
  </si>
  <si>
    <t>0 30 PROL BL MONO CT J392H</t>
  </si>
  <si>
    <t>0 30 PROL BL MONO CT J393H</t>
  </si>
  <si>
    <t>1 30 PROL BL MONO CT J401G</t>
  </si>
  <si>
    <t>1 30 PROL BL MONO CT J405G</t>
  </si>
  <si>
    <t>2/0 27 PL GUT CT-1 J408G</t>
  </si>
  <si>
    <t>2/0 27 PL GUT CT-1 J409G</t>
  </si>
  <si>
    <t>0 30 PROL BL MONO V-34 J415H</t>
  </si>
  <si>
    <t>0 30 PROL BL MONO V-34 J416H</t>
  </si>
  <si>
    <t>0 27 PL GUT CT-1 J417H</t>
  </si>
  <si>
    <t>0 27 PL GUT CT-1 J418H</t>
  </si>
  <si>
    <t>0 30 PROL BL MONO CTX J421H</t>
  </si>
  <si>
    <t>0 30 PROL BL MONO CTX J422H</t>
  </si>
  <si>
    <t>1 30 PROL BL MONO CTX J423H</t>
  </si>
  <si>
    <t>1 30 PROL BL MONO CTX J426H</t>
  </si>
  <si>
    <t>3/0 27 PL GUT V-34 J427H</t>
  </si>
  <si>
    <t>3/0 27 PL GUT V-34 J428H</t>
  </si>
  <si>
    <t>4/0 36 PROL BL MONO C-1 J430T</t>
  </si>
  <si>
    <t>4/0 36 PROL BL MONO C-1 J433H</t>
  </si>
  <si>
    <t>4/0 36 PROL BL MONO SH J434H</t>
  </si>
  <si>
    <t>4/0 36 PROL BL MONO SH J436H</t>
  </si>
  <si>
    <t>3/0 36 PROL BL MONO SH J437H</t>
  </si>
  <si>
    <t>3/0 36 PROL BL MONO SH J441H</t>
  </si>
  <si>
    <t>2/0 36 PROL BL MONO SH J442H</t>
  </si>
  <si>
    <t>2/0 36 PROL BL MONO SH J443H</t>
  </si>
  <si>
    <t>4/0 30 PROL BL MONO SH-1 J446G</t>
  </si>
  <si>
    <t>4/0 30 PROL BL MONO SH-1 J451H</t>
  </si>
  <si>
    <t>3/0 27 PL GUT CT J455H</t>
  </si>
  <si>
    <t>3/0 27 PL GUT CT J458H</t>
  </si>
  <si>
    <t>2/0 48 PROL BL MONO SH J459H</t>
  </si>
  <si>
    <t>2/0 48 PROL BL MONO SH J460H</t>
  </si>
  <si>
    <t>3/0 48 PROL BL MONO SH J461H</t>
  </si>
  <si>
    <t>3/0 48 PROL BL MONO SH J463G</t>
  </si>
  <si>
    <t>2/0 27 PL GUT CT J464G</t>
  </si>
  <si>
    <t>2/0 27 PL GUT CT J466H</t>
  </si>
  <si>
    <t>5/0 24 PROL BL MONO RB-2 J467H</t>
  </si>
  <si>
    <t>5/0 24 PROL BL MONO RB-2 J468H</t>
  </si>
  <si>
    <t>5/0 24 PROL BL MONO RB-1 J471H</t>
  </si>
  <si>
    <t>5/0 24 PROL BL MONO RB-1 J472H</t>
  </si>
  <si>
    <t>5/0 36 PROL BL MONO RB-1 J473H</t>
  </si>
  <si>
    <t>5/0 36 PROL BL MONO RB-1 J474H</t>
  </si>
  <si>
    <t>4/0 36 PROL BL MONO RB-1 J479H</t>
  </si>
  <si>
    <t>4/0 36 PROL BL MONO RB-1 J480H</t>
  </si>
  <si>
    <t>3/0 36 PROL BL MONO RB-1 J485H</t>
  </si>
  <si>
    <t>3/0 36 PROL BL MONO RB-1 J486H</t>
  </si>
  <si>
    <t>2/0 36 PROL BL MONO RB-1 J488G</t>
  </si>
  <si>
    <t>2/0 36 PROL BL MONO RB-1 J489G</t>
  </si>
  <si>
    <t>2/0 14 PROL BL MONO TS J490G</t>
  </si>
  <si>
    <t>2/0 14 PROL BL MONO TS J492G</t>
  </si>
  <si>
    <t>5/0 36 PROL BL MONO BB J492H</t>
  </si>
  <si>
    <t>5/0 36 PROL BL MONO BB J493G</t>
  </si>
  <si>
    <t>4/0 36 PROL BL MONO BB J493H</t>
  </si>
  <si>
    <t>4/0 36 PROL BL MONO BB J494G</t>
  </si>
  <si>
    <t>4/0 14 PROL BL MONO V-47 J494H</t>
  </si>
  <si>
    <t>4/0 14 PROL BL MONO V-47 J495G</t>
  </si>
  <si>
    <t>4/0 18 PROL CLR MONO PS-4 J495</t>
  </si>
  <si>
    <t>4/0 18 PROL CLR MONO PS-4 J496</t>
  </si>
  <si>
    <t>4/0 18 PROL CLR MONO P-3 J496H</t>
  </si>
  <si>
    <t>4/0 18 PROL CLR MONO P-3 J497G</t>
  </si>
  <si>
    <t>5/0 18 PROL CLR MONO P-3 J497H</t>
  </si>
  <si>
    <t>5/0 18 PROL CLR MONO P-3 J499G</t>
  </si>
  <si>
    <t>6/0 18 PROL CLR MONO P-1 J500G</t>
  </si>
  <si>
    <t>6/0 18 PROL CLR MONO P-1 J500H</t>
  </si>
  <si>
    <t>6/0 24 PROL BL MONO BV J502H</t>
  </si>
  <si>
    <t>6/0 24 PROL BL MONO BV J503G</t>
  </si>
  <si>
    <t>6/0 18 PROL BL MONO PC-1 J504G</t>
  </si>
  <si>
    <t>6/0 18 PROL BL MONO PC-1 J506G</t>
  </si>
  <si>
    <t>5/0 18 PROL BL MONO PC-1 J507G</t>
  </si>
  <si>
    <t>5/0 18 PROL BL MONO PC-1 J510G</t>
  </si>
  <si>
    <t>4/0 18 PROL BL MONO PC-1 J511G</t>
  </si>
  <si>
    <t>4/0 18 PROL BL MONO PC-1 J516H</t>
  </si>
  <si>
    <t>4/0 30 PROL BL MONO J517H</t>
  </si>
  <si>
    <t>4/0 30 PROL BL MONO J518H</t>
  </si>
  <si>
    <t>3/0 30 PROL BL MONO KS J519H</t>
  </si>
  <si>
    <t>3/0 30 PROL BL MONO KS J523H</t>
  </si>
  <si>
    <t>2/0 30 PROL BL MONO KS J527H</t>
  </si>
  <si>
    <t>2/0 30 PROL BL MONO KS J531H</t>
  </si>
  <si>
    <t>4/0 18 PROL BL MONO FS-1 J532H</t>
  </si>
  <si>
    <t>4/0 18 PROL BL MONO FS-1 J533H</t>
  </si>
  <si>
    <t>3/0 27 CHROMIC GUT CTX J534H</t>
  </si>
  <si>
    <t>3/0 27 CHROMIC GUT CTX J535H</t>
  </si>
  <si>
    <t>5/0 18 PROL BL MONO PC-5 J544G</t>
  </si>
  <si>
    <t>5/0 18 PROL BL MONO PC-5 J546G</t>
  </si>
  <si>
    <t>4/0 18 PROL BL MONO PC-5 J547G</t>
  </si>
  <si>
    <t>4/0 18 PROL BL MONO PC-5 J548G</t>
  </si>
  <si>
    <t>3/0 18 PROL BL MONO PC-5 J551G</t>
  </si>
  <si>
    <t>3/0 18 PROL BL MONO PC-5 J552G</t>
  </si>
  <si>
    <t>4/0 18 PROL BL MONO PC-3 J553G</t>
  </si>
  <si>
    <t>4/0 18 PROL BL MONO PC-3 J555G</t>
  </si>
  <si>
    <t>5/0 18 PROL BL MONO PC-3 J556G</t>
  </si>
  <si>
    <t>5/0 18 PROL BL MONO PC-3 J562G</t>
  </si>
  <si>
    <t>6/0 18 PROL BL MONO PC-3 J566G</t>
  </si>
  <si>
    <t>6/0 18 PROL BL MONO PC-3 J568H</t>
  </si>
  <si>
    <t>2/0 27 CHROMIC GUT CTX J569H</t>
  </si>
  <si>
    <t>2/0 27 CHROMIC GUT CTX J570G</t>
  </si>
  <si>
    <t>7/0 18 PROL BL MONO P-6 J571G</t>
  </si>
  <si>
    <t>7/0 18 PROL BL MONO P-6 J574G</t>
  </si>
  <si>
    <t>3/0 30 PROL BL MONO FSLX J575G</t>
  </si>
  <si>
    <t>3/0 30 PROL BL MONO FSLX J576G</t>
  </si>
  <si>
    <t>0 27 CHROMIC GUT CTX J578G</t>
  </si>
  <si>
    <t>0 27 CHROMIC GUT CTX J579G</t>
  </si>
  <si>
    <t>5/0 18 PROL BL MONO PS-5 J581G</t>
  </si>
  <si>
    <t>5/0 18 PROL BL MONO PS-5 J582G</t>
  </si>
  <si>
    <t>4/0 18 PROL BL MONO PS-5 J583G</t>
  </si>
  <si>
    <t>4/0 18 PROL BL MONO PS-5 J588H</t>
  </si>
  <si>
    <t>1 27 CHROMIC GUT CTX J589H</t>
  </si>
  <si>
    <t>1 27 CHROMIC GUT CTX J590G</t>
  </si>
  <si>
    <t>5/0 18 PROL BL MONO FS-2 J591G</t>
  </si>
  <si>
    <t>5/0 18 PROL BL MONO FS-2 J593G</t>
  </si>
  <si>
    <t>3/0 18 PROL BL MONO PS-1 J594G</t>
  </si>
  <si>
    <t>3/0 18 PROL BL MONO PS-1 J596H</t>
  </si>
  <si>
    <t>3/0 18 PROL BL MONO FS-2 J599G</t>
  </si>
  <si>
    <t>3/0 18 PROL BL MONO FS-2 J602H</t>
  </si>
  <si>
    <t>3/0 30 PROL BL MONO FSL J603H</t>
  </si>
  <si>
    <t>3/0 30 PROL BL MONO FSL J606H</t>
  </si>
  <si>
    <t>6/0 18 PROL BL MONO PS-3 J607H</t>
  </si>
  <si>
    <t>6/0 18 PROL BL MONO PS-3 J608H</t>
  </si>
  <si>
    <t>5/0 18 PROL BL MONO PS-3 J610H</t>
  </si>
  <si>
    <t>5/0 18 PROL BL MONO PS-3 J614H</t>
  </si>
  <si>
    <t>4/0 18 PROL BL MONO PS-2 J615H</t>
  </si>
  <si>
    <t>4/0 18 PROL BL MONO PS-2 J616H</t>
  </si>
  <si>
    <t>4/0 18 PROL BL MONO PS-2 J617H</t>
  </si>
  <si>
    <t>4/0 18 PROL BL MONO PS-2 J618H</t>
  </si>
  <si>
    <t>4/0 18 PROL BL MONO FS-2 J633H</t>
  </si>
  <si>
    <t>4/0 18 PROL BL MONO FS-2 J634H</t>
  </si>
  <si>
    <t>3/0 18 PROL BL MONO FS-1 J635H</t>
  </si>
  <si>
    <t>3/0 18 PROL BL MONO FS-1 J636H</t>
  </si>
  <si>
    <t>2/0 18 PROL BL MONO FS J643H</t>
  </si>
  <si>
    <t>2/0 18 PROL BL MONO FS J644H</t>
  </si>
  <si>
    <t>5/0 18 PROL BL MONO PS-2 J645H</t>
  </si>
  <si>
    <t>5/0 18 PROL BL MONO PS-2 J646H</t>
  </si>
  <si>
    <t>3/0 18 PROL BL MONO PS-2 J649G</t>
  </si>
  <si>
    <t>3/0 18 PROL BL MONO PS-2 J650G</t>
  </si>
  <si>
    <t>2/0 30 PROL BL MONO FSLX J656G</t>
  </si>
  <si>
    <t>2/0 30 PROL BL MONO FSLX J657G</t>
  </si>
  <si>
    <t>0 30 PROL BL MONO FSLX J662H</t>
  </si>
  <si>
    <t>0 30 PROL BL MONO FSLX J663H</t>
  </si>
  <si>
    <t>6/0 18 PROL BL MONO P-3 J670G</t>
  </si>
  <si>
    <t>6/0 18 PROL BL MONO P-3 J671G</t>
  </si>
  <si>
    <t>7/0 18 PROL BL MONO P-1 J682G</t>
  </si>
  <si>
    <t>7/0 18 PROL BL MONO P-1 J682H</t>
  </si>
  <si>
    <t>6/0 18 PROL BL MONO P-1 J683G</t>
  </si>
  <si>
    <t>6/0 18 PROL BL MONO P-1 J683H</t>
  </si>
  <si>
    <t>5/0 18 PROL BL MONO P-3 J693H</t>
  </si>
  <si>
    <t>5/0 18 PROL BL MONO P-3 J694H</t>
  </si>
  <si>
    <t>4/0 18 PROL BL MONO P-3 J695H</t>
  </si>
  <si>
    <t>4/0 18 PROL BL MONO P-3 J698H</t>
  </si>
  <si>
    <t>7/0 18 PROL BL MONO BV-1 J699H</t>
  </si>
  <si>
    <t>7/0 18 PROL BL MONO BV-1 J700D</t>
  </si>
  <si>
    <t>7/0 24 PROL BL MONO BV-1 J701D</t>
  </si>
  <si>
    <t>7/0 24 PROL BL MONO BV-1 J702D</t>
  </si>
  <si>
    <t>30 PROL BV-1 J707T</t>
  </si>
  <si>
    <t>30 PROL BV-1 J708T</t>
  </si>
  <si>
    <t>7/0 24 PROL BL MONO CC J710T</t>
  </si>
  <si>
    <t>7/0 24 PROL BL MONO CC J711T</t>
  </si>
  <si>
    <t>7/0 18 PROL BL MONO CC J713D</t>
  </si>
  <si>
    <t>7/0 18 PROL BL MONO CC J714D</t>
  </si>
  <si>
    <t>6-0 30 PROL BL MONO C-1 J716T</t>
  </si>
  <si>
    <t>6-0 30 PROL BL MONO C-1 J717T</t>
  </si>
  <si>
    <t>30 PROL CC-1 J718T</t>
  </si>
  <si>
    <t>30 PROL CC-1 J719T</t>
  </si>
  <si>
    <t>30 PROL C-1 J723D</t>
  </si>
  <si>
    <t>30 PROL C-1 J724D</t>
  </si>
  <si>
    <t>30 PROL BV-1 J726D</t>
  </si>
  <si>
    <t>30 PROL BV-1 J727D</t>
  </si>
  <si>
    <t>5/0 30 PROL BL MONO RB-2 J738D</t>
  </si>
  <si>
    <t>5/0 30 PROL BL MONO RB-2 J739D</t>
  </si>
  <si>
    <t>30 PROL RB-2 J740D</t>
  </si>
  <si>
    <t>30 PROL RB-2 J741D</t>
  </si>
  <si>
    <t>5/0 18 PROL BL MONO RB-2 J743D</t>
  </si>
  <si>
    <t>5/0 18 PROL BL MONO RB-2 J748T</t>
  </si>
  <si>
    <t>6/0 18 PROL BL MONO RB-2 J749T</t>
  </si>
  <si>
    <t>6/0 18 PROL BL MONO RB-2 J750T</t>
  </si>
  <si>
    <t>5/0 18 PROL BL MONO C-1 J751D</t>
  </si>
  <si>
    <t>5/0 18 PROL BL MONO C-1 J752D</t>
  </si>
  <si>
    <t>6/0 18 PROL BL MONO C-1 J753D</t>
  </si>
  <si>
    <t>6/0 18 PROL BL MONO C-1 J754T</t>
  </si>
  <si>
    <t>6/0 18 PROL BL MONO CC-1 J756T</t>
  </si>
  <si>
    <t>6/0 18 PROL BL MONO CC-1 J757T</t>
  </si>
  <si>
    <t>5/0 36 PROL BL MONO C-1 J761D</t>
  </si>
  <si>
    <t>5/0 36 PROL BL MONO C-1 J762D</t>
  </si>
  <si>
    <t>5/0 36 PROL BL MONO CC-1 J764D</t>
  </si>
  <si>
    <t>5/0 36 PROL BL MONO CC-1 J765D</t>
  </si>
  <si>
    <t>5/0 24 PROL BL MONO C-1 J771D</t>
  </si>
  <si>
    <t>5/0 24 PROL BL MONO C-1 J772D</t>
  </si>
  <si>
    <t>6/0 24 PROL BL MONO C-1 J773D</t>
  </si>
  <si>
    <t>6/0 24 PROL BL MONO C-1 J774D</t>
  </si>
  <si>
    <t>2/0 27 PL GUT CTX J775D</t>
  </si>
  <si>
    <t>2/0 27 PL GUT CTX J783G</t>
  </si>
  <si>
    <t>8/0 18 PROL BL MONO BV130 J784</t>
  </si>
  <si>
    <t>8/0 18 PROL BL MONO BV130 J785</t>
  </si>
  <si>
    <t>8/0 24 PROL BL MONO BV130 J787</t>
  </si>
  <si>
    <t>8/0 24 PROL BL MONO BV130 J789</t>
  </si>
  <si>
    <t>7/0 18 PROL BL MONO BV175 J790</t>
  </si>
  <si>
    <t>7/0 18 PROL BL MONO BV175 J801</t>
  </si>
  <si>
    <t>7/0 24 PROL BL MONO BV175 J808</t>
  </si>
  <si>
    <t>7/0 24 PROL BL MONO BV175 J813</t>
  </si>
  <si>
    <t>3/0 27 PL GUT CTX J822G</t>
  </si>
  <si>
    <t>3/0 27 PL GUT CTX J823G</t>
  </si>
  <si>
    <t>8/0 18 PROL BL MONO BV175 J823</t>
  </si>
  <si>
    <t>8/0 18 PROL BL MONO BV175 J824</t>
  </si>
  <si>
    <t>8/0 24 PROL BL MONO J833G</t>
  </si>
  <si>
    <t>8/0 24 PROL BL MONO J834G</t>
  </si>
  <si>
    <t>7/0 18 PROL BL MONO BV-17 J835</t>
  </si>
  <si>
    <t>7/0 18 PROL BL MONO BV-17 J838</t>
  </si>
  <si>
    <t>7/0 24 PROL BL MONO BV-17 J839</t>
  </si>
  <si>
    <t>7/0 24 PROL BL MONO BV-17 J840</t>
  </si>
  <si>
    <t>8/0 18 PROL BL MONO BV-17 J841</t>
  </si>
  <si>
    <t>8/0 18 PROL BL MONO BV-17 J843</t>
  </si>
  <si>
    <t>8/0 24 PROL BL MONO BV-17 J844</t>
  </si>
  <si>
    <t>8/0 24 PROL BL MONO BV-17 J845</t>
  </si>
  <si>
    <t>8/0 30 PROL BL MONO BV-17 J849</t>
  </si>
  <si>
    <t>8/0 30 PROL BL MONO BV-17 J864</t>
  </si>
  <si>
    <t>30 PROL BV-175-8 J868H</t>
  </si>
  <si>
    <t>30 PROL BV-175-8 J869H</t>
  </si>
  <si>
    <t>5/0 18 PROL BL MONO RB-1 J870H</t>
  </si>
  <si>
    <t>5/0 18 PROL BL MONO RB-1 J871H</t>
  </si>
  <si>
    <t>4/0 18 PROL BL MONO RB-1 J880T</t>
  </si>
  <si>
    <t>4/0 18 PROL BL MONO RB-1 J885G</t>
  </si>
  <si>
    <t>3/0 30 PROL BL MONO SH-1 J904T</t>
  </si>
  <si>
    <t>3/0 30 PROL BL MONO SH-1 J905T</t>
  </si>
  <si>
    <t>PROLENE BLUE MONO J906G</t>
  </si>
  <si>
    <t>PROLENE BLUE MONO J907G</t>
  </si>
  <si>
    <t>8-0 60in PROLENE BLU MONO DA B</t>
  </si>
  <si>
    <t>30 PROL BV J912G</t>
  </si>
  <si>
    <t>30 PROL BV J913G</t>
  </si>
  <si>
    <t>7/0 18 PROL BL MONO C-1 J916H</t>
  </si>
  <si>
    <t>7/0 18 PROL BL MONO C-1 J917H</t>
  </si>
  <si>
    <t>6/0 24 PROL BL MONO BV-1 J935H</t>
  </si>
  <si>
    <t>6/0 24 PROL BL MONO BV-1 J936H</t>
  </si>
  <si>
    <t>6/0 18 PROL BL MONO BV-1 J940H</t>
  </si>
  <si>
    <t>6/0 18 PROL BL MONO BV-1 J944H</t>
  </si>
  <si>
    <t>6/0 24 PROL BL MONO CC J945H</t>
  </si>
  <si>
    <t>6/0 24 PROL BL MONO CC J946H</t>
  </si>
  <si>
    <t>1 60 PROL BL MONO TP-1 J947H</t>
  </si>
  <si>
    <t>1 60 PROL BL MONO TP-1 J956H</t>
  </si>
  <si>
    <t>2 60 PROL BL MONO TP-1 J957H</t>
  </si>
  <si>
    <t>2 60 PROL BL MONO TP-1 J958H</t>
  </si>
  <si>
    <t>3/0 27 CHROMIC GUT CT-2 J959H</t>
  </si>
  <si>
    <t>3/0 27 CHROMIC GUT CT-2 J974G</t>
  </si>
  <si>
    <t>4/0 30 PROL BL MONO SH J975G</t>
  </si>
  <si>
    <t>4/0 30 PROL BL MONO SH J977H</t>
  </si>
  <si>
    <t>3/0 30 PROL BL MONO SH J978H</t>
  </si>
  <si>
    <t>3/0 30 PROL BL MONO SH J979H</t>
  </si>
  <si>
    <t>2/0 30 PROL BL MONO SH J980H</t>
  </si>
  <si>
    <t>2/0 30 PROL BL MONO SH JB259</t>
  </si>
  <si>
    <t>0 30 PROL BL MONO SH JB260</t>
  </si>
  <si>
    <t>0 30 PROL BL MONO SH JB340</t>
  </si>
  <si>
    <t>2/0 27 CHROMIC GUT CT-2 JB341</t>
  </si>
  <si>
    <t>2/0 27 CHROMIC GUT CT-2 JB724</t>
  </si>
  <si>
    <t>3/0 36 PROL BL MONO MH JB725</t>
  </si>
  <si>
    <t>3/0 36 PROL BL MONO MH JB839</t>
  </si>
  <si>
    <t>2/0 36 PROL BL MONO MH JB840</t>
  </si>
  <si>
    <t>2/0 36 PROL BL MONO MH JB841</t>
  </si>
  <si>
    <t>1 60 PROL BL MONO XLH JB864</t>
  </si>
  <si>
    <t>1 60 PROL BL MONO XLH JB944</t>
  </si>
  <si>
    <t>0 27 CHROMIC GUT CT-2 JB945</t>
  </si>
  <si>
    <t>0 27 CHROMIC GUT CT-2 JB946</t>
  </si>
  <si>
    <t>2/0 48 PROL BL MONO MH JB947</t>
  </si>
  <si>
    <t>2/0 48 PROL BL MONO MH JB947H</t>
  </si>
  <si>
    <t>1 27 CHROMIC GUT CT-2 JB977</t>
  </si>
  <si>
    <t>1 27 CHROMIC GUT CT-2 JB977H</t>
  </si>
  <si>
    <t>5/0 24 PROL BL MONO BB JB978</t>
  </si>
  <si>
    <t>5/0 24 PROL BL MONO BB JJ31G</t>
  </si>
  <si>
    <t>4/0 24 PROL BL MONO BB JJ40G</t>
  </si>
  <si>
    <t>4/0 24 PROL BL MONO BB JJ41G</t>
  </si>
  <si>
    <t>3/0 24 PROL BL MONO BB JJ42G</t>
  </si>
  <si>
    <t>3/0 24 PROL BL MONO BB JJ80G</t>
  </si>
  <si>
    <t>3/0 27 CHROMIC GUT CP-2 JJ81G</t>
  </si>
  <si>
    <t>3/0 27 CHROMIC GUT CP-2 K533H</t>
  </si>
  <si>
    <t>5/0 30 PROL BL MONO RB-1 K534H</t>
  </si>
  <si>
    <t>5/0 30 PROL BL MONO RB-1 K570H</t>
  </si>
  <si>
    <t>4/0 30 PROL BL MONO RB-1 K571H</t>
  </si>
  <si>
    <t>4/0 30 PROL BL MONO RB-1 K572H</t>
  </si>
  <si>
    <t>3/0 30 PROL BL MONO RB-1 K580H</t>
  </si>
  <si>
    <t>3/0 30 PROL BL MONO RB-1 K581H</t>
  </si>
  <si>
    <t>2/0 27 CHROMIC GUT CP-2 K801H</t>
  </si>
  <si>
    <t>2/0 27 CHROMIC GUT CP-2 K802H</t>
  </si>
  <si>
    <t>4/0 30 PROL BL MONO BB K809H</t>
  </si>
  <si>
    <t>4/0 30 PROL BL MONO BB K831H</t>
  </si>
  <si>
    <t>6/0 30 PROL BL MONO C-1 K832H</t>
  </si>
  <si>
    <t>6/0 30 PROL BL MONO C-1 K833H</t>
  </si>
  <si>
    <t>5/0 30 PROL BL MONO C-1 K834H</t>
  </si>
  <si>
    <t>5/0 30 PROL BL MONO C-1 K835H</t>
  </si>
  <si>
    <t>4/0 36 PROL BL MONO V-4 K843H</t>
  </si>
  <si>
    <t>4/0 36 PROL BL MONO V-4 K844H</t>
  </si>
  <si>
    <t>3/0 36 PROL BL MONO V-4 K845H</t>
  </si>
  <si>
    <t>3/0 36 PROL BL MONO V-4 K846H</t>
  </si>
  <si>
    <t>3/0 27 CHROMIC GUT CT3/FN K852</t>
  </si>
  <si>
    <t>3/0 27 CHROMIC GUT CT3/FN K870</t>
  </si>
  <si>
    <t>5/0 36 PROL BL MONO V-5 K871H</t>
  </si>
  <si>
    <t>5/0 36 PROL BL MONO V-5 K872H</t>
  </si>
  <si>
    <t>4/0 36 PROL BL MONO K873H</t>
  </si>
  <si>
    <t>4/0 36 PROL BL MONO K880H</t>
  </si>
  <si>
    <t>3/0 36 PROL BL MONO V-5 K881H</t>
  </si>
  <si>
    <t>3/0 36 PROL BL MONO V-5 K882H</t>
  </si>
  <si>
    <t>2/0 36 PROL BL MONO V-5 K883H</t>
  </si>
  <si>
    <t>2/0 36 PROL BL MONO V-5 K889H</t>
  </si>
  <si>
    <t>2/0 27 CHROMIC GUT CT3/FN K890</t>
  </si>
  <si>
    <t>2/0 27 CHROMIC GUT CT3/FN K891</t>
  </si>
  <si>
    <t>4/0 36 PROL BL MONO V-7 K895H</t>
  </si>
  <si>
    <t>4/0 36 PROL BL MONO V-7 K945G</t>
  </si>
  <si>
    <t>3/0 36 PROL BL MONO V-7 K952H</t>
  </si>
  <si>
    <t>3/0 36 PROL BL MONO V-7 K964H</t>
  </si>
  <si>
    <t>2/0 36 PROL BL MONO L101G</t>
  </si>
  <si>
    <t>2/0 36 PROL BL MONO L102G</t>
  </si>
  <si>
    <t>0 36 PROL BL MONO V-7 L103G</t>
  </si>
  <si>
    <t>0 36 PROL BL MONO V-7 L104G</t>
  </si>
  <si>
    <t>2/0 27 PL GUT CP-1 L111G</t>
  </si>
  <si>
    <t>2/0 27 PL GUT CP-1 L112G</t>
  </si>
  <si>
    <t>10/0 12 ETHLN BLK MONO CS L113</t>
  </si>
  <si>
    <t>10/0 12 ETHLN BLK MONO CS L114</t>
  </si>
  <si>
    <t>10/0 6 ETHLN BLK MONO CS1 L115</t>
  </si>
  <si>
    <t>10/0 6 ETHLN BLK MONO CS1 L880</t>
  </si>
  <si>
    <t>10/0 12 ETHLN BLK MONO CS L886</t>
  </si>
  <si>
    <t>10/0 12 ETHLN BLK MONO CS LA53</t>
  </si>
  <si>
    <t>10/0 12 ETHLN BLK MONO CS LA54</t>
  </si>
  <si>
    <t>10/0 12 ETHLN BLK MONO CS LA55</t>
  </si>
  <si>
    <t>10/0 12 ETHLN BLK MONO CS LS3</t>
  </si>
  <si>
    <t>10/0 12 ETHLN BLK MONO CS LS4</t>
  </si>
  <si>
    <t>10/0 8 ETHLN BLK MONO CS- M104</t>
  </si>
  <si>
    <t>10/0 8 ETHLN BLK MONO CS- M13T</t>
  </si>
  <si>
    <t>10/0 12 ETHLN BLK MONO CS M370</t>
  </si>
  <si>
    <t>10/0 6 ETHLN BLK MONO CS- M370</t>
  </si>
  <si>
    <t>9/0 12 ETHLN BLK MONO CS1 M372</t>
  </si>
  <si>
    <t>9/0 12 ETHLN BLK MONO CS1 M373</t>
  </si>
  <si>
    <t>11/0 8 ETHLN BLK MONO CS1 M373</t>
  </si>
  <si>
    <t>11/0 8 ETHLN BLK MONO CS1 M374</t>
  </si>
  <si>
    <t>10/0 12 ETHLN BLK MONO CS M374</t>
  </si>
  <si>
    <t>10/0 12 ETHLN BLK MONO CS M376</t>
  </si>
  <si>
    <t>10/0 6 ETHLN BLK MONO CS1 M376</t>
  </si>
  <si>
    <t>10/0 12 ETHLN BLK MONO CS M377</t>
  </si>
  <si>
    <t>10/0 12 ETHLN BLK MONO CS M380</t>
  </si>
  <si>
    <t>10/0 12 ETHLN BLK MONO CS M3T</t>
  </si>
  <si>
    <t>10/0 12 ETHLN BLK MONO CS M400</t>
  </si>
  <si>
    <t>9/0 12 ETHLN BLK MONO CS1 M414</t>
  </si>
  <si>
    <t>9/0 12 ETHLN BLK MONO CS1 M435</t>
  </si>
  <si>
    <t>8/0 12 ETHLN BLK MONO CS1 M436</t>
  </si>
  <si>
    <t>8/0 12 ETHLN BLK MONO CS1 M645</t>
  </si>
  <si>
    <t>2/0 36 CHROMIC GUT CTX M649G</t>
  </si>
  <si>
    <t>2/0 36 CHROMIC GUT CTX M650G</t>
  </si>
  <si>
    <t>0 36 CHROMIC GUT CTX M651G</t>
  </si>
  <si>
    <t>0 36 CHROMIC GUT CTX M652G</t>
  </si>
  <si>
    <t>1 36 CHROMIC GUT CTX M653G</t>
  </si>
  <si>
    <t>1 36 CHROMIC GUT CTX M654G</t>
  </si>
  <si>
    <t>10/0 4 ETHLN BLK MONO CS1 M655</t>
  </si>
  <si>
    <t>10/0 4 ETHLN BLK MONO CS1 M656</t>
  </si>
  <si>
    <t>10/0 4 ETHLN BLK MONO CS1 M657</t>
  </si>
  <si>
    <t>10/0 4 ETHLN BLK MONO CS1 M660</t>
  </si>
  <si>
    <t>10/0 4 ETHLN BLK MONO CS4 M682</t>
  </si>
  <si>
    <t>10/0 4 ETHLN BLK MONO CS4 M72T</t>
  </si>
  <si>
    <t>10/0 4 PROL BL MONO CS160 M760</t>
  </si>
  <si>
    <t>10/0 4 PROL BL MONO CS160 M820</t>
  </si>
  <si>
    <t>10/0 4 PROL BL MONO CTC-6 M820</t>
  </si>
  <si>
    <t>3/0 36 CHROMIC GUT CT M8220</t>
  </si>
  <si>
    <t>3/0 36 CHROMIC GUT CT M8301</t>
  </si>
  <si>
    <t>2/0 36 CHROMIC GUT CT M8303</t>
  </si>
  <si>
    <t>2/0 36 CHROMIC GUT CT M8304</t>
  </si>
  <si>
    <t>0 36 CHROMIC GUT CT M8305</t>
  </si>
  <si>
    <t>0 36 CHROMIC GUT CT M8307</t>
  </si>
  <si>
    <t>1 36 CHROMIC GUT CT M8318</t>
  </si>
  <si>
    <t>1 36 CHROMIC GUT CT M8321</t>
  </si>
  <si>
    <t>3/0 36 CHROMIC GUT CT-1 M8325</t>
  </si>
  <si>
    <t>3/0 36 CHROMIC GUT CT-1 M834G</t>
  </si>
  <si>
    <t>2/0 36 CHROMIC GUT CT-1 M8556</t>
  </si>
  <si>
    <t>2/0 36 CHROMIC GUT CT-1 M8557</t>
  </si>
  <si>
    <t>0 36 CHROMIC GUT CT-1 M8600</t>
  </si>
  <si>
    <t>0 36 CHROMIC GUT CT-1 M8610</t>
  </si>
  <si>
    <t>1 36 CHROMIC GUT CT-1 M8701</t>
  </si>
  <si>
    <t>1 36 CHROMIC GUT CT-1 M8702</t>
  </si>
  <si>
    <t>3/0 36 CHROMIC GUT V-34 M8703</t>
  </si>
  <si>
    <t>3/0 36 CHROMIC GUT V-34 M8704</t>
  </si>
  <si>
    <t>2/0 36 CHROMIC GUT V-34 M8705</t>
  </si>
  <si>
    <t>2/0 36 CHROMIC GUT V-34 M8706</t>
  </si>
  <si>
    <t>0 36 CHROMIC GUT V-34 M8707</t>
  </si>
  <si>
    <t>0 36 CHROMIC GUT V-34 M8709</t>
  </si>
  <si>
    <t>1 36 CHROMIC GUT V-34 M8710</t>
  </si>
  <si>
    <t>1 36 CHROMIC GUT V-34 M8711</t>
  </si>
  <si>
    <t>3/0 36 HEMOSEAL PROL BL M M871</t>
  </si>
  <si>
    <t>5/0 24 HEMOSEAL PROL BL M M871</t>
  </si>
  <si>
    <t>5/0 24 HEMOSEAL PROL BL M M872</t>
  </si>
  <si>
    <t>4/0 30 HEMOSEAL PROL BL M M872</t>
  </si>
  <si>
    <t>1 36 CHROMIC GUT CP-1 M8726</t>
  </si>
  <si>
    <t>1 36 CHROMIC GUT CP-1 M8727</t>
  </si>
  <si>
    <t>2/0 54 CHROMIC GUT CT/FSL M873</t>
  </si>
  <si>
    <t>3/0 54 CHROMIC GUT CT-1/C M873</t>
  </si>
  <si>
    <t>2/0 54 CHROMIC GUT CT-1/C M873</t>
  </si>
  <si>
    <t>3/0 54 CHROMIC GUT CT M8736</t>
  </si>
  <si>
    <t>3/0 54 CHROMIC GUT CT M8737</t>
  </si>
  <si>
    <t>2/0 54 CHROMIC GUT CT M8738</t>
  </si>
  <si>
    <t>2/0 54 CHROMIC GUT CT M8739</t>
  </si>
  <si>
    <t>5/0 12-18 SILK BLK BR M8741</t>
  </si>
  <si>
    <t>5/0 12-18 SILK BLK BR M8742</t>
  </si>
  <si>
    <t>4/0 12-18 SILK BLK BR M8743</t>
  </si>
  <si>
    <t>4/0 12-18 SILK BLK BR M8745</t>
  </si>
  <si>
    <t>3/0 12-18 SILK BLK BR M8746</t>
  </si>
  <si>
    <t>3/0 12-18 SILK BLK BR M8747</t>
  </si>
  <si>
    <t>2/0 12-18 SILK BLK BR M8752</t>
  </si>
  <si>
    <t>2/0 12-18 SILK BLK BR M8753</t>
  </si>
  <si>
    <t>0 6-18 SILK BLK BR M8754</t>
  </si>
  <si>
    <t>0 6-18 SILK BLK BR M8755</t>
  </si>
  <si>
    <t>1 6-18 SILK BLK BR M8764</t>
  </si>
  <si>
    <t>1 6-18 SILK BLK BR M8765</t>
  </si>
  <si>
    <t>5/0 12-30 SILK BLK BR M8766</t>
  </si>
  <si>
    <t>5/0 12-30 SILK BLK BR M8767</t>
  </si>
  <si>
    <t>4/0 12-30 SILK BLK BR M8768</t>
  </si>
  <si>
    <t>4/0 12-30 SILK BLK BR M8775</t>
  </si>
  <si>
    <t>3/0 12-30 SILK BLK BR M8776</t>
  </si>
  <si>
    <t>3/0 12-30 SILK BLK BR M8785</t>
  </si>
  <si>
    <t>2/0 12-30 SILK BLK BR M8800</t>
  </si>
  <si>
    <t>2/0 12-30 SILK BLK BR M8805</t>
  </si>
  <si>
    <t>0 6-30 SILK BLK BR M8806</t>
  </si>
  <si>
    <t>0 6-30 SILK BLK BR M8807</t>
  </si>
  <si>
    <t>1 6-30 SILK BLK BR MB46G</t>
  </si>
  <si>
    <t>1 6-30 SILK BLK BR MB47G</t>
  </si>
  <si>
    <t>5 20 ETHBND GR BR LR MB66G</t>
  </si>
  <si>
    <t>5 20 ETHBND GR BR LR MCP213H</t>
  </si>
  <si>
    <t>5 30 ETHBND GR BR LR MCP214H</t>
  </si>
  <si>
    <t>5 30 ETHBND GR BR LR MCP266H</t>
  </si>
  <si>
    <t>3/0 8-18 SILK BLK BR SH-1 MCP3</t>
  </si>
  <si>
    <t>4/0 8-18 SILK BLK BR SH-1 MCP3</t>
  </si>
  <si>
    <t>2/0 5-18 SILK BLK BR SH MCP333</t>
  </si>
  <si>
    <t>2/0 5-18 SILK BLK BR SH MCP339</t>
  </si>
  <si>
    <t>2/0 8-18 SILK BLK BR SH MCP340</t>
  </si>
  <si>
    <t>2/0 8-18 SILK BLK BR SH MCP344</t>
  </si>
  <si>
    <t>3/0 5-18 SILK BLK BR SH MCP345</t>
  </si>
  <si>
    <t>3/0 5-18 SILK BLK BR SH MCP346</t>
  </si>
  <si>
    <t>3/0 8-18 SILK BLK BR SH MCP347</t>
  </si>
  <si>
    <t>3/0 8-18 SILK BLK BR SH MCP358</t>
  </si>
  <si>
    <t>4/0 5-18 SILK BLK BR SH MCP377</t>
  </si>
  <si>
    <t>4/0 5-18 SILK BLK BR SH MCP415</t>
  </si>
  <si>
    <t>4/0 8-18 SILK BLK BR SH MCP416</t>
  </si>
  <si>
    <t>4/0 8-18 SILK BLK BR SH MCP417</t>
  </si>
  <si>
    <t>SILK BLK 8X75CM M3 USP2/0 SGLE</t>
  </si>
  <si>
    <t>SILK BLK 8X75CM M2 USP3/0 SGLE</t>
  </si>
  <si>
    <t>SILK BLK 8X75CM M1.5 USP4/0 SG</t>
  </si>
  <si>
    <t>0 8-18 SILK BLK BR CT-1 MCP493</t>
  </si>
  <si>
    <t>0 8-18 SILK BLK BR CT-1 MCP494</t>
  </si>
  <si>
    <t>2/0 8-18 SILK BLK BR CT-1 MCP4</t>
  </si>
  <si>
    <t>2/0 8-18 SILK BLK BR CT-2 MCP4</t>
  </si>
  <si>
    <t>2/0 8-18 SILK BLK BR CT-2 MCP5</t>
  </si>
  <si>
    <t>0 8-18 SILK BLK BR CT-2 MCP523</t>
  </si>
  <si>
    <t>0 8-18 SILK BLK BR CT-2 MCP604</t>
  </si>
  <si>
    <t>0 8-18 SILK BLK BR MO-7 MCP605</t>
  </si>
  <si>
    <t>0 8-18 SILK BLK BR MO-7 MCP682</t>
  </si>
  <si>
    <t>0 8-18 SILK BLK BR MO-6 MCP822</t>
  </si>
  <si>
    <t>0 8-18 SILK BLK BR MO-6 MCP823</t>
  </si>
  <si>
    <t>3/0 8-18 SILK BLK BR RB-1 MCP8</t>
  </si>
  <si>
    <t>4/0 8-18 SILK BLK BR RB-1 MCP8</t>
  </si>
  <si>
    <t>4/0 8-18 SILK BLK BR TF MCP935</t>
  </si>
  <si>
    <t>4/0 8-18 SILK BLK BR TF MCP936</t>
  </si>
  <si>
    <t>2/0 8-18 NURLN BLK BR SH- MCP9</t>
  </si>
  <si>
    <t>3/0 8-18 NURLN BLK BR SH- MCP9</t>
  </si>
  <si>
    <t>3/0 8-18 NURLN BLK BR SH- MCPB</t>
  </si>
  <si>
    <t>2/0 8-18 NURLN BLK BR SH MCPB3</t>
  </si>
  <si>
    <t>2/0 8-18 NURLN BLK BR SH MCPB4</t>
  </si>
  <si>
    <t>3/0 8-18 NURLN BLK BR SH MCPB9</t>
  </si>
  <si>
    <t>4/0 8-18 NURLN BLK BR SH MCPB9</t>
  </si>
  <si>
    <t>4/0 8-18 NURLN BLK BR SH MPX17</t>
  </si>
  <si>
    <t>1 8-18 NURLN BLK BR CT-1 MPX37</t>
  </si>
  <si>
    <t>1 8-18 NURLN BLK BR CT-1 MR20</t>
  </si>
  <si>
    <t>0 8-18 NURLN BLK BR CT-1 MR21T</t>
  </si>
  <si>
    <t>0 8-18 NURLN BLK BR CT-1 MR4</t>
  </si>
  <si>
    <t>2/0 8-18 NURLN BLK BR CT- MX52</t>
  </si>
  <si>
    <t>2/0 8-18 NURLN BLK BR CT- MX55</t>
  </si>
  <si>
    <t>0 8-18 NURLN BLK BR CT-2 MX563</t>
  </si>
  <si>
    <t>0 8-18 NURLN BLK BR CT-2 MX69G</t>
  </si>
  <si>
    <t>0 8-18 NURLN BLK BR MO-7 MX763</t>
  </si>
  <si>
    <t>0 8-18 NURLN BLK BR MO-7 MX823</t>
  </si>
  <si>
    <t>2/0 8-18 NURLN BLK BR MO- MX83</t>
  </si>
  <si>
    <t>2/0 8-18 NURLN BLK BR MO- MX92</t>
  </si>
  <si>
    <t>0 8-18 NURLN BLK BR MO-6 MX944</t>
  </si>
  <si>
    <t>0 8-18 NURLN BLK BR MO-6 MX977</t>
  </si>
  <si>
    <t>2/0 8-18 NURLN BLK BR MO- N104</t>
  </si>
  <si>
    <t>2/0 8-18 NURLN BLK BR MO- N124</t>
  </si>
  <si>
    <t>1 8-18 NURLN BLK BR CTX N266H</t>
  </si>
  <si>
    <t>1 8-18 NURLN BLK BR CTX N267H</t>
  </si>
  <si>
    <t>0 8-18 NURLN BLK BR CTX N271H</t>
  </si>
  <si>
    <t>0 8-18 NURLN BLK BR CTX N272H</t>
  </si>
  <si>
    <t>3/0 8-18 NURLN BLK BR RB- N862</t>
  </si>
  <si>
    <t>3/0 8-18 NURLN BLK BR RB- N863</t>
  </si>
  <si>
    <t>4/0 8-18 NURLN BLK BR RB- N864</t>
  </si>
  <si>
    <t>4/0 8-18 NURLN BLK BR RB- N877</t>
  </si>
  <si>
    <t>3/0 8-18 NURLN BLK BR X-1 N878</t>
  </si>
  <si>
    <t>3/0 8-18 NURLN BLK BR X-1 N879</t>
  </si>
  <si>
    <t>3/0 8-18 NURLN BLK BR FSL P852</t>
  </si>
  <si>
    <t>4/0 8-18 NURLN BLK BR FS P8935</t>
  </si>
  <si>
    <t>2/0 8-18 NURLN BLK BR CP PB20H</t>
  </si>
  <si>
    <t>2/0 8-18 NURLN BLK BR CP PB21H</t>
  </si>
  <si>
    <t>2/0 8-18 NURLN BLK BR CP- PB30</t>
  </si>
  <si>
    <t>2/0 8-18 NURLN BLK BR CP- PCP2</t>
  </si>
  <si>
    <t>3/0 8-18 NURLN BLK BR CP- PCP3</t>
  </si>
  <si>
    <t>3/0 8-18 NURLN BLK BR CP- PCP4</t>
  </si>
  <si>
    <t>4/0 8-18 NURLN BLK BR TF PCP50</t>
  </si>
  <si>
    <t>4/0 8-18 NURLN BLK BR TF PCR1</t>
  </si>
  <si>
    <t>1 3-18 NURLN BLK BR OS-8 PCR2</t>
  </si>
  <si>
    <t>1 3-18 NURLN BLK BR OS-8 PDP11</t>
  </si>
  <si>
    <t>0 8-18 PROL BL MONO CTX PDP117</t>
  </si>
  <si>
    <t>0 8-18 PROL BL MONO CTX PDP123</t>
  </si>
  <si>
    <t>0 8-18 PROL BL MONO CT-1 PDP12</t>
  </si>
  <si>
    <t>2/0 8-18 PROL BL MONO CT- PDP1</t>
  </si>
  <si>
    <t>2/0 8-18 PROL BL MONO CT- PDP2</t>
  </si>
  <si>
    <t>0 8-18 PROL BL MONO CT-2 PDP30</t>
  </si>
  <si>
    <t>0 8-18 PROL BL MONO MO-7 PDP30</t>
  </si>
  <si>
    <t>0 8-18 PROL BL MONO MO-7 PDP31</t>
  </si>
  <si>
    <t>0 8-18 PROL BL MONO MO-6 PDP31</t>
  </si>
  <si>
    <t xml:space="preserve">SUTURE DISPENSER RACK STORAGE </t>
  </si>
  <si>
    <t>1 8-18 CHROMIC GUT MO-4 PDP320</t>
  </si>
  <si>
    <t>1 8-18 CHROMIC GUT MO-4 PDP332</t>
  </si>
  <si>
    <t>0 8-18 CHROMIC GUT MO-4 PDP333</t>
  </si>
  <si>
    <t>0 8-18 CHROMIC GUT MO-4 PDP334</t>
  </si>
  <si>
    <t>1 8-18 CHROMIC GUT MO-5 PDP338</t>
  </si>
  <si>
    <t>1 8-18 CHROMIC GUT MO-5 PDP339</t>
  </si>
  <si>
    <t>0 8-18 CHROMIC GUT MO-5 PDP340</t>
  </si>
  <si>
    <t>0 8-18 CHROMIC GUT MO-5 PDP341</t>
  </si>
  <si>
    <t>1 8-27 CHROMIC GUT MO-4 PDP346</t>
  </si>
  <si>
    <t>1 8-27 CHROMIC GUT MO-4 PDP347</t>
  </si>
  <si>
    <t>1 8-18 CHROMIC GUT CT-1 PDP352</t>
  </si>
  <si>
    <t>1 8-18 CHROMIC GUT CT-1 PDP353</t>
  </si>
  <si>
    <t>0 8-18 CHROMIC GUT CT-1 PDP357</t>
  </si>
  <si>
    <t>0 8-18 CHROMIC GUT CT-1 PDP358</t>
  </si>
  <si>
    <t>3/0 8-18 PL GUT CT PDP359T</t>
  </si>
  <si>
    <t>3/0 8-18 PL GUT CT PDP370T</t>
  </si>
  <si>
    <t>2/0 8-18 ETH EXC GR BR SH PDP3</t>
  </si>
  <si>
    <t>2/0 8-18 ETH EXC GR BR SH PDP4</t>
  </si>
  <si>
    <t>3/0 8-18 ETH EXC GR BR SH PDP4</t>
  </si>
  <si>
    <t>4/0 8-18 ETH EXC GR BR SH PDP4</t>
  </si>
  <si>
    <t>0 8-18 ETH EXC GR BR CT-1 PDP4</t>
  </si>
  <si>
    <t>2/0 8-18 ETH EXC GR BR CT PDP4</t>
  </si>
  <si>
    <t>0 8-18 ETH EXC GR BR CT-2 PDP4</t>
  </si>
  <si>
    <t>1 8-18 ETH EXC GR BR CTX PDP48</t>
  </si>
  <si>
    <t>0 8-18 ETH EXC GR BR CTX PDP49</t>
  </si>
  <si>
    <t>0 8-18 ETH EXC GR BR MO-7 PDP4</t>
  </si>
  <si>
    <t>2/0 8-18 ETH EXC GR BR MO PDP4</t>
  </si>
  <si>
    <t>2/0 8-18 ETH EXC GR BR MO PDP5</t>
  </si>
  <si>
    <t>0 8-18 ETH EXC GR BR MO-6 PDP5</t>
  </si>
  <si>
    <t>0 3-18 ETH EXC GR BR OS-2 PDP5</t>
  </si>
  <si>
    <t>1 3-18 ETH EXC GR BR OS-2 PDP5</t>
  </si>
  <si>
    <t>1 3-18 ETH EXC GR BR OS-2 PDP6</t>
  </si>
  <si>
    <t>7 18in MONO PDP663H</t>
  </si>
  <si>
    <t>7 18in MONO PDP682G</t>
  </si>
  <si>
    <t>5 18in MONO PDP683G</t>
  </si>
  <si>
    <t>5 18in MONO PDP695H</t>
  </si>
  <si>
    <t>4 18in MONO PDP823G</t>
  </si>
  <si>
    <t>4 18in MONO PDP824G</t>
  </si>
  <si>
    <t>3 18in MONO PDP833G</t>
  </si>
  <si>
    <t>3 18in MONO PDP844G</t>
  </si>
  <si>
    <t>2 18in MONO PDP845G</t>
  </si>
  <si>
    <t>2 18in MONO PDP877G</t>
  </si>
  <si>
    <t>1 18in MONO PDP879G</t>
  </si>
  <si>
    <t>1 18in MONO PDP880G</t>
  </si>
  <si>
    <t>SIZE 0 MONO STEEL PDP881G</t>
  </si>
  <si>
    <t>SIZE 0 MONO STEEL PDP968H</t>
  </si>
  <si>
    <t>2/0 MONO PDP969H</t>
  </si>
  <si>
    <t>2/0 MONO PDP970H</t>
  </si>
  <si>
    <t>3/0 MONO STEEL PDP990G</t>
  </si>
  <si>
    <t>3/0 MONO STEEL PDP991G</t>
  </si>
  <si>
    <t>4/0 MONO STEEL PDPB316H</t>
  </si>
  <si>
    <t>4/0 MONO STEEL PDPB317H</t>
  </si>
  <si>
    <t>5/0 MONO STEEL PDPB332H</t>
  </si>
  <si>
    <t>5/0 MONO STEEL PDPB333H</t>
  </si>
  <si>
    <t>BONE WAX (BULK) PDPB339H</t>
  </si>
  <si>
    <t>PROLENE BLU 36IN(90CM) USP3-0(</t>
  </si>
  <si>
    <t>PROLENE BLU 60CM M0.7 USP6/0 D</t>
  </si>
  <si>
    <t>PROLENE BLU 75CM M0.7 USP6/0 D</t>
  </si>
  <si>
    <t>PROLENE BLU 75CM M0.5 USP7/0 D</t>
  </si>
  <si>
    <t>PROLENE BLU 45CM M0.7 USP6/0 D</t>
  </si>
  <si>
    <t>PROLENE BLU 45CM M0.4 USP8/0 D</t>
  </si>
  <si>
    <t>PROLENE BLU 60CM M0.4 USP8/0 D</t>
  </si>
  <si>
    <t>PROLENE BLU 45CM M0.5 USP7/0 D</t>
  </si>
  <si>
    <t>PROLENE BLU 60CM M0.5 USP7/0 D</t>
  </si>
  <si>
    <t>PROLENE BLU 75CM M0.4 USP8/0 D</t>
  </si>
  <si>
    <t>PROLENE BLU 75CM M0.7 USP6/0 S</t>
  </si>
  <si>
    <t xml:space="preserve">PROLENE HEMO BLU 75CM M1 EVPT </t>
  </si>
  <si>
    <t xml:space="preserve">PROLENE HEMO BLU 90CM M1 EVPT </t>
  </si>
  <si>
    <t xml:space="preserve">PROLENE HEMO BLU 60CM M1 EVPT </t>
  </si>
  <si>
    <t>PROLENE BLU 2X60CM M0.7 USP6/0</t>
  </si>
  <si>
    <t>PROLENE BLU 2X75CM M0.7 USP6/0</t>
  </si>
  <si>
    <t>PROLENE BLU 4X60CM M0.7 USP6/0</t>
  </si>
  <si>
    <t>PROLENE BLU 4X45CM USP7/0 DBLE</t>
  </si>
  <si>
    <t>PROLENE BLU 4X60CM USP7/0 DBLE</t>
  </si>
  <si>
    <t>PROLENE BLU 4X75CM USP7/0 DBLE</t>
  </si>
  <si>
    <t>7-0 4-24in PROLENE BLU MONO DA</t>
  </si>
  <si>
    <t>PROLENE BLU 4X75CM M0.7 USP6/0</t>
  </si>
  <si>
    <t>PROLENE BLU 4X45CM M0.7 USP6/0</t>
  </si>
  <si>
    <t>PROLENE BLU 4X60CM M0.5 USP7/0</t>
  </si>
  <si>
    <t>PROLENE BLU 4X45CM M0.4 USP8/0</t>
  </si>
  <si>
    <t>PROLENE BLU 4X75CM M0.5 USP7/0</t>
  </si>
  <si>
    <t>PROLENE BLU 4X60CM M0.4 USP8/0</t>
  </si>
  <si>
    <t>PROLENE BLU 2X75CM M0.5 USP7/0</t>
  </si>
  <si>
    <t>PROLENE BLU 4X45CM M0.5 USP7/0</t>
  </si>
  <si>
    <t>PROLENE BLU 2X45CM M0.5 USP7/0</t>
  </si>
  <si>
    <t>7-0 2-24in PROLENE BLU MONO DA</t>
  </si>
  <si>
    <t>PROLENE BLU 2X45CM M0.4 USP8/0</t>
  </si>
  <si>
    <t>PROLENE BLU 2X60CM M0.4 USP8/0</t>
  </si>
  <si>
    <t>PROLENE BLU 2X60CM M0.5 USP7/0</t>
  </si>
  <si>
    <t>7-0 4-30in PROLENE BLU MONO DA</t>
  </si>
  <si>
    <t>PROLENE BLU 2X75CM M0.4 USP8/0</t>
  </si>
  <si>
    <t>4/0 27 CHROMIC GUT SH SXMP1B43</t>
  </si>
  <si>
    <t>3/0 27 CHROMIC GUT SH SXP02</t>
  </si>
  <si>
    <t>3/0 27 CHROMIC GUT SH SXP07</t>
  </si>
  <si>
    <t>2/0 27 CHROMIC GUT SH SXP22</t>
  </si>
  <si>
    <t>2/0 27 CHROMIC GUT SH SXP52</t>
  </si>
  <si>
    <t>0 27 CHROMIC GUT SH SXP54</t>
  </si>
  <si>
    <t>0 27 CHROMIC GUT SH SXP76</t>
  </si>
  <si>
    <t>3/0 27 CHROMIC GUT MH SXP77</t>
  </si>
  <si>
    <t>3/0 27 CHROMIC GUT MH SXP82</t>
  </si>
  <si>
    <t>2/0 27 CHROMIC GUT MH SXP86</t>
  </si>
  <si>
    <t>2/0 27 CHROMIC GUT MH SXPD2B20</t>
  </si>
  <si>
    <t>0 27 CHROMIC GUT MH SXPD2B201</t>
  </si>
  <si>
    <t>0 27 CHROMIC GUT MH SXPD2B202</t>
  </si>
  <si>
    <t>2/0 27 CHROMIC GUT LH SXPD2B40</t>
  </si>
  <si>
    <t>3/0 36 CHROMIC GUT SH/ST- SXPD</t>
  </si>
  <si>
    <t>3/0 36 CHROMIC GUT SH SXPD2B40</t>
  </si>
  <si>
    <t>2/0 36 CHROMIC GUT SH SXPD2B40</t>
  </si>
  <si>
    <t>4/0 27 CHROMIC GUT SH-1 SXPD2B</t>
  </si>
  <si>
    <t>3/0 27 CHROMIC GUT SH-1 SXPD2B</t>
  </si>
  <si>
    <t>4/0 27 PL GUT SH SXPD2B412</t>
  </si>
  <si>
    <t>4/0 27 PL GUT SH SXPD2B413</t>
  </si>
  <si>
    <t>3/0 27 PL GUT SH SXPD2B414</t>
  </si>
  <si>
    <t>3/0 27 PL GUT SH SXPD2B415</t>
  </si>
  <si>
    <t>5/0 18 ETHLN GR MONO PS-2 SXPD</t>
  </si>
  <si>
    <t>4/0 18 ETHLN GR MONO PS-2 SXPD</t>
  </si>
  <si>
    <t>5/0 18 ETHLN GR MONO P-1 SXPD2</t>
  </si>
  <si>
    <t>6/0 18 ETHLN GR MONO P-3 SXPD2</t>
  </si>
  <si>
    <t>6/0 18 ETHLN GR MONO P-1 SXPD2</t>
  </si>
  <si>
    <t>5/0 18 ETHLN GR MONO P-3 SXPD2</t>
  </si>
  <si>
    <t>5/0 18 ETHLN GR MONO P-3 SXPL1</t>
  </si>
  <si>
    <t>1 60 CHROMIC GUT TP-1 SXPL2B40</t>
  </si>
  <si>
    <t>2 60 CHROMIC GUT TP-1 SXPP1A10</t>
  </si>
  <si>
    <t>3/0 27 PL GUT FS-1 SXPP1A200</t>
  </si>
  <si>
    <t>3/0 27 PL GUT FS-1 SXPP1A201</t>
  </si>
  <si>
    <t>5/0 27 PL GUT FS-2 SXPP1A202</t>
  </si>
  <si>
    <t>5/0 27 PL GUT FS-2 SXPP1A203</t>
  </si>
  <si>
    <t>4/0 27 PL GUT FS-2 SXPP1A204</t>
  </si>
  <si>
    <t>4/0 27 PL GUT FS-2 SXPP1A205</t>
  </si>
  <si>
    <t>3/0 27 PL GUT FS-2 SXPP1A300</t>
  </si>
  <si>
    <t>3/0 27 PL GUT FS-2 SXPP1A301</t>
  </si>
  <si>
    <t>2/0 27 PL GUT FS-1 SXPP1A302</t>
  </si>
  <si>
    <t>2/0 27 PL GUT FS-1 SXPP1A303</t>
  </si>
  <si>
    <t>PROLENE HEMO BLU 90CM M2 USP3/</t>
  </si>
  <si>
    <t>PROLENE HEMO BLU 90CM M1.5 USP</t>
  </si>
  <si>
    <t>PROLENE HEMO BLU 75CM M1 USP5/</t>
  </si>
  <si>
    <t>PROLENE HEMO BLU 90CM M1 USP5/</t>
  </si>
  <si>
    <t>4/0 12-18 CTD VIC VIO BR SXPP1</t>
  </si>
  <si>
    <t>3/0 12-18 CTD VIC VIO BR SXPP1</t>
  </si>
  <si>
    <t>2/0 12-18 CTD VIC VIO BR SXPP1</t>
  </si>
  <si>
    <t>0 6-18 CTD VIC VIO BR SXPP1A41</t>
  </si>
  <si>
    <t>4/0 12-18 CTD VIC UND BR SXPP1</t>
  </si>
  <si>
    <t>3/0 12-18 CTD VIC UND BR SXPP1</t>
  </si>
  <si>
    <t>2/0 12-18 CTD VIC UND BR SXPP1</t>
  </si>
  <si>
    <t>0 6-18 CTD VIC UND BR SXPP1A42</t>
  </si>
  <si>
    <t>1 6-18 CTD VIC UND BR SXPP1A42</t>
  </si>
  <si>
    <t>2 27 CTD VIC UND BR CP SXPP1A4</t>
  </si>
  <si>
    <t>1 27 CTD VIC UND BR CP SXPP1A4</t>
  </si>
  <si>
    <t>4/0 54 CTD VIC VIO BR SXPP1A43</t>
  </si>
  <si>
    <t>3/0 54 CTD VIC VIO BR SXPP1A43</t>
  </si>
  <si>
    <t>2/0 54 CTD VIC VIO BR SXPP1A43</t>
  </si>
  <si>
    <t>0 54 CTD VIC VIO BR SXPP1A437</t>
  </si>
  <si>
    <t>0 54 CTD VIC VIO BR SXPP1A438</t>
  </si>
  <si>
    <t>1 54 CTD VIC VIO BR SXPP1A439</t>
  </si>
  <si>
    <t>1 54 CTD VIC VIO BR SXPP1A440</t>
  </si>
  <si>
    <t>6/0 27 CTD VIC UND BR RB- SXPP</t>
  </si>
  <si>
    <t>5/0 27 CTD VIC UND BR RB- SXPP</t>
  </si>
  <si>
    <t>4/0 27 CTD VIC UND BR RB- SXPP</t>
  </si>
  <si>
    <t>3/0 27 CTD VIC UND BR RB- SXPP</t>
  </si>
  <si>
    <t>4/0 27 CTD VIC UND BR SH- SXPP</t>
  </si>
  <si>
    <t>3/0 27 CTD VIC UND BR SH- SXPP</t>
  </si>
  <si>
    <t>3/0 27 CTD VIC UND BR CT- SXPP</t>
  </si>
  <si>
    <t>2/0 27 CTD VIC UND BR CT- SXPP</t>
  </si>
  <si>
    <t>0 27 CTD VIC UND BR SXPP1B112</t>
  </si>
  <si>
    <t>0 27 CTD VIC UND BR SXPP1B113</t>
  </si>
  <si>
    <t>1 27 CTD VIC UND BR CT-1 SXPP1</t>
  </si>
  <si>
    <t>2/0 27 CTD VIC UND BR CP- SXPP</t>
  </si>
  <si>
    <t>0 27 CTD VIC UND BR CP-1 SXPP1</t>
  </si>
  <si>
    <t>1 27 CTD VIC UND BR CP-1 SXPP1</t>
  </si>
  <si>
    <t>0 27 CTD VIC UND BR CT-2 SXPP1</t>
  </si>
  <si>
    <t>2/0 27 CTD VIC UND BR CT SXPP1</t>
  </si>
  <si>
    <t>0 27 CTD VIC UND BR CT SXPP1B4</t>
  </si>
  <si>
    <t>1 27 CTD VIC UND BR CT SXPP1B4</t>
  </si>
  <si>
    <t>5/0 54 CTD VIC UND BR SXPP1B40</t>
  </si>
  <si>
    <t>4/0 54 CTD VIC UND BR SXPP1B40</t>
  </si>
  <si>
    <t>4/0 54 CTD VIC UND BR SXPP1B41</t>
  </si>
  <si>
    <t>3/0 54 CTD VIC UND BR SXPP1B41</t>
  </si>
  <si>
    <t>2/0 54 CTD VIC UND BR SXPP1B41</t>
  </si>
  <si>
    <t>0 54 CTD VIC UND BR SXPP1B415</t>
  </si>
  <si>
    <t>0 54 CTD VIC UND BR SXPP1B416</t>
  </si>
  <si>
    <t>5/0 27 CTD VIC VIO BR RB- SXPP</t>
  </si>
  <si>
    <t>4/0 27 CTD VIC VIO BR RB- SXPP</t>
  </si>
  <si>
    <t>3/0 27 CTD VIC VIO BR RB- SXPP</t>
  </si>
  <si>
    <t>2/0 27 CTD VIC VIO BR RB- SXPP</t>
  </si>
  <si>
    <t>4/0 27 CTD VIC VIO BR SH- SXPP</t>
  </si>
  <si>
    <t>3/0 27 CTD VIC VIO BR SH- SXPP</t>
  </si>
  <si>
    <t>4/0 27 CTD VIC VIO BR SH SXPP1</t>
  </si>
  <si>
    <t>3/0 27 CTD VIC VIO BR SH SXPP1</t>
  </si>
  <si>
    <t>2/0 27 CTD VIC VIO BR SH SXPP1</t>
  </si>
  <si>
    <t>3/0 27 CTD VIC VIO BR MH SXPP1</t>
  </si>
  <si>
    <t>2/0 27 CTD VIC VIO BR MH SXPP1</t>
  </si>
  <si>
    <t>3/0 27 CTD VIC VIO BR CT3 SXPP</t>
  </si>
  <si>
    <t>2/0 27 CTD VIC VIO BR CT3 SXPP</t>
  </si>
  <si>
    <t>0 27 CTD VIC VIO BR CT3/F SXX4</t>
  </si>
  <si>
    <t>0 27 CTD VIC VIO BR CT3/F SXX5</t>
  </si>
  <si>
    <t>3/0 27 CTD VIC VIO BR CT- SXX5</t>
  </si>
  <si>
    <t>2/0 27 CTD VIC VIO BR CT- SXX8</t>
  </si>
  <si>
    <t>2/0 27 CTD VIC VIO BR CT- TPW1</t>
  </si>
  <si>
    <t>0 27 CTD VIC VIO BR CT-2 TPW20</t>
  </si>
  <si>
    <t>0 27 CTD VIC VIO BR CT-2 TPW30</t>
  </si>
  <si>
    <t>1 27 CTD VIC VIO BR CT-2 TPW32</t>
  </si>
  <si>
    <t>1 27 CTD VIC VIO BR CT-2 TPW40</t>
  </si>
  <si>
    <t>4/0 27 CTD VIC VIO BR CT- TPW4</t>
  </si>
  <si>
    <t>4/0 27 CTD VIC VIO BR CT- TPW5</t>
  </si>
  <si>
    <t>3/0 27 CTD VIC VIO BR CT- TPW5</t>
  </si>
  <si>
    <t>3/0 27 CTD VIC VIO BR CT- TPW6</t>
  </si>
  <si>
    <t>2/0 27 CTD VIC VIO BR CT- TPW7</t>
  </si>
  <si>
    <t>0 27 CTD VIC VIO BR TPW80</t>
  </si>
  <si>
    <t>0 27 CTD VIC VIO BR TPW90</t>
  </si>
  <si>
    <t>1 27 CTD VIC VIO BR CT-1 TPW92</t>
  </si>
  <si>
    <t>1 27 CTD VIC VIO BR CT-1 U10T</t>
  </si>
  <si>
    <t>3/0 36 CTD VIC VIO BR CT- U11T</t>
  </si>
  <si>
    <t>3/0 36 CTD VIC VIO BR CT- U12T</t>
  </si>
  <si>
    <t>2/0 36 CTD VIC VIO BR CT- U15G</t>
  </si>
  <si>
    <t>2/0 36 CTD VIC VIO BR CT- U16G</t>
  </si>
  <si>
    <t>0 36 CTD VIC VIO BR U202H</t>
  </si>
  <si>
    <t>0 36 CTD VIC VIO BR U203H</t>
  </si>
  <si>
    <t>1 36 CTD VIC VIO BR CT-1 U204H</t>
  </si>
  <si>
    <t>1 36 CTD VIC VIO BR CT-1 U207H</t>
  </si>
  <si>
    <t>2/0 27 CTD VIC VIO BR CT U213H</t>
  </si>
  <si>
    <t>2/0 27 CTD VIC VIO BR CT U233H</t>
  </si>
  <si>
    <t>0 27 CTD VIC VIO BR CT U245H</t>
  </si>
  <si>
    <t>0 27 CTD VIC VIO BR CT U246H</t>
  </si>
  <si>
    <t>1 27 CTD VIC VIO BR CT U255H</t>
  </si>
  <si>
    <t>1 27 CTD VIC VIO BR CT U256H</t>
  </si>
  <si>
    <t>3/0 36 CTD VIC VIO BR CT V402G</t>
  </si>
  <si>
    <t>3/0 36 CTD VIC VIO BR CT V448G</t>
  </si>
  <si>
    <t>2/0 36 CTD VIC VIO BR CT V449G</t>
  </si>
  <si>
    <t>2/0 36 CTD VIC VIO BR CT V450G</t>
  </si>
  <si>
    <t>0 36 CTD VIC VIO BR CT V549G</t>
  </si>
  <si>
    <t>0 36 CTD VIC VIO BR CT V950G</t>
  </si>
  <si>
    <t>1 36 CTD VIC VIO BR CT V960G</t>
  </si>
  <si>
    <t>1 36 CTD VIC VIO BR CT V966G</t>
  </si>
  <si>
    <t>2/0 27 CTD VIC VIO BR CTX V980</t>
  </si>
  <si>
    <t>2/0 27 CTD VIC VIO BR CTX VCP1</t>
  </si>
  <si>
    <t>0 27 CTD VIC VIO BR CTX VCP104</t>
  </si>
  <si>
    <t>0 27 CTD VIC VIO BR CTX VCP105</t>
  </si>
  <si>
    <t>1 27 CTD VIC VIO BR CTX VCP106</t>
  </si>
  <si>
    <t>1 27 CTD VIC VIO BR CTX VCP107</t>
  </si>
  <si>
    <t>2/0 36 CTD VIC VIO BR CTX VCP1</t>
  </si>
  <si>
    <t>0 36 CTD VIC VIO BR CTX VCP111</t>
  </si>
  <si>
    <t>0 36 CTD VIC VIO BR CTX VCP112</t>
  </si>
  <si>
    <t>1 36 CTD VIC VIO BR CTX VCP195</t>
  </si>
  <si>
    <t>1 36 CTD VIC VIO BR CTX VCP196</t>
  </si>
  <si>
    <t>2/0 27 CTD VIC VIO BR UR- VCP1</t>
  </si>
  <si>
    <t>2/0 27 CTD VIC VIO BR UR- VCP2</t>
  </si>
  <si>
    <t>0 27 CTD VIC VIO BR UR-5 VCP20</t>
  </si>
  <si>
    <t>0 27 CTD VIC VIO BR UR-4 VCP21</t>
  </si>
  <si>
    <t>5/0 18 CTD VIC VIO BR C-3 VCP2</t>
  </si>
  <si>
    <t>4/0 18 CTD VIC VIO BR C-3 VCP2</t>
  </si>
  <si>
    <t>5/0 18 CTD VIC VIO BR FS- VCP2</t>
  </si>
  <si>
    <t>4/0 18 CTD VIC VIO BR FS- VCP2</t>
  </si>
  <si>
    <t>3/0 18 VIC VIO BR FS-2 VCP265H</t>
  </si>
  <si>
    <t>3/0 18 VIC VIO BR FS-2 VCP266H</t>
  </si>
  <si>
    <t>8/0 5 CTD VIC VIO BR BV13 VCP2</t>
  </si>
  <si>
    <t>8/0 9 CTD VIC VIO BR V130 VCP2</t>
  </si>
  <si>
    <t>4/0 27 CTD VIC UND BR SH VCP28</t>
  </si>
  <si>
    <t>3/0 27 CTD VIC UND BR SH VCP28</t>
  </si>
  <si>
    <t>3/0 27 CTD VIC UND BR SH VCP30</t>
  </si>
  <si>
    <t>2/0 27 CTD VIC UND BR SH VCP30</t>
  </si>
  <si>
    <t>0 27 CTD VIC UND BR SH VCP306H</t>
  </si>
  <si>
    <t>0 27 CTD VIC UND BR SH VCP310H</t>
  </si>
  <si>
    <t>5/0 27 CTD VIC UND BR FS- VCP3</t>
  </si>
  <si>
    <t>4/0 27 CTD VIC UND BR FS- VCP3</t>
  </si>
  <si>
    <t>3/0 27 CTD VIC UND BR FS- VCP3</t>
  </si>
  <si>
    <t>4/0 27 CTD VIC UND BR PS- VCP3</t>
  </si>
  <si>
    <t>3/0 27 CTD VIC UND BR PS- VCP3</t>
  </si>
  <si>
    <t>2/0 27 CTD VIC UND BR PS- VCP3</t>
  </si>
  <si>
    <t>0 3-27 CTD VIC VIO BR CT- VCP3</t>
  </si>
  <si>
    <t>5/0 27 CTD VIC UND BR TF VCP33</t>
  </si>
  <si>
    <t>5/0 27 CTD VIC UND BR TF VCP34</t>
  </si>
  <si>
    <t>4/0 27 CTD VIC UND BR TF VCP34</t>
  </si>
  <si>
    <t>0 27 CTD VIC VIO BR MO-4 VCP34</t>
  </si>
  <si>
    <t>1 27 CTD VIC VIO BR MO-4 VCP34</t>
  </si>
  <si>
    <t>1 27 CTD VIC VIO BR MO-4 VCP35</t>
  </si>
  <si>
    <t>2/0 27 CTD VIC UND BR FS- VCP3</t>
  </si>
  <si>
    <t>6/0 12 CTD VIC VIO BR VCP363H</t>
  </si>
  <si>
    <t>6/0 12 CTD VIC VIO BR VCP364H</t>
  </si>
  <si>
    <t>4/0 27 CTD VIC VIO BR FS- VCP3</t>
  </si>
  <si>
    <t>4/0 27 CTD VIC UND BR J-1 VCP3</t>
  </si>
  <si>
    <t>3/0 27 CTD VIC UND BR X-1 VCP3</t>
  </si>
  <si>
    <t>2/0 27 CTD VIC UND BR X-1 VCP3</t>
  </si>
  <si>
    <t>3/0 27 CTD VIC VIO BR X-1 VCP3</t>
  </si>
  <si>
    <t>3/0 27 CTD VIC VIO BR X-1 VCP4</t>
  </si>
  <si>
    <t>2/0 27 CTD VIC VIO BR X-1 VCP4</t>
  </si>
  <si>
    <t>5/0 18 CTD VIC VIO BR P-3 VCP4</t>
  </si>
  <si>
    <t>4/0 18 CTD VIC VIO BR P-3 VCP4</t>
  </si>
  <si>
    <t>2/0 27 CTD VIC VIO BR CP- VCP4</t>
  </si>
  <si>
    <t>0 27 CTD VIC VIO BR CP-1 VCP42</t>
  </si>
  <si>
    <t>0 27 CTD VIC VIO BR CP-1 VCP43</t>
  </si>
  <si>
    <t>1 27 CTD VIC VIO BR CP-1 VCP43</t>
  </si>
  <si>
    <t>3/0 36 CTD VIC VIO BR CP- VCP4</t>
  </si>
  <si>
    <t>2/0 36 CTD VIC VIO BR CP- VCP4</t>
  </si>
  <si>
    <t>0 36 CTD VIC VIO BR CP-1 VCP45</t>
  </si>
  <si>
    <t>1 36 CTD VIC VIO BR CP-1 VCP45</t>
  </si>
  <si>
    <t>0 27 CTD VIC VIO BR CP VCP460H</t>
  </si>
  <si>
    <t>0 27 CTD VIC VIO BR CP VCP463G</t>
  </si>
  <si>
    <t>1 27 CTD VIC VIO BR CP VCP464G</t>
  </si>
  <si>
    <t>1 27 CTD VIC VIO BR CP VCP466H</t>
  </si>
  <si>
    <t>0 36 CTD VIC VIO BR CP VCP467H</t>
  </si>
  <si>
    <t>0 36 CTD VIC VIO BR CP VCP468H</t>
  </si>
  <si>
    <t>1 36 CTD VIC VIO BR CP VCP472H</t>
  </si>
  <si>
    <t>1 36 CTD VIC VIO BR CP VCP474H</t>
  </si>
  <si>
    <t>7/0 18 CTD VIC UND BR P-1 VCP4</t>
  </si>
  <si>
    <t>6/0 18 CTD VIC UND BR P-1 VCP4</t>
  </si>
  <si>
    <t>5/0 18 CTD VIC UND BR P-1 VCP4</t>
  </si>
  <si>
    <t>6/0 18 CTD VIC UND BR P-3 VCP4</t>
  </si>
  <si>
    <t>5/0 18 CTD VIC UND BR P-3 VCP4</t>
  </si>
  <si>
    <t>4/0 18 CTD VIC UND BR P-3 VCP5</t>
  </si>
  <si>
    <t>5/0 18 CTD VIC UND BR PS- VCP5</t>
  </si>
  <si>
    <t>4/0 18 CTD VIC UND BR PS- VCP5</t>
  </si>
  <si>
    <t>3/0 18 CTD VIC UND BR PS- VCP5</t>
  </si>
  <si>
    <t>6/0 18 CTD VIC UND BR PS- VCP5</t>
  </si>
  <si>
    <t>3/0 27 CTD VIC UND BR PSL VCP5</t>
  </si>
  <si>
    <t>5/0 18 CTD VIC UND BR P-2 VCP5</t>
  </si>
  <si>
    <t>5/0 18 CTD VIC UND BR P-2 VCP6</t>
  </si>
  <si>
    <t>4/0 18 CTD VIC UND BR P-2 VCP6</t>
  </si>
  <si>
    <t>5/0 18 CTD VIC UND BR VCP608H</t>
  </si>
  <si>
    <t>5/0 18 CTD VIC UND BR VCP615H</t>
  </si>
  <si>
    <t>4/0 18 CTD VIC UND BR PS- VCP6</t>
  </si>
  <si>
    <t>6/0 18 CTD VIC UND BR VCP618H</t>
  </si>
  <si>
    <t>6/0 18 CTD VIC UND BR VCP634T</t>
  </si>
  <si>
    <t>5/0 18 CTD VIC UND BR VCP635T</t>
  </si>
  <si>
    <t>5/0 18 CTD VIC UND BR VCP636T</t>
  </si>
  <si>
    <t>3/0 36 CTD VIC VIO BR V-3 VCP6</t>
  </si>
  <si>
    <t>2/0 36 CTD VIC VIO BR V-3 VCP6</t>
  </si>
  <si>
    <t>0 36 CTD VIC VIO BR V-34 VCP66</t>
  </si>
  <si>
    <t>1 36 CTD VIC VIO BR V-34 VCP68</t>
  </si>
  <si>
    <t>3/0 27 CTD VIC VIO BR KS VCP68</t>
  </si>
  <si>
    <t>3/0 36 CTD VIC VIO BR SH VCP69</t>
  </si>
  <si>
    <t>3/0 54 CTD VIC VIO BR CT- VCP6</t>
  </si>
  <si>
    <t>2/0 54 CTD VIC VIO BR CT- VCP7</t>
  </si>
  <si>
    <t>2/0 27 CTD VIC UND BR OS- VCP7</t>
  </si>
  <si>
    <t>0 27 CTD VIC UND BR OS-6 VCP70</t>
  </si>
  <si>
    <t>0 27 CTD VIC UND BR OS-6 VCP71</t>
  </si>
  <si>
    <t>1 27 CTD VIC UND BR OS-6 VCP71</t>
  </si>
  <si>
    <t>6/0 18 CTD VIC VIO BR TG1 VCP7</t>
  </si>
  <si>
    <t>7/0 18 CTD VIC VIO BR TG1 VCP7</t>
  </si>
  <si>
    <t>8/0 8 CTD VIC VIO BR TG14 VCP7</t>
  </si>
  <si>
    <t>8/0 12 CTD VIC VIO BR TG1 VCP7</t>
  </si>
  <si>
    <t>6/0 18 CTD VIC VIO BR G-6 VCP7</t>
  </si>
  <si>
    <t>6/0 12 CTD VIC VIO BR VCP739D</t>
  </si>
  <si>
    <t>6/0 12 CTD VIC VIO BR VCP740D</t>
  </si>
  <si>
    <t>5/0 12 CTD VIC VIO BR VCP741D</t>
  </si>
  <si>
    <t>5/0 12 CTD VIC VIO BR VCP743D</t>
  </si>
  <si>
    <t>6/0 18 CTD VIC VIO BR S-2 VCP7</t>
  </si>
  <si>
    <t>6/0 12 CTD VIC VIO BR S-2 VCP7</t>
  </si>
  <si>
    <t>7/0 12 CTD VIC VIO BR TG1 VCP7</t>
  </si>
  <si>
    <t>0 27 CTD VIC UND BR CPX VCP757</t>
  </si>
  <si>
    <t>0 27 CTD VIC UND BR CPX VCP761</t>
  </si>
  <si>
    <t>1 27 CTD VIC UND BR CPX VCP762</t>
  </si>
  <si>
    <t>1 27 CTD VIC UND BR CPX VCP764</t>
  </si>
  <si>
    <t>6/0 18 CTD VIC VIO BR S-1 VCP7</t>
  </si>
  <si>
    <t>5/0 18 CTD VIC VIO BR S-1 VCP7</t>
  </si>
  <si>
    <t>8/0 8 CTD VIC VIO BR TG16 VCP7</t>
  </si>
  <si>
    <t>6/0 8 CTD VIC VIO BR VCP790D</t>
  </si>
  <si>
    <t>6/0 8 CTD VIC VIO BR VCP801D</t>
  </si>
  <si>
    <t>5/0 8 CTD VIC VIO BR VCP822G</t>
  </si>
  <si>
    <t>5/0 8 CTD VIC VIO BR VCP823G</t>
  </si>
  <si>
    <t>2/0 27 CTD VIC VIO BR XLH VCP8</t>
  </si>
  <si>
    <t>0 27 CTD VIC VIO BR XLH VCP834</t>
  </si>
  <si>
    <t>0 27 CTD VIC VIO BR XLH VCP835</t>
  </si>
  <si>
    <t>1 27 CTD VIC VIO BR XLH VCP838</t>
  </si>
  <si>
    <t>1 27 CTD VIC VIO BR XLH VCP839</t>
  </si>
  <si>
    <t>3/0 27 CTD VIC UND BR FSL VCP8</t>
  </si>
  <si>
    <t>2/0 27 CTD VIC UND BR FSL VCP8</t>
  </si>
  <si>
    <t>6/0 8 CTD VIC VIO BR S-14 VCP8</t>
  </si>
  <si>
    <t>5/0 8 CTD VIC VIO BR S-14 VCP8</t>
  </si>
  <si>
    <t>5/0 18 CTD VIC UND BR PS- VCP8</t>
  </si>
  <si>
    <t>4/0 18 CTD VIC UND BR VCP880T</t>
  </si>
  <si>
    <t>4/0 18 CTD VIC UND BR VCP885G</t>
  </si>
  <si>
    <t>2/0 27 CTD VIC UND BR PSL VCP9</t>
  </si>
  <si>
    <t>8/0 12 CTD VIC VIO BR TG1 VCP9</t>
  </si>
  <si>
    <t>2/0 27 CTD VIC VIO BR UR- VCP9</t>
  </si>
  <si>
    <t>0 27 CTD VIC VIO BR UR-6 VCP94</t>
  </si>
  <si>
    <t>3/0 54 CTD VIC UND BR VCP946H</t>
  </si>
  <si>
    <t>3/0 54 CTD VIC UND BR VCP947H</t>
  </si>
  <si>
    <t>2/0 54 CTD VIC UND BR VCP956H</t>
  </si>
  <si>
    <t>2/0 54 CTD VIC UND BR VCP957H</t>
  </si>
  <si>
    <t>0 54 CTD VIC UND BR VCP958H</t>
  </si>
  <si>
    <t>0 54 CTD VIC UND BR VCP959H</t>
  </si>
  <si>
    <t>0 27 CTD VIC VIO BR PSL VCP977</t>
  </si>
  <si>
    <t>0 27 CTD VIC VIO BR PSL VCP978</t>
  </si>
  <si>
    <t>3/0 54 CTD VIC VIO BR VCP979H</t>
  </si>
  <si>
    <t>3/0 54 CTD VIC VIO BR VCP980H</t>
  </si>
  <si>
    <t>2/0 54 CTD VIC VIO BR VCPB259H</t>
  </si>
  <si>
    <t>2/0 54 CTD VIC VIO BR VCPB260H</t>
  </si>
  <si>
    <t>0 54 CTD VIC VIO BR VCPB269H</t>
  </si>
  <si>
    <t>0 54 CTD VIC VIO BR VCPB330H</t>
  </si>
  <si>
    <t>1 54 CTD VIC VIO BR VCPB340H</t>
  </si>
  <si>
    <t>1 54 CTD VIC VIO BR VCPB341H</t>
  </si>
  <si>
    <t>2 54 CTD VIC VIO BR VCPB357H</t>
  </si>
  <si>
    <t>2 54 CTD VIC VIO BR VCPB416H</t>
  </si>
  <si>
    <t>4/0 3-18 CTD VIC VIO BR VCPB41</t>
  </si>
  <si>
    <t>3/0 3-18 CTD VIC VIO BR VCPB65</t>
  </si>
  <si>
    <t>3/0 3-18 CTD VIC VIO BR VCPB72</t>
  </si>
  <si>
    <t>2/0 3-18 CTD VIC VIO BR VCPB72</t>
  </si>
  <si>
    <t>0 3-18 CTD VIC VIO BR VCPB727D</t>
  </si>
  <si>
    <t>0 3-18 CTD VIC VIO BR VCPB739D</t>
  </si>
  <si>
    <t>4/0 3-18 CTD VIC UND BR VCPB74</t>
  </si>
  <si>
    <t>3/0 3-18 CTD VIC UND BR VCPB76</t>
  </si>
  <si>
    <t>3/0 3-18 CTD VIC UND BR VCPB77</t>
  </si>
  <si>
    <t>2/0 3-18 CTD VIC UND BR VCPB83</t>
  </si>
  <si>
    <t>2/0 3-18 CTD VIC UND BR VCPB84</t>
  </si>
  <si>
    <t>0 3-18 CTD VIC UND BR VCPB841D</t>
  </si>
  <si>
    <t>0 3-18 CTD VIC UND BR VCPB864D</t>
  </si>
  <si>
    <t>2 4-27 CTD VIC VIO BR TP- VCPB</t>
  </si>
  <si>
    <t>1 4-27 CTD VIC VIO BR TP- VCPB</t>
  </si>
  <si>
    <t>4/0 18 CTD VIC UND BR PS- VCPB</t>
  </si>
  <si>
    <t>3/0 18 CTD VIC UND BR PS- VCPB</t>
  </si>
  <si>
    <t>3/0 18 CTD VIC UND BR PS- VCPP</t>
  </si>
  <si>
    <t>4/0 27 CTD VIC UND BR KS VCPP4</t>
  </si>
  <si>
    <t>3/0 27 CTD VIC UND BR KS VCPP4</t>
  </si>
  <si>
    <t>3/0 27 CTD VIC UND BR KS VCPP7</t>
  </si>
  <si>
    <t>6/0 18 CTD VIC UND BR S-1 VCPP</t>
  </si>
  <si>
    <t>5/0 18 CTD VIC UND BR S-1 VCPP</t>
  </si>
  <si>
    <t>5/0 18 CTD VIC UND BR S-1 VR16</t>
  </si>
  <si>
    <t>4/0 18 CTD VIC UND BR PS- VR21</t>
  </si>
  <si>
    <t>4/0 18 CTD VIC UND BR PS- VR22</t>
  </si>
  <si>
    <t>4/0 18 CTD VIC UND BR PS- VR41</t>
  </si>
  <si>
    <t>3/0 18 CTD VIC UND BR PS- VR42</t>
  </si>
  <si>
    <t>3/0 18 CTD VIC UND BR PS- VR49</t>
  </si>
  <si>
    <t>2/0 27 CTD VIC UND BR OS- VR49</t>
  </si>
  <si>
    <t>0 27 CTD VIC UND BR OS-4 VR834</t>
  </si>
  <si>
    <t>0 27 CTD VIC UND BR OS-4 VR835</t>
  </si>
  <si>
    <t>1 27 CTD VIC UND BR OS-4 VR844</t>
  </si>
  <si>
    <t>1 27 CTD VIC UND BR OS-4 VR845</t>
  </si>
  <si>
    <t>0 27 CTD VIC UND BR OS-8 VR916</t>
  </si>
  <si>
    <t>0 27 CTD VIC UND BR OS-8 VR917</t>
  </si>
  <si>
    <t>1 27 CTD VIC UND BR OS-8 VR931</t>
  </si>
  <si>
    <t>1 27 CTD VIC UND BR OS-8 VR932</t>
  </si>
  <si>
    <t>2/0 8-18 CTD VIC VIO BR M VR93</t>
  </si>
  <si>
    <t>2/0 8-18 CTD VIC VIO BR M VR94</t>
  </si>
  <si>
    <t>0 8-18 CTD VIC VIO BR MO- VR94</t>
  </si>
  <si>
    <t>0 8-18 CTD VIC VIO BR MO- W31G</t>
  </si>
  <si>
    <t>1 8-18 CTD VIC VIO BR MO- X114</t>
  </si>
  <si>
    <t>1 8-18 CTD VIC VIO BR MO- X182</t>
  </si>
  <si>
    <t>0 3-18 CTD VIC VIO BR OS- X183</t>
  </si>
  <si>
    <t>0 3-18 CTD VIC VIO BR OS- X184</t>
  </si>
  <si>
    <t>1 3-18 CTD VIC VIO BR OS- X185</t>
  </si>
  <si>
    <t>1 3-18 CTD VIC VIO BR OS- X186</t>
  </si>
  <si>
    <t>2/0 3-18 CTD VIC VIO BR O X190</t>
  </si>
  <si>
    <t>2/0 3-18 CTD VIC VIO BR O X204</t>
  </si>
  <si>
    <t>0 3-18 CTD VIC VIO BR OS- X205</t>
  </si>
  <si>
    <t>0 3-18 CTD VIC VIO BR OS- X303</t>
  </si>
  <si>
    <t>3/0 8-18 CTD VIC VIO BR R X304</t>
  </si>
  <si>
    <t>3/0 8-18 CTD VIC VIO BR R X305</t>
  </si>
  <si>
    <t>4/0 8-18 CTD VIC UND BR R X306</t>
  </si>
  <si>
    <t>4/0 8-18 CTD VIC UND BR R X310</t>
  </si>
  <si>
    <t>2/0 3-18 CTD VIC VIO BR O X406</t>
  </si>
  <si>
    <t>2/0 3-18 CTD VIC VIO BR O X411</t>
  </si>
  <si>
    <t>0 3-18 CTD VIC VIO BR OS- X412</t>
  </si>
  <si>
    <t>0 3-18 CTD VIC VIO BR OS- X423</t>
  </si>
  <si>
    <t>1 3-18 CTD VIC VIO BR OS- X424</t>
  </si>
  <si>
    <t>1 3-18 CTD VIC VIO BR OS- X425</t>
  </si>
  <si>
    <t>2 3-18 CTD VIC VIO BR OS- X444</t>
  </si>
  <si>
    <t>2 3-18 CTD VIC VIO BR OS- X496</t>
  </si>
  <si>
    <t>2/0 8-18 CTD VIC UND BR C X513</t>
  </si>
  <si>
    <t>2/0 8-18 CTD VIC UND BR C X517</t>
  </si>
  <si>
    <t>0 8-18 CTD VIC UND BR CTX X518</t>
  </si>
  <si>
    <t>0 8-18 CTD VIC UND BR CTX X519</t>
  </si>
  <si>
    <t>2/0 8-18 CTD VIC VIO BR C X521</t>
  </si>
  <si>
    <t>2/0 8-18 CTD VIC VIO BR C X522</t>
  </si>
  <si>
    <t>0 8-18 CTD VIC VIO BR CT- X523</t>
  </si>
  <si>
    <t>0 8-18 CTD VIC VIO BR CT- X524</t>
  </si>
  <si>
    <t>3/0 8-18 CTD VIC VIO BR C X538</t>
  </si>
  <si>
    <t>3/0 8-18 CTD VIC VIO BR C X548</t>
  </si>
  <si>
    <t>2/0 8-18 CTD VIC VIO BR C X550</t>
  </si>
  <si>
    <t>2/0 8-18 CTD VIC VIO BR C X551</t>
  </si>
  <si>
    <t>0 8-18 CTD VIC VIO BR CT- X556</t>
  </si>
  <si>
    <t>0 8-18 CTD VIC VIO BR CT- X557</t>
  </si>
  <si>
    <t>1 8-18 CTD VIC VIO BR CT- X558</t>
  </si>
  <si>
    <t>1 8-18 CTD VIC VIO BR CT- X559</t>
  </si>
  <si>
    <t>4/0 8-18 CTD VIC VIO BR T X562</t>
  </si>
  <si>
    <t>4/0 8-18 CTD VIC VIO BR T X563</t>
  </si>
  <si>
    <t>2/0 3-18 CTD VIC UND BR O X581</t>
  </si>
  <si>
    <t>2/0 3-18 CTD VIC UND BR O X582</t>
  </si>
  <si>
    <t>0 3-18 CTD VIC UND BR OS- X588</t>
  </si>
  <si>
    <t>0 3-18 CTD VIC UND BR OS- X622</t>
  </si>
  <si>
    <t>2/0 3-18 CTD VIC UND BR O X663</t>
  </si>
  <si>
    <t>2/0 3-18 CTD VIC UND BR O X664</t>
  </si>
  <si>
    <t>2/0 8-18 CTD VIC VIO BR C X681</t>
  </si>
  <si>
    <t>2/0 8-18 CTD VIC VIO BR C X683</t>
  </si>
  <si>
    <t>0 8-18 CTD VIC VIO BR CT X692G</t>
  </si>
  <si>
    <t>0 8-18 CTD VIC VIO BR CT X695G</t>
  </si>
  <si>
    <t>1 8-18 CTD VIC VIO BR CT X697G</t>
  </si>
  <si>
    <t>1 8-18 CTD VIC VIO BR CT X698G</t>
  </si>
  <si>
    <t>0 3-18 CTD VIC UND BR OS- X706</t>
  </si>
  <si>
    <t>0 3-18 CTD VIC UND BR OS- X717</t>
  </si>
  <si>
    <t>0 3-18 CTD VIC UND BR OS- X726</t>
  </si>
  <si>
    <t>0 3-18 CTD VIC UND BR OS- X727</t>
  </si>
  <si>
    <t>1 3-18 CTD VIC UND BR OS- X728</t>
  </si>
  <si>
    <t>1 3-18 CTD VIC UND BR OS- X761</t>
  </si>
  <si>
    <t>3/0 8-18 CTD VIC UND BR C X762</t>
  </si>
  <si>
    <t>3/0 8-18 CTD VIC UND BR C X763</t>
  </si>
  <si>
    <t>2/0 8-18 CTD VIC UND BR C X805</t>
  </si>
  <si>
    <t>2/0 8-18 CTD VIC UND BR C X806</t>
  </si>
  <si>
    <t>0 8-18 CTD VIC VIO BR CTX X807</t>
  </si>
  <si>
    <t>0 8-18 CTD VIC VIO BR CTX X831</t>
  </si>
  <si>
    <t>1 8-18 CTD VIC VIO BR CTX X832</t>
  </si>
  <si>
    <t>1 8-18 CTD VIC VIO BR CTX X833</t>
  </si>
  <si>
    <t>4/0 8-18 CTD VIC VIO BR S X834</t>
  </si>
  <si>
    <t>4/0 8-18 CTD VIC VIO BR S X843</t>
  </si>
  <si>
    <t>3/0 8-18 CTD VIC VIO BR S X844</t>
  </si>
  <si>
    <t>3/0 8-18 CTD VIC VIO BR S X864</t>
  </si>
  <si>
    <t>4/0 8-18 CTD VIC VIO BR S X865</t>
  </si>
  <si>
    <t>4/0 8-18 CTD VIC VIO BR S X870</t>
  </si>
  <si>
    <t>3/0 8-18 CTD VIC VIO BR S X871</t>
  </si>
  <si>
    <t>3/0 8-18 CTD VIC VIO BR S X872</t>
  </si>
  <si>
    <t>2/0 8-18 CTD VIC VIO BR S X873</t>
  </si>
  <si>
    <t>2/0 8-18 CTD VIC VIO BR S X881</t>
  </si>
  <si>
    <t>4/0 8-27 CTD VIC VIO BR S X889</t>
  </si>
  <si>
    <t>4/0 8-27 CTD VIC VIO BR S X890</t>
  </si>
  <si>
    <t>3/0 8-27 CTD VIC VIO BR S X905</t>
  </si>
  <si>
    <t>3/0 8-27 CTD VIC VIO BR S X916</t>
  </si>
  <si>
    <t>2/0 8-27 CTD VIC VIO BR S X917</t>
  </si>
  <si>
    <t>2/0 8-27 CTD VIC VIO BR S X925</t>
  </si>
  <si>
    <t>3/0 8-18 CTD VIC VIO BR F X926</t>
  </si>
  <si>
    <t>3/0 8-18 CTD VIC VIO BR F X927</t>
  </si>
  <si>
    <t>2/0 8-18 CTD VIC VIO BR M X934</t>
  </si>
  <si>
    <t>2/0 8-18 CTD VIC VIO BR M X935</t>
  </si>
  <si>
    <t>3/0 8-18 CTD VIC VIO BR X X936</t>
  </si>
  <si>
    <t>3/0 8-18 CTD VIC VIO BR X X937</t>
  </si>
  <si>
    <t>0 8-18 CTD VIC VIO BR MO- X942</t>
  </si>
  <si>
    <t>0 8-18 CTD VIC VIO BR MO- X951</t>
  </si>
  <si>
    <t>3 27 CTD VIC UND BR CCS-1 X963</t>
  </si>
  <si>
    <t>3 27 CTD VIC UND BR CCS-1 X964</t>
  </si>
  <si>
    <t>5/0 18 CTD VIC UND BR PC- X966</t>
  </si>
  <si>
    <t>5/0 18 CTD VIC UND BR PC- X975</t>
  </si>
  <si>
    <t>5/0 18 CTD VIC UND BR PC- X976</t>
  </si>
  <si>
    <t>5/0 18 CTD VIC UND BR PC- X977</t>
  </si>
  <si>
    <t>4/0 18 CTD VIC UND BR PC- X987</t>
  </si>
  <si>
    <t>4/0 18 CTD VIC UND BR PC- X997</t>
  </si>
  <si>
    <t>4/0 18 CTD VIC UND BR PC- Y213</t>
  </si>
  <si>
    <t>4/0 18 CTD VIC UND BR PC- Y214</t>
  </si>
  <si>
    <t>3/0 18 CTD VIC UND BR PC- Y215</t>
  </si>
  <si>
    <t>3/0 18 CTD VIC UND BR PC- Y219</t>
  </si>
  <si>
    <t>6/0 18 CTD VIC UND BR PC- Y227</t>
  </si>
  <si>
    <t>6/0 18 CTD VIC UND BR PC- Y266</t>
  </si>
  <si>
    <t>5/0 18 CTD VIC UND BR PC- Y267</t>
  </si>
  <si>
    <t>5/0 18 CTD VIC UND BR PC- Y303</t>
  </si>
  <si>
    <t>4/0 18 CTD VIC UND BR PC- Y304</t>
  </si>
  <si>
    <t>4/0 18 CTD VIC UND BR PC- Y305</t>
  </si>
  <si>
    <t>3/0 8-18 CTD VIC UND BR C Y315</t>
  </si>
  <si>
    <t>3/0 8-18 CTD VIC UND BR C Y316</t>
  </si>
  <si>
    <t>2/0 8-18 CTD VIC UND BR C Y317</t>
  </si>
  <si>
    <t>2/0 8-18 CTD VIC UND BR C Y318</t>
  </si>
  <si>
    <t>0 8-18 CTD VIC UND BR CT- Y333</t>
  </si>
  <si>
    <t>0 8-18 CTD VIC UND BR CT- Y334</t>
  </si>
  <si>
    <t>1 8-18 CTD VIC UND BR CT- Y335</t>
  </si>
  <si>
    <t>1 8-18 CTD VIC UND BR CT- Y338</t>
  </si>
  <si>
    <t>6/0 18 CTD VIC UND BR PC- Y339</t>
  </si>
  <si>
    <t>6/0 18 CTD VIC UND BR PC- Y340</t>
  </si>
  <si>
    <t>5/0 18 CTD VIC UND BR PC- Y341</t>
  </si>
  <si>
    <t>5/0 18 CTD VIC UND BR PC- Y344</t>
  </si>
  <si>
    <t>4/0 18 CTD VIC UND BR PC- Y345</t>
  </si>
  <si>
    <t>4/0 18 CTD VIC UND BR PC- Y346</t>
  </si>
  <si>
    <t>2 2-27 CTD VIC UND BR TP- Y347</t>
  </si>
  <si>
    <t>2 2-27 CTD VIC UND BR TP- Y350</t>
  </si>
  <si>
    <t>3/0 8-18 CTD VIC UND BR S Y351</t>
  </si>
  <si>
    <t>3/0 8-18 CTD VIC UND BR S Y352</t>
  </si>
  <si>
    <t>3/0 27 CTD VIC UND BR CP- Y353</t>
  </si>
  <si>
    <t>3/0 27 CTD VIC UND BR CP- Y357</t>
  </si>
  <si>
    <t>2/0 27 CTD VIC UND BR CP- Y358</t>
  </si>
  <si>
    <t>2/0 27 CTD VIC UND BR CP- Y359</t>
  </si>
  <si>
    <t>0 27 CTD VIC UND BR CP-2 Y377H</t>
  </si>
  <si>
    <t>0 27 CTD VIC UND BR CP-2 Y378H</t>
  </si>
  <si>
    <t>1 27 CTD VIC UND BR CP-2 Y397H</t>
  </si>
  <si>
    <t>1 27 CTD VIC UND BR CP-2 Y398H</t>
  </si>
  <si>
    <t>2 54 CTD VIC UND BR TP-1 Y399H</t>
  </si>
  <si>
    <t>2 54 CTD VIC UND BR TP-1 Y415H</t>
  </si>
  <si>
    <t>3/0 144 CTD VIC UND BR Y416H</t>
  </si>
  <si>
    <t>3/0 144 CTD VIC UND BR Y417H</t>
  </si>
  <si>
    <t>3/0 12-18 CTD VIC VIO BR Y426H</t>
  </si>
  <si>
    <t>3/0 12-18 CTD VIC VIO BR Y427H</t>
  </si>
  <si>
    <t>2/0 12-18 CTD VIC VIO BR Y432H</t>
  </si>
  <si>
    <t>2/0 12-18 CTD VIC VIO BR Y433H</t>
  </si>
  <si>
    <t>0 12-18 CTD VIC VIO BR Y434H</t>
  </si>
  <si>
    <t>0 12-18 CTD VIC VIO BR Y463G</t>
  </si>
  <si>
    <t>1 12-18 CTD VIC VIO BR Y464G</t>
  </si>
  <si>
    <t>1 12-18 CTD VIC VIO BR Y489G</t>
  </si>
  <si>
    <t>3/0 12-18 CTD VIC UND BR Y490G</t>
  </si>
  <si>
    <t>3/0 12-18 CTD VIC UND BR Y492G</t>
  </si>
  <si>
    <t>2/0 12-18 CTD VIC UND BR Y493G</t>
  </si>
  <si>
    <t>2/0 12-18 CTD VIC UND BR Y494G</t>
  </si>
  <si>
    <t>0 12-18 CTD VIC UND BR Y495G</t>
  </si>
  <si>
    <t>0 12-18 CTD VIC UND BR Y496G</t>
  </si>
  <si>
    <t>1 12-18 CTD VIC UND BR Y497G</t>
  </si>
  <si>
    <t>1 12-18 CTD VIC UND BR Y510G</t>
  </si>
  <si>
    <t>3/0 36 CTD VIC UND BR V-3 Y513</t>
  </si>
  <si>
    <t>3/0 36 CTD VIC UND BR V-3 Y523</t>
  </si>
  <si>
    <t>2/0 36 CTD VIC UND BR V-3 Y527</t>
  </si>
  <si>
    <t>2/0 36 CTD VIC UND BR V-3 Y604</t>
  </si>
  <si>
    <t>4/0 27 CTD VIC UND BR PS- Y605</t>
  </si>
  <si>
    <t>4/0 27 CTD VIC UND BR PS- Y606</t>
  </si>
  <si>
    <t>3/0 27 CTD VIC UND BR PS- Y682</t>
  </si>
  <si>
    <t>3/0 27 CTD VIC UND BR PS- Y701</t>
  </si>
  <si>
    <t>3/0 54 CTD VIC UND BR CT/ Y732</t>
  </si>
  <si>
    <t>3/0 54 CTD VIC UND BR CT/ Y738</t>
  </si>
  <si>
    <t>3/0 36 CTD VIC UND BR CT- Y739</t>
  </si>
  <si>
    <t>3/0 36 CTD VIC UND BR CT- Y740</t>
  </si>
  <si>
    <t>2/0 36 CTD VIC UND BR CT- Y762</t>
  </si>
  <si>
    <t>2/0 36 CTD VIC UND BR CT- Y801</t>
  </si>
  <si>
    <t>0 36 CTD VIC UND BR Y814G</t>
  </si>
  <si>
    <t>0 36 CTD VIC UND BR Y817H</t>
  </si>
  <si>
    <t>1 36 CTD VIC UND BR CT-1 Y822G</t>
  </si>
  <si>
    <t>1 36 CTD VIC UND BR CT-1 Y823G</t>
  </si>
  <si>
    <t>3/0 36 CTD VIC UND BR CT Y833G</t>
  </si>
  <si>
    <t>3/0 36 CTD VIC UND BR CT Y834G</t>
  </si>
  <si>
    <t>2/0 36 CTD VIC UND BR CT Y835G</t>
  </si>
  <si>
    <t>2/0 36 CTD VIC UND BR CT Y844G</t>
  </si>
  <si>
    <t>0 36 CTD VIC UND BR CT Y845G</t>
  </si>
  <si>
    <t>0 36 CTD VIC UND BR CT Y908G</t>
  </si>
  <si>
    <t>1 36 CTD VIC UND BR CT Y909G</t>
  </si>
  <si>
    <t>1 36 CTD VIC UND BR CT Y910G</t>
  </si>
  <si>
    <t>8/0 12 CTD VIC VIO BR TG1 Y911</t>
  </si>
  <si>
    <t>8/0 12 CTD VIC VIO BR TG1 Y917</t>
  </si>
  <si>
    <t>8/0 12 CTD VIC VIO BR TG1 Y931</t>
  </si>
  <si>
    <t>8/0 12 CTD VIC VIO BR TG1 Y932</t>
  </si>
  <si>
    <t>1 36 CTD VIC UND BR CTX Y935H</t>
  </si>
  <si>
    <t>1 36 CTD VIC UND BR CTX Y936H</t>
  </si>
  <si>
    <t>0 36 CTD VIC UND BR CTX Y944H</t>
  </si>
  <si>
    <t>0 36 CTD VIC UND BR CTX Y945H</t>
  </si>
  <si>
    <t>2/0 36 CTD VIC UND BR CTX Y946</t>
  </si>
  <si>
    <t>2/0 36 CTD VIC UND BR CTX Y947</t>
  </si>
  <si>
    <t>3/0 36 CTD VIC UND BR CTX YB25</t>
  </si>
  <si>
    <t>2/0 27 CTD VIC UND BR CTB YB41</t>
  </si>
  <si>
    <t>2/0 27 CTD VIC UND BR CTB YB94</t>
  </si>
  <si>
    <t>0 27 CTD VIC UND BR CTB-1 YB94</t>
  </si>
  <si>
    <t>0 27 CTD VIC VIO BR CTB-1 YB97</t>
  </si>
  <si>
    <t>0 27 CTD VIC VIO BR CTB-1 YY30</t>
  </si>
  <si>
    <t>1 27 CTD VIC VIO BR CTB-1 YY31</t>
  </si>
  <si>
    <t>1 27 CTD VIC VIO BR CTB-1 YY70</t>
  </si>
  <si>
    <t>0 8-18 CTD VIC UND BR CTX YY71</t>
  </si>
  <si>
    <t>0 8-18 CTD VIC UND BR CTX Z114</t>
  </si>
  <si>
    <t>1 8-18 CTD VIC UND BR CTX Z117</t>
  </si>
  <si>
    <t>1 8-18 CTD VIC UND BR CTX Z123</t>
  </si>
  <si>
    <t>2/0 8-18 CTD VIC UND BR C Z126</t>
  </si>
  <si>
    <t>2/0 8-18 CTD VIC UND BR C Z127</t>
  </si>
  <si>
    <t>0 8-18 CTD VIC UND BR CTB Z135</t>
  </si>
  <si>
    <t>0 8-18 CTD VIC UND BR CTB Z137</t>
  </si>
  <si>
    <t>1 8-18 CTD VIC UND BR CTB Z148</t>
  </si>
  <si>
    <t>1 8-18 CTD VIC UND BR CTB Z149</t>
  </si>
  <si>
    <t>3/0 8-18 CTD VIC UND BR S Z155</t>
  </si>
  <si>
    <t>3/0 8-18 CTD VIC UND BR S Z195</t>
  </si>
  <si>
    <t>3/0 36 CTD VIC UND BR CTB Z259</t>
  </si>
  <si>
    <t>3/0 36 CTD VIC UND BR CTB Z303</t>
  </si>
  <si>
    <t>2/0 36 CTD VIC UND BR CTB Z304</t>
  </si>
  <si>
    <t>2/0 36 CTD VIC UND BR CTB Z305</t>
  </si>
  <si>
    <t>0 36 CTD VIC UND BR CTB-1 Z310</t>
  </si>
  <si>
    <t>0 36 CTD VIC UND BR CTB-1 Z311</t>
  </si>
  <si>
    <t>1 36 CTD VIC UND BR CTB-1 Z315</t>
  </si>
  <si>
    <t>1 36 CTD VIC UND BR CTB-1 Z316</t>
  </si>
  <si>
    <t xml:space="preserve">VICRYL CT UD 36IN 1 S/A CTB-1 </t>
  </si>
  <si>
    <t>1 36 CTD VIC UND BR CTXB Z332H</t>
  </si>
  <si>
    <t>1 36 CTD VIC UND BR CTXB Z333H</t>
  </si>
  <si>
    <t>VICRYL CT UD 36IN 1 S/A CTXB E</t>
  </si>
  <si>
    <t xml:space="preserve">SUTURE, VICRYL UD BR CT 0 36" </t>
  </si>
  <si>
    <t>0 8-27 CTD VIC VIO BR CT- Z341</t>
  </si>
  <si>
    <t>0 8-27 CTD VIC VIO BR CT- Z346</t>
  </si>
  <si>
    <t>1 8-27 CTD VIC UND BR CT- Z347</t>
  </si>
  <si>
    <t>1 8-27 CTD VIC UND BR CT- Z352</t>
  </si>
  <si>
    <t>0 8-27 CTD VIC UND BR CT- Z353</t>
  </si>
  <si>
    <t>0 8-27 CTD VIC UND BR CT- Z357</t>
  </si>
  <si>
    <t>2/0 8-27 CTD VIC UND BR C Z358</t>
  </si>
  <si>
    <t>2/0 8-27 CTD VIC UND BR C Z359</t>
  </si>
  <si>
    <t>1 8-27 CTD VIC VIO BR MO- Z370</t>
  </si>
  <si>
    <t>1 8-27 CTD VIC VIO BR MO- Z371</t>
  </si>
  <si>
    <t>0 8-27 CTD VIC VIO BR MO- Z416</t>
  </si>
  <si>
    <t>0 8-27 CTD VIC VIO BR MO- Z420</t>
  </si>
  <si>
    <t>2/0 24 SILK BLK BR SH Z421H</t>
  </si>
  <si>
    <t>2/0 24 SILK BLK BR SH Z422H</t>
  </si>
  <si>
    <t>0 24 SILK BLK BR SH Z423H</t>
  </si>
  <si>
    <t>0 24 SILK BLK BR SH Z432H</t>
  </si>
  <si>
    <t>5/0 24 SILK BLK BR RB-1 Z441H</t>
  </si>
  <si>
    <t>5/0 24 SILK BLK BR RB-1 Z442H</t>
  </si>
  <si>
    <t>4/0 24 SILK BLK BR RB-1 Z443H</t>
  </si>
  <si>
    <t>4/0 24 SILK BLK BR RB-1 Z463G</t>
  </si>
  <si>
    <t>3/0 24 SILK BLK BR RB-1 Z466H</t>
  </si>
  <si>
    <t>3/0 24 SILK BLK BR RB-1 Z467H</t>
  </si>
  <si>
    <t>5/0 24 SILK BLK BR BB Z468H</t>
  </si>
  <si>
    <t>5/0 24 SILK BLK BR BB Z487G</t>
  </si>
  <si>
    <t>4/0 24 SILK BLK BR BB Z489G</t>
  </si>
  <si>
    <t>4/0 24 SILK BLK BR BB Z493G</t>
  </si>
  <si>
    <t>6/0 18 SILK BLK BR Z494G</t>
  </si>
  <si>
    <t>6/0 18 SILK BLK BR Z495G</t>
  </si>
  <si>
    <t>6/0 18 SILK BLK BR Z496G</t>
  </si>
  <si>
    <t>6/0 18 SILK BLK BR Z497G</t>
  </si>
  <si>
    <t>7/0 18 SILK BLK BR BV-1 Z503G</t>
  </si>
  <si>
    <t>7/0 18 SILK BLK BR BV-1 Z504G</t>
  </si>
  <si>
    <t>4/0 30 SILK BLK BR SH Z507G</t>
  </si>
  <si>
    <t>4/0 30 SILK BLK BR SH Z513G</t>
  </si>
  <si>
    <t>3/0 30 SILK BLK BR SH Z534T</t>
  </si>
  <si>
    <t>3/0 30 SILK BLK BR SH Z535H</t>
  </si>
  <si>
    <t>2/0 30 SILK BLK BR SH Z569T</t>
  </si>
  <si>
    <t>2/0 30 SILK BLK BR SH Z583G</t>
  </si>
  <si>
    <t>0 30 SILK BLK BR SH Z662H</t>
  </si>
  <si>
    <t>0 30 SILK BLK BR SH Z663H</t>
  </si>
  <si>
    <t>1 30 SILK BLK BR SH Z682G</t>
  </si>
  <si>
    <t>1 30 SILK BLK BR SH Z683G</t>
  </si>
  <si>
    <t>2/0 30 SILK BLK BR MH Z690G</t>
  </si>
  <si>
    <t>2/0 30 SILK BLK BR MH Z695H</t>
  </si>
  <si>
    <t>0 30 SILK BLK BR MH Z739D</t>
  </si>
  <si>
    <t>0 30 SILK BLK BR MH Z740D</t>
  </si>
  <si>
    <t>1 30 SILK BLK BR MH Z741D</t>
  </si>
  <si>
    <t>1 30 SILK BLK BR MH Z761D</t>
  </si>
  <si>
    <t>2 30 SILK BLK BR MH Z762D</t>
  </si>
  <si>
    <t>2 30 SILK BLK BR MH Z765D</t>
  </si>
  <si>
    <t>3/0 30 SILK BLK BR ST-1 Z773D</t>
  </si>
  <si>
    <t>3/0 30 SILK BLK BR ST-1 Z774D</t>
  </si>
  <si>
    <t>5/0 30 SILK BLK BR RB-1 Z775D</t>
  </si>
  <si>
    <t>5/0 30 SILK BLK BR RB-1 Z776D</t>
  </si>
  <si>
    <t>4/0 30 SILK BLK BR RB-1 Z807T</t>
  </si>
  <si>
    <t>4/0 30 SILK BLK BR RB-1 Z823G</t>
  </si>
  <si>
    <t>3/0 30 SILK BLK BR RB-1 Z824G</t>
  </si>
  <si>
    <t>3/0 30 SILK BLK BR RB-1 Z833G</t>
  </si>
  <si>
    <t>2/0 30 SILK BLK BR RB-1 Z844G</t>
  </si>
  <si>
    <t>2/0 30 SILK BLK BR RB-1 Z845G</t>
  </si>
  <si>
    <t>5/0 30 SILK BLK BR BB Z877G</t>
  </si>
  <si>
    <t>5/0 30 SILK BLK BR BB Z879G</t>
  </si>
  <si>
    <t>4/0 30 SILK BLK BR BB Z880G</t>
  </si>
  <si>
    <t>4/0 30 SILK BLK BR BB Z881G</t>
  </si>
  <si>
    <t>3/0 30 SILK BLK BR BB Z968H</t>
  </si>
  <si>
    <t>3/0 30 SILK BLK BR BB Z969H</t>
  </si>
  <si>
    <t>2/0 30 SILK BLK BR BB Z970H</t>
  </si>
  <si>
    <t>2/0 30 SILK BLK BR BB Z990G</t>
  </si>
  <si>
    <t>6/0 30 SILK BLK BR C-1 Z991G</t>
  </si>
  <si>
    <t>6/0 30 SILK BLK BR C-1 Z997G</t>
  </si>
  <si>
    <t>5/0 30 SILK BLK BR C-1 ZB340</t>
  </si>
  <si>
    <t>5/0 30 SILK BLK BR C-1 ZB345</t>
  </si>
  <si>
    <t>4/0 30 SILK BLK BR C-1 ZB346</t>
  </si>
  <si>
    <t>4/0 30 SILK BLK BR C-1 ZB347</t>
  </si>
  <si>
    <t>5/0 27 CHROMIC GUT BL C-1 ZB37</t>
  </si>
  <si>
    <t>4/0 18 SILK BLK BR V-4 ZB740</t>
  </si>
  <si>
    <t>SURESITE WINDOW</t>
  </si>
  <si>
    <t>DRESSING,ANTIMICROBIAL,SILVASO</t>
  </si>
  <si>
    <t>DRESSING,OPTIFOAM NON-ADHESIVE</t>
  </si>
  <si>
    <t>DRESSING,FOAM,OPTIFOAM,ADHESIV</t>
  </si>
  <si>
    <t>DRESSING,OPTIFOAM,NON-ADHESIVE</t>
  </si>
  <si>
    <t>OPTIFOAM GENTLE, SELF ADH NO B</t>
  </si>
  <si>
    <t>OPTIFOAM GENTLE, 8X8</t>
  </si>
  <si>
    <t>OPTIFOAM GENTLE AG, SELF ADH N</t>
  </si>
  <si>
    <t>OPTIFOAM GENTLE LIQUITRAP, SAC</t>
  </si>
  <si>
    <t>GAUZE,BORDER,4X4</t>
  </si>
  <si>
    <t>BORDERED GUAZE</t>
  </si>
  <si>
    <t>DRESSING,OPTIFOAM AG,GENTLE BO</t>
  </si>
  <si>
    <t>DRESSING,EXUDERM,LP/THIN,HDROC</t>
  </si>
  <si>
    <t>DRESSING,EXUDERM,RCD,HYDROCOLD</t>
  </si>
  <si>
    <t>CATHETER,EXTERNAL,MALE,LF,LG,3</t>
  </si>
  <si>
    <t>MASK,LARYNGEAL,SZ 3,CHILD,LF 1</t>
  </si>
  <si>
    <t>ELECTRODE,BLADE,ULTRACLEAN,1"N</t>
  </si>
  <si>
    <t>MASK, LARYNGEAL SUP AIRWAY STE</t>
  </si>
  <si>
    <t>CULTURESWAB</t>
  </si>
  <si>
    <t>CHLORAPREP 3ML APP, 2% W/V CHG</t>
  </si>
  <si>
    <t>FOAM LIMB HOLDER</t>
  </si>
  <si>
    <t>APPLICATOR,CHLORAPREP,ORANGE,2</t>
  </si>
  <si>
    <t>DBM-DRESSING,MEPILEX,BORDER,SA</t>
  </si>
  <si>
    <t>SYRINGE 20CC</t>
  </si>
  <si>
    <t>30ML SYRINGE SERINGUE</t>
  </si>
  <si>
    <t>LUER LOCK DISP SYRINGE 10ML</t>
  </si>
  <si>
    <t>VIAL ACCESS CANNULA</t>
  </si>
  <si>
    <t>HYPO NEEDLE 25GX1.5</t>
  </si>
  <si>
    <t>NEEDLE,18GX1.5",HYPODERMIC,REG</t>
  </si>
  <si>
    <t>MBO-NEEDLE,SPCLTY HYPO,16GX1.5</t>
  </si>
  <si>
    <t>SAFETYGLIDE INSULIN, 1ML/CC</t>
  </si>
  <si>
    <t>LUER LOCK DIS SYR W/O NED,1ML</t>
  </si>
  <si>
    <t>LUER LOCK DIS SYRINGE 5ML</t>
  </si>
  <si>
    <t>LUER OCK DISPOSABLE SYR 60CC</t>
  </si>
  <si>
    <t>PLASTIPAK 3ML SYRINGE</t>
  </si>
  <si>
    <t>VACUTAINER LUER-LOK ACCESS DEV</t>
  </si>
  <si>
    <t>PRECISION GLIDE NEEDLE, 25G</t>
  </si>
  <si>
    <t>NEEDLE,18GX3.5",PINK HUB,STRL,</t>
  </si>
  <si>
    <t>IV Bag ACCESS DEVICE, ULTRASIT</t>
  </si>
  <si>
    <t>ADAPTER,VIAL,WITHDRAWAL,20MM,1</t>
  </si>
  <si>
    <t>GLIDE,IOL,HESSBURG 581034</t>
  </si>
  <si>
    <t>CANNULA,ANTERIOR CHAMBER,0.30M</t>
  </si>
  <si>
    <t>CANNULA, ANTERIOR CHAMBER, .40</t>
  </si>
  <si>
    <t>CYSTOTOME,IRRIG,PEARCE,0.5MMX1</t>
  </si>
  <si>
    <t>HYDRODISSECTOR,NUCLEUS,VISITEC</t>
  </si>
  <si>
    <t>ADAPTER,SWIVEL,FIBER OPTIC 625</t>
  </si>
  <si>
    <t>SPONGE,PATTIE,XRAY,1/2X1 80140</t>
  </si>
  <si>
    <t>SPONGE,PATTIE,CODMAN SURG 8014</t>
  </si>
  <si>
    <t>NEURO SPONGES 1/2  X3</t>
  </si>
  <si>
    <t>SECTO DISECTOR SPONGES</t>
  </si>
  <si>
    <t>KIT,PADDING,WEBRIL,6",STERILE,</t>
  </si>
  <si>
    <t>DBD-CUSHION,LIQUICELL NASAL CP</t>
  </si>
  <si>
    <t>SENSOR,MONITOR,BRAIN,BIS QUATR</t>
  </si>
  <si>
    <t>ELECTRODE,ECG,SNAP,TEARDROP,FO</t>
  </si>
  <si>
    <t>BANDAGE,ELASTIC,TENSOPLAST,BEI</t>
  </si>
  <si>
    <t>TUBE,ENDOBRONCHIAL,ROBERTSHAW,</t>
  </si>
  <si>
    <t>VALVE,PEEP,DISP,65 X 45MM,NO A</t>
  </si>
  <si>
    <t>DBM-ASCOPE,SLIM,3.8 402001000</t>
  </si>
  <si>
    <t>FILTER, EXHALATION SPU DX800 4</t>
  </si>
  <si>
    <t>RESUSCITATOR,Bag,ADULT,MED MAS</t>
  </si>
  <si>
    <t>MASK,FACE,PERFORMAX EE,LG 7310</t>
  </si>
  <si>
    <t xml:space="preserve">MASK,HYPERINFLATION,MANOMETER </t>
  </si>
  <si>
    <t>TOURNIQUET,STERILE DISP 24" 59</t>
  </si>
  <si>
    <t>TOURNIQUET,STERILE DISP 34" 59</t>
  </si>
  <si>
    <t>TOURNIQUET,STERILE DISP 44" 59</t>
  </si>
  <si>
    <t>TOURNIQUET,RED,2 PORT,18" X 4"</t>
  </si>
  <si>
    <t>ANTERIOR VITRECTOMY Pack,INFIN</t>
  </si>
  <si>
    <t>INFINITY VISION FLUID MANAGEME</t>
  </si>
  <si>
    <t>CO-AXIAL ANTERIOR VITRECTOMY I</t>
  </si>
  <si>
    <t>SINGLE USE STRAIGHT I/A T 8065</t>
  </si>
  <si>
    <t>SINGLE USE ANGLED I/A TIP 8065</t>
  </si>
  <si>
    <t>TIP IRRIGATION SPUL TRAFLOW RE</t>
  </si>
  <si>
    <t>MONARCH II (B) CARTRIDGE) 8065</t>
  </si>
  <si>
    <t>MONARCH III (C) CARTRIDGE) 806</t>
  </si>
  <si>
    <t>MONARCH III (D) CARTRIDGE) 806</t>
  </si>
  <si>
    <t>SATIN SLIT KNIVE 8065992961</t>
  </si>
  <si>
    <t>SATIN SLIT KNIVE 3.2MM 8065993</t>
  </si>
  <si>
    <t>HYPODERMIC SAFETY NEEDLE, 21G</t>
  </si>
  <si>
    <t>SAFETYGLIDE NEEDLE, 18G</t>
  </si>
  <si>
    <t>MAGELLAN</t>
  </si>
  <si>
    <t>NEEDLE,SAFETY, 25G X 1, MAGELL</t>
  </si>
  <si>
    <t>HYPO NEEDLE 18G PINK</t>
  </si>
  <si>
    <t>TUBING,CIRCUIT/6' F/CPAP/BIPAP</t>
  </si>
  <si>
    <t>SPIROMETER,VOLUME,INCENTIVE,40</t>
  </si>
  <si>
    <t>BLOCK,BITE,PED,UNIVERSAL 10311</t>
  </si>
  <si>
    <t>TAPE,SURGICAL,TRANSPORE,1"X1.5</t>
  </si>
  <si>
    <t>TAPE,SURGICAL,TRANSPORE,2"X1.5</t>
  </si>
  <si>
    <t>EVACUATED CONTNR-1000 ML 1A850</t>
  </si>
  <si>
    <t>CATHETER,4 1/2FR,CHOLANGIOCATH</t>
  </si>
  <si>
    <t>ELECTRODE,PAD,DEFIB,4.5"X6" 23</t>
  </si>
  <si>
    <t>CUSHION,EAR,EZ WRAP,FOR O2 CAN</t>
  </si>
  <si>
    <t>CONNECTOR,TUBING,OXYGEN SUPPLY</t>
  </si>
  <si>
    <t>ADAPTER,VALVED,TEE,22 MM OD X2</t>
  </si>
  <si>
    <t>KIT,TRACH CARE,CLSD ET SUCT,14</t>
  </si>
  <si>
    <t>PADDING,CAST,WEBRIL,4"X4YD,STE</t>
  </si>
  <si>
    <t>PADDING,CAST,WEBRIL 6"X12FT,ST</t>
  </si>
  <si>
    <t>ELECTRODE,ECG,DEFIB,ANDERSON C</t>
  </si>
  <si>
    <t>TAPE,CLOTH,SURGICAL,MEDIPORE,1</t>
  </si>
  <si>
    <t>TAPE,CLOTH,SURGICAL,MEDIPORE,3</t>
  </si>
  <si>
    <t>CONNECTOR OMNI-FLEX 50/CS 3222</t>
  </si>
  <si>
    <t>MBO-WATER,LG VOL,STERILE H2O,1</t>
  </si>
  <si>
    <t>C-ARMOR</t>
  </si>
  <si>
    <t>DRAPE,STERIDRAPE,ISOLATION,W/A</t>
  </si>
  <si>
    <t>ADHESIVE ISLAND DRESSING 4X5</t>
  </si>
  <si>
    <t>ADHESIVE ISLAND DRESSING 4X10</t>
  </si>
  <si>
    <t>SLEEVE,COMPRESSION TIGHT LENGT</t>
  </si>
  <si>
    <t>FASTENER,ANCHOR FAST ORAL ENDO</t>
  </si>
  <si>
    <t>DECANTER Bag 9IN 10102</t>
  </si>
  <si>
    <t>HOLDER,TRACHSTAY,ANTIDISCONNEC</t>
  </si>
  <si>
    <t>TAPE,SURGICAL,TRANSPORE,1"X10Y</t>
  </si>
  <si>
    <t>TAPE,SURGICAL,TRANSPORE,2"X10Y</t>
  </si>
  <si>
    <t>TAPE,SURGICAL,MICROFOAM,2"X5.5</t>
  </si>
  <si>
    <t>TAPE,SURGICAL,MICROFOAM,3"X5.5</t>
  </si>
  <si>
    <t>TAPE,PAPER,SURGICAL,MICROPORE,</t>
  </si>
  <si>
    <t>TAPE,SURGICAL,DURAPORE,1"X10YD</t>
  </si>
  <si>
    <t>TAPE,SURGICAL,DURAPORE,2"X10YD</t>
  </si>
  <si>
    <t>HOOD,SPIT,SOCK,SS100 16719</t>
  </si>
  <si>
    <t>ADAPTER,AIRWAY,ADULT/PEDIATRIC</t>
  </si>
  <si>
    <t>EXCHANGER,HEAT/MOIST,FILTER,LT</t>
  </si>
  <si>
    <t>KIT,TUBE,ENDO,JEJUNAL,18FR,7-1</t>
  </si>
  <si>
    <t>KIT,JEJUNAL,TRANSGASTRIC,22FR,</t>
  </si>
  <si>
    <t>OPTIGARD EYE PROTECTOR</t>
  </si>
  <si>
    <t>GLOVE,SURGICAL,LATEX,BIOGEL,PF</t>
  </si>
  <si>
    <t>BIOGEL SURGEON 8,BIOGEL</t>
  </si>
  <si>
    <t>SMALLBORE TUBING</t>
  </si>
  <si>
    <t>PROSTAT LIQ PROTEIN, VANILLA S</t>
  </si>
  <si>
    <t>STRAP, FOOT, SMOOT ANKLE DISTR</t>
  </si>
  <si>
    <t>VERASEAL 2, NIV, VENTED, M 508</t>
  </si>
  <si>
    <t>VERASEAL 2, NONVENTED W AA VAL</t>
  </si>
  <si>
    <t>AIRWAY,NASOPHARYNGEAL,30 FR,LA</t>
  </si>
  <si>
    <t>PROBE,ENERGY SUCTION PROBE,90-</t>
  </si>
  <si>
    <t>PROBE,ENERGY SUCTION PROBE,50-</t>
  </si>
  <si>
    <t>AIRWAY,GUEDEL,90 MM,YELLOW,10/</t>
  </si>
  <si>
    <t>AIRWAY,GUEDEL,100 MM,RED,10/IN</t>
  </si>
  <si>
    <t xml:space="preserve">CANNULA,INNER,TRACH TUBE BLUE </t>
  </si>
  <si>
    <t xml:space="preserve">CANNULA,INNER,TRACH TUBE,BLUE </t>
  </si>
  <si>
    <t>DRAIN,WOUND,SILICONE,ROUND,15F</t>
  </si>
  <si>
    <t>DRAIN,WOUND,SILICONE,ROUND,19F</t>
  </si>
  <si>
    <t>DRAIN,PENROSE,LATEX,18"X0.25",</t>
  </si>
  <si>
    <t>DRAIN,PENROSE,LATEX,18"X0.5",S</t>
  </si>
  <si>
    <t>FILTERED EXTENSION 16IN.</t>
  </si>
  <si>
    <t xml:space="preserve">DBM-EXTEN SET, ULTRASITE, 1.2 </t>
  </si>
  <si>
    <t>EXT SET,CATH,7.9",20CM,STRAIGH</t>
  </si>
  <si>
    <t>DRAPE,EXTREMITY,89X128,STERILE</t>
  </si>
  <si>
    <t>EXTREMITY IV DYNJS0804</t>
  </si>
  <si>
    <t>LG KNEE LENGTH KENDALL SCD SLE</t>
  </si>
  <si>
    <t>5329 @SEQUENTIAL COMP-SLV, KNE</t>
  </si>
  <si>
    <t>9529 @SCD EXPRESS COMP-SLV, KN</t>
  </si>
  <si>
    <t>SCD EXPRESS THIGH LENGTH LARGE</t>
  </si>
  <si>
    <t>9545 @SCD EXPRESS COMP-SLV, TH</t>
  </si>
  <si>
    <t>9789 @SCD EXPRESS COMP-SLV, KN</t>
  </si>
  <si>
    <t>ADHESIVE,SKIN,DERMABOND,ADVANC</t>
  </si>
  <si>
    <t>HISTOACRYL BLUE TS1050044FP</t>
  </si>
  <si>
    <t>POST-OP SHOE  RUBBER SOLE NAVY</t>
  </si>
  <si>
    <t>TUBE,FEEDING,GASTRO,18FR,SILIC</t>
  </si>
  <si>
    <t>TUBE,FEEDING,GASTRO,20FR,SILIC</t>
  </si>
  <si>
    <t>TUBE,FEEDING,GASTRO,22FR,SILIC</t>
  </si>
  <si>
    <t>TUBE,FEEDING,GASTRO,24FR,SILIC</t>
  </si>
  <si>
    <t>POUCH,1-PC,12" TRANS,BARRIER,.</t>
  </si>
  <si>
    <t>TUBING,NONCONDUCTIVE,3/16" X 1</t>
  </si>
  <si>
    <t>SUCTION TUBING 3/16" X 12',</t>
  </si>
  <si>
    <t>KANGAROO E PUMP</t>
  </si>
  <si>
    <t xml:space="preserve">SPIKE,SAFETY SCREW PLUS,EPUMP </t>
  </si>
  <si>
    <t>Pack,BASIC,2 GOWNS,NO DRAPES D</t>
  </si>
  <si>
    <t>Pack,BASIC,V,AURORA DYNJP1020A</t>
  </si>
  <si>
    <t>MASK,LARYNGEAL,SZ 4,ADULT,LF 1</t>
  </si>
  <si>
    <t>MASK,LARYNGEAL,SZ 5,ADULT,LF 1</t>
  </si>
  <si>
    <t>KIT,NEEDLE GUIDE,21G 900013B01</t>
  </si>
  <si>
    <t>KIT,COVER,PROBE,48",ULTRASND,W</t>
  </si>
  <si>
    <t>KIT,NEEDLE GUIDE,ULTRASOUND,18</t>
  </si>
  <si>
    <t>HIP DRAPE WITH POUCHES</t>
  </si>
  <si>
    <t>SHOULDER SPLIT I DYNJS0840</t>
  </si>
  <si>
    <t>DRESSING,SHEET,HONEY,THERAHONE</t>
  </si>
  <si>
    <t>DRESSING,SHEET,HD,THERAHONEY,2</t>
  </si>
  <si>
    <t>DRESSING,RIBBON,HD,THERAHONEY,</t>
  </si>
  <si>
    <t>DBD-DRESSING, FOAM, HONEY, THE</t>
  </si>
  <si>
    <t>DRESSING,THERAHONEY FOAM FLEX,</t>
  </si>
  <si>
    <t>UTILITY DRAPES</t>
  </si>
  <si>
    <t>3/4 DRAPE WITH REINFORCEMENT</t>
  </si>
  <si>
    <t>LARGE FILM U-DRAPE</t>
  </si>
  <si>
    <t>CHEST /BREAST DRAPE</t>
  </si>
  <si>
    <t>SHEET, DRAPE, SPLIT, STERILE D</t>
  </si>
  <si>
    <t>DRAPE,LITHOTOMY,STERILE DYNJP9</t>
  </si>
  <si>
    <t>MAGNETIC INSTRUMENT DRAPE</t>
  </si>
  <si>
    <t>COUNTER,NEEDLEMAGNET,DOUBLE6</t>
  </si>
  <si>
    <t>KNIFE,SLIT,FULL HANDLE,3.0MM A</t>
  </si>
  <si>
    <t>SET,FOUR LINE IRRIGATION W/FLE</t>
  </si>
  <si>
    <t>CYSTO BLADDER IRRIGATION SET</t>
  </si>
  <si>
    <t>BINDER,ABDOMINAL,9",3-PANEL,30</t>
  </si>
  <si>
    <t>BINDER,ABDOMINAL,9",3-PANEL, 6</t>
  </si>
  <si>
    <t>AIRWAY,NASOPHARYNGEAL,7MM ID,9</t>
  </si>
  <si>
    <t>AIRWAY,NASOPHARYNGEAL,8MM ID,1</t>
  </si>
  <si>
    <t>CANISTER,SUCTION,1500CC,STEM 4</t>
  </si>
  <si>
    <t>CANISTER,SUCTION,1500CC,DISS,4</t>
  </si>
  <si>
    <t>KIT,CATHETER,RADIAL ARTERY,20G</t>
  </si>
  <si>
    <t xml:space="preserve">ASSEMBLY,TUBE,SPRING-WIRE,POS </t>
  </si>
  <si>
    <t>CATHETER,FOLEY,COUDE,18FR,5ML,</t>
  </si>
  <si>
    <t>CATHETER,CYSTO-CARE,SILICONE,2</t>
  </si>
  <si>
    <t>DBM-CATH,PROSTATECTMY,COUDE,22</t>
  </si>
  <si>
    <t>CATHETER,URETHRAL,REDRUBBER,ST</t>
  </si>
  <si>
    <t>COLLAR,CERVICAL,FIRM,3X19",LG,</t>
  </si>
  <si>
    <t>COLLAR,CERVICAL,FIRM,3X21",XL,</t>
  </si>
  <si>
    <t>SECONDARY MED SET,LUERLOCK 2C7</t>
  </si>
  <si>
    <t>SENSOR,SPO2,ADULT,NELLCOR DS10</t>
  </si>
  <si>
    <t>SENSOR,PULSE OXIMETRY,ALLFIT,S</t>
  </si>
  <si>
    <t xml:space="preserve">SPLINT, UNIVERS DYNAMIC WRIST </t>
  </si>
  <si>
    <t>SPLINT,CONFORMABLE,4" X 30" 72</t>
  </si>
  <si>
    <t>SPRAY,POVIDONE IODINE,10%,2 OZ</t>
  </si>
  <si>
    <t>CASTING,ORTHO GLASS,COMFORT,Ro</t>
  </si>
  <si>
    <t>DBM-KIT,CAT,CVC,7FRX8",MLTI LU</t>
  </si>
  <si>
    <t>KIT,CATH,CENTRL VENOUS,MULTI,F</t>
  </si>
  <si>
    <t xml:space="preserve">DBM-KIT,CVC,3-LUMEN,7 FR X 16 </t>
  </si>
  <si>
    <t>7.0MM, HVLP,CUFFED,ET TUBE DYN</t>
  </si>
  <si>
    <t>8.0MM, HVLP,CUFFED,ET TUBE DYN</t>
  </si>
  <si>
    <t>MBO-TUBE,SALEM SUMP,ARGYLE,14F</t>
  </si>
  <si>
    <t xml:space="preserve">MBO-TUBE, GASTRIC SUMP, 16FR, </t>
  </si>
  <si>
    <t xml:space="preserve">MBO-TUBE, GASTRIC SUMP, 18FR, </t>
  </si>
  <si>
    <t>KIT,EVACUATOR,3 SPRNG,400 CC,D</t>
  </si>
  <si>
    <t>KIT,EVACUATOR,3 SPRING,400 CC,</t>
  </si>
  <si>
    <t>BLADE, SAGITTAL, DUAL CUT 4118</t>
  </si>
  <si>
    <t>BLADE,DUAL CUT, .05"T X .984"W</t>
  </si>
  <si>
    <t xml:space="preserve">CANNULA,ADULT,7FT,EAR CUSHION </t>
  </si>
  <si>
    <t>CANNULA,ADULT,DIVIDED,7' TUBE,</t>
  </si>
  <si>
    <t>CANNULA,OXY,ADLT,STANDARD,7'TU</t>
  </si>
  <si>
    <t>MASK,OXYGEN,MED CONC,ADLT,7' T</t>
  </si>
  <si>
    <t>SPLINT,THUMB,SPICA,SUPPORT,RIG</t>
  </si>
  <si>
    <t>SPLINT,WRIST,8",RT,MD,EA ORT19</t>
  </si>
  <si>
    <t>SPLINT,THUMB,SPICA,FORMFIT,8",</t>
  </si>
  <si>
    <t>SPLINT,WRIST 8IN RETAIL,LT MD,</t>
  </si>
  <si>
    <t>SPLINT,THUMB,SPICA,FORMFIT,RIG</t>
  </si>
  <si>
    <t>SPLINT,WRIST,8",RT,LG,EA ORT19</t>
  </si>
  <si>
    <t>WALKER,SHORT,NONSKID,LG,EA ORT</t>
  </si>
  <si>
    <t>WALKER,SHORT,NONSKID,XL,EA ORT</t>
  </si>
  <si>
    <t>KIT, CATH MAHURKAR, 12.5FX16CM</t>
  </si>
  <si>
    <t>IRRIGATOR, SUCTION, STRYKEFLOW</t>
  </si>
  <si>
    <t>STRYKEFLOW II W/ DISPOSABLE TI</t>
  </si>
  <si>
    <t>TISSEELL SEALANT 10ML 1501263</t>
  </si>
  <si>
    <t>KIT,PEG,PULL METHOD,MIC,20F, 6</t>
  </si>
  <si>
    <t>KIT,MIC,GASTRSTMY,PERCTNS,ENDO</t>
  </si>
  <si>
    <t>SPECIMEN TRAP 40CC</t>
  </si>
  <si>
    <t>FACE MASK,TOTAL,W/HEADGEAR 733</t>
  </si>
  <si>
    <t>MANIFOLD,4 PORT,WASTE MANAGEME</t>
  </si>
  <si>
    <t>INTROCAN SAFETY IV CATH, 24G</t>
  </si>
  <si>
    <t>HYPODERMIC SAFTEY NEEDLE, 20G</t>
  </si>
  <si>
    <t>INTROCAN SAFETY IV CATH, 22G</t>
  </si>
  <si>
    <t>INTROCAN SAFETY IV CATH, 16G</t>
  </si>
  <si>
    <t>CATHETER,IV,SAFETY,18G X1.25",</t>
  </si>
  <si>
    <t>VAGINAL SPECULA,WITH LED,SINGL</t>
  </si>
  <si>
    <t>SPECULUM,LED,MEDIUM 59001LED</t>
  </si>
  <si>
    <t>PENCIL,CAUTERY,PERFECT TEMP,FI</t>
  </si>
  <si>
    <t>DRESSING,GAUZE,OIL EMLSN,CURAD</t>
  </si>
  <si>
    <t>DRESSING,GAUZE,XEROFORM,CURAD,</t>
  </si>
  <si>
    <t>INSERTS PRONE VIEW CUSHION LAR</t>
  </si>
  <si>
    <t>BITE BLOCK, ADULT 60FR, ELASTI</t>
  </si>
  <si>
    <t>DOUBLE TREAD SLIPPERS</t>
  </si>
  <si>
    <t>TRAY,URETHRAL,PRE-CONN,VINYL,1</t>
  </si>
  <si>
    <t>IRRIGATION TRAY PISTON SYRINGE</t>
  </si>
  <si>
    <t>SET,BUCKET,ENEMA DYND70104</t>
  </si>
  <si>
    <t>EAR ULCER SYRINGE</t>
  </si>
  <si>
    <t>DBD-CLIPPER,BLADE,UNIVERSAL,ME</t>
  </si>
  <si>
    <t>TRAY,CENTRAL LINE DRESSING CHA</t>
  </si>
  <si>
    <t>CATHETER FOLEY STABILIZATION</t>
  </si>
  <si>
    <t>BANDAGE,ELASTIC,SOFTWRAP,STERI</t>
  </si>
  <si>
    <t>ELASTIC BANDAGE 6IN X10YDS</t>
  </si>
  <si>
    <t>BANDAGE,ELASTIC,ESMARK,STERILE</t>
  </si>
  <si>
    <t>COFLEX NL BANDAGE 4 IN</t>
  </si>
  <si>
    <t>COFLEX BANDADE 6IN</t>
  </si>
  <si>
    <t>COFLEX 2X5 COBAN</t>
  </si>
  <si>
    <t>SELF ADHERING  WRAP 3 IN X 5</t>
  </si>
  <si>
    <t>HEAD STRAP, ANESTHESIA DYNJAAS</t>
  </si>
  <si>
    <t>FLEXIBLE LIGHT HANDLE COVER</t>
  </si>
  <si>
    <t>GOWN,SURGICAL,AURORA,SLEEVE DY</t>
  </si>
  <si>
    <t xml:space="preserve">GOWN,SIRUS,NONREINF,XXL,XLONG </t>
  </si>
  <si>
    <t>GOWN,ECLIPSE,FABRIC-REINFORCED</t>
  </si>
  <si>
    <t>GOWN,PREVENTION PLUS,LARGE,STE</t>
  </si>
  <si>
    <t>SURGICAL GOWN XL</t>
  </si>
  <si>
    <t>DRAPE,U,POLY,48X52,INVISISHIEL</t>
  </si>
  <si>
    <t>SURGICAL SKINMARKER/RULER LABE</t>
  </si>
  <si>
    <t>ELECTRODE,ADULT,POLYHESIVE,PAT</t>
  </si>
  <si>
    <t>DETECTOR,EASY CAP II,CO2 EASYC</t>
  </si>
  <si>
    <t>BRIEF,CLOTHLIKE,FITPLUS,LG,48-</t>
  </si>
  <si>
    <t>BRIEF,CLOTHLIKE,FITULTRA,LG,48</t>
  </si>
  <si>
    <t>BRIEF,CLOTHLIKE,FITULTRA,MD,32</t>
  </si>
  <si>
    <t>BRIEF,CLOTHLIKE,FITULTRA,XLG,5</t>
  </si>
  <si>
    <t>BRIEF,CLOTHLIKE,FITULTRA,XXL,6</t>
  </si>
  <si>
    <t>ELECTRODE,KNIFE,YELLOW,24FR,KE</t>
  </si>
  <si>
    <t>KNIFE,STRAIGHT BLADE,COLD,ELIT</t>
  </si>
  <si>
    <t>FIBER OPTIC METAL DIS MAC 3</t>
  </si>
  <si>
    <t>BLADE,LARYNG,F/O,MAC,METAL,DIS</t>
  </si>
  <si>
    <t>BLADE,LARYNG,F/O,MILR,METAL,DI</t>
  </si>
  <si>
    <t>POVIDONE-IODINE USP SWABSTICK</t>
  </si>
  <si>
    <t>POVIDONE IODINE</t>
  </si>
  <si>
    <t>STERILE SURGICAL BLADES 10</t>
  </si>
  <si>
    <t>SCALPEL,SAFETY,SS,DISPOSABLE,S</t>
  </si>
  <si>
    <t>WALKER,2 BUTTON,FOLDING,W/3INW</t>
  </si>
  <si>
    <t>CRUTCH,ALUMINUM,ADULT,TALL,LF,</t>
  </si>
  <si>
    <t>CRUTCH,ALUMINUM,ADULT,MED,LF,3</t>
  </si>
  <si>
    <t>SLIPPER,SINGLE TREAD,LARGE,BLU</t>
  </si>
  <si>
    <t xml:space="preserve">SLIPPER,SINGLE TREAD,BEIGE,XL </t>
  </si>
  <si>
    <t>SLIPPER,DOUBLE TREAD,BLUE,LARG</t>
  </si>
  <si>
    <t>SLIPPER,DOUBLE TREAD,MEDIUM,GR</t>
  </si>
  <si>
    <t>SLIPPER,DOUBLE TREAD,BEIGE,X-L</t>
  </si>
  <si>
    <t>SLIPPER,DOUBLE TREAD,GRAY,XX-L</t>
  </si>
  <si>
    <t>SLING,ARM,DEEP POCKET,NECK PAD</t>
  </si>
  <si>
    <t>CONTAINER,FORMALIN,PFILLED,10%</t>
  </si>
  <si>
    <t>DBD-1000ML,PRESSURE INFUSER W/</t>
  </si>
  <si>
    <t>DBD-500ML,PRESSURE INFUSER W/S</t>
  </si>
  <si>
    <t>CUFF, WA, SOFT, CHILD</t>
  </si>
  <si>
    <t>BP CUFF DISPOSABLE,SOFT,ADULT</t>
  </si>
  <si>
    <t>BP CUFF DISPOSABLE,SOFT,THIGH</t>
  </si>
  <si>
    <t>ADULT PLUS- SYK</t>
  </si>
  <si>
    <t>BLANKET,UPPER-BODY,SNUGGLEWARM</t>
  </si>
  <si>
    <t>CEMENT DISPENSER SY</t>
  </si>
  <si>
    <t>CEMENT PALACOS</t>
  </si>
  <si>
    <t>CERVIAL COLLAR</t>
  </si>
  <si>
    <t>CHANNEL WATER TUBE</t>
  </si>
  <si>
    <t>CHARGE ADJUSTMENT</t>
  </si>
  <si>
    <t>CHATTA LINERS</t>
  </si>
  <si>
    <t>CHERRY SPONGES</t>
  </si>
  <si>
    <t>CHEST TUBE TRAY</t>
  </si>
  <si>
    <t>CHIA PERPASSER</t>
  </si>
  <si>
    <t>CHIBA NEEDLE</t>
  </si>
  <si>
    <t>CHLORAPREP W/TINT</t>
  </si>
  <si>
    <t>CHOLAN CANNULA UNIT</t>
  </si>
  <si>
    <t>CHOLANGIO CATHER</t>
  </si>
  <si>
    <t>CHONDRAL DART</t>
  </si>
  <si>
    <t>CHONDRAL MULTISHOT</t>
  </si>
  <si>
    <t>CIRCI TRAY</t>
  </si>
  <si>
    <t>CIRCULAR BONE REAMR</t>
  </si>
  <si>
    <t>CLAMP METAL</t>
  </si>
  <si>
    <t>CLAVICLE BRACE</t>
  </si>
  <si>
    <t>CLIP FIXING DEVICE</t>
  </si>
  <si>
    <t>CLIP,ENDO,AUTOSUTUR</t>
  </si>
  <si>
    <t>CLOSED DRAIN BAG</t>
  </si>
  <si>
    <t>COBAN ROLL</t>
  </si>
  <si>
    <t>COIL STENT</t>
  </si>
  <si>
    <t>COLD MIST DAILY</t>
  </si>
  <si>
    <t>COLD MIST SET-UP</t>
  </si>
  <si>
    <t>INSTANT COLD PACK</t>
  </si>
  <si>
    <t>COLE ENDO ADULT</t>
  </si>
  <si>
    <t>COLE ENDO INFANT</t>
  </si>
  <si>
    <t>COLE ENDO NEWBORN</t>
  </si>
  <si>
    <t>COLLAGRAFT BONE STR</t>
  </si>
  <si>
    <t>COLLAR BUTTON VENT T</t>
  </si>
  <si>
    <t>WALKER</t>
  </si>
  <si>
    <t>BEDSIDE COMODE</t>
  </si>
  <si>
    <t>HEEL PROTECTOR EGG CRATE</t>
  </si>
  <si>
    <t>COMB</t>
  </si>
  <si>
    <t>COMBINE ROLL/YD</t>
  </si>
  <si>
    <t>COMP(SEQUTL DEV)DLY</t>
  </si>
  <si>
    <t>COMP/DISTRACT MECH</t>
  </si>
  <si>
    <t>COMPONENT BIPOLAR</t>
  </si>
  <si>
    <t>COMPRESSION PLATE</t>
  </si>
  <si>
    <t>CONECTOR Y DISC</t>
  </si>
  <si>
    <t>5-IN-1 CONNECTOR</t>
  </si>
  <si>
    <t>CONNECTOR CAP GROSHO</t>
  </si>
  <si>
    <t>CONNECTOR TEFLON EA</t>
  </si>
  <si>
    <t>CONSULTATION RN</t>
  </si>
  <si>
    <t>CONT EPADURAL TRAY</t>
  </si>
  <si>
    <t>CORDIS PEV LD INT SY</t>
  </si>
  <si>
    <t>CORSON PROBE LASER</t>
  </si>
  <si>
    <t>COTTON BALLS PKG</t>
  </si>
  <si>
    <t>COUDE EPIDUR NEEDLE</t>
  </si>
  <si>
    <t>COUNTERSINK BONE SC</t>
  </si>
  <si>
    <t>COVER,TABLE</t>
  </si>
  <si>
    <t>CPM  - DAILY</t>
  </si>
  <si>
    <t>CRASH CART/CODE</t>
  </si>
  <si>
    <t>CRUTCHES/ACCES</t>
  </si>
  <si>
    <t>CUTDOWN TRAY ADULT</t>
  </si>
  <si>
    <t>CUTDOWN TRAY PEDS</t>
  </si>
  <si>
    <t>CVP ARTERIAL LINE</t>
  </si>
  <si>
    <t>CVP CATHETER</t>
  </si>
  <si>
    <t>CVP INTRAMD/CATH</t>
  </si>
  <si>
    <t>CVP MONITOR</t>
  </si>
  <si>
    <t>CVP PRES MONITOR</t>
  </si>
  <si>
    <t>CVP SUBCLAV CATH</t>
  </si>
  <si>
    <t>CYSTO APRON</t>
  </si>
  <si>
    <t>CYSTO/BLDDR IRR SET</t>
  </si>
  <si>
    <t>CYSTOSCOPY PACK</t>
  </si>
  <si>
    <t>DART INSERTION TRAY</t>
  </si>
  <si>
    <t>DELIVERY CANNULA</t>
  </si>
  <si>
    <t>DELIVERY FEE SPECIAL</t>
  </si>
  <si>
    <t>DELIVERY NEEDLE</t>
  </si>
  <si>
    <t>DERMABOND</t>
  </si>
  <si>
    <t>DERMACARRIERS 2</t>
  </si>
  <si>
    <t>DH PRESSURE RL SHOE</t>
  </si>
  <si>
    <t>DH WALKER (BOOT)</t>
  </si>
  <si>
    <t>DIALYSIS TRAY</t>
  </si>
  <si>
    <t>DIAPERS ADULT EA</t>
  </si>
  <si>
    <t>DIAPERS TODD DZ</t>
  </si>
  <si>
    <t>DILATION CATHETER</t>
  </si>
  <si>
    <t>DISP. ELECT NEEDLE</t>
  </si>
  <si>
    <t>DISPOSAMAG PAD</t>
  </si>
  <si>
    <t>DISTAL AUGMENT PEG</t>
  </si>
  <si>
    <t>DISTAL BICEP IMPLANT</t>
  </si>
  <si>
    <t>DOG BONE</t>
  </si>
  <si>
    <t>DONUT FOAM</t>
  </si>
  <si>
    <t>DOUBLE J STENTROS</t>
  </si>
  <si>
    <t>DRAPE MAG SURGICAL</t>
  </si>
  <si>
    <t>SHOULDER DRAPE WITH POUCH</t>
  </si>
  <si>
    <t>DRESSING CART USE</t>
  </si>
  <si>
    <t>DRESSING FENESTRATE</t>
  </si>
  <si>
    <t>DRESSING MAJOR</t>
  </si>
  <si>
    <t>DRILL BIT EBI</t>
  </si>
  <si>
    <t>DRILL BIT UN MED</t>
  </si>
  <si>
    <t>DRILL BITS SYN-ZIMR</t>
  </si>
  <si>
    <t>DRILL CANNULA TED AC</t>
  </si>
  <si>
    <t>90731 - INFUSION T</t>
  </si>
  <si>
    <t>A T S PLEUR-EVAC</t>
  </si>
  <si>
    <t>A/S ENDO GIA 30 L/U</t>
  </si>
  <si>
    <t>A/S ENDO GIA 30 STP</t>
  </si>
  <si>
    <t>ABD DRESSING</t>
  </si>
  <si>
    <t>ABD DRESSING 8X10 BX</t>
  </si>
  <si>
    <t>ABDUCTION PILLOW</t>
  </si>
  <si>
    <t>ABDUCTION SLING</t>
  </si>
  <si>
    <t>ABDUCTOR CUSHION</t>
  </si>
  <si>
    <t>ABS BUTTON ROUND</t>
  </si>
  <si>
    <t>ACCU-CUT GUIDE</t>
  </si>
  <si>
    <t>ACCUMIX PASTER</t>
  </si>
  <si>
    <t>ACHILLES SPEEDBRIDGE</t>
  </si>
  <si>
    <t>ACL DISP KIT TEAM S</t>
  </si>
  <si>
    <t>ACL RENTAL TEAM SRG</t>
  </si>
  <si>
    <t>ACL TRANS TIB KIT</t>
  </si>
  <si>
    <t>ACP KIT</t>
  </si>
  <si>
    <t>ACROMIO CANNULA SET</t>
  </si>
  <si>
    <t>FIBERTAPE</t>
  </si>
  <si>
    <t>ACTIVATED PROT C-90</t>
  </si>
  <si>
    <t>ADAPTER HUMERAL HEAD</t>
  </si>
  <si>
    <t>ADAPTIC 3X3</t>
  </si>
  <si>
    <t>ADAPTIC 3X8</t>
  </si>
  <si>
    <t>ADD'L SUTURES EA</t>
  </si>
  <si>
    <t>ADD'L VASC SUTR EA</t>
  </si>
  <si>
    <t>ADMIT KIT</t>
  </si>
  <si>
    <t>AFO SPLINT</t>
  </si>
  <si>
    <t>AIR BEAD THER UN D</t>
  </si>
  <si>
    <t>AIR BEAD THER UN SU</t>
  </si>
  <si>
    <t>AIR MATRS OVRLY DA</t>
  </si>
  <si>
    <t>AIR MATRS OVRLY SU</t>
  </si>
  <si>
    <t>AIR SHIELD DAILY</t>
  </si>
  <si>
    <t>AIR SHIELD SET-U</t>
  </si>
  <si>
    <t>AIR STAPLE CARTRIDGE</t>
  </si>
  <si>
    <t>AIR STAPLER RENTAL</t>
  </si>
  <si>
    <t>AIRCAST PNEMATIC</t>
  </si>
  <si>
    <t>AIRSHLD DRAIN BAG</t>
  </si>
  <si>
    <t>AIRWAY</t>
  </si>
  <si>
    <t>AIRWAY FASTRACH</t>
  </si>
  <si>
    <t>AIRWAY LARYNG MASK</t>
  </si>
  <si>
    <t>ALCOHOL-91</t>
  </si>
  <si>
    <t>ALIGNMENT ROD</t>
  </si>
  <si>
    <t>ALLEN WRENCH EBI</t>
  </si>
  <si>
    <t>ALPHA FETOPROTEIN-90</t>
  </si>
  <si>
    <t>AMNION MATRIX CORD</t>
  </si>
  <si>
    <t>ANCHOR DRILL</t>
  </si>
  <si>
    <t>ANDLE CLAMP EBI</t>
  </si>
  <si>
    <t>ANES. TRAY SPINAL</t>
  </si>
  <si>
    <t>SPINAL ANESTHESIA TRAY</t>
  </si>
  <si>
    <t>IV CATHETER 20G</t>
  </si>
  <si>
    <t>ANKLE BRACE LACE UP</t>
  </si>
  <si>
    <t>ANKLE DISTRACTSTRAP</t>
  </si>
  <si>
    <t>ANKOR #2 MITEK</t>
  </si>
  <si>
    <t>ANKOR ORTHO</t>
  </si>
  <si>
    <t>APP AIR MATTRESS</t>
  </si>
  <si>
    <t>ARISTA ABSORB HEMOS</t>
  </si>
  <si>
    <t>ARM PROTECT SLEEVE</t>
  </si>
  <si>
    <t>ARM SPLINT</t>
  </si>
  <si>
    <t>ART 1 TRANS DOME</t>
  </si>
  <si>
    <t>ART LINE DAILY</t>
  </si>
  <si>
    <t>ART LINE SET-UP</t>
  </si>
  <si>
    <t>ART LN FLUSH FLO</t>
  </si>
  <si>
    <t>ARTERL CLAMP EX EA</t>
  </si>
  <si>
    <t>ARTHO-DRESSING</t>
  </si>
  <si>
    <t>ARTHO-PREP</t>
  </si>
  <si>
    <t>ARTHRO ACROMCOPLSTY</t>
  </si>
  <si>
    <t>ARTHROSCOPIC BOVIE</t>
  </si>
  <si>
    <t>ARTHROSCOPY DRAPE</t>
  </si>
  <si>
    <t>ARTHROSCOPY IRRIG TU</t>
  </si>
  <si>
    <t>ARTHROSCOPY PACK</t>
  </si>
  <si>
    <t>ASEPTO IRRIG SYRING</t>
  </si>
  <si>
    <t>AUTO PREMIUM CEEA</t>
  </si>
  <si>
    <t>AUTO PURSTRING INST</t>
  </si>
  <si>
    <t>AUTO S GIA 50 L/UNT</t>
  </si>
  <si>
    <t>AUTO S GIA 50 STAPLR</t>
  </si>
  <si>
    <t>AUTO S GIA 60 L/UNT</t>
  </si>
  <si>
    <t>AUTO S GIA 60 STAPLR</t>
  </si>
  <si>
    <t>AUTO S GIA 80 L/UNT</t>
  </si>
  <si>
    <t>AUTO S GIA 80 STPLR</t>
  </si>
  <si>
    <t>AUTO S GIA 90 L/UNT</t>
  </si>
  <si>
    <t>AUTO S GIA 90 STPLR</t>
  </si>
  <si>
    <t>AUTO S TA 30 L/UNT</t>
  </si>
  <si>
    <t>AUTO S TA 55 STAPLR</t>
  </si>
  <si>
    <t>AUTO S TA 80 STAPLR</t>
  </si>
  <si>
    <t>AUTO S TA 90 STAPLR</t>
  </si>
  <si>
    <t>AUTO SUTURES</t>
  </si>
  <si>
    <t>AUTOSUT ENDO SHEARS</t>
  </si>
  <si>
    <t>AVITENE</t>
  </si>
  <si>
    <t>B/P CUFF &amp; GAUGE</t>
  </si>
  <si>
    <t>BACITRACIN OINTMENT</t>
  </si>
  <si>
    <t>BAG CLAMP</t>
  </si>
  <si>
    <t>BAG, DIGNITY</t>
  </si>
  <si>
    <t>BAG-A-JET</t>
  </si>
  <si>
    <t>BAKER TUBE</t>
  </si>
  <si>
    <t>BAND STERI STRIP</t>
  </si>
  <si>
    <t>BANDAID 1"</t>
  </si>
  <si>
    <t>BANDAID 2"</t>
  </si>
  <si>
    <t>BANDAID 4X6 BX</t>
  </si>
  <si>
    <t>BANDAID 4X6 EA</t>
  </si>
  <si>
    <t>BANDAID 8X6 BX</t>
  </si>
  <si>
    <t>BANDAID 8X6 EA</t>
  </si>
  <si>
    <t>BANDAID BUTTERFLY</t>
  </si>
  <si>
    <t>BARRIER CREAM</t>
  </si>
  <si>
    <t>BASE PLATE</t>
  </si>
  <si>
    <t>BASIC PACK</t>
  </si>
  <si>
    <t>BASIN EMESIS</t>
  </si>
  <si>
    <t>BATTERIES</t>
  </si>
  <si>
    <t>BEDPAN DISP</t>
  </si>
  <si>
    <t>BEDPAN FRACTURE</t>
  </si>
  <si>
    <t>BELT PELVIC</t>
  </si>
  <si>
    <t>BETADIN CLEANSR</t>
  </si>
  <si>
    <t>DURAPREP 0.2FL OZ</t>
  </si>
  <si>
    <t>DURAPREP 0.9 FL OZ 26ML</t>
  </si>
  <si>
    <t>BETADINE</t>
  </si>
  <si>
    <t>BETADINE SWAB STK</t>
  </si>
  <si>
    <t>BIALAT FOOT SHEET</t>
  </si>
  <si>
    <t>BICEPTOR KIT</t>
  </si>
  <si>
    <t>BIFARICTD GRAFT GT</t>
  </si>
  <si>
    <t>BILE BAG</t>
  </si>
  <si>
    <t>BINDER ABD UNIV</t>
  </si>
  <si>
    <t>BIO RCL RENTAL</t>
  </si>
  <si>
    <t>BIOCARTILAGE</t>
  </si>
  <si>
    <t>BIOCOMPOSIT SWIVEL</t>
  </si>
  <si>
    <t>BIOMATRIX DRESSING</t>
  </si>
  <si>
    <t>BIOPATCH DISK</t>
  </si>
  <si>
    <t>BIOPSY NEDLE T/CUT</t>
  </si>
  <si>
    <t>BIOPSY VALVE</t>
  </si>
  <si>
    <t>BIOTENEDESIS KIT</t>
  </si>
  <si>
    <t>BIPOLAR CORD</t>
  </si>
  <si>
    <t>BITE BLOCKPEDIATRIC SIZE 16MM</t>
  </si>
  <si>
    <t>BIVONA TRACH TUBE</t>
  </si>
  <si>
    <t>BLADDER IRRIGATION</t>
  </si>
  <si>
    <t>BLADE ABRADER</t>
  </si>
  <si>
    <t>BLADE BANANA ARTHRO</t>
  </si>
  <si>
    <t>BLADE BEAVER 64/67</t>
  </si>
  <si>
    <t>3.0 PRECISION NEURO</t>
  </si>
  <si>
    <t>BLADE CONCEPT</t>
  </si>
  <si>
    <t>BLADE CUTTER 3606</t>
  </si>
  <si>
    <t>BLADE DERMA/BROWN D</t>
  </si>
  <si>
    <t>BLADE DIPS SHAVER</t>
  </si>
  <si>
    <t>BLADE</t>
  </si>
  <si>
    <t>BLADE DISSECTOR</t>
  </si>
  <si>
    <t>BLADE DOME CURRETTE</t>
  </si>
  <si>
    <t>BLADE DOUBLECUT</t>
  </si>
  <si>
    <t>BLADE EXCALIBUR</t>
  </si>
  <si>
    <t>BLADE FULL RADIUS</t>
  </si>
  <si>
    <t>BLADE GIGLI SAW</t>
  </si>
  <si>
    <t>BLADE INSTRUTEK</t>
  </si>
  <si>
    <t>BLADE KOBYGARD</t>
  </si>
  <si>
    <t>BLADE OSCILATING SAW</t>
  </si>
  <si>
    <t>BLADE OSTEOTOME</t>
  </si>
  <si>
    <t>BLADE RECIP SAW</t>
  </si>
  <si>
    <t>BLADE ROSETTE</t>
  </si>
  <si>
    <t>BLADE SAGITAL SAW</t>
  </si>
  <si>
    <t>BLADE SIZE 10-20</t>
  </si>
  <si>
    <t>BLADE SUPER/TOTAL K</t>
  </si>
  <si>
    <t>BLADE TAPERED BURR</t>
  </si>
  <si>
    <t>BLADE TORPEDO</t>
  </si>
  <si>
    <t>BLOOD ADM</t>
  </si>
  <si>
    <t>BLOOD COIL</t>
  </si>
  <si>
    <t>BODY WEDGE FOAM</t>
  </si>
  <si>
    <t>BOLIS FEEDING BAG</t>
  </si>
  <si>
    <t>BONE CARBON ROD SYN</t>
  </si>
  <si>
    <t>BONE CEMENT</t>
  </si>
  <si>
    <t>BONE CEMENT MIXER</t>
  </si>
  <si>
    <t>BONE CEMENT SUPR BWL</t>
  </si>
  <si>
    <t>BONE CLAMP SYNTHES</t>
  </si>
  <si>
    <t>BONE GROWTH STIMULA</t>
  </si>
  <si>
    <t>BONE MAR JAM ILL</t>
  </si>
  <si>
    <t>BONE VOID FILLER</t>
  </si>
  <si>
    <t>BP CUFF DINAMAP</t>
  </si>
  <si>
    <t>BRACE JEWET HYP EXT</t>
  </si>
  <si>
    <t>BREAST BIOPSY NEEDL</t>
  </si>
  <si>
    <t>BREAST PUMP DISP</t>
  </si>
  <si>
    <t>BREATHING KIT I P T</t>
  </si>
  <si>
    <t>BRONCHIAL BRUSHING K</t>
  </si>
  <si>
    <t>BRUSH BRONC</t>
  </si>
  <si>
    <t>BUCKS TRACTION SPLT</t>
  </si>
  <si>
    <t>BULB EAR SYRINGE</t>
  </si>
  <si>
    <t>BURETROL IV SET</t>
  </si>
  <si>
    <t>BUTTERFLY ALL SIZES</t>
  </si>
  <si>
    <t>BUTTON CANNULA</t>
  </si>
  <si>
    <t>BUTTON DRILL PIN</t>
  </si>
  <si>
    <t>BUTTON EXTENDER</t>
  </si>
  <si>
    <t>BUTTON INSERTER</t>
  </si>
  <si>
    <t>CABLE GRIP SYSTEM 1</t>
  </si>
  <si>
    <t>CABLE GRIP SYSTEM 2</t>
  </si>
  <si>
    <t>CALCANEUS BONE GRAF</t>
  </si>
  <si>
    <t>CAM WALKER</t>
  </si>
  <si>
    <t>CAMERA CASSETTE COVE</t>
  </si>
  <si>
    <t>CANCEL SET-UP</t>
  </si>
  <si>
    <t>CANN INTLFER SCREW</t>
  </si>
  <si>
    <t>CANNULA BONE DSP TM</t>
  </si>
  <si>
    <t>CANNULA CLAMP EA</t>
  </si>
  <si>
    <t>CANNULA KIT UNIVERS</t>
  </si>
  <si>
    <t>CANNULA UNIVERSAL A</t>
  </si>
  <si>
    <t>CARA-KLENZ 6 OZ</t>
  </si>
  <si>
    <t>CARBON FIBER ROD</t>
  </si>
  <si>
    <t>CARIPAD BEDPAD DISP</t>
  </si>
  <si>
    <t>CARPAL CUTTER</t>
  </si>
  <si>
    <t>CARTILAGE KIT</t>
  </si>
  <si>
    <t>CAST ARM LONG/PLAST</t>
  </si>
  <si>
    <t>CAST BOOT</t>
  </si>
  <si>
    <t>CAST CART USE</t>
  </si>
  <si>
    <t>CAST ELEVATOR HEEL</t>
  </si>
  <si>
    <t>CAST FOOT/ANKLE/PLA</t>
  </si>
  <si>
    <t>CAST FOOT/ANKLE/TPE</t>
  </si>
  <si>
    <t>CAST HAND/PLASTER</t>
  </si>
  <si>
    <t>CAST HAND/TAPE</t>
  </si>
  <si>
    <t>CAST LEG LONG/PLAST</t>
  </si>
  <si>
    <t>CAST LEG SHORT/PLAS</t>
  </si>
  <si>
    <t>CAST LONG ARM/TAPE</t>
  </si>
  <si>
    <t>CAST LONG LEG/TAPE</t>
  </si>
  <si>
    <t>CAST PADDING ROLL</t>
  </si>
  <si>
    <t>CAST SHOE</t>
  </si>
  <si>
    <t>CAST SHORT ARM/PLAST</t>
  </si>
  <si>
    <t>CAST SHORT ARM/TAPE</t>
  </si>
  <si>
    <t>CAST SHORT LEG/TAPE</t>
  </si>
  <si>
    <t>CAST WRIST/PLASTER</t>
  </si>
  <si>
    <t>CAST WRIST/TAPE</t>
  </si>
  <si>
    <t>CASTING TAPE DELTA</t>
  </si>
  <si>
    <t>STATLOCK IV ULTRA</t>
  </si>
  <si>
    <t>CATH URT OLV/WH TIP</t>
  </si>
  <si>
    <t>CATHETER, URET CONE</t>
  </si>
  <si>
    <t>CAUTERY CRYOPHAKE</t>
  </si>
  <si>
    <t>CAUTERY DISP PEN BLA</t>
  </si>
  <si>
    <t>CAUTERY GROUNDING PA</t>
  </si>
  <si>
    <t>CELL SAVER/WASH OVT</t>
  </si>
  <si>
    <t>CELL WASH MACH SUPP</t>
  </si>
  <si>
    <t>CEMENT DISPENSER JV</t>
  </si>
  <si>
    <t>DRILL EYELET PASSER</t>
  </si>
  <si>
    <t>DRILL GUIDE CONCEPT</t>
  </si>
  <si>
    <t>DRILL MITEK #0</t>
  </si>
  <si>
    <t>DRILL MITEK #2</t>
  </si>
  <si>
    <t>DRILL PIN ACL TIGT</t>
  </si>
  <si>
    <t>DRILL POWERPICK</t>
  </si>
  <si>
    <t>DRILL TIP GUIDE PIN</t>
  </si>
  <si>
    <t>DRILLBIT CANNULATED</t>
  </si>
  <si>
    <t>DUO DERM 4X4 WAF</t>
  </si>
  <si>
    <t>DUO DERM 8X8 WAF</t>
  </si>
  <si>
    <t>DUO DERM GRANULE</t>
  </si>
  <si>
    <t>DYNAMAPP DAILY</t>
  </si>
  <si>
    <t>DYNAMAPP SET UP</t>
  </si>
  <si>
    <t>EAR BUTN VNT T TITN</t>
  </si>
  <si>
    <t>EAR DRAPES</t>
  </si>
  <si>
    <t>EAR TUBE PLASTIC</t>
  </si>
  <si>
    <t>EAR TUBE STAINLESS</t>
  </si>
  <si>
    <t>EAR VENT TUBE WIRLS</t>
  </si>
  <si>
    <t>ECLIPSE PIN SENT</t>
  </si>
  <si>
    <t>ECOFIX RETENTION TP</t>
  </si>
  <si>
    <t>ELAST BANDAGE 2</t>
  </si>
  <si>
    <t>EKAST BANDAGE 3 INCH</t>
  </si>
  <si>
    <t>ELAST BANDAGE 4</t>
  </si>
  <si>
    <t>ELAST BANDAGE 6</t>
  </si>
  <si>
    <t>ELASTIC ANKLE SUPPORT</t>
  </si>
  <si>
    <t>ELASTOMULL 2"</t>
  </si>
  <si>
    <t>ELASTOMULL 3</t>
  </si>
  <si>
    <t>ELASTOMULL 4IN</t>
  </si>
  <si>
    <t>ELASTOPLAST ROLL</t>
  </si>
  <si>
    <t>ELBOW ORTHOSIS</t>
  </si>
  <si>
    <t>4 IN COATED BLADE MED BOVIE</t>
  </si>
  <si>
    <t>1 COATED BLADE    REG BOVIE</t>
  </si>
  <si>
    <t>ELECTRODE MICR J HK</t>
  </si>
  <si>
    <t>ELECTRODE SP MICRO</t>
  </si>
  <si>
    <t>ELECTRODE, KNIFE</t>
  </si>
  <si>
    <t>ELEVATED FOOT REST</t>
  </si>
  <si>
    <t>EMERSON CHEST DS</t>
  </si>
  <si>
    <t>EMERSON PUMP ADAPTER</t>
  </si>
  <si>
    <t>EMERSON PUMP DLY</t>
  </si>
  <si>
    <t>EMERSON PUMP S-U</t>
  </si>
  <si>
    <t>ENDO BRONCO-CATH LEF</t>
  </si>
  <si>
    <t>ENDO TUBE W/STYLET</t>
  </si>
  <si>
    <t>ENDOBRONCHIAL TUBE R</t>
  </si>
  <si>
    <t>ENDOCLIP APP M/LAUT</t>
  </si>
  <si>
    <t>ENDODISSECT</t>
  </si>
  <si>
    <t>ENDOGRASP</t>
  </si>
  <si>
    <t>ENDOSCOPY RHT ANGLE</t>
  </si>
  <si>
    <t>ENEMA BUCKET</t>
  </si>
  <si>
    <t>ENSURE LARGE 5X7</t>
  </si>
  <si>
    <t>ENSURE MEDIUM 4X5-5</t>
  </si>
  <si>
    <t>ENSURE SMALL 2X3</t>
  </si>
  <si>
    <t>ENTREFLEX STYLET</t>
  </si>
  <si>
    <t>ENTRIFLEX FEED T</t>
  </si>
  <si>
    <t>EPIDURAL CONTRAST</t>
  </si>
  <si>
    <t>EPIDURAL NEEDLE</t>
  </si>
  <si>
    <t>EPIDURAL SET</t>
  </si>
  <si>
    <t>EPIDURAL TRAY REG</t>
  </si>
  <si>
    <t>ERBE GROUND PLATE</t>
  </si>
  <si>
    <t>ERBE PROBE W/FILTER</t>
  </si>
  <si>
    <t>ERCP CATH GLOW TIP</t>
  </si>
  <si>
    <t>ERCP PROJECTOR GUIDE</t>
  </si>
  <si>
    <t>ESMARK BANDAGE 4X9</t>
  </si>
  <si>
    <t>ESMARK BANDAGE 6 X9</t>
  </si>
  <si>
    <t>ESOP OBTUR AIRWY</t>
  </si>
  <si>
    <t>ESOPHAGEAL STETHOSCO</t>
  </si>
  <si>
    <t>ESOPHAGEL/LINTON</t>
  </si>
  <si>
    <t>ETHICON STAPLER 35</t>
  </si>
  <si>
    <t>NON-DEHP CATH EXTENSION SET</t>
  </si>
  <si>
    <t>EXTENSION STEM STRT</t>
  </si>
  <si>
    <t>EXTERNAL FIXATOR</t>
  </si>
  <si>
    <t>EXTRACTOR, STONE HE</t>
  </si>
  <si>
    <t>EXTREMITY SHEET</t>
  </si>
  <si>
    <t>EYE DRESSING PKG OR</t>
  </si>
  <si>
    <t>EYE PAD OVAL DRESSN</t>
  </si>
  <si>
    <t>EYE PATCH METAL CRV</t>
  </si>
  <si>
    <t>EYE SHIELD INFANT</t>
  </si>
  <si>
    <t>FACIAL SHAVE KIT</t>
  </si>
  <si>
    <t>FECAL COLLECTOR</t>
  </si>
  <si>
    <t>FEE, LOANER IMPLANT</t>
  </si>
  <si>
    <t>FEEDING PUMP DAILY</t>
  </si>
  <si>
    <t>FEEDING PUMP SET UP</t>
  </si>
  <si>
    <t>FEEDING SYRINGE</t>
  </si>
  <si>
    <t>FEEDING TUBE</t>
  </si>
  <si>
    <t>FEMALE CATH KIT</t>
  </si>
  <si>
    <t>FEMORAL BLOCK</t>
  </si>
  <si>
    <t>FEMORAL CATH KIT</t>
  </si>
  <si>
    <t>FEMORAL CATH REP</t>
  </si>
  <si>
    <t>FEMORAL CATH TRA</t>
  </si>
  <si>
    <t>FEMORAL DISTAL AUG</t>
  </si>
  <si>
    <t>FEMORAL KNEE MOLD</t>
  </si>
  <si>
    <t>FEMORAL PEG</t>
  </si>
  <si>
    <t>FIBER STICK</t>
  </si>
  <si>
    <t>FIBERLINK</t>
  </si>
  <si>
    <t>FILTER</t>
  </si>
  <si>
    <t>FINGER CONT ORTHOSI</t>
  </si>
  <si>
    <t>FIXATION ORTHOFIX</t>
  </si>
  <si>
    <t>FIXATION PIN</t>
  </si>
  <si>
    <t>FIXATION PLATE</t>
  </si>
  <si>
    <t>FIXATION STAPLES</t>
  </si>
  <si>
    <t>FIXATOR KIT EBI</t>
  </si>
  <si>
    <t>FIXATOR LEFT ANKLE</t>
  </si>
  <si>
    <t>FLEX DIGIT TOE IMPT</t>
  </si>
  <si>
    <t>FLEXIBLE HINGE TOE</t>
  </si>
  <si>
    <t>FLEXIBLE TOE IMPL</t>
  </si>
  <si>
    <t>FLEXISEAL BOWL SYS</t>
  </si>
  <si>
    <t>FLEXISENSOR DATA A</t>
  </si>
  <si>
    <t>FLEXSEAL BAG</t>
  </si>
  <si>
    <t>FLIP CUTTER</t>
  </si>
  <si>
    <t>FLOSEAL 10-CC</t>
  </si>
  <si>
    <t>TERSERA SA LOCKING COVER PLATE</t>
  </si>
  <si>
    <t>ULTRASORB PADS 30X36</t>
  </si>
  <si>
    <t>IDENT SPACER 12X9X25 MM 10 DEG</t>
  </si>
  <si>
    <t>IDENT SPACER 13X10X25MM 10 DEG</t>
  </si>
  <si>
    <t>7.5X40MM R SCREW</t>
  </si>
  <si>
    <t>40MM SCREW S</t>
  </si>
  <si>
    <t>POL 5.5 TI 7.5X50MM MA RED SCR</t>
  </si>
  <si>
    <t>POL 5.35 TI 60 MM CURVE ROD</t>
  </si>
  <si>
    <t>POL 5.5 TI 6.5X55MM MA RED SCR</t>
  </si>
  <si>
    <t>POL 5.5 TI 9.5X40MM MA SCREW</t>
  </si>
  <si>
    <t>POL 5.5 TI 6.5X40MM MA RED SCR</t>
  </si>
  <si>
    <t>POL TRANS 5.5 TI 6.5X40MM TRNS</t>
  </si>
  <si>
    <t>POL 5.5 TI 10.5X90MM ILIAC SCR</t>
  </si>
  <si>
    <t>LINEUM 3.5MM X 14MM CC SCREW</t>
  </si>
  <si>
    <t>LINEUM 3.5MM X 16MM CC SCREW</t>
  </si>
  <si>
    <t>LINEUM 3.5MM X 18MM CC SCREW</t>
  </si>
  <si>
    <t>VISION.035 DIGITAL IVUS CATH</t>
  </si>
  <si>
    <t>POL TRANSW 5.5 TI 7.5X55MM TRA</t>
  </si>
  <si>
    <t>POL 5.5 TI 10.5X70MM MA SCREW</t>
  </si>
  <si>
    <t>PLATE 1 LEVEL 20MM</t>
  </si>
  <si>
    <t>PRODISC-C IMPLANT MD 5MM</t>
  </si>
  <si>
    <t>4.0X12MM THR VARIABLE SCREW</t>
  </si>
  <si>
    <t>CERVICAL 14DX16WX8H</t>
  </si>
  <si>
    <t>MAXAN GREEN 4 LVL 76MM FIX PLT</t>
  </si>
  <si>
    <t>LINEUM 4.0MM X 14MMCC SCREW</t>
  </si>
  <si>
    <t>CERVICAL 8X20X16MM CAGE</t>
  </si>
  <si>
    <t>NEOCORE STRIP 12CC</t>
  </si>
  <si>
    <t>CERVICAL 8X18X16MM CAGE</t>
  </si>
  <si>
    <t>CERVICAL 7X16X14MM CAGE</t>
  </si>
  <si>
    <t>68MM FOUR LEVEL PLATE</t>
  </si>
  <si>
    <t>16MM SD AV SCREW</t>
  </si>
  <si>
    <t>120MM ROD</t>
  </si>
  <si>
    <t>SET SCREW</t>
  </si>
  <si>
    <t>4.0X18MM SCREW</t>
  </si>
  <si>
    <t>4.0X16MM SCREW</t>
  </si>
  <si>
    <t>TI SPACER 12X9X25MM 10DEG</t>
  </si>
  <si>
    <t>TI SPACER 13X9X25MM 10DEG</t>
  </si>
  <si>
    <t>10.5X80MM SCREW</t>
  </si>
  <si>
    <t>9.5X40MM SCREW</t>
  </si>
  <si>
    <t>7.5X45MM SCREW</t>
  </si>
  <si>
    <t>7.5X50MM SCREW</t>
  </si>
  <si>
    <t>7.5X45MM R SCREW</t>
  </si>
  <si>
    <t>8.5X45MM SCREW</t>
  </si>
  <si>
    <t>8.5X50MM SCREW</t>
  </si>
  <si>
    <t>500MM CC ROD</t>
  </si>
  <si>
    <t>OFF SET 15MM</t>
  </si>
  <si>
    <t>CROSS LINK</t>
  </si>
  <si>
    <t>KNEE CPM DAILY</t>
  </si>
  <si>
    <t>BARIATRIC FRAME</t>
  </si>
  <si>
    <t>LUMBAR SACRAL ORTHOSES</t>
  </si>
  <si>
    <t>45MM ROD</t>
  </si>
  <si>
    <t>50MM ROD</t>
  </si>
  <si>
    <t>MICROMATRIX 1000MG</t>
  </si>
  <si>
    <t>WOUND MATRIX 3LAYER 5X5CM</t>
  </si>
  <si>
    <t>DISP FIRSTPASS STR PASSR SELD</t>
  </si>
  <si>
    <t>FOOTPRINT ULTRA SUTURE ANCHOR</t>
  </si>
  <si>
    <t>CANNULA SMOOTH FLEX 8.0X72MM</t>
  </si>
  <si>
    <t>ULTRATAPE 2MM COBRD BLUE</t>
  </si>
  <si>
    <t>SHOULDER SUSPENSION KIT</t>
  </si>
  <si>
    <t>WEREWOLF FLOW 90 COBLATION WAN</t>
  </si>
  <si>
    <t>UC ROTAOR CUFF INSTRUMENT</t>
  </si>
  <si>
    <t>PLFM CM STRIP 1X125X4</t>
  </si>
  <si>
    <t>MAXAN GREEN 1 LVL 10MM PLATE</t>
  </si>
  <si>
    <t>MAXAN SCREW TACK</t>
  </si>
  <si>
    <t>LINEUM 3.5MM X 240MM TI ROD</t>
  </si>
  <si>
    <t>LINEUM 4.0X16MM CC SCREW</t>
  </si>
  <si>
    <t>POL 5.5 TI 9.5X45MM MA SCREW</t>
  </si>
  <si>
    <t>POL 5.5 7.5X30MM MA RED SCREW</t>
  </si>
  <si>
    <t>POL 5.5 TI 7.5X35MMM MA RED SC</t>
  </si>
  <si>
    <t>POL 5.5 TI 7.5X40MM MA RED SCR</t>
  </si>
  <si>
    <t>POL 5.5 TI 9.5X50MM MA SCREW</t>
  </si>
  <si>
    <t>POL 4.75 5.5X5.5 0-0 SADDLE PA</t>
  </si>
  <si>
    <t>POL 5.5 TI 5.5X300 STD ROD</t>
  </si>
  <si>
    <t>POL 5.5 TI 70MM TI ROD</t>
  </si>
  <si>
    <t>SHOE COVER</t>
  </si>
  <si>
    <t>FACE SHIELD MASK</t>
  </si>
  <si>
    <t>BOUFFANT CAP</t>
  </si>
  <si>
    <t>VERTECEM MIXING KIT</t>
  </si>
  <si>
    <t>ACCESS DRIL</t>
  </si>
  <si>
    <t>VERTECEM SYR KIT</t>
  </si>
  <si>
    <t>ACCESS KIT 10GA DIAMOND</t>
  </si>
  <si>
    <t>ACCESS KIT 10GA BEVEL TIP</t>
  </si>
  <si>
    <t>SYNFLATE BALLON MD</t>
  </si>
  <si>
    <t>INFLATION SYSTEM</t>
  </si>
  <si>
    <t>SUTURE ANCHOR 2.4X8.5MM</t>
  </si>
  <si>
    <t>DISP INSTRS KIT FOR MINI S-TAK</t>
  </si>
  <si>
    <t>2.4X16MM VAL SCREW TI</t>
  </si>
  <si>
    <t>2.4X18MM VAL SCREW TI</t>
  </si>
  <si>
    <t>2.4X20MM VAL SCREW TI</t>
  </si>
  <si>
    <t>2.5MM DRIL BIT CALIBRATED</t>
  </si>
  <si>
    <t>DRILL BIT 1.7MM</t>
  </si>
  <si>
    <t>VOLAR DISTAL RAD 3H</t>
  </si>
  <si>
    <t>LO-PROSCREW 3.5MMX14MM</t>
  </si>
  <si>
    <t>LO-PRO SCREW TI 3.5MMX16MM</t>
  </si>
  <si>
    <t>6.0X45MM SCREW</t>
  </si>
  <si>
    <t>7.0X50MM SCREW</t>
  </si>
  <si>
    <t>MEDCROSS LINK</t>
  </si>
  <si>
    <t>EXPANDING POSTERIOR LUMBAR SYS</t>
  </si>
  <si>
    <t>SIGNA FUSE GRAFT 3.75G</t>
  </si>
  <si>
    <t>OSTEO-P BONE GRAFT GRANU 10CC</t>
  </si>
  <si>
    <t>7.0X40MM SCREW</t>
  </si>
  <si>
    <t>7.0X45MM SCREW</t>
  </si>
  <si>
    <t>70MM ROD</t>
  </si>
  <si>
    <t>EXTRA LARGE CROSS LINK</t>
  </si>
  <si>
    <t>9X28X10MM CAGE</t>
  </si>
  <si>
    <t>CLEARMIX SINGLE</t>
  </si>
  <si>
    <t>70MM FEMORAL KNEE CEMENT MOLD</t>
  </si>
  <si>
    <t>80MM TIBIAL KNEE CEMENT MOLD</t>
  </si>
  <si>
    <t>BIOMET BONE CEMENT 1X40US</t>
  </si>
  <si>
    <t>MRI FEMORAL CASE USAGE FEE</t>
  </si>
  <si>
    <t>MRI SHORT OSTEOTOME BLADE 20MM</t>
  </si>
  <si>
    <t>MRI LONG OSTEOTOME BLADE 20MM</t>
  </si>
  <si>
    <t>HFN LAG SCREW 10.5X90MM</t>
  </si>
  <si>
    <t>CORTICAL BONE SCREW 5.0X36MM</t>
  </si>
  <si>
    <t>A/R SCREW DRILL</t>
  </si>
  <si>
    <t>4.3MML DISTAL GRADUATE DRILL</t>
  </si>
  <si>
    <t>HFN 130 DEG 11MMX180MM</t>
  </si>
  <si>
    <t>3.2X44MM THRD GUIDE PIN STE</t>
  </si>
  <si>
    <t>CORTICAL BONE SCREW 5.0X38MM</t>
  </si>
  <si>
    <t>HFN LAG SCREW 10.5X100MM</t>
  </si>
  <si>
    <t>SAVION FXL 0.014X300CM</t>
  </si>
  <si>
    <t>VICTORY 14 STRAIGHT TIP 12GRAM</t>
  </si>
  <si>
    <t>VICI VENOUS STENT SYSTEM</t>
  </si>
  <si>
    <t>COYOTE BALLON CATH</t>
  </si>
  <si>
    <t>PRECISE CAROTID STENT 8X40CM</t>
  </si>
  <si>
    <t>ANGIOGUARD EPD 6MM</t>
  </si>
  <si>
    <t>AVIATOR 0.14 BALLON</t>
  </si>
  <si>
    <t>ANYPLUS POLY SCREW 6.5MMX40MM</t>
  </si>
  <si>
    <t>60MM PREBENT ROD</t>
  </si>
  <si>
    <t>70MM PREBENT ROD</t>
  </si>
  <si>
    <t>LOW PROFILE EXPANDABLE IMPLANT</t>
  </si>
  <si>
    <t>TESERA SA 4.5X25MM VAR SCREW</t>
  </si>
  <si>
    <t>38X30-19MM CAGE 17 DEG TESERA</t>
  </si>
  <si>
    <t>BLK DIAMOND PEDICLE SCREW 6.5</t>
  </si>
  <si>
    <t>BLK DIAMOND PEDICLE SCREW6.5</t>
  </si>
  <si>
    <t>OSSEUS PEDICLE SCREW 7.5X40</t>
  </si>
  <si>
    <t>OSSEUS CURVED ROD 40MM</t>
  </si>
  <si>
    <t>METRIX SYSTEM #2</t>
  </si>
  <si>
    <t>G-FORCE TENODESIS SCREW PEEK</t>
  </si>
  <si>
    <t>7.0 MVL SCREW X 80MM</t>
  </si>
  <si>
    <t>VOX TITANON LLIF 45MMX18X10MM</t>
  </si>
  <si>
    <t>NIAGARA LATERAL ACCESS SYSTEM</t>
  </si>
  <si>
    <t>NIAGARA NERVE STIMULATOR PROBE</t>
  </si>
  <si>
    <t>IOM ELECTROPHYSIOLOGIC TESTING</t>
  </si>
  <si>
    <t>3.2MM THREADED PIN 508MM</t>
  </si>
  <si>
    <t>CALIBRATED DRILL 4.3MM LONG</t>
  </si>
  <si>
    <t>Z NAIL 10.5X105 LAG SCREW</t>
  </si>
  <si>
    <t>Z NAIL 5.0X32.5 CORT SCREW</t>
  </si>
  <si>
    <t>Z NAIL CPM 10MMX21.5CM 130L</t>
  </si>
  <si>
    <t>ANGIO SEAL 6FR</t>
  </si>
  <si>
    <t>ANGIO SEAL 8FR</t>
  </si>
  <si>
    <t>SUTURE 6-0 PROLENE 30'</t>
  </si>
  <si>
    <t>BIO-COMP SWIVELLOCK 4.75X19.1M</t>
  </si>
  <si>
    <t>CANNULA TWIST-IN</t>
  </si>
  <si>
    <t>1.35MM GUIDE WIRE TROCAR</t>
  </si>
  <si>
    <t>LO-PRO SCREW CANN 4X39MM</t>
  </si>
  <si>
    <t>LO-PRO SCREW CANN 4X50MM</t>
  </si>
  <si>
    <t>LO-PRO SCREW CANN 4X50MM BLUNT</t>
  </si>
  <si>
    <t>FIBERTAPE 17' STR NDL</t>
  </si>
  <si>
    <t>CONSENSUS FEMORAL COMPONENT RL</t>
  </si>
  <si>
    <t>CONSENSUS TIBIAL INSERT PCL</t>
  </si>
  <si>
    <t>CONSENSUS TIBIAL BASEPLATE</t>
  </si>
  <si>
    <t>CONSENSUS PATELLA COMP CIRCULA</t>
  </si>
  <si>
    <t>12MM 1 LEVEL PLATE</t>
  </si>
  <si>
    <t>4.0X14MM VARIABLE SELF D SCREW</t>
  </si>
  <si>
    <t>4.0X16MM VARIALBLE SLF SCREW</t>
  </si>
  <si>
    <t>14MM DRILL BIT</t>
  </si>
  <si>
    <t>CESPACE XP IMPLANT 5 DEG</t>
  </si>
  <si>
    <t>5FR SEL BERN</t>
  </si>
  <si>
    <t>COYOTE OVER THE WIRE BALLON</t>
  </si>
  <si>
    <t>ZIPWIRE HYDROPHILLIC GUIDE WIR</t>
  </si>
  <si>
    <t>MUSTANG 75CM</t>
  </si>
  <si>
    <t>RUBBICON SUPPORT CATHETER</t>
  </si>
  <si>
    <t>ENTRY NEEDLLE</t>
  </si>
  <si>
    <t>BENTSON GUIDE</t>
  </si>
  <si>
    <t>SHEAT INTRODUCER SHORT</t>
  </si>
  <si>
    <t>SHEAT INTRODUCER PRELUDE PRO</t>
  </si>
  <si>
    <t>HI-TORQUE COMMAND ES</t>
  </si>
  <si>
    <t>ANGLED EXTRA SUPPORT CATHETER</t>
  </si>
  <si>
    <t>DIAMONDBACK EXCHANGABLE SYSTEM</t>
  </si>
  <si>
    <t>VIPERSLIDE LUB</t>
  </si>
  <si>
    <t>VIPERWIRE FLEX .014TIP X335</t>
  </si>
  <si>
    <t>ANYPLUS NON CANN SCREW 6.5X45M</t>
  </si>
  <si>
    <t>40MM PREBENT ROD</t>
  </si>
  <si>
    <t>SILVASORB GEL .25OZ</t>
  </si>
  <si>
    <t>3.5MM LOW PRO CORT WASHER</t>
  </si>
  <si>
    <t>3.5MM LOW PRO CORT 22MM</t>
  </si>
  <si>
    <t>3.5MM LOW PRO CORT 26MM</t>
  </si>
  <si>
    <t>3.5MM LOW PRO CORT 28MM</t>
  </si>
  <si>
    <t>3.5MM LOW PRO CORT 55MM</t>
  </si>
  <si>
    <t>OLECRANON PLATE 10H 79MM</t>
  </si>
  <si>
    <t>3.5MM CORT LOCK SCR 14MM</t>
  </si>
  <si>
    <t>S3 K-WIRE 2.0X152MM 6"</t>
  </si>
  <si>
    <t>DRILL BIT 2.5MM</t>
  </si>
  <si>
    <t>EV3 SPIDER FX 5.0MM</t>
  </si>
  <si>
    <t>HAWKONE</t>
  </si>
  <si>
    <t>ADMIRAL PACLITAXEL BALLON CATH</t>
  </si>
  <si>
    <t>OPEN SUCTION CATHETERS</t>
  </si>
  <si>
    <t>REFOBACIN BONE CEMENT 1X40</t>
  </si>
  <si>
    <t>BIPOLAR HIP-PORT ST/MLTPLR HD</t>
  </si>
  <si>
    <t>CANN SCREW 6.5MMX90MMX16MM</t>
  </si>
  <si>
    <t>CANN SCREW 6.5MMX85MMX16MM</t>
  </si>
  <si>
    <t>FLAT WASHER 6.5MM</t>
  </si>
  <si>
    <t>GDE PIN DRL TIP 2.8X300MM</t>
  </si>
  <si>
    <t>CANN DRILL 4.8X300MM</t>
  </si>
  <si>
    <t>3.5MM LOW PROFILE CORT 55MM</t>
  </si>
  <si>
    <t>2.7MM CALIB DRILL BIT</t>
  </si>
  <si>
    <t>3.5MM CORT LOCK SCR 12MM NS</t>
  </si>
  <si>
    <t>SUREFIRE SCORPION NEEDLE</t>
  </si>
  <si>
    <t>SPEED IMP SYSTEM BIO-COMP</t>
  </si>
  <si>
    <t>17.5MMX15MMX7MM LORDIS T3 SA</t>
  </si>
  <si>
    <t>TESERA SC-3.5MMX12MM SELF/D SC</t>
  </si>
  <si>
    <t>GMK TIBIAL TRAY CEMENTED LEFT</t>
  </si>
  <si>
    <t>GMK SPHERE TIBIAL INSERT 10MM</t>
  </si>
  <si>
    <t>PATELLA RESURFACING S1</t>
  </si>
  <si>
    <t>MYKNEE FEMUR DISTAL CUT #2L</t>
  </si>
  <si>
    <t>MYKNEE TIBIAL CUT BLOCK 2L</t>
  </si>
  <si>
    <t>KNEE JOURNEY II VERI &amp; NP</t>
  </si>
  <si>
    <t>GNS TROCAR PIN 1/8X3</t>
  </si>
  <si>
    <t>GEN TROCAR 1/8X3</t>
  </si>
  <si>
    <t>LOCK SCREW SQUARE 2.7MMX16MM</t>
  </si>
  <si>
    <t>LP NON LOCK 2.7MMX12MM</t>
  </si>
  <si>
    <t>LP NON LOCK 2.7MMX24MM</t>
  </si>
  <si>
    <t>DVR LOCK NARROW L</t>
  </si>
  <si>
    <t>JUGGERKNOT 2.9 TAPPERED NDLS</t>
  </si>
  <si>
    <t>JUGGERNOT 2.9 DRILL BIT SHORT</t>
  </si>
  <si>
    <t>QUATTRO LINK ANCHOR 4.5MM</t>
  </si>
  <si>
    <t>LONE STAR ELASTIC HOOK</t>
  </si>
  <si>
    <t>OVER THE WIRE 5.0MMMX220CMX150</t>
  </si>
  <si>
    <t>KNEE CREATIONS SCP FOOT&amp;ANKLE</t>
  </si>
  <si>
    <t>PROLENE MESH XSMALL</t>
  </si>
  <si>
    <t>FLEXISEAL COLLECTION BAG</t>
  </si>
  <si>
    <t>PROXIMAL LATERAL PLATE 4 HOLE</t>
  </si>
  <si>
    <t>4MM LOCKING SCREW 4.0MM/ L42MM</t>
  </si>
  <si>
    <t>4MM LOCKING SCREW 4.0MM/ L44MM</t>
  </si>
  <si>
    <t>3.5MM CORTEX TI SCREW 3.5MM/L3</t>
  </si>
  <si>
    <t>3.5MM CORTEX TI SCRE 3.5MM/L40</t>
  </si>
  <si>
    <t>3.5MM CORTEX TI SCREW 3.5MM/L7</t>
  </si>
  <si>
    <t>3.5MM CORTEX TI SCREW 3.5MM/L8</t>
  </si>
  <si>
    <t>K-LESS T-ROPE SYN REPAIR TI</t>
  </si>
  <si>
    <t>IMAGER LL 5 FR CATHETER</t>
  </si>
  <si>
    <t>STONE RETRIVAL BASKET</t>
  </si>
  <si>
    <t>PROGLIDE 6FR ABBOTT</t>
  </si>
  <si>
    <t>VENTI MASK</t>
  </si>
  <si>
    <t>MAXAN SCR 4.5X16MM VAR</t>
  </si>
  <si>
    <t>MAXAN GREEN 3 LVL 51MM FIX</t>
  </si>
  <si>
    <t>TRELLOSS-C 12DX14WX8H 6DEG</t>
  </si>
  <si>
    <t>IN PACT AV PTA BALLON CATHETER</t>
  </si>
  <si>
    <t>10X9X25MM 10 DEG TI CAGE</t>
  </si>
  <si>
    <t>ROD CC</t>
  </si>
  <si>
    <t>I-FACTOR PUTTY 5.0CC</t>
  </si>
  <si>
    <t>ROADRUNNER SUPPORT GUIDE WIRE</t>
  </si>
  <si>
    <t>ANYPLUS POLY NON-CAN SCREW 5.5</t>
  </si>
  <si>
    <t>NUCEL MEDIUM PUTTY</t>
  </si>
  <si>
    <t>OCMP 2CC</t>
  </si>
  <si>
    <t>2.5MMX16MM CANN SCREW STAINLES</t>
  </si>
  <si>
    <t>100X131MM KWIRE</t>
  </si>
  <si>
    <t>100X0.9MM KWIRE</t>
  </si>
  <si>
    <t>STRAIGHT 22DX9WX8H 6DEG</t>
  </si>
  <si>
    <t>POL 5.5X10MM STD CORD ROD</t>
  </si>
  <si>
    <t>BIPOLAR HIP-POR ST SYSTEM</t>
  </si>
  <si>
    <t>DRILL BIT 2.8MMX60MM</t>
  </si>
  <si>
    <t>LOCKING SCREW 3.5MMX18MM ORTHL</t>
  </si>
  <si>
    <t>DRILL BIT 2.5X60MM</t>
  </si>
  <si>
    <t>LOVKING SCREW 3.5X16MM ORTHOLC</t>
  </si>
  <si>
    <t>DRILL BIT 3.0MMX60MM</t>
  </si>
  <si>
    <t>LOCKING SCREW 3.5X14MM ORHTOLC</t>
  </si>
  <si>
    <t>TEMP FIXATION PIN 1.4MM NLG</t>
  </si>
  <si>
    <t>STRAIGHT TUBULAR PLATE 6 HOLE</t>
  </si>
  <si>
    <t>2.5X16MM CANNULATED SCREW</t>
  </si>
  <si>
    <t>100X1.1MM K-WIRE</t>
  </si>
  <si>
    <t>FREEDOM TOTAL KNEE FEMORAL SYS</t>
  </si>
  <si>
    <t>FREEDOM POSTERIOR STABILIZED T</t>
  </si>
  <si>
    <t>TIBIAL BASE PLATE</t>
  </si>
  <si>
    <t>PORUS TI SPACER 13X10X25MM</t>
  </si>
  <si>
    <t>PORUS TI SPACER 12X10X25MM</t>
  </si>
  <si>
    <t>PS PORUS TI SPACER 12X9X25MM</t>
  </si>
  <si>
    <t>PS PORUS TI SPACER 13X13X255MM</t>
  </si>
  <si>
    <t>SABER-C PLATE 12X15X7 6 DEG</t>
  </si>
  <si>
    <t>SABER-C BODY T 12X15X7 6 DEG</t>
  </si>
  <si>
    <t>SABER-C SPIKE</t>
  </si>
  <si>
    <t>COUNTERSINK 6MM SOLID</t>
  </si>
  <si>
    <t>TEMP FIXATION PIN 1.1MM SMALL</t>
  </si>
  <si>
    <t>LOCKING SCREW 3.5X12MM</t>
  </si>
  <si>
    <t>HEADED SCREW 4.0X22MM DART FIR</t>
  </si>
  <si>
    <t>ROI C LONG ANCHOR PLATE</t>
  </si>
  <si>
    <t>ROI C PLATE 12X14X8MM CAGE</t>
  </si>
  <si>
    <t>PHOENIX IVUS CATHERER 1.8X149</t>
  </si>
  <si>
    <t>FG EXP RENAL BILIARY STEN 5.0X</t>
  </si>
  <si>
    <t>POL SCREW TI 10.5X45MM</t>
  </si>
  <si>
    <t>5.5 TI XSM CROSS CONNECTOR</t>
  </si>
  <si>
    <t>POL 4.75 OPN DOM 4.75 BAND</t>
  </si>
  <si>
    <t>5.8 TI XSM CROOS CONNECTOR</t>
  </si>
  <si>
    <t>INTERNALBRACE LIGAMENT</t>
  </si>
  <si>
    <t>IB KIT BC JUMPSTART</t>
  </si>
  <si>
    <t>DISPOSABLE KIT FOR DX FIBERTAK</t>
  </si>
  <si>
    <t>DX FIBERTAK SUTURE ANCHOR</t>
  </si>
  <si>
    <t>DX FIBERTAK SUTURE ANCHOR ST</t>
  </si>
  <si>
    <t>PROBE</t>
  </si>
  <si>
    <t>LIGHT</t>
  </si>
  <si>
    <t>18MMX50MM F3D LATERAL</t>
  </si>
  <si>
    <t>ORTHOFIX M6 7MM LL</t>
  </si>
  <si>
    <t>ORTHOFIX M6 6MM LL</t>
  </si>
  <si>
    <t>ORTHOFIX SYSTEM PIN</t>
  </si>
  <si>
    <t>ORTHOFIX M6 6M L</t>
  </si>
  <si>
    <t>XIA 4S 6.5X40 SCREW</t>
  </si>
  <si>
    <t>XIA 6.5X35 SCREW</t>
  </si>
  <si>
    <t>X1A 4S 7.5X30 SCREW</t>
  </si>
  <si>
    <t>XIA 4S SET</t>
  </si>
  <si>
    <t>XIA 4S 4.5X45 VIT ROD</t>
  </si>
  <si>
    <t>ATS CASE PROFESSIONAL SERV</t>
  </si>
  <si>
    <t>ANYPLUS SET SCREW 10.6XMM</t>
  </si>
  <si>
    <t>LOW PROFILE LORDOTIC EXP IMP 2</t>
  </si>
  <si>
    <t>THRUWAY SHRT TAPER PTA BALLON</t>
  </si>
  <si>
    <t>PALMAZ GENESIS 6X29CM STENT</t>
  </si>
  <si>
    <t>MUSTANG 6.0X200MM BALLON</t>
  </si>
  <si>
    <t>V-14 CONTROL WIRE 0.014X300CM</t>
  </si>
  <si>
    <t>PINACLE SYSTEM IMPLANTS</t>
  </si>
  <si>
    <t>HFN 130 DEG 9MM X 180MM</t>
  </si>
  <si>
    <t>VISION PV .018 IVUS CATHETER</t>
  </si>
  <si>
    <t>VISION PV .035 IVUS CATHETER</t>
  </si>
  <si>
    <t>AMPLATZER VASCULAR PLUG LL</t>
  </si>
  <si>
    <t>TI PS POROUS SPACER 14X9X25</t>
  </si>
  <si>
    <t>HFN LAG SCREW 10.5MM X 105MM</t>
  </si>
  <si>
    <t>TI-DBLE LEAD CORT 5X65MM</t>
  </si>
  <si>
    <t>FEM NAIL RETRO 12MMX380MM</t>
  </si>
  <si>
    <t>TI-DBLE XORT 50X36MM</t>
  </si>
  <si>
    <t>TI-DBLE CORT 5X50MM SCREW</t>
  </si>
  <si>
    <t>TI-DBLE CORT 5X75MM SCREW</t>
  </si>
  <si>
    <t>4.3MM CROWE POINT TWIST DRILL</t>
  </si>
  <si>
    <t>12.2 MM ONE STE DRILL</t>
  </si>
  <si>
    <t>BEAD TIP GUIDE WIRE 3X96CM</t>
  </si>
  <si>
    <t>CALIBRATED DRILL 4.3X365MM</t>
  </si>
  <si>
    <t>LAG SCREW GUIDE WIRE 3.2X460MM</t>
  </si>
  <si>
    <t>PENTA SYSTEM</t>
  </si>
  <si>
    <t>TURBO ELITE 2.0 SPECTRANICS</t>
  </si>
  <si>
    <t>VISION PV .14P DIGITAL CATH</t>
  </si>
  <si>
    <t>3.5 LOCKING SCREW 10MM</t>
  </si>
  <si>
    <t>3.5 LOCKING SCREW 14MM</t>
  </si>
  <si>
    <t>3.5 ING SCREW 16MM</t>
  </si>
  <si>
    <t>3.5 NON LOCKING SCREW</t>
  </si>
  <si>
    <t>LATERAL DISTAL FIBULA 110MM</t>
  </si>
  <si>
    <t>DRILL BIT 2.7</t>
  </si>
  <si>
    <t>GUIDE PIN 1.6MM</t>
  </si>
  <si>
    <t>PERC INSERT KIT FOR 2.9MM P-LC</t>
  </si>
  <si>
    <t>BIO-COMP SWIVELCOK 5.5X19.1MM</t>
  </si>
  <si>
    <t>SUTURE ANCH, BIO-COMP 2.9X12.5</t>
  </si>
  <si>
    <t>SUTURELASSO 25DEG THIGHT CURVE</t>
  </si>
  <si>
    <t>CANNULA INSTRUMENT</t>
  </si>
  <si>
    <t>LABRALTAPE WHITE/BLK 1.2MM</t>
  </si>
  <si>
    <t>STANDAR HUMERAL DIAPHYSIS</t>
  </si>
  <si>
    <t>HUMERAL REVERSE METAHYSIS 0MM</t>
  </si>
  <si>
    <t>HUMERAL REVERSE HC LINER 6MM</t>
  </si>
  <si>
    <t>GLENOID BASEPLATE 24.5X25</t>
  </si>
  <si>
    <t>GLENSPHERE A 36X24.5</t>
  </si>
  <si>
    <t>NUSHIELD 3X4 CM</t>
  </si>
  <si>
    <t>2.0MM DRILL</t>
  </si>
  <si>
    <t>10X9X9 COMPRESIVE STAPLE</t>
  </si>
  <si>
    <t>15X14X14 COMPRESIVE STAPLE</t>
  </si>
  <si>
    <t>3.0X16MM CANNULATED SCREW STN</t>
  </si>
  <si>
    <t>ROI C CAGE 12X14X7MM</t>
  </si>
  <si>
    <t>ASSY 14MMX30MMX14</t>
  </si>
  <si>
    <t>ASSY 12MM X 30MM X 20</t>
  </si>
  <si>
    <t>SMALL COVER PLATE</t>
  </si>
  <si>
    <t>5.5MM X25MM BONE SCREW</t>
  </si>
  <si>
    <t>5.5MM X 20MM BONE SCREW</t>
  </si>
  <si>
    <t>TURBO-POWWER ATHERECTOMY CATH</t>
  </si>
  <si>
    <t>QUICK CROSS SUPPORT CATH 0.035</t>
  </si>
  <si>
    <t>INTEGRO DBM 5CC</t>
  </si>
  <si>
    <t>TRELLOS-C 12DX14WX5D</t>
  </si>
  <si>
    <t>MAXAN GREEN 3 LEVEL 45MM FIX P</t>
  </si>
  <si>
    <t>SPECTRANETICS QUICK CROSS SUPP</t>
  </si>
  <si>
    <t>CATHETER TURBO ELITE 0014"</t>
  </si>
  <si>
    <t>SPECTRANETICS SUPPORT CATH 0.0</t>
  </si>
  <si>
    <t>COLINK LATERAL FIBULAR 4 HOLE</t>
  </si>
  <si>
    <t>COLAG SCREW 4.0X40MM</t>
  </si>
  <si>
    <t>COLINK LOW PRO SCREW 3.5X32MM</t>
  </si>
  <si>
    <t>COLINK LOW PRO SCREW 3.5X14MM</t>
  </si>
  <si>
    <t>COLINK LOW PRO SCREW 3.5X12MM</t>
  </si>
  <si>
    <t>COLINK LOW PRO SCREW 3.5X28MM</t>
  </si>
  <si>
    <t>COLINK VAL SCREW 3.5X12MM</t>
  </si>
  <si>
    <t>1.9MM 50MM DRILL</t>
  </si>
  <si>
    <t>2.5X60MM DRILL</t>
  </si>
  <si>
    <t>K WIRE</t>
  </si>
  <si>
    <t>3.5MM CANNULATED DRILL</t>
  </si>
  <si>
    <t>INTRANERVE NEURO MONITORING S.</t>
  </si>
  <si>
    <t>IDENTI CERVICAL TI SPACER</t>
  </si>
  <si>
    <t>66MM 3 LEVEL PLATE</t>
  </si>
  <si>
    <t>6.5X40MM SCREW</t>
  </si>
  <si>
    <t>6.5X35MM SCREW</t>
  </si>
  <si>
    <t>PROSPACE XP IMPLANT 8'</t>
  </si>
  <si>
    <t>QUICKCLEAR ASPIRATION CA 10FR</t>
  </si>
  <si>
    <t>V-18 CONTROL WIRE 0.0018X300CM</t>
  </si>
  <si>
    <t>EXPRESS ILIAC BILLIARY 8MMX37M</t>
  </si>
  <si>
    <t>TURBO LASER ATHERECTOMY CATH</t>
  </si>
  <si>
    <t>PEDICLE SCREWS 6.5X35MM</t>
  </si>
  <si>
    <t>LORDOTIC RODS 45MM</t>
  </si>
  <si>
    <t>LORDOTIC RODS 75MM</t>
  </si>
  <si>
    <t>SET SCREWS 4.5-7.5 DIA</t>
  </si>
  <si>
    <t>GSS PEDICLE SCREW</t>
  </si>
  <si>
    <t>GSS PEDICLE SCREW 7.5X40</t>
  </si>
  <si>
    <t>GSS PEDICLE SCREW 7.5X45</t>
  </si>
  <si>
    <t>GSS ROD 40MM</t>
  </si>
  <si>
    <t>GSS LOCKING NUT</t>
  </si>
  <si>
    <t>TRANSFORAMINAL LUMBAR INTERBOD</t>
  </si>
  <si>
    <t>ANGIOGRAPHIC CATH 5FR CORDIS</t>
  </si>
  <si>
    <t>FILTER IVC ARGON 70CM 5FR</t>
  </si>
  <si>
    <t>PALMAZ BLUE 5MMX18MM RENAL STE</t>
  </si>
  <si>
    <t>SILVERHAWK EXL</t>
  </si>
  <si>
    <t>SECURE STRAP FIXATIOPN DEVICE</t>
  </si>
  <si>
    <t>CATHETER STORQ STANDAR 2MM</t>
  </si>
  <si>
    <t>GLIDE CATH XP 5FR</t>
  </si>
  <si>
    <t>CROSSFLOW OUTFLOW TUBING STRYK</t>
  </si>
  <si>
    <t>CROSSFLOW CASSETE TUBING</t>
  </si>
  <si>
    <t>PERC INSERT KIT 2.9MM</t>
  </si>
  <si>
    <t>SUTURELASSO 90 DEG</t>
  </si>
  <si>
    <t>SUTURE TAPE 1.3MM/NEELDE</t>
  </si>
  <si>
    <t>INSTUMENT SET ARTHREX</t>
  </si>
  <si>
    <t>ENDURANT STENT GRAFT SYSTEM</t>
  </si>
  <si>
    <t>ENDURANT STENT GRAFT LIMB</t>
  </si>
  <si>
    <t>ENDURANT SENTE GRAFT LIMB</t>
  </si>
  <si>
    <t>RELIANT BALLON CATHETER</t>
  </si>
  <si>
    <t>HELIFX ENDO ANCHOR SYSTEM</t>
  </si>
  <si>
    <t>FLEXI SEAL COLLECTION SYSTEM</t>
  </si>
  <si>
    <t>AQUATRACK GUIDEWIRE 260CM 0035</t>
  </si>
  <si>
    <t>I-FACTOR PUTTY 1.0CC</t>
  </si>
  <si>
    <t>12MM SELF DRILLING SCREW ATEC</t>
  </si>
  <si>
    <t>8.0X75MM DRILL</t>
  </si>
  <si>
    <t>STEERABLE GUIDAWIRE SV-5</t>
  </si>
  <si>
    <t>ANYPLUS POLY NON-CANN SCREW6.5</t>
  </si>
  <si>
    <t>NUCELL SMALL</t>
  </si>
  <si>
    <t>STERILE SUPPORT T W/O PROTECTO</t>
  </si>
  <si>
    <t>DIAMOND SPINAL BURR 3.7MM</t>
  </si>
  <si>
    <t>ELLIQUENCE TRIGGER-FLEX</t>
  </si>
  <si>
    <t>ELLIQUENCE EQUIPMENT</t>
  </si>
  <si>
    <t>ESSENTIO MRI DR IS-1 PACEMAKER</t>
  </si>
  <si>
    <t>JRNY LL BCS CONSTRD ART INST 3</t>
  </si>
  <si>
    <t>GII OVAL RESURFACING PAT 32MM</t>
  </si>
  <si>
    <t>JRNY II TIBIA BASE NP LT SZ3</t>
  </si>
  <si>
    <t>JRNY II BCS FEMORAL OXIN LT SZ</t>
  </si>
  <si>
    <t>FEE RECON DEL</t>
  </si>
  <si>
    <t>HFN 125 DEG 9MMX180</t>
  </si>
  <si>
    <t>CORTICAL BONE SCR 5.0MMX36MM</t>
  </si>
  <si>
    <t>HFN LAG SCREW 10.5X85MM</t>
  </si>
  <si>
    <t>EMBOSHIELD NV 7.2MM</t>
  </si>
  <si>
    <t>VIATRAC 14 PLUS 4.0X40MMX135CM</t>
  </si>
  <si>
    <t>CAROTID STENT SYSTEM</t>
  </si>
  <si>
    <t>VIATRAC 14 PLUS</t>
  </si>
  <si>
    <t>8X3 PASSPORT</t>
  </si>
  <si>
    <t>NCB DRILL BIT 4.3MMX195</t>
  </si>
  <si>
    <t>NCB DRILL BIT 4.3MMX300M</t>
  </si>
  <si>
    <t>NCB CORT SCREW 5.0X36MM</t>
  </si>
  <si>
    <t>NCB CORT SCREW 5.0X38MM</t>
  </si>
  <si>
    <t>NCB CORT SCREW 5.0X50MM</t>
  </si>
  <si>
    <t>NCB CORT SCREW 5.0X70MM</t>
  </si>
  <si>
    <t>NCB CORT SCREW 5.0X80MM</t>
  </si>
  <si>
    <t>NCB DISTAL FEMUR PLATE RIGHT</t>
  </si>
  <si>
    <t>DRILL BIT 2.5MMX180MM</t>
  </si>
  <si>
    <t>KIRSCHNER WIRE 2.0MM</t>
  </si>
  <si>
    <t>ENDURANT II STENT GRAFT SYSTEM</t>
  </si>
  <si>
    <t>ENDURATN II STNET GRAF LIMB</t>
  </si>
  <si>
    <t>ENDURATN STEN GRAFT LIMB</t>
  </si>
  <si>
    <t>OCMP 10CC</t>
  </si>
  <si>
    <t>TI UNITARY PLATECAGE 32X21X11</t>
  </si>
  <si>
    <t>SCREW 5.0MMX25MM T20</t>
  </si>
  <si>
    <t>BREAK OFF COVERPLATE ASSEMBLY</t>
  </si>
  <si>
    <t>PATRIOT SCREW 7.0X40MM CANNULA</t>
  </si>
  <si>
    <t>PATRT SCREW 6.0X50MM CANNULATE</t>
  </si>
  <si>
    <t>PRECONTOURED ROD 45MM</t>
  </si>
  <si>
    <t>PATRIOT SET SCREW</t>
  </si>
  <si>
    <t>OCMP 5CC</t>
  </si>
  <si>
    <t>4.0MMX16MM SEMI COSNTRAINT</t>
  </si>
  <si>
    <t>2 LEVEL PLATE ASSEMBLY 36MM</t>
  </si>
  <si>
    <t>ULTRABRAID 2 COBRAID 38 LENGT</t>
  </si>
  <si>
    <t>SCREW BIOSURE REGENESORB 8MMX2</t>
  </si>
  <si>
    <t>SCREW BIOSURE REGENESORB 9MMX</t>
  </si>
  <si>
    <t>RAP-PAC C 1.2</t>
  </si>
  <si>
    <t>OSSEOFLEX ACCESS KIT</t>
  </si>
  <si>
    <t>STRAIGHT HAND DRILL</t>
  </si>
  <si>
    <t>OSSEOFLEX SN-STEERABLE NEEDLE</t>
  </si>
  <si>
    <t>BDF-BONE FILLER DEVICE</t>
  </si>
  <si>
    <t>BONR CEMENT MIXER</t>
  </si>
  <si>
    <t>BONEOS PMMA CEMENT</t>
  </si>
  <si>
    <t>JRNY BCS PAT RESRF 35MM</t>
  </si>
  <si>
    <t>JRNY II BCS CNSTRD ART ISRT 5-</t>
  </si>
  <si>
    <t>JRNY II BCS FEMORAL OXIN SZ 7</t>
  </si>
  <si>
    <t>JOURNEY TIBIA BASE NP 1/8X3</t>
  </si>
  <si>
    <t>COCR 12/14 FEM HEAD</t>
  </si>
  <si>
    <t>TANDEM BIPOLAR COCR 49</t>
  </si>
  <si>
    <t>SYN POR PLUS HA STEM</t>
  </si>
  <si>
    <t>IMPRA VASCULAR GRAFT 6MM</t>
  </si>
  <si>
    <t>SCREW VA SELF TAPPING 4.0X14MM</t>
  </si>
  <si>
    <t>ACIF CAGE PEEK 14X12X7MM</t>
  </si>
  <si>
    <t>CERVICAL PLATE LEVEL 2 32MM</t>
  </si>
  <si>
    <t>TEMPORATY FIXATION PIN 9MM</t>
  </si>
  <si>
    <t>DRILL BIT 14MM</t>
  </si>
  <si>
    <t>2LEVEL ANTERIOR CERVICAL FUSIO</t>
  </si>
  <si>
    <t>MECTALIF SCREW 5X30</t>
  </si>
  <si>
    <t>MECTALIF ANT CAGE 27X35X12</t>
  </si>
  <si>
    <t>MECTALIF SCREW 5X25</t>
  </si>
  <si>
    <t>MECTALIF CAGE PLATE FLUSH 12MM</t>
  </si>
  <si>
    <t>SUREMAX CERVICAL SPACER 14MMX1</t>
  </si>
  <si>
    <t>SUREMAX CERVICAL SPACER 7MM</t>
  </si>
  <si>
    <t>DISPOSABLE ACL KIT</t>
  </si>
  <si>
    <t>GSS ROD 70MM</t>
  </si>
  <si>
    <t>ANTERIOR LUMBAR SPACER 12MM</t>
  </si>
  <si>
    <t>ANERIOR INTERBODY SPACER 14MM</t>
  </si>
  <si>
    <t>NOVABONE IRB BIOATIVE PUTTY10C</t>
  </si>
  <si>
    <t>MAXAN GREEN 2 LVL 34MM FIX PLT</t>
  </si>
  <si>
    <t>PREM ST/OSS CP/E1 CER HD</t>
  </si>
  <si>
    <t>DRILL BIT 2.5MM 110M</t>
  </si>
  <si>
    <t>3.5MM CORTICAL SCREW SELF TAP</t>
  </si>
  <si>
    <t>ONE THIRD TUBULAR PLATE W/COLL</t>
  </si>
  <si>
    <t>ZIPTIGHT ANKLE SYN SYSTEM</t>
  </si>
  <si>
    <t>AMISTEM P LAT #6</t>
  </si>
  <si>
    <t>ACETABULAR SHELL 58 TWO-HOLES</t>
  </si>
  <si>
    <t>GUIDEWIRE VASC 260CM .035IN</t>
  </si>
  <si>
    <t>LARGE COVER PLATE</t>
  </si>
  <si>
    <t>ASSY 16MMX36MMX14</t>
  </si>
  <si>
    <t>5.5MMX30MM BONE SCREW</t>
  </si>
  <si>
    <t>ACTIFUSE SHAPE 1-2MM, 15.8ML</t>
  </si>
  <si>
    <t>TESERA SA ALIF IMPLANT 38MM</t>
  </si>
  <si>
    <t>SUREMAX CERVICAL SPACER 14DEG</t>
  </si>
  <si>
    <t>SUREMAX CERVICAL SPACER 7 DEG</t>
  </si>
  <si>
    <t>PATRIOT SCREW 8.0X45MM</t>
  </si>
  <si>
    <t>PATRIOT SCREW 7.0X50MM CANNULA</t>
  </si>
  <si>
    <t>TRIGGER FLEX</t>
  </si>
  <si>
    <t>AUGMENT INJECTABLE KIT 3.0CC</t>
  </si>
  <si>
    <t>LOCKING SCREW 4.5X40MM</t>
  </si>
  <si>
    <t>DRILL BIT 3.OMM ORTHOLOC</t>
  </si>
  <si>
    <t>TEMP FIX PIN 2.0MM ORTHOLOC</t>
  </si>
  <si>
    <t>LOCKING SCREW 4.5X55MM ORTHOLO</t>
  </si>
  <si>
    <t>K-WIRE 2.5MMX150MM</t>
  </si>
  <si>
    <t>LATERAL TTC FUSION PLATE 3DI</t>
  </si>
  <si>
    <t>CORTICAL SCREW 4.5X34MM</t>
  </si>
  <si>
    <t>LOCKING SCREW 5.5X38MM</t>
  </si>
  <si>
    <t>LOCKING SCREW 4.5X45</t>
  </si>
  <si>
    <t>CORTICAL SCREW 4.5X32MM</t>
  </si>
  <si>
    <t>DRILL BIT 3.8MM ORTHOLOC</t>
  </si>
  <si>
    <t>CORTICAL SCREW 4.5X40MM</t>
  </si>
  <si>
    <t>LOCKING SCREW 5.5X40MM ORTHLOC</t>
  </si>
  <si>
    <t>SPHERE FEMUR CEMENTED LF S3</t>
  </si>
  <si>
    <t>CHOICE PT EXTRASUPPORT CATH</t>
  </si>
  <si>
    <t>2-LEVEL PLATE ASSYMBLY 32MM</t>
  </si>
  <si>
    <t>4.0MM X14MM SELF DRILL SCREW</t>
  </si>
  <si>
    <t>SPIDER CERVICAL 1LVL PLATE 24M</t>
  </si>
  <si>
    <t>SPIDER CERVICAL SCREW 4.0X16MM</t>
  </si>
  <si>
    <t>CALIX CERVICAL SPACER 8MM LORD</t>
  </si>
  <si>
    <t>SPIDER DRILL 16MM</t>
  </si>
  <si>
    <t>NOVABONE IRM BIOACTIVE GLASS P</t>
  </si>
  <si>
    <t>30X10X13 CAGE</t>
  </si>
  <si>
    <t>GRAFT PLATFORM 5CC BLOCK</t>
  </si>
  <si>
    <t>PRODISC IMPLANT LG 5MM</t>
  </si>
  <si>
    <t>IN2BONE AB 10CC</t>
  </si>
  <si>
    <t>CHAMPION PASSES NEEDLE</t>
  </si>
  <si>
    <t>5.5MM PEEK ZIN</t>
  </si>
  <si>
    <t>PEEK STT 4.5MM</t>
  </si>
  <si>
    <t>EQUIPMENT R</t>
  </si>
  <si>
    <t>COLINK BONE GRAFT 8MM</t>
  </si>
  <si>
    <t>8.5X45MM INVICTUS SCREW</t>
  </si>
  <si>
    <t>45MM TI 5.5ROD</t>
  </si>
  <si>
    <t>COLINK AFX FIBULA PLATE 5 HOLE</t>
  </si>
  <si>
    <t>2.7 LOCKNG SCREW 16MM</t>
  </si>
  <si>
    <t>2.7 LOCKING SCREW 10MM</t>
  </si>
  <si>
    <t>3.5 NON LOCKING SCREW 16MM</t>
  </si>
  <si>
    <t>COLAG 2 SCREW 4.0X40MM</t>
  </si>
  <si>
    <t>2.5MM DRILL</t>
  </si>
  <si>
    <t>1.9MM DRILL</t>
  </si>
  <si>
    <t>2.5MM DRILL CANNULATED</t>
  </si>
  <si>
    <t>GUIDE WIRE .62 X6"</t>
  </si>
  <si>
    <t>HOOK PLATE 3H</t>
  </si>
  <si>
    <t>POL 5.5 TI 50MM</t>
  </si>
  <si>
    <t>CORLINK ROD 40MM</t>
  </si>
  <si>
    <t>7.5X50 SCREW</t>
  </si>
  <si>
    <t>Q/C CANNULATED DRILL 2.7MM</t>
  </si>
  <si>
    <t>4.0MM CANNULATED SCREW 50MM</t>
  </si>
  <si>
    <t>DISTAL LATERAL FIBULA</t>
  </si>
  <si>
    <t>1.6MM 6' SMOOTH TROCAR</t>
  </si>
  <si>
    <t>3.5MM LOCKING SCREW 2.7MM HEAD</t>
  </si>
  <si>
    <t>2.0M STANDAR DRILL</t>
  </si>
  <si>
    <t>DRILL BIT Q-C 2.5MM 110MM</t>
  </si>
  <si>
    <t>2.7MM LOCKING SCREW 16MM</t>
  </si>
  <si>
    <t>3.5MM CORTICAL SCREW SELTT 16M</t>
  </si>
  <si>
    <t>FREEDOM TOTAL KNEE SYSTEM</t>
  </si>
  <si>
    <t>TIBIAL ARTICULAR SRFACE</t>
  </si>
  <si>
    <t>STEMMED TIBIAL BASE PLATE</t>
  </si>
  <si>
    <t>UNIFY ASSURA ICD</t>
  </si>
  <si>
    <t>PLEURX PLEURAL CATH KIT</t>
  </si>
  <si>
    <t>PLEURX DRAINAGE KIT 1000ML</t>
  </si>
  <si>
    <t>REAMER SHAFT TRINKLE8X510MM</t>
  </si>
  <si>
    <t>K-WIRE 3.2X450MM</t>
  </si>
  <si>
    <t>DRILL 4.2X300M AO SMALL</t>
  </si>
  <si>
    <t>GUIDE WIRE BALL TIP 3X1000</t>
  </si>
  <si>
    <t>DRILL 4.2X180MM</t>
  </si>
  <si>
    <t>T2 F/T LOCKING SCREW 10.5X105M</t>
  </si>
  <si>
    <t>TI LAG SCREW 10.5X105MM</t>
  </si>
  <si>
    <t>LONG NAIL KIT R1/5 TI LEFT 11X</t>
  </si>
  <si>
    <t>2.3M PROFYLE HAND LOCK ROTATIO</t>
  </si>
  <si>
    <t>TWIST DRILL 1.9MM</t>
  </si>
  <si>
    <t>COUNTERSINK F CROSS FIT SCREW</t>
  </si>
  <si>
    <t>BONE SCREW T6 2.3</t>
  </si>
  <si>
    <t>GSS PEDICLE SCREW 6.5X50</t>
  </si>
  <si>
    <t>TRANSFORAMINAL LUMBAR SPAC9MM</t>
  </si>
  <si>
    <t>TRANSFORAMINAL LUMBAR SPA10MM</t>
  </si>
  <si>
    <t>NOVABONE BIOATIVE PUTTY 5CC</t>
  </si>
  <si>
    <t>CERVICAL SCREW 4.0X14MM</t>
  </si>
  <si>
    <t>21MM KASILOT PLATE</t>
  </si>
  <si>
    <t>23MM KASILOT PLATE</t>
  </si>
  <si>
    <t>TAKEETNA 8.5-50</t>
  </si>
  <si>
    <t>TAKEETNA 7.5-50</t>
  </si>
  <si>
    <t>ROD 5.5 70MM</t>
  </si>
  <si>
    <t>RODS 5.5 80MM</t>
  </si>
  <si>
    <t>STENT BIL 10MM 37MM 80CM</t>
  </si>
  <si>
    <t>CATH BLNDIL 014.X 1.5MM 150CM</t>
  </si>
  <si>
    <t>TELOPORT MICROCATH 2FX150CM</t>
  </si>
  <si>
    <t>ZILIENT GUIDE WIRE</t>
  </si>
  <si>
    <t>TRIBOLOX 9.5X25X8MM</t>
  </si>
  <si>
    <t>5 HOLE PLATE</t>
  </si>
  <si>
    <t>3.0X18MM LOCKING SCREW</t>
  </si>
  <si>
    <t>3.0X20MM LOCKING SCREW</t>
  </si>
  <si>
    <t>3.0X16MM LOCKING SCREW</t>
  </si>
  <si>
    <t>3.0X14MM LOCKING SCREW</t>
  </si>
  <si>
    <t>3.0X18MM NON LOCKING</t>
  </si>
  <si>
    <t>DRILLS INST</t>
  </si>
  <si>
    <t>GALLLANT DR</t>
  </si>
  <si>
    <t>UNIVERSA URETERAL STENT 6X24</t>
  </si>
  <si>
    <t>CABLE SINGLE LOOP</t>
  </si>
  <si>
    <t>CABLE DOUBLE LOOP</t>
  </si>
  <si>
    <t>SILVERHAWK CATH ATHRCM 135CM</t>
  </si>
  <si>
    <t>DUAL CHAMBER PACEMAKER</t>
  </si>
  <si>
    <t>PROCEED SURGICAL MESH 4X8</t>
  </si>
  <si>
    <t>UNIVERSA URETERAL STENT 6X22</t>
  </si>
  <si>
    <t>VENOUS SELF EXP STENT SYST</t>
  </si>
  <si>
    <t>VENOUS SELF EXP STENT</t>
  </si>
  <si>
    <t>INTERVERTEBRAL BODY FUSION DEV</t>
  </si>
  <si>
    <t>TIRBOLOX LUMVER INTERBODY FUSI</t>
  </si>
  <si>
    <t>TAKEETNA 8.5X50</t>
  </si>
  <si>
    <t>TAKEETNA 7.5X50</t>
  </si>
  <si>
    <t>5.5 RODS 70MM</t>
  </si>
  <si>
    <t>5.5 RODS 80MM</t>
  </si>
  <si>
    <t>2.0MM STANDAR DRILL</t>
  </si>
  <si>
    <t>BIOCARTILAGE 1CC</t>
  </si>
  <si>
    <t>NANO SCOPE HANDPIECE</t>
  </si>
  <si>
    <t>BIOCARTRIDGE DELV SYETEM</t>
  </si>
  <si>
    <t>IDENTITI CERVICL SPACER 7X18</t>
  </si>
  <si>
    <t>TI CERVICAL SPACER 8X18X16MM</t>
  </si>
  <si>
    <t>TEMPORARY FIXATION PIN</t>
  </si>
  <si>
    <t>32CM 2 LEVEL PLATE</t>
  </si>
  <si>
    <t>4.0X14</t>
  </si>
  <si>
    <t>4.5X14 RES</t>
  </si>
  <si>
    <t>4.0X16 RES</t>
  </si>
  <si>
    <t>ONE LEVEL PLATE 10MM</t>
  </si>
  <si>
    <t>VARIABLE AND SELF DRILLING SCR</t>
  </si>
  <si>
    <t>CRYSTAL TI INTERBODY 16MM</t>
  </si>
  <si>
    <t>RX HERCULINK ELITE BILLIARY ST</t>
  </si>
  <si>
    <t>RIM SPEED PIN 45MM STERILE</t>
  </si>
  <si>
    <t>GEN TROCAR PIN 1/8X3</t>
  </si>
  <si>
    <t>ROIC LOR COATED CAGE H8 14X15</t>
  </si>
  <si>
    <t>RADIOFREQUENCY GEN</t>
  </si>
  <si>
    <t>CANNULA INVOMED</t>
  </si>
  <si>
    <t>VEO BI-POLAR FORCEPS</t>
  </si>
  <si>
    <t>VEO DISP XL NEURO PROBE</t>
  </si>
  <si>
    <t>VEO GUIDE PIN</t>
  </si>
  <si>
    <t>JADE PTA BALLON 5.0X240MM</t>
  </si>
  <si>
    <t>JADE PTA BALLON 6.0X240MM</t>
  </si>
  <si>
    <t>65 DRI LOCK TREADED</t>
  </si>
  <si>
    <t>6.5PEEK CAP</t>
  </si>
  <si>
    <t>REELX STT 4.5MM ANCHOR</t>
  </si>
  <si>
    <t>CHAMPION PASSER NEEDLE</t>
  </si>
  <si>
    <t>8.0MM X75MM THREADED</t>
  </si>
  <si>
    <t>5.5MM PEEK ZIP ANCHOR</t>
  </si>
  <si>
    <t>REELX STT 4.5MM KNOTLESS</t>
  </si>
  <si>
    <t>ASSY RP 360 DEG SUTURE PASSER</t>
  </si>
  <si>
    <t>VACCUTAINER</t>
  </si>
  <si>
    <t>6.5X40 SCREW</t>
  </si>
  <si>
    <t>6.5X35 SCREW</t>
  </si>
  <si>
    <t>40MM ROD</t>
  </si>
  <si>
    <t>BONE FILLER 30CC MTF</t>
  </si>
  <si>
    <t>10X10.5X26 PRO SPACE</t>
  </si>
  <si>
    <t>POLYAXIAL SCREW 8.5X50</t>
  </si>
  <si>
    <t>POLYAXIAL SCREW 8.5X45</t>
  </si>
  <si>
    <t>POLYAXIAL SCREW 8.5X40</t>
  </si>
  <si>
    <t>SET SCREW INVICTUS</t>
  </si>
  <si>
    <t>ROD 6.0X300M</t>
  </si>
  <si>
    <t>NEOCORE 12CC</t>
  </si>
  <si>
    <t>IDENTI PS SPACER 10X9X25MM</t>
  </si>
  <si>
    <t>PINNACLE IMPLANT SYSTEM</t>
  </si>
  <si>
    <t>MINI STRAIGHT PLATE</t>
  </si>
  <si>
    <t>2.4X10MM LOCKING SCREW</t>
  </si>
  <si>
    <t>2.4X14MM CORTICAL SCREW</t>
  </si>
  <si>
    <t>2.4AND2.7MM SCREWS</t>
  </si>
  <si>
    <t>JONES DRILL 3.2MM CANNULATED</t>
  </si>
  <si>
    <t>JONES K-WIRE 228MM CHARLOTTE</t>
  </si>
  <si>
    <t>JONES CANNULATED TAP 5.5MM</t>
  </si>
  <si>
    <t>CONTERSINK 5.5MM</t>
  </si>
  <si>
    <t>HEADLESS SCREW 5.5X45MM</t>
  </si>
  <si>
    <t>INFERIOR END PLATE MD</t>
  </si>
  <si>
    <t>POLYETHYLENE INLAY W/TANTALUM</t>
  </si>
  <si>
    <t>SUPERIOR END PLATE MD 11'</t>
  </si>
  <si>
    <t>DVR LOCK STANDAR LG</t>
  </si>
  <si>
    <t>LP NON LOCK 2.7MM NS</t>
  </si>
  <si>
    <t>LP NON LOCK 2.7MMX26MM</t>
  </si>
  <si>
    <t>LP NON LOCK 2.7MMX22MM</t>
  </si>
  <si>
    <t>LP NONLOCK 2.7MMX20MM</t>
  </si>
  <si>
    <t>SMOOTH LOCK PEG 2.2MMX22MM</t>
  </si>
  <si>
    <t>TACK ENDOVALSCULAR SYST 6FR</t>
  </si>
  <si>
    <t>90MM SURGICAL ILLUMINATOR</t>
  </si>
  <si>
    <t>60MM SURGICAL ILLUMINATOR NLY</t>
  </si>
  <si>
    <t>DLIF-P TATANIUM 45MMX18MMX10MM</t>
  </si>
  <si>
    <t>JRNY LL BCS XLPE ART SZ 5-6</t>
  </si>
  <si>
    <t>GLL OVAL RESURFACING PAT 35MM</t>
  </si>
  <si>
    <t>JOURNEY TIBIA BASE SZ 6</t>
  </si>
  <si>
    <t>JRNY LL BCS FEMORALOXIN RT SZ8</t>
  </si>
  <si>
    <t>NS VIS ADPT GUIDE KIT</t>
  </si>
  <si>
    <t>VIS ADPT GUIDE SAMP BONE BLCK</t>
  </si>
  <si>
    <t>12X27X5 LCENT CAGE BOND</t>
  </si>
  <si>
    <t>6.5X40MM OW SCREW</t>
  </si>
  <si>
    <t>6.5X45MM OW SCREW</t>
  </si>
  <si>
    <t>6.5X35MM OW SCREW</t>
  </si>
  <si>
    <t>7.5X35MM OW SCREW</t>
  </si>
  <si>
    <t>7.5X40MM OW SCREW</t>
  </si>
  <si>
    <t>OW SCREW</t>
  </si>
  <si>
    <t>55MM OW ROD</t>
  </si>
  <si>
    <t>FIBER FUSE BONE MATRIX 2.5</t>
  </si>
  <si>
    <t>3 HOLE PROLOCK LL RADIUS PLATE</t>
  </si>
  <si>
    <t>RECONSTRUCTION PLATE 6 HOLE3.5</t>
  </si>
  <si>
    <t>RECONSTRUCTION PLATE 7HOLE 3.5</t>
  </si>
  <si>
    <t>CORTICAL SCREW 22MM</t>
  </si>
  <si>
    <t>CORTICAL SCREW 30MM</t>
  </si>
  <si>
    <t>CORTICAL SCREW 34MM</t>
  </si>
  <si>
    <t>CORTICAL SCREW 40MM</t>
  </si>
  <si>
    <t>CANCELLOUS SCREW</t>
  </si>
  <si>
    <t>1/3 TUBULAR PLATE 6 HOLE</t>
  </si>
  <si>
    <t>1/3 TUBULAR PLATE 7 HOLE</t>
  </si>
  <si>
    <t>STERIFUSE DBM PUTTY 10CC</t>
  </si>
  <si>
    <t>VENTED SPIKE CONNECTOR</t>
  </si>
  <si>
    <t>CERTEX 3.5MM X 14MM SCREW</t>
  </si>
  <si>
    <t>CERTEX CAP</t>
  </si>
  <si>
    <t>CERTEX 3.5MM STRAIGHT ROD</t>
  </si>
  <si>
    <t>CERTEX 12MM DEPTH DRLL</t>
  </si>
  <si>
    <t>CERTEX 14MM DEPTH DRILL</t>
  </si>
  <si>
    <t>MATRIFOM SI STRIP 50MM</t>
  </si>
  <si>
    <t>CABLE SINGLE LOOP TITANIUM</t>
  </si>
  <si>
    <t>CABLE DOUBLE LOOP TITANIUM</t>
  </si>
  <si>
    <t>FLAT PE HC LINER 32D</t>
  </si>
  <si>
    <t>32MM BIOLOX DELTA HEAD M</t>
  </si>
  <si>
    <t>AMISTEM-P STD#2</t>
  </si>
  <si>
    <t>ANCHORING PLATE</t>
  </si>
  <si>
    <t>2 LEVEL PLATE 46MM</t>
  </si>
  <si>
    <t>4.0MM FIXED SCREW 14MM</t>
  </si>
  <si>
    <t>TEMPORARY PIN</t>
  </si>
  <si>
    <t>IDENTI CERVICAL TI SPACER 10X1</t>
  </si>
  <si>
    <t>AUTOPLEX W/VERTAPLEX HV</t>
  </si>
  <si>
    <t>10G 15MM IVAS ELITE SINGLE KIT</t>
  </si>
  <si>
    <t>10G HAND DRILL</t>
  </si>
  <si>
    <t>AVAFLEX CURVED NEEDLE W/O CANN</t>
  </si>
  <si>
    <t>REAMER LOW PROFILE</t>
  </si>
  <si>
    <t>TENODESIS GRAFT SIZING KIT</t>
  </si>
  <si>
    <t>IMPL DELIVERY DISTAL BC</t>
  </si>
  <si>
    <t>ACCESS KIT 10GA BEVEL TIP END</t>
  </si>
  <si>
    <t>ACCESS KIT 10GA DIAMOND TIP ST</t>
  </si>
  <si>
    <t>SYNFLATE BALLON/MD STERILE</t>
  </si>
  <si>
    <t>ACCESS DRILL 10GA STERILE</t>
  </si>
  <si>
    <t>BIOPSY KIT 10G STERILE</t>
  </si>
  <si>
    <t>VERTECEM II MIXING KIT</t>
  </si>
  <si>
    <t>COLINK AFX LATERAL FIBULA 5 HO</t>
  </si>
  <si>
    <t>COLAG 2 SCREW 4.0X30MM</t>
  </si>
  <si>
    <t>OLIVE WIRE .62X3''</t>
  </si>
  <si>
    <t>EXULT FEMORAL COMPONENT 6SIZE</t>
  </si>
  <si>
    <t>EXULT TIBIAL INSERT 6SIZE</t>
  </si>
  <si>
    <t>EXULT STEMMED TIBIAL BASEPLATE</t>
  </si>
  <si>
    <t>FEM NAIL RETRO 12MMX320MM</t>
  </si>
  <si>
    <t>4.5MM CROWE POINT TWIST DRILL</t>
  </si>
  <si>
    <t>JLL BCS OXI/NP TIB CONST INSER</t>
  </si>
  <si>
    <t>FIBER LINK SUTURE</t>
  </si>
  <si>
    <t>16X3X8 CRYSTAL TI CAGE</t>
  </si>
  <si>
    <t>SDVA 4.0X14MM SCREW</t>
  </si>
  <si>
    <t>16X13X9X7 CRYSTAL TI CAGE</t>
  </si>
  <si>
    <t>CROSS-CONNECTOR 49-59MM</t>
  </si>
  <si>
    <t>MATRIX STRIP 50MMX25MMX4MM</t>
  </si>
  <si>
    <t>IDENTI TI PS POROUS TI SPACER</t>
  </si>
  <si>
    <t>FEMORAL COMPONENT CEMENTED PS</t>
  </si>
  <si>
    <t>FEMORAL S7 INSTRUMENT SET</t>
  </si>
  <si>
    <t>INSERT P.S 10MM S5</t>
  </si>
  <si>
    <t>PATELLA RESURFACING 1S3.</t>
  </si>
  <si>
    <t>HUMERAL REVERSE HC LINER 39DEG</t>
  </si>
  <si>
    <t>THREADED GLENOID BASEPLATE 024</t>
  </si>
  <si>
    <t>25MM SCREW</t>
  </si>
  <si>
    <t>30MM SCREW</t>
  </si>
  <si>
    <t>ARCADIUS XP L</t>
  </si>
  <si>
    <t>ARCADIUS XP L 9DEG</t>
  </si>
  <si>
    <t>EMBOLIC PROT SPIDER EV3</t>
  </si>
  <si>
    <t>CATH BLN INPACT ADMIRAL MEDT</t>
  </si>
  <si>
    <t>HIP POROUSFEM OXINIUM R3 XLPE</t>
  </si>
  <si>
    <t>FLEXIBLE DRILL 25MM</t>
  </si>
  <si>
    <t>SPEEDGRAFT 9.5MM/10MM</t>
  </si>
  <si>
    <t>FLIPCUTTER ARTHREX</t>
  </si>
  <si>
    <t>ACL TIGHTROPE RT</t>
  </si>
  <si>
    <t>10X20 SCREW ARTHREX</t>
  </si>
  <si>
    <t>ACL TRAY ARTHREX</t>
  </si>
  <si>
    <t>GRAFT PREP FEE</t>
  </si>
  <si>
    <t>EXULT FEMORAL SZ11 LEFT CORENT</t>
  </si>
  <si>
    <t>EXULT TIBIAL INSERT SZ 9MM CON</t>
  </si>
  <si>
    <t>EXULT FEMORAL SZ9 LEFT CORENTE</t>
  </si>
  <si>
    <t>5.5MM X 40MM REDUCTUIN NEXXT S</t>
  </si>
  <si>
    <t>5.5MM X 40MM REDUCTION NEXXT S</t>
  </si>
  <si>
    <t>45-50MM CROSS LINK NEXXT SPINE</t>
  </si>
  <si>
    <t>40MM BENT ROD NEXXT SPINE</t>
  </si>
  <si>
    <t>5CC MAGNETOS PUTTY</t>
  </si>
  <si>
    <t>10CC MAGNETOS PUTTY</t>
  </si>
  <si>
    <t>2.5 GUIDE WIRE STRYKER</t>
  </si>
  <si>
    <t>K-WIRE STRYKER</t>
  </si>
  <si>
    <t>2.2 GUIDE WIRE STYKER</t>
  </si>
  <si>
    <t>230 DRILL STRYKER</t>
  </si>
  <si>
    <t>28 SCREW STYKER</t>
  </si>
  <si>
    <t>448 REAMER STRYKER</t>
  </si>
  <si>
    <t>8X240 NAIL STRYKER</t>
  </si>
  <si>
    <t>5.05X50 SCREW</t>
  </si>
  <si>
    <t>CERVICAL PLATE LEVEL 3 AXIX</t>
  </si>
  <si>
    <t>TEMPORARY FIXATION PIN 9MM AXI</t>
  </si>
  <si>
    <t>ACIF CAGE PEEK W14X12X6 AXIS</t>
  </si>
  <si>
    <t>DRILL BIT D 2.5 AXIS</t>
  </si>
  <si>
    <t>SCREW VA SELLT TAPPING AXIS</t>
  </si>
  <si>
    <t>MATRIFORM STRIP 50MM 50X25X4MM</t>
  </si>
  <si>
    <t>HIP TANDEMBIPOLARFEM W/COCRHD</t>
  </si>
  <si>
    <t>CERVICAL PLATE LEVEL 3 L45MM</t>
  </si>
  <si>
    <t>CERVICAL PLATE LEVEL2 38MM AXI</t>
  </si>
  <si>
    <t>VIABAHN ENDOPROSTHESIS W/HEPAR</t>
  </si>
  <si>
    <t>90-S SUCTION PROBE</t>
  </si>
  <si>
    <t>T2 HUMERAL 5MM END CAP STRYKER</t>
  </si>
  <si>
    <t>T2 HUMERAL NAIL 9MMX260MM</t>
  </si>
  <si>
    <t>T2 F/T LOCKING SCREW 4MM STRYK</t>
  </si>
  <si>
    <t>LIMA KIRSCHMER WIRE 2.5MM</t>
  </si>
  <si>
    <t>ALCOHOL PREP PAD</t>
  </si>
  <si>
    <t>REDDIE BRACE KNEE BRACE</t>
  </si>
  <si>
    <t>IRIX-A ALIF DEVICE 33X26X11X12</t>
  </si>
  <si>
    <t>IRIX-A INSERT TIP 33X26MM</t>
  </si>
  <si>
    <t>CKS VITALE PATELLA CIRCULAR PO</t>
  </si>
  <si>
    <t>ALLOGRAFT GRAFTLINK PACK</t>
  </si>
  <si>
    <t>ACL LOANERS ARTHREX</t>
  </si>
  <si>
    <t>EXULT FEMORAL COMPONENT SZ8</t>
  </si>
  <si>
    <t>STEMMED TIBIAL BASEPLATE SZ7</t>
  </si>
  <si>
    <t>EXULT TIBIAL INSERT SZ 7 9MM</t>
  </si>
  <si>
    <t>LOSPA PATELLA COMPONENT 30MM</t>
  </si>
  <si>
    <t>6.5X45MM POLYSCREW ATEC</t>
  </si>
  <si>
    <t>G7 PPS LTD ACET SHELL 54F</t>
  </si>
  <si>
    <t>G7 DUAL MOBILITU INER 44MM</t>
  </si>
  <si>
    <t>VIVACIT E BEARING 28X44MM</t>
  </si>
  <si>
    <t>PORT ST CER/HD ZIMMER</t>
  </si>
  <si>
    <t>DISTAL RADIUS PLATW  LF 3 HOLE</t>
  </si>
  <si>
    <t>CORTICAL SCREW 16MM</t>
  </si>
  <si>
    <t>LOCKING SCREW PRECISION ORHTO</t>
  </si>
  <si>
    <t>TWIST DRILL 2.0</t>
  </si>
  <si>
    <t>SPHERE FEMUR CEMENTED LEFT S6</t>
  </si>
  <si>
    <t>GMK TIBIAL TRAU CEMENTED LF</t>
  </si>
  <si>
    <t>GMK SPHERE TIBIAL INSERT S6L</t>
  </si>
  <si>
    <t>VATS COMPLETE TRAY</t>
  </si>
  <si>
    <t>SUPERA CATH 5.5X150MMX120CM AB</t>
  </si>
  <si>
    <t>REELX 4-5MM ANCHOR STRYKER</t>
  </si>
  <si>
    <t>8.0 DRI LOK STRYKER</t>
  </si>
  <si>
    <t>5.5MM PEEK ZIP ANCHOR STRYKER</t>
  </si>
  <si>
    <t>EZ-LAMINA LOCKING 14MM</t>
  </si>
  <si>
    <t>EZ-LAMINA TRAY 14MM</t>
  </si>
  <si>
    <t>ALIF 24DX32WX16H NEXXT SPINE</t>
  </si>
  <si>
    <t>ALIF 4 HOLE PLATE</t>
  </si>
  <si>
    <t>5.5X30MM ALIF SCREW</t>
  </si>
  <si>
    <t>ALLOCELL MORPHOGENETIC ALLOGRA</t>
  </si>
  <si>
    <t>TRANSGASTRIC-JEJUNAL KIT</t>
  </si>
  <si>
    <t>25 DVRA SERIES PLATE RIGHT</t>
  </si>
  <si>
    <t>TROCAR PIN 3.0 CANNULATED</t>
  </si>
  <si>
    <t>CORTICAL SCREW 2.5</t>
  </si>
  <si>
    <t>NON LOCKING SCREW</t>
  </si>
  <si>
    <t>2-LEVEL PLATE ATEC</t>
  </si>
  <si>
    <t>4.0MM VARIABLE ANGLE SELF SCRE</t>
  </si>
  <si>
    <t>IDENTI CERVICAL TI SPACERATEC</t>
  </si>
  <si>
    <t>2.0X12MM LOCKING SCREW</t>
  </si>
  <si>
    <t>2.0X100 NL SCREW ZIMMER</t>
  </si>
  <si>
    <t>1.6MM 4 HOLE PLATE</t>
  </si>
  <si>
    <t>TWIST DRILL 1.6MM</t>
  </si>
  <si>
    <t>HEWSON SUTURE RETRIVER</t>
  </si>
  <si>
    <t>HIP TANDEMBIPOLAR POROUS FEM</t>
  </si>
  <si>
    <t>1.1 KWIRE SING TROCAR THREDEAD</t>
  </si>
  <si>
    <t>2.1 CANNULATED DRILL B/T OSTE</t>
  </si>
  <si>
    <t>2.8 HEADLESS COMP SCREW CANN</t>
  </si>
  <si>
    <t>MONET ACIF CAGE SMALL</t>
  </si>
  <si>
    <t>SUPPLEMNTARY FIXATION PLATE SM</t>
  </si>
  <si>
    <t>SCREW VA SELFTAPPING 3.5 AXIX</t>
  </si>
  <si>
    <t>MONET DRILL D2.3 AXIS</t>
  </si>
  <si>
    <t>DBM PUTTY 5.0CC</t>
  </si>
  <si>
    <t>FATHOM 16 200CMX10CM BOSTON</t>
  </si>
  <si>
    <t>DIREXION 0.02 INX 130CM</t>
  </si>
  <si>
    <t>PRODIS L INFERIOR ENDPLATE LG</t>
  </si>
  <si>
    <t>PRODISC L SUPERIOR ENDPLATE LG</t>
  </si>
  <si>
    <t>PRODISC L INLAY LG CENTINELS</t>
  </si>
  <si>
    <t>BALL NOSE GUIDE WIRE 100CM ZIM</t>
  </si>
  <si>
    <t>CLICK ANCHOR HEX WRENCH 3 INCH</t>
  </si>
  <si>
    <t>TUNNELING TOOL 28CM</t>
  </si>
  <si>
    <t>CLICK ANCHOR BOSTON</t>
  </si>
  <si>
    <t>8.5X45 OW SCREW SPINAL</t>
  </si>
  <si>
    <t>8.5X40 OW SCREW SPINAL</t>
  </si>
  <si>
    <t>8.5X35 OW SCREW SPINAL</t>
  </si>
  <si>
    <t>50MM ROD OW SPINAL</t>
  </si>
  <si>
    <t>HFN LH 130 DEG 13MMX380CM</t>
  </si>
  <si>
    <t>HFN A/R SCREW 70MM</t>
  </si>
  <si>
    <t>FEMORAL BONE CEMENT PREP KIT</t>
  </si>
  <si>
    <t>CEM PRIMARY BIPOLAR STD HD</t>
  </si>
  <si>
    <t>SMR SHOULDER/SPALLA RETEINER</t>
  </si>
  <si>
    <t>TRESTLE LUX ACP 3 LVL 62MM ATE</t>
  </si>
  <si>
    <t>IDENTI CERVICAL TI SPACER 7X17</t>
  </si>
  <si>
    <t>IDENTI CERVIAL TISPACER 8X18X1</t>
  </si>
  <si>
    <t>T2 HUMERAL 10MM END CAP</t>
  </si>
  <si>
    <t>T2 HUMERAL NAIL 7MMX24MM</t>
  </si>
  <si>
    <t>GLIDE CATH TERUMO</t>
  </si>
  <si>
    <t>V3 TRAILBLAZER MEDTRONIC</t>
  </si>
  <si>
    <t>BIOCOMPOSITE ACHILLES ATHREX</t>
  </si>
  <si>
    <t>HUMERAL STEM ARROW</t>
  </si>
  <si>
    <t>STD HUMERAL INSERT ARROW</t>
  </si>
  <si>
    <t>CEMENTLESS POROUS GLENOID BASE</t>
  </si>
  <si>
    <t>COCR GLENOSPHERE ARROW</t>
  </si>
  <si>
    <t>CANCELLOUS BONE SCREW 5.5</t>
  </si>
  <si>
    <t>DRILL BIT 3.2 ARROW</t>
  </si>
  <si>
    <t>EXTENDED CUTTING GUIDE PINS 3</t>
  </si>
  <si>
    <t>QUICK RELEASE PERIPHERAL DRILL</t>
  </si>
  <si>
    <t>BROCHE FILETTE ARROW</t>
  </si>
  <si>
    <t>CANNULATED LONG DRILL BIT 5</t>
  </si>
  <si>
    <t>FEEDING SYRINGE 60ML</t>
  </si>
  <si>
    <t>SNARE EN VASCI;AR 7FR MERIT</t>
  </si>
  <si>
    <t>STENT VNS 7RF VENA COOK</t>
  </si>
  <si>
    <t>CATHETER OTW ARMADA 4X200X135</t>
  </si>
  <si>
    <t>CATHETER BALLON 5X200X150 ARMA</t>
  </si>
  <si>
    <t>LAPIPLASTI 2.0MM SNAP SCREW</t>
  </si>
  <si>
    <t>ACL KIT</t>
  </si>
  <si>
    <t>VERYAN BIOMIMICS 3D</t>
  </si>
  <si>
    <t>BTB TIGHTROPE II</t>
  </si>
  <si>
    <t>DUG BONE BUTTON</t>
  </si>
  <si>
    <t>4.75 LOOP N TACK IMPLANT</t>
  </si>
  <si>
    <t>25MM SIDE CONNECTOR</t>
  </si>
  <si>
    <t>LGN OX CONTRAINED FEM 7RT</t>
  </si>
  <si>
    <t>LGN OFFSET COUOKER 2MM</t>
  </si>
  <si>
    <t>LGN CEMENT STEM 16MMX120MM STR</t>
  </si>
  <si>
    <t>LGN PS HIGH FLEX XLPE SZ 5-6MM</t>
  </si>
  <si>
    <t>CHISEL BALDE STRAIGHT SMITH</t>
  </si>
  <si>
    <t>FEE RECON</t>
  </si>
  <si>
    <t>PROXIMAL MEDIAL TIBIA PLATE</t>
  </si>
  <si>
    <t>CORTICAL SCREW 50MM</t>
  </si>
  <si>
    <t>CORTICAL SCREW 60MM</t>
  </si>
  <si>
    <t>LOCKING SCREW 40MM</t>
  </si>
  <si>
    <t>LOCKING SCREW 55MM</t>
  </si>
  <si>
    <t>LOCKING SCREW 60MM</t>
  </si>
  <si>
    <t>TWIST DRILL 2.7MM</t>
  </si>
  <si>
    <t>CORTICAL SCREW 55MM</t>
  </si>
  <si>
    <t>5.5X40 ROD SPINAL</t>
  </si>
  <si>
    <t>MAXAN SCREW 4.0X14MM</t>
  </si>
  <si>
    <t>GORE VBX BALLON EXPANDABLE</t>
  </si>
  <si>
    <t>LUCENT 18X50X10X6 CAGE</t>
  </si>
  <si>
    <t>LIGHT CABLE</t>
  </si>
  <si>
    <t>65X45MM OW SCREW</t>
  </si>
  <si>
    <t>HERCULINK ELITE STENT ABBOTT</t>
  </si>
  <si>
    <t>FREEDOM TOTAL KNEE SYSTEM MAXX</t>
  </si>
  <si>
    <t>FREEDOM TOTAL KNEE TIBIAL 11MM</t>
  </si>
  <si>
    <t>LUCENTR CAGE 18X45X10</t>
  </si>
  <si>
    <t>ATHLETIS STENT BOSTON SCIE</t>
  </si>
  <si>
    <t>FLEX TUBE TELEFLEX</t>
  </si>
  <si>
    <t>FT ANCHOR KIT 3.5MM</t>
  </si>
  <si>
    <t>FT SUTURE ANCHOR 3.5MM</t>
  </si>
  <si>
    <t>KNOTTLESS ANCHOR KIT 4.5MM</t>
  </si>
  <si>
    <t>KNOTLESS SUTURE ANCHOR 4.5MM</t>
  </si>
  <si>
    <t>EXULT FEMORAL COMPONENT SZ10</t>
  </si>
  <si>
    <t>EXULT TIBIAL INSERT SZ 9 9MM</t>
  </si>
  <si>
    <t>EXULT STEMMED TIBIAL INSERT 9</t>
  </si>
  <si>
    <t>3.5MM HERCULES FT SUT ANCHOR</t>
  </si>
  <si>
    <t>EVERFLEX STENT XPANDABLE MEDTR</t>
  </si>
  <si>
    <t>MESH PROLENE 12X12 ETHICON</t>
  </si>
  <si>
    <t>BIOMIMICS 3D STENT 6FR 7MMX125</t>
  </si>
  <si>
    <t>BIOMIMICS 3D STENT 6FR 7MMX80M</t>
  </si>
  <si>
    <t>CATHETER SUPER 5X120MMX120CM</t>
  </si>
  <si>
    <t>CATHETER ARMADA 18 BALLON</t>
  </si>
  <si>
    <t>INTEC LIGHTING</t>
  </si>
  <si>
    <t>RIBICON 35 135CM STENT</t>
  </si>
  <si>
    <t>STERLING STENT 5MMX22 MM 150CM</t>
  </si>
  <si>
    <t>MONET SCREW VA SELF-D 3.5</t>
  </si>
  <si>
    <t>SUPPORT TUBE</t>
  </si>
  <si>
    <t>DIAMOND DRILL 235</t>
  </si>
  <si>
    <t>SCOPE RENTAL</t>
  </si>
  <si>
    <t>ASSY 14MMX40MMX14 DEG INNOV</t>
  </si>
  <si>
    <t>BURR RENTAL</t>
  </si>
  <si>
    <t>6.5MMX50MM MODULAR BONSE SCREW</t>
  </si>
  <si>
    <t>40MM PRE LORDOSE ROD</t>
  </si>
  <si>
    <t>9WX27LX6H STERILE</t>
  </si>
  <si>
    <t>TOP LOADING BODY</t>
  </si>
  <si>
    <t>LUCENT LATERAL 18X10X45</t>
  </si>
  <si>
    <t>CELLESTA ALLOGRAFT4X6</t>
  </si>
  <si>
    <t>TI SPACER 8X9 ATEC</t>
  </si>
  <si>
    <t>BENCOX M STEM LATERALIZED</t>
  </si>
  <si>
    <t>BENCOX MIRABO CUP 3 HOLE</t>
  </si>
  <si>
    <t>BENCOX DELTA HEAD 32MM</t>
  </si>
  <si>
    <t>BENCOX MIRABO PE LINER</t>
  </si>
  <si>
    <t>24 HOUR CONTAINER</t>
  </si>
  <si>
    <t>6X10 GORE GRAFT</t>
  </si>
  <si>
    <t>0.9MM LASER SPECTRANICS</t>
  </si>
  <si>
    <t>2.0 LASER SPECTRANETICS</t>
  </si>
  <si>
    <t>ARISTA 3G</t>
  </si>
  <si>
    <t>ARISTA 1G</t>
  </si>
  <si>
    <t>PROCEED 0.14 WIRE</t>
  </si>
  <si>
    <t>SPARTACORE 0.14 WIRE</t>
  </si>
  <si>
    <t>WINN 80 0.14 WIRE</t>
  </si>
  <si>
    <t>RECONNAISIVE PV 0.18 OTW</t>
  </si>
  <si>
    <t>ZIPWIRE 0035 260</t>
  </si>
  <si>
    <t>GLOW AND TELL TAPE</t>
  </si>
  <si>
    <t>PERCLOSE PROSTYLE</t>
  </si>
  <si>
    <t>FLEXOR CHECKFLO 6FR X70MM</t>
  </si>
  <si>
    <t>FLEXOR CHECKFLO 7FRX70MM</t>
  </si>
  <si>
    <t>PRELUDE 7FX4</t>
  </si>
  <si>
    <t>CORDIS WIRE SV8</t>
  </si>
  <si>
    <t>NANOCROSS ELITE 0.14</t>
  </si>
  <si>
    <t>VISIPOR</t>
  </si>
  <si>
    <t>ABSOLUTE PRO</t>
  </si>
  <si>
    <t>INNOVA STENT</t>
  </si>
  <si>
    <t>ABBOT STENT</t>
  </si>
  <si>
    <t>MUSTANG 135CM</t>
  </si>
  <si>
    <t>EVERCROSS 80CM</t>
  </si>
  <si>
    <t>ARMADA .35</t>
  </si>
  <si>
    <t>0.14 BALLON COYOTE</t>
  </si>
  <si>
    <t>ARMADA 014</t>
  </si>
  <si>
    <t>ARMADA 0.18</t>
  </si>
  <si>
    <t>SA ALIF 24DX32WX14H</t>
  </si>
  <si>
    <t>SA ALIF SCREW 05X20MM</t>
  </si>
  <si>
    <t>SA ALIF SCREW 5MMX25MM</t>
  </si>
  <si>
    <t>GLIDE SCOPE</t>
  </si>
  <si>
    <t>COCR ROD 5.5X45MM</t>
  </si>
  <si>
    <t>LARYNGOSCOPY TRAY</t>
  </si>
  <si>
    <t>ANTHEM LATERAL NARROW FEM 3</t>
  </si>
  <si>
    <t>NON-LOCKING SCREW 4.5X46MM</t>
  </si>
  <si>
    <t>LOCKING SCREW GLOBUS COCR</t>
  </si>
  <si>
    <t>DRILL 3.4X245MM</t>
  </si>
  <si>
    <t>K-WIRE 2.5X200MM</t>
  </si>
  <si>
    <t>6.5MMX45MM CANNULATED SCREW</t>
  </si>
  <si>
    <t>FORTEX CAP</t>
  </si>
  <si>
    <t>5.5X35MM CONTINUOS RAD ROD</t>
  </si>
  <si>
    <t>5.5MM CANNULATED TAP</t>
  </si>
  <si>
    <t>CALIX-P PLIF 22MMX10MMX10MM</t>
  </si>
  <si>
    <t>TWIST DRILL ZIMMER</t>
  </si>
  <si>
    <t>CARROLL GIRARD SCREW ZIMMER</t>
  </si>
  <si>
    <t>RT SMALL ORBITAL ZIMMER</t>
  </si>
  <si>
    <t>RT L PLATE</t>
  </si>
  <si>
    <t>1.5X6MM SCREW ZIMMER</t>
  </si>
  <si>
    <t>LIGHT HANDLE COVER</t>
  </si>
  <si>
    <t>ELECTRODES 3 PACK</t>
  </si>
  <si>
    <t>VIPE WIRE FLEX .0014 TIP</t>
  </si>
  <si>
    <t>VIPERSLIDE104BRICANT</t>
  </si>
  <si>
    <t>LOW PROFILE, CONVEX EXPANDABLE</t>
  </si>
  <si>
    <t>NOVOGRO MINI PUTTY.(1-1.4MM) 5</t>
  </si>
  <si>
    <t>LIBRA SET SCREW</t>
  </si>
  <si>
    <t>LIBRA ROD, PRE-BENT, TITANIUM</t>
  </si>
  <si>
    <t>LIBRA SCREW ASSEMBLY, POLYAXIA</t>
  </si>
  <si>
    <t>AIS-C CERVICAL SM 7MM</t>
  </si>
  <si>
    <t>SIGNAFUSE SMALL BONE GRAFT</t>
  </si>
  <si>
    <t>3.2MMX30MM RNGLC+ACET DRL BIT</t>
  </si>
  <si>
    <t>PREM ST/G7 CP/LG E1 LN/CER HD</t>
  </si>
  <si>
    <t>8MM AIS-C CERVICAL STAND-ALONE</t>
  </si>
  <si>
    <t>AIS-C CERVICAL STAND-ALONE, AN</t>
  </si>
  <si>
    <t>SIGNAFUSE</t>
  </si>
  <si>
    <t>TESERA SA 4.5MMX30MM VARIABLE</t>
  </si>
  <si>
    <t>METRX SYSTEM #1</t>
  </si>
  <si>
    <t>TIGER SHARK LATERAL</t>
  </si>
  <si>
    <t>TESESA 4.5MM X 35MM VARIABL</t>
  </si>
  <si>
    <t>5.0MM X 20MM CONSTRAINED HEX S</t>
  </si>
  <si>
    <t>38 X 30-19MM HEIGHT CAGE 17DEG</t>
  </si>
  <si>
    <t>OSSEUS OPEN PEDICLE SCREW 6.5X</t>
  </si>
  <si>
    <t>OSSEUS OPEN PEDICLE SCREW 7.5X</t>
  </si>
  <si>
    <t>OSSEUS CURVED ROD 45MM</t>
  </si>
  <si>
    <t>OSSEUS CROSSLINK SMALL</t>
  </si>
  <si>
    <t>CANCELLLOUS</t>
  </si>
  <si>
    <t>5CC DBM GELL PUTTY</t>
  </si>
  <si>
    <t>HERCULES SUTURE ANCHOR</t>
  </si>
  <si>
    <t>DERMASPAN</t>
  </si>
  <si>
    <t>KLASSIC KNEE FEMUR PS POST</t>
  </si>
  <si>
    <t>THE KLASSIC KNEE TIBIA STEM</t>
  </si>
  <si>
    <t>LO-PRO SCREW 3.5X18MM CORT</t>
  </si>
  <si>
    <t>CLAV FRAC PLT</t>
  </si>
  <si>
    <t>LO-PRO SCREW 3.5X14MM CORT</t>
  </si>
  <si>
    <t>LO PRO LOCK SCREW 3.5X14MM</t>
  </si>
  <si>
    <t>2.5 DRILL BIT</t>
  </si>
  <si>
    <t>DRILL BIT 2.7MM</t>
  </si>
  <si>
    <t>SPINAL ELEMENTS</t>
  </si>
  <si>
    <t>14X15.5 8H RO1-C</t>
  </si>
  <si>
    <t>FIXATION COMPONENT, DF-P</t>
  </si>
  <si>
    <t>STIMULATING CLIP</t>
  </si>
  <si>
    <t>LIF INTRADISCAL SHIM NARROW</t>
  </si>
  <si>
    <t>10X18X55,ODEG</t>
  </si>
  <si>
    <t>ACCESS PUSHER CAP</t>
  </si>
  <si>
    <t>GUIDEWIRE</t>
  </si>
  <si>
    <t>7.5X45 CANCELLOUS SCREW</t>
  </si>
  <si>
    <t>OPEN CLOSED CONNECTOR 11MM</t>
  </si>
  <si>
    <t>5.5X65 COCR ROD</t>
  </si>
  <si>
    <t>CROSS CONNECTOR 35-45</t>
  </si>
  <si>
    <t>1.7MM CABLE W/CRIMP</t>
  </si>
  <si>
    <t>BIOCOMPOSITE KNOTLESS SWIVE AN</t>
  </si>
  <si>
    <t>4.75M ALPHAVENT &amp; OMEGA DRILL</t>
  </si>
  <si>
    <t>4.75M OMEGA TAP</t>
  </si>
  <si>
    <t>XBRAID S2 WB SUTURE CT</t>
  </si>
  <si>
    <t>XBRAID TT 2.2MM SUTURE TAPE</t>
  </si>
  <si>
    <t>6.5MMX75 THREADED</t>
  </si>
  <si>
    <t>2.0MM XBRAID TT</t>
  </si>
  <si>
    <t>COBRA SUTURE PASSER, HOOK SP</t>
  </si>
  <si>
    <t>OR3ODUAL MOBILITY LINER 36/48</t>
  </si>
  <si>
    <t>OR3O DM XLPE INSERT 22/36</t>
  </si>
  <si>
    <t>ECH PRI FEM COMP HO SZ 13</t>
  </si>
  <si>
    <t>R3 MULTI HOLE ACETABULAR SHELL</t>
  </si>
  <si>
    <t>REF SPHER HEAD SCREW 20MM</t>
  </si>
  <si>
    <t>BENCOX MIRABO CUP 3 HOLE,48MM</t>
  </si>
  <si>
    <t>KLASSCI KNEE SYST TIB BASEPLAT</t>
  </si>
  <si>
    <t>KLASSIC KNEE TIBIA INSERT ,PS</t>
  </si>
  <si>
    <t>KLASSIC KNEE FEMORAL PEG</t>
  </si>
  <si>
    <t>DRILL AND PIN SET</t>
  </si>
  <si>
    <t>KLASSIC KNEE SOMBRERO PATELLA</t>
  </si>
  <si>
    <t>HEMOBLAST BELLOWS</t>
  </si>
  <si>
    <t>PRINEO DERMABOND</t>
  </si>
  <si>
    <t>BIOCORE ALFATEC SPINE</t>
  </si>
  <si>
    <t>BIOCORE ALFATEC</t>
  </si>
  <si>
    <t>SMR SHOULDER LIMA GLENOID</t>
  </si>
  <si>
    <t>BONE SCREW LIMA</t>
  </si>
  <si>
    <t>SMR SHOULDER/SPALLA LIMA</t>
  </si>
  <si>
    <t>GLENOSPHERE/GLENOSFERA</t>
  </si>
  <si>
    <t>TEMPORARY PIN ATEC</t>
  </si>
  <si>
    <t>2 LEVEL PLATE ATEC</t>
  </si>
  <si>
    <t>4.0 VARIABLE SCREW 16MM ATEC</t>
  </si>
  <si>
    <t>TI CERVICAL POROUS TI SPACER</t>
  </si>
  <si>
    <t>SINGLE USE BOUGIE COUDE TIP</t>
  </si>
  <si>
    <t>POLY-CATH SUCTION CATH 10 FR</t>
  </si>
  <si>
    <t>SUCTION CATH CHIMNEY VALVE 12F</t>
  </si>
  <si>
    <t>TBG PRESS 48IN M/F FIXED BRAID</t>
  </si>
  <si>
    <t>STIMUPLEX 22GX2 IN</t>
  </si>
  <si>
    <t>SHEATH LENS CLEANER 0 DEGREE</t>
  </si>
  <si>
    <t>SHEATH LENS CLEANER 30 DEGREE</t>
  </si>
  <si>
    <t>SUCTION COAGULATOR 10FR</t>
  </si>
  <si>
    <t>DOLYE BIVALVE SEPTAL SPLINT</t>
  </si>
  <si>
    <t>DISPOSABLE ENDOSCOPE VALVE SET</t>
  </si>
  <si>
    <t>ERBE ENDOSCOPY PORT CONNECTOR</t>
  </si>
  <si>
    <t>HYBRID TUBBING CAP SET ERBE</t>
  </si>
  <si>
    <t>FIAPC PROBE WITH FILTER ERBE</t>
  </si>
  <si>
    <t>RAPTOR GRASPING DEVICE GI</t>
  </si>
  <si>
    <t>FALCON ROTATABLE DEVICE GI</t>
  </si>
  <si>
    <t>QUICK CATCH POLYP TRAP</t>
  </si>
  <si>
    <t>BEDSIDE COMPLETE RIVATALOX</t>
  </si>
  <si>
    <t>CLEANASCOPE GI COVER</t>
  </si>
  <si>
    <t>SPINAL ELEMENTS 6.5X40 SCREW</t>
  </si>
  <si>
    <t>SPINAL ELEMENTS 6.5X45 SCREW</t>
  </si>
  <si>
    <t>SPINAL ELEMENT SET SCREW</t>
  </si>
  <si>
    <t>SPINAL ELEMENT 6.5X90 ROD</t>
  </si>
  <si>
    <t>SPINAL ELEMENTS 6.5X35 SCREW</t>
  </si>
  <si>
    <t>SPINAL ELEMENTS 18X10X40,6</t>
  </si>
  <si>
    <t>SPINAL ELEMENTS 18X10X45,6</t>
  </si>
  <si>
    <t>SPINAL ELEMENTS 18X12X50,1</t>
  </si>
  <si>
    <t>SPINAL ELEMENTS INTEC LIGHTS</t>
  </si>
  <si>
    <t>VERYAN 6F 6MMX80MM</t>
  </si>
  <si>
    <t>ANTERIOR CLAVICLE PLATE 7 HOLE</t>
  </si>
  <si>
    <t>BENCOX M STEM NO.4 LATERALIZED</t>
  </si>
  <si>
    <t>BENCOX DELTA HEAD</t>
  </si>
  <si>
    <t>BB TAK</t>
  </si>
  <si>
    <t>2.5 DRILL LONG ARTHREX</t>
  </si>
  <si>
    <t>2.5 DRILL SHORT</t>
  </si>
  <si>
    <t>1.35 WIRE ARTHREX</t>
  </si>
  <si>
    <t>2.6 DRILL ARTHREX</t>
  </si>
  <si>
    <t>8 HOLE TUBLUAR PLATE ARTHREX</t>
  </si>
  <si>
    <t>CALIBRATED DRILL 2.5X95MM</t>
  </si>
  <si>
    <t>3.5X12 KREULOCK SCREW</t>
  </si>
  <si>
    <t>3.5X14 KREULOCK SCREW</t>
  </si>
  <si>
    <t>3.5X14 CORTICAL SCREW ARTHREX</t>
  </si>
  <si>
    <t>3.5X16 KREULOCK SCREW ARTHREX</t>
  </si>
  <si>
    <t>3.5X18 CORTICAL SCREW ARTHREX</t>
  </si>
  <si>
    <t>4.0X40 LONG THREAD PT SCREW</t>
  </si>
  <si>
    <t>SYNDESMOSIS XP IMPLANT</t>
  </si>
  <si>
    <t>1.7 DRILL ARTHREX</t>
  </si>
  <si>
    <t>2.4X10 CORTICAL SCREW ARTHREX</t>
  </si>
  <si>
    <t>2.4X12 CORTICAL SCREW ARTHREX</t>
  </si>
  <si>
    <t>6.5X 45 RED POLY SCREW</t>
  </si>
  <si>
    <t>45MM CURVED ROD</t>
  </si>
  <si>
    <t>SET SCREW CTL MEDICAL</t>
  </si>
  <si>
    <t>6.5X50 RED POLY SCREW</t>
  </si>
  <si>
    <t>39MM SACRAL PLATE</t>
  </si>
  <si>
    <t>5.5X30 VARIABLE ALIF SCREW</t>
  </si>
  <si>
    <t>2.5 DRILL ARTHREX</t>
  </si>
  <si>
    <t>LOCKING DISTAL FIB PLATE</t>
  </si>
  <si>
    <t>2.7X10 SCREW LOCKING</t>
  </si>
  <si>
    <t>2.7X16 LOCKING SCREW</t>
  </si>
  <si>
    <t>2.7X18 LOCKING SCREW</t>
  </si>
  <si>
    <t>2.7X20 LOCKING SCREW</t>
  </si>
  <si>
    <t>CWS 400 SMALL HEMOVAC</t>
  </si>
  <si>
    <t>CWS 400 MED HEMOVAC</t>
  </si>
  <si>
    <t>CWS 400 HEMOVAC LARGE</t>
  </si>
  <si>
    <t>CROSSFLOW OUTFLOW CASSET RED</t>
  </si>
  <si>
    <t>TRACHEOSTOMY TUBE SOFT COLLAR</t>
  </si>
  <si>
    <t>TEGADERM W/NONADHERENT PAD SM</t>
  </si>
  <si>
    <t>TEGADERM NONADHERANT FILM MED</t>
  </si>
  <si>
    <t>TEGADERM FILM</t>
  </si>
  <si>
    <t>STERI STRIPS 1/2IN X 4IN</t>
  </si>
  <si>
    <t>STERI STRIP 1/4X 4</t>
  </si>
  <si>
    <t>NON ADGERENT PAD    TELFA</t>
  </si>
  <si>
    <t>MASTISOL LIQUID ADHESIVE 3ML</t>
  </si>
  <si>
    <t>STERILE BLANK LABEL</t>
  </si>
  <si>
    <t>6 COATED BLADE LARGE BOVIE</t>
  </si>
  <si>
    <t>I COATED NEEDLE  TIP BOVIE</t>
  </si>
  <si>
    <t>EZ CLEAN MEGADYNE BOVIE TIP</t>
  </si>
  <si>
    <t>COLORADO MICRODISSECTION BOVIE</t>
  </si>
  <si>
    <t>FRAZIER TIP 10 FR</t>
  </si>
  <si>
    <t>FRAIZER TIP 12 FR</t>
  </si>
  <si>
    <t>STERILE SURGICAL 10BLADE ONLY</t>
  </si>
  <si>
    <t>STERILE SURGICAL 11BLADE ONLU</t>
  </si>
  <si>
    <t>TUBESET LENS CLEANER</t>
  </si>
  <si>
    <t>BOWL BASSIN STERILE BLUE</t>
  </si>
  <si>
    <t>ISOLATION DRAPE SHOWER CURTIAN</t>
  </si>
  <si>
    <t>IOBAN LONG 60CM X85CM</t>
  </si>
  <si>
    <t>U POUCH</t>
  </si>
  <si>
    <t>FLTYE HOOD PEEL AWAY</t>
  </si>
  <si>
    <t>19 FR ROUND HUBLESS DRAIN</t>
  </si>
  <si>
    <t>10FR ROUND HUBLESS BLAKE</t>
  </si>
  <si>
    <t>PERFORATED ROUND DRAIN 7 FR</t>
  </si>
  <si>
    <t>PVC DRAIN 19 FR W TROCAR</t>
  </si>
  <si>
    <t>PEDICLE SCREW 6.5X50MM</t>
  </si>
  <si>
    <t>ROD 6.0X40MM</t>
  </si>
  <si>
    <t>COATED T4F SPACER 9X10X30MM</t>
  </si>
  <si>
    <t>SIGNAPUSE-20CC</t>
  </si>
  <si>
    <t>BMA NEEDLE</t>
  </si>
  <si>
    <t>MINI TIGHTROPE REPAIR</t>
  </si>
  <si>
    <t>AUTOPLEX, BONE EMENT MIXER KIT</t>
  </si>
  <si>
    <t>11GX15MM BALLOON KYPHO KIT</t>
  </si>
  <si>
    <t>11G BONE DRILL</t>
  </si>
  <si>
    <t>MONOAX LOCKING SCREW 3.5X18</t>
  </si>
  <si>
    <t>KIT, 2MM GUIDE PIN SINGLE</t>
  </si>
  <si>
    <t>9.5MMX18MM, TAPER POST MTP</t>
  </si>
  <si>
    <t>15MM ARTICULAR COMP, TOE2</t>
  </si>
  <si>
    <t>CERVICAL SA BONE SCREW</t>
  </si>
  <si>
    <t>10MX28M RYKER BIOSTEON SCREW</t>
  </si>
  <si>
    <t>7MMX23MM BIOSTEON SCREW</t>
  </si>
  <si>
    <t>SIZE 2 WHITE/BLACK SUTURE NON</t>
  </si>
  <si>
    <t>SIZE 2 WHITE/BLUE WHIP STITCH</t>
  </si>
  <si>
    <t>ACL BONE TENDON BONE</t>
  </si>
  <si>
    <t>FORCE FIBER SIZE 2 W/NEEDLE</t>
  </si>
  <si>
    <t>ACL INST. SYSTEM</t>
  </si>
  <si>
    <t>ARROW HUMERAL STEM</t>
  </si>
  <si>
    <t>ARROW CEMENTLESS POROUS GLENOI</t>
  </si>
  <si>
    <t>ARROW COCR GLENOSHERE</t>
  </si>
  <si>
    <t>ARROW STD HUMERAL INSERT</t>
  </si>
  <si>
    <t>BIPOLAR-PR PRM</t>
  </si>
  <si>
    <t>BIOWICK X IMP 6.5MM PEEK 3 SUT</t>
  </si>
  <si>
    <t>SPECIALTY CARE</t>
  </si>
  <si>
    <t>3.2MM CALIBRATED DRILL BIT</t>
  </si>
  <si>
    <t>SCREW T15 MD 3.5X22MM NS</t>
  </si>
  <si>
    <t>SCREW T15 MD 3.5X26MM NS</t>
  </si>
  <si>
    <t>SCREW T15 MD 3.5X32MM NS</t>
  </si>
  <si>
    <t>42+4 LAT/28 GLENOSPHERE</t>
  </si>
  <si>
    <t>SCREW T15 MD 3.5X44MM NS</t>
  </si>
  <si>
    <t>SCREW T15 LP CORT 3.5X22 MM NS</t>
  </si>
  <si>
    <t>SCREW T15 LP CORT 3.5X24MM NS</t>
  </si>
  <si>
    <t>3.2MMX30 RNGLC-ACET DRL BIT</t>
  </si>
  <si>
    <t>PR PRM ST/OSS LH CP/VE LN/CER</t>
  </si>
  <si>
    <t>HUMERAL INSERT</t>
  </si>
  <si>
    <t>5.5X16MM PERI. LOCKING SCREW</t>
  </si>
  <si>
    <t>5.5X20MM PERI. LOCKING SCREW</t>
  </si>
  <si>
    <t>5.5X24MM PERI. LOCKING SCREW</t>
  </si>
  <si>
    <t>28MM BASEPLATE, 10 FULL AUG,OB</t>
  </si>
  <si>
    <t>MODULAR POST, 25MM</t>
  </si>
  <si>
    <t>3.0MM MGS DRILL BIT</t>
  </si>
  <si>
    <t>ANGLED REAMER HEAD, L</t>
  </si>
  <si>
    <t>UNIVERSE APEX SUTURE KIT</t>
  </si>
  <si>
    <t>ARTH992</t>
  </si>
  <si>
    <t>SCREW T15 LP CORT 3.5X26MM NS</t>
  </si>
  <si>
    <t>DYNANITE VIP GLENOID PIN 2.8MM</t>
  </si>
  <si>
    <t>UNIVERSE REVERS APEX STEM S.15</t>
  </si>
  <si>
    <t>UNIVERS REVERS SUTURE CUP,42</t>
  </si>
  <si>
    <t>PSN 2.5MM FEMALE SCREW</t>
  </si>
  <si>
    <t>HEADLESS TROCAR DRILL PIN 75MM</t>
  </si>
  <si>
    <t>3.5MM HEX HEADED SCREW</t>
  </si>
  <si>
    <t>PSN STRAIGHT HYB ST 14X 30M</t>
  </si>
  <si>
    <t>PSN CM FM/CM TB/VE/VE PSN PT</t>
  </si>
  <si>
    <t>MIS HEADED SCREW 48MM</t>
  </si>
  <si>
    <t>PSN PK ART SURF INS TIP</t>
  </si>
  <si>
    <t>PSN UNI FM/CM TB/UNI</t>
  </si>
  <si>
    <t>PSN TM FM/TM TB/VE/PE PSN PT</t>
  </si>
  <si>
    <t>2.7MM DRILL BIT QUICK CONNECT</t>
  </si>
  <si>
    <t>ANTHEM ONE THIRD TUBULAR PLATE</t>
  </si>
  <si>
    <t>NON LOCKING SCREW 3.5X16</t>
  </si>
  <si>
    <t>NON LOCKING SCREW 3.5X12</t>
  </si>
  <si>
    <t>NO LOCKING SCREW 3.5X14</t>
  </si>
  <si>
    <t>ANTHEM 3.5 STRAIGHT PLATE 7HOL</t>
  </si>
  <si>
    <t>BALL TIP PROBE</t>
  </si>
  <si>
    <t>ANTHEM 7 PLATE 3 HOLE</t>
  </si>
  <si>
    <t>1.8MM DRILL BIT QUICK CROSS</t>
  </si>
  <si>
    <t>NON LOCKING SCREW 2.5X14MM</t>
  </si>
  <si>
    <t>LOCKING SCREW 2.5X12</t>
  </si>
  <si>
    <t>THREADED DRILL POINT K-WIRE</t>
  </si>
  <si>
    <t>TROCH NAIL 4.2MM DRILL</t>
  </si>
  <si>
    <t>AUTOBAHM TI TROCHANTERIC NAIL</t>
  </si>
  <si>
    <t>TI LOCKING SCREW FULLY THREADE</t>
  </si>
  <si>
    <t>TI LOCKING SCREW 5X37.5</t>
  </si>
  <si>
    <t>AUTHOBAHN TI LAG SCREW 10.5X95</t>
  </si>
  <si>
    <t>FLEXIBLE REAMER SHAFT 620MM</t>
  </si>
  <si>
    <t>BALL TIP GUIDEWIRE 3.100</t>
  </si>
  <si>
    <t>MILLING BIT 2- STERILE</t>
  </si>
  <si>
    <t>PRODISC C US IMPLANT LARGE 6MM</t>
  </si>
  <si>
    <t>H/W INTERBALANCE LGMNT AUGMNT</t>
  </si>
  <si>
    <t>PHYSIO MOLDABLE 10CC</t>
  </si>
  <si>
    <t>PHYSIO MOLDABLE 5CC</t>
  </si>
  <si>
    <t>6.5X40 REDUCTION SCREW</t>
  </si>
  <si>
    <t>6.5X40 CANN. SCREW</t>
  </si>
  <si>
    <t>80MM ROD</t>
  </si>
  <si>
    <t>LOCKING SCREW 4.0X44 COCR</t>
  </si>
  <si>
    <t>TLIF CAGE</t>
  </si>
  <si>
    <t>MOP-S-ROM</t>
  </si>
  <si>
    <t>ARTHROFLEX 40X70X1.0MM</t>
  </si>
  <si>
    <t>RINGLOC BI-BOPLAR 28X50MM</t>
  </si>
  <si>
    <t>ORTHOSPACE INSPACE SYSTEM</t>
  </si>
  <si>
    <t>SEASPINE SHORELINE CAGE</t>
  </si>
  <si>
    <t>7MM 3 HOLE PLATE</t>
  </si>
  <si>
    <t>3.5X16 SCREW</t>
  </si>
  <si>
    <t>7MM LOCKING COVER</t>
  </si>
  <si>
    <t>SHORTLINE CAGE</t>
  </si>
  <si>
    <t>6MM 3 HOLE PLATE</t>
  </si>
  <si>
    <t>12MM DRILL BIT</t>
  </si>
  <si>
    <t>SLINGAFUSE 10CC</t>
  </si>
  <si>
    <t>COP-ALTRX, CEMEN</t>
  </si>
  <si>
    <t>PINNACLE DM LINER 62</t>
  </si>
  <si>
    <t>PINN SECTOR W/GRIPTON 62MM</t>
  </si>
  <si>
    <t>DELTA CER HEAD 12/14 28MM +5</t>
  </si>
  <si>
    <t>SUMMIT DUOFIX TAP SZ 8 HI OFF</t>
  </si>
  <si>
    <t>BI MENTUM PFPK PE LINER 28 53</t>
  </si>
  <si>
    <t>ANTHEM PROXIMAL HUMERUS PLATE</t>
  </si>
  <si>
    <t>2.7MM CALIBRATED DRILL BIT</t>
  </si>
  <si>
    <t>1.6MM K-WIRE TROCAR TIP</t>
  </si>
  <si>
    <t>J2 UNI OX FEM/ UNI TIB ISRT</t>
  </si>
  <si>
    <t>MEDSURANT NEURO MONITORING</t>
  </si>
  <si>
    <t>DEEP IMAGING</t>
  </si>
  <si>
    <t>K-LESS T-ROPE W/DRV, SYS REP,S</t>
  </si>
  <si>
    <t>COTICAL LOCKING SCREWS</t>
  </si>
  <si>
    <t>NON LOCKING CORTICAL SCREWS</t>
  </si>
  <si>
    <t>2.0MM DRILL BIT CALIBRATED</t>
  </si>
  <si>
    <t>KREULOCK COMPRESSION SCREWS</t>
  </si>
  <si>
    <t>NT- AXTI,16X40X20 DEG</t>
  </si>
  <si>
    <t>NT-AXTI,14X36X20 DEG</t>
  </si>
  <si>
    <t>LARGE LOCKING PLATE</t>
  </si>
  <si>
    <t>NT- 5.5X30MM BONE SCREW</t>
  </si>
  <si>
    <t>ALEXIS ORTHO PROTECTOR</t>
  </si>
  <si>
    <t>3M STERI DRAPE W/ POUCH</t>
  </si>
  <si>
    <t>3.7MM DIAMOND SPINAL BURR</t>
  </si>
  <si>
    <t>SUPPORT TUBE W/O PROTECTOR</t>
  </si>
  <si>
    <t>INST USAGE FEE</t>
  </si>
  <si>
    <t>ACL ALL INSIDE KIT</t>
  </si>
  <si>
    <t>LAPIPLASTY SAW BLADE</t>
  </si>
  <si>
    <t>AUTHOBAHN TROCHANTERIC NAIL</t>
  </si>
  <si>
    <t>AUTHOBAHN TI LAG SCREW</t>
  </si>
  <si>
    <t>RADIOFREQUENCY GENERATOR</t>
  </si>
  <si>
    <t>BAYONETTED SCALPEL</t>
  </si>
  <si>
    <t>LIF ILLUMINATION</t>
  </si>
  <si>
    <t>DIALATOR KIT</t>
  </si>
  <si>
    <t>LIF-PTA POSITIONING MODULE</t>
  </si>
  <si>
    <t>STRAVIX YOPRESERVED UMBILICAL</t>
  </si>
  <si>
    <t>14X15.5MM ROI-C ZIMMER</t>
  </si>
  <si>
    <t>12X14MM ROI-C ZIMMER</t>
  </si>
  <si>
    <t>T-UNIVERSAL CERVICAL REMOVAL S</t>
  </si>
  <si>
    <t>TIBIAL INSERT E CROSS FLEX 4R</t>
  </si>
  <si>
    <t>TIBIAL TRAY CEMENTED R S4</t>
  </si>
  <si>
    <t>GENERAL MIS SPHERE INST SET</t>
  </si>
  <si>
    <t>CONVENTIONAL KA INSTRUMENT SET</t>
  </si>
  <si>
    <t>DRILLS REAMERS SPHERE INST SET</t>
  </si>
  <si>
    <t>SPHERE FEMORAL S4+ INST SET</t>
  </si>
  <si>
    <t>SPHERE CR INSERT INST SET</t>
  </si>
  <si>
    <t>ANATOMICAL FEMORAL COMP S4</t>
  </si>
  <si>
    <t>TIBIAL TRAY FIX CEMENTED S3</t>
  </si>
  <si>
    <t>TIBIAL INSERT FIX S3 8MM</t>
  </si>
  <si>
    <t>LARGE PEC BUTTON KIT</t>
  </si>
  <si>
    <t>ATTUNE FB CAP CONSTRUCT</t>
  </si>
  <si>
    <t>ACERS SURGICAL</t>
  </si>
  <si>
    <t>BIPOLAR DUOFIX</t>
  </si>
  <si>
    <t>18X45X10MM LUCENT LATERAL IMP</t>
  </si>
  <si>
    <t>60MM SURGICAL ILLUMMINATOR LC</t>
  </si>
  <si>
    <t>BALL TIP STIM PROBE</t>
  </si>
  <si>
    <t>ELECTRICAL ALIGATOR CLIP</t>
  </si>
  <si>
    <t>TI CERVICAL SA SPACER</t>
  </si>
  <si>
    <t>LOCKING CAP</t>
  </si>
  <si>
    <t>PRIME SURGICAL SOLUTIONS</t>
  </si>
  <si>
    <t>SONATA 5 MG TAB (ZALEPLON)</t>
  </si>
  <si>
    <t>COSOPT OPTH SOL</t>
  </si>
  <si>
    <t>PILL CUTTER MISC</t>
  </si>
  <si>
    <t>PILL CRUSHER MISC</t>
  </si>
  <si>
    <t>FERRLECIT 62.5 MG/5 ML INJ</t>
  </si>
  <si>
    <t>ACULAR 0.5% DROP 3ML</t>
  </si>
  <si>
    <t>TOBRADEX 0.3-0.1 % OINT 3.5 GM</t>
  </si>
  <si>
    <t>PROLIXIN 2.5 MG TAB</t>
  </si>
  <si>
    <t>DOBUTAMINE D5W 500MG/250ML IV</t>
  </si>
  <si>
    <t>HOMATROPAIRE 5 % DROP 5 ML</t>
  </si>
  <si>
    <t>AMPICILLIN CAP 500MG</t>
  </si>
  <si>
    <t>VIROPTIC 1% DROP 7.5 ML</t>
  </si>
  <si>
    <t>PARCAINE 0.5% DROP 15ML</t>
  </si>
  <si>
    <t>CARDENE 20 MG CAP</t>
  </si>
  <si>
    <t>CARDENE IV 25 MG/10 ML INJ</t>
  </si>
  <si>
    <t>PHARMACY MISC MEDICATION 2</t>
  </si>
  <si>
    <t>PHARMACY MISC MEDICATION 3</t>
  </si>
  <si>
    <t>PHARMACY MISC MEDICATION 4</t>
  </si>
  <si>
    <t>PHARMACY MISC MEDICATION 5</t>
  </si>
  <si>
    <t>PHARMACY MISC MEDICATION 6</t>
  </si>
  <si>
    <t>DIOVAN 40 MG TAB</t>
  </si>
  <si>
    <t>AZACTAM 2 GM INJ</t>
  </si>
  <si>
    <t>POLYSPORIN 500-10,000 UNIT/GM</t>
  </si>
  <si>
    <t>VALIUM 10 MG/2 ML INJ</t>
  </si>
  <si>
    <t>EFFER K 20 MEQ TBEF</t>
  </si>
  <si>
    <t>EFFER K 10 MEQ TBEF (POTASSIUM</t>
  </si>
  <si>
    <t>KCL 20 MEQ/50 ML PGBK</t>
  </si>
  <si>
    <t>KCL 10 MEQ/50 ML PGBK</t>
  </si>
  <si>
    <t>MELATONIN 3 MG TAB</t>
  </si>
  <si>
    <t>MELATONIN 5 MG TAB</t>
  </si>
  <si>
    <t>TEFLARO 600 MG INJ</t>
  </si>
  <si>
    <t>XYLOCAINE 2% (PF) INJ 5ML</t>
  </si>
  <si>
    <t>XYLOCAINE-MPF 1% INJ 30ML</t>
  </si>
  <si>
    <t>FANAPT TAB 1MG</t>
  </si>
  <si>
    <t>FANAPT TAB 2MG</t>
  </si>
  <si>
    <t>FANAPT TAB 4MG</t>
  </si>
  <si>
    <t>FANAPT TAB 64MG</t>
  </si>
  <si>
    <t>FANAPT TAB 8MG</t>
  </si>
  <si>
    <t>FANAPT TAB 10MG</t>
  </si>
  <si>
    <t>FANAPT TAB 12MG</t>
  </si>
  <si>
    <t>MYCAMINE INJ 100 MG</t>
  </si>
  <si>
    <t>CIPRO INJ 400 MG/200 ML</t>
  </si>
  <si>
    <t>A/B OTIC EAR DROPS 15 ML</t>
  </si>
  <si>
    <t>VASELINE JELLY TUBE 71GM</t>
  </si>
  <si>
    <t>ZOVIRAX 5% OINTMENT</t>
  </si>
  <si>
    <t>CYMBALTA CAP 60 MG</t>
  </si>
  <si>
    <t>VITAMIN K 100MCG TAB</t>
  </si>
  <si>
    <t>NUEDEXTA 20-10MG CAP</t>
  </si>
  <si>
    <t>ARICEPT TAB 10 MG</t>
  </si>
  <si>
    <t>PARLODEL CAP 5 MG</t>
  </si>
  <si>
    <t>TRIAMCINOLONE 0.1%OINT(KENALOG</t>
  </si>
  <si>
    <t>CICLOPIROX CREAM 0.77% 30 GRAM</t>
  </si>
  <si>
    <t>MYAMBUTOL TAB 400 MG</t>
  </si>
  <si>
    <t>JANUVIA TAB 50MG</t>
  </si>
  <si>
    <t>AZATHIOPRINE 50MG TAB</t>
  </si>
  <si>
    <t>LIPITOR 80MG</t>
  </si>
  <si>
    <t>CATAPRES TAB 0.3 MG</t>
  </si>
  <si>
    <t>DOLOPHINE CONC 50 MG / 5 ML</t>
  </si>
  <si>
    <t>PHOSPHA NEUTRAL TAB 250 MG</t>
  </si>
  <si>
    <t>PHARMACY CONSULT</t>
  </si>
  <si>
    <t>VANCOMYCIN (PHARMACY CONSULT)</t>
  </si>
  <si>
    <t>VITAMIN D 50,000 IU CAPSULES</t>
  </si>
  <si>
    <t>VITAMIN B COMPLEX CAPSULE</t>
  </si>
  <si>
    <t>OXYCONTIN TAB 20 MG</t>
  </si>
  <si>
    <t>DILAUDID-HP INJ 10 MG / ML</t>
  </si>
  <si>
    <t>XYLOCAINE 2% VISC SOLN UD 15ML</t>
  </si>
  <si>
    <t>STERILE WATER INJ 10 ML</t>
  </si>
  <si>
    <t>BENADRYL ELIXIR UD 12.5MG/5ML</t>
  </si>
  <si>
    <t>PROTONIX SUSP 40 MG</t>
  </si>
  <si>
    <t>PRAVACHOL TAB 40 MG</t>
  </si>
  <si>
    <t>PARALYTIC DRUG KIT</t>
  </si>
  <si>
    <t>CLEOCIN CAP 300 MG</t>
  </si>
  <si>
    <t>MONISTAT VAG SUPP 100MG</t>
  </si>
  <si>
    <t>AMPICILLIN 500MG INJ</t>
  </si>
  <si>
    <t>BACTROBAN 2% OINT 22 GM</t>
  </si>
  <si>
    <t>MYCELEX TROCHE 10 MG</t>
  </si>
  <si>
    <t>VITAMIN B COMPLEX TABLET</t>
  </si>
  <si>
    <t>DOVONEX 0.005% CRM 60 GM</t>
  </si>
  <si>
    <t>TYLENOL SUPP 120 MG</t>
  </si>
  <si>
    <t>TYLENOL TAB 325 MG</t>
  </si>
  <si>
    <t>ABILIFY TAB 10 MG</t>
  </si>
  <si>
    <t>ABILIFY TAB 15 MG</t>
  </si>
  <si>
    <t>ABILIFY TAB 20 MG</t>
  </si>
  <si>
    <t>ABILIFY TAB 5 MG</t>
  </si>
  <si>
    <t>TYLENOL SUPP 325 MG</t>
  </si>
  <si>
    <t>VISINE ORIGINAL OPTH SOL 15ML</t>
  </si>
  <si>
    <t>AMIDATE INJ 2 MG / ML</t>
  </si>
  <si>
    <t>STARLIX 120MG TABLET</t>
  </si>
  <si>
    <t>VITAMIN A &amp; D OINT 60GM</t>
  </si>
  <si>
    <t>AZOPT 1% OPTH SUSP 5 ML</t>
  </si>
  <si>
    <t>TYLENOL TABLET 500 MG</t>
  </si>
  <si>
    <t>TYLENOL SUPP 650 MG</t>
  </si>
  <si>
    <t>SEROQUEL TAB 200MG</t>
  </si>
  <si>
    <t>SEROQUEL TAB 400MG</t>
  </si>
  <si>
    <t>NEOMY/POLYMYXN B 40 MG/ML AMP</t>
  </si>
  <si>
    <t>ACTOS TAB 30 MG</t>
  </si>
  <si>
    <t>ADDERALL XR CAP 20 MG</t>
  </si>
  <si>
    <t>GLUCOTROL TAB 5 MG</t>
  </si>
  <si>
    <t>FIORICET TAB</t>
  </si>
  <si>
    <t>MONISTAT 7 CREAM 2%</t>
  </si>
  <si>
    <t>CA DISODIUM VERS INJ 1000MG/5M</t>
  </si>
  <si>
    <t>HYPERTET SD SYRG 250UNITS/ML</t>
  </si>
  <si>
    <t>FAZACLO ODT 25MG TAB</t>
  </si>
  <si>
    <t>GYNE LOTRIMIN VAG CREAM 45GM</t>
  </si>
  <si>
    <t>PHENYTEK CAP 200MG</t>
  </si>
  <si>
    <t>PHENYTEK CAP 300MG</t>
  </si>
  <si>
    <t>HYDROCODONE/APAP 5/325MG</t>
  </si>
  <si>
    <t>DIAMOX TAB 250 MG</t>
  </si>
  <si>
    <t>LYRICA 25MG CAP</t>
  </si>
  <si>
    <t>ATORVASTATIN 20MG TAB (GENERIC</t>
  </si>
  <si>
    <t>COLISTIMETHATE 150MG INJ.</t>
  </si>
  <si>
    <t>MORPHINE PCA 30MG/30ML INJ</t>
  </si>
  <si>
    <t>PHENOBARBITAL 32.4MG</t>
  </si>
  <si>
    <t>VAPRISOL INJ 20 MG/100 ML</t>
  </si>
  <si>
    <t>KEPPRA SOLN 250 MG/2.5 ML</t>
  </si>
  <si>
    <t>RANEXA 500 MG TB12</t>
  </si>
  <si>
    <t>DIOVAN 160 MG TAB</t>
  </si>
  <si>
    <t>KALEXATE 15 MG POWD</t>
  </si>
  <si>
    <t>METRONIDAZOLE 0.75% CREAM 45GM</t>
  </si>
  <si>
    <t>AMARYL TAB 4 MG</t>
  </si>
  <si>
    <t>ALDOMET INJ 250 MG / 5 ML</t>
  </si>
  <si>
    <t>VELTASSA 8.4 GM PACKET</t>
  </si>
  <si>
    <t>GLYDO JELLY 2% GEL 6ML</t>
  </si>
  <si>
    <t>TRILEPTAL TAB 300 MG</t>
  </si>
  <si>
    <t>CARMOL 40% CRM</t>
  </si>
  <si>
    <t>PARNATE 10MG TAB</t>
  </si>
  <si>
    <t>TRIAMTERENE CAP 50MG</t>
  </si>
  <si>
    <t>PILOCARPINE 2% 15ML</t>
  </si>
  <si>
    <t>URECHOLINE TAB 5MG</t>
  </si>
  <si>
    <t>EXEXLON CAP 1.5MG</t>
  </si>
  <si>
    <t>SYNTHROID INJ 100MCG</t>
  </si>
  <si>
    <t>MUCOMYST 20% SOLN 4 ML</t>
  </si>
  <si>
    <t>REQUIP TAB 0.25 MG</t>
  </si>
  <si>
    <t>THORAZAINE INJ 25MG/1ML AMP</t>
  </si>
  <si>
    <t>COZAAR 100MG TABLET</t>
  </si>
  <si>
    <t>THYROID 180 MG TAB</t>
  </si>
  <si>
    <t>MUCOMYST 20% SOLN 30 ML</t>
  </si>
  <si>
    <t>NAVANE 1MG TAB</t>
  </si>
  <si>
    <t>ZYPREXA ZYDIS TAB 20 MG</t>
  </si>
  <si>
    <t>ZYPREXA TAB 20 MG</t>
  </si>
  <si>
    <t>PROVIGIL 100MG TAB</t>
  </si>
  <si>
    <t xml:space="preserve"> PROAMATENE (MIDODRINE 5MG) TA</t>
  </si>
  <si>
    <t>CLARITIN-D 12HR TAB</t>
  </si>
  <si>
    <t>THYROID 30 MG TAB</t>
  </si>
  <si>
    <t xml:space="preserve"> NORMAL SALINE IRRIGATION 1000</t>
  </si>
  <si>
    <t>GEODON CAP 40 MG</t>
  </si>
  <si>
    <t>ANZEMET 12.5MG INJ - 10MG</t>
  </si>
  <si>
    <t>GEODON CAP 60 MG</t>
  </si>
  <si>
    <t>ZYPREXA ZYDIS TAB 5 MG</t>
  </si>
  <si>
    <t>ZYPREXA ZYDIS TAB 10 MG</t>
  </si>
  <si>
    <t>ZYPREXA TAB 2.5 MG</t>
  </si>
  <si>
    <t>KYTRIL 1MG TAB</t>
  </si>
  <si>
    <t>KYTRIL 100MCG/ML INJ - 100MCG</t>
  </si>
  <si>
    <t>ZYPREXA TAB 15 MG</t>
  </si>
  <si>
    <t>PLAN B 0.75MG TAB</t>
  </si>
  <si>
    <t>ACTOS TAB 45 MG</t>
  </si>
  <si>
    <t>ZOVIRAX CAP 200 MG</t>
  </si>
  <si>
    <t>ZYPREXA TAB 10 MG</t>
  </si>
  <si>
    <t>ZYPREXA TAB 5 MG</t>
  </si>
  <si>
    <t>ZOVIRAX INJ 50 MG / ML</t>
  </si>
  <si>
    <t>ZYPREXA ZYDIS TAB 15 MG</t>
  </si>
  <si>
    <t>THROMBOLYTIC KIT</t>
  </si>
  <si>
    <t>ZOVIRAX TAB 800 MG</t>
  </si>
  <si>
    <t>ZYPREXA INJ 10 MG</t>
  </si>
  <si>
    <t>TRANEXAMIC ACID 100MG/10ML INJ</t>
  </si>
  <si>
    <t>HYDROCORTISONE 2.5% CREAM 20GM</t>
  </si>
  <si>
    <t>NORMAL SALINE 50ML MINIBAG</t>
  </si>
  <si>
    <t>MAXZIDE 37.5/25 MG TAB</t>
  </si>
  <si>
    <t>FAZACLO ODT TAB 100 MG</t>
  </si>
  <si>
    <t>COUMADIN (PHARMACY CONSULT)</t>
  </si>
  <si>
    <t>LITHOBID TAB 300 MG</t>
  </si>
  <si>
    <t>ADENOCARD INJ 6 MG / 2 ML</t>
  </si>
  <si>
    <t>NORMAL SALINE 100ML MINIBAG</t>
  </si>
  <si>
    <t>ALBUMIN 25% INJ 50 ML</t>
  </si>
  <si>
    <t>MARCAINE 0.5% 50ML VIAL</t>
  </si>
  <si>
    <t>ADVAIR HFA MDI 45/21 MCG</t>
  </si>
  <si>
    <t>MARCAINE 0.5% WITH EPINEPH 50M</t>
  </si>
  <si>
    <t>NAROPIN 0.5% PF 20 ML AMP</t>
  </si>
  <si>
    <t>DUONEB 2.5-0.5 MG/3 ML SOLN UD</t>
  </si>
  <si>
    <t>XOPENEX HFA MDI 45 MCG / INH</t>
  </si>
  <si>
    <t>ALBUTEROL 17GM INHALER</t>
  </si>
  <si>
    <t>PROVENTIL HFA MDI 90 MCG / INH</t>
  </si>
  <si>
    <t>ADVAIR HFA MDI 115/21 MCG</t>
  </si>
  <si>
    <t>ADVAIR HFA MDI 230/21 MCG</t>
  </si>
  <si>
    <t xml:space="preserve">COMBIVENT RESPIMAT 100-20 MCG </t>
  </si>
  <si>
    <t>PROVENTIL TAB 2 MG</t>
  </si>
  <si>
    <t>LOTRIMIN 1% SOLN 10 ML</t>
  </si>
  <si>
    <t>SUBOXONE FILM 2MG-0.5MG</t>
  </si>
  <si>
    <t>HYDROCORTISONE TAB 5MG</t>
  </si>
  <si>
    <t>VIMPAT 150MG TAB</t>
  </si>
  <si>
    <t>VALIUM 2MG TAB</t>
  </si>
  <si>
    <t>DURAGESIC 12MCG PATCH</t>
  </si>
  <si>
    <t>PERCOCET 7.5MG/500MG TAB</t>
  </si>
  <si>
    <t>VENELEX OINT 60GM TUBE</t>
  </si>
  <si>
    <t>DICLOFENAC SOD OPHTH 0.1% 2.5M</t>
  </si>
  <si>
    <t>SUBOXONE 8MG/2MG FILM</t>
  </si>
  <si>
    <t>MIRALAX 17GM PKT</t>
  </si>
  <si>
    <t>ABELCET INJ 100MG/20ML</t>
  </si>
  <si>
    <t>OFIRMEV 1000MG/100ML VIAL</t>
  </si>
  <si>
    <t>GENTAMICIN OINT 0.1% 30GM TOPI</t>
  </si>
  <si>
    <t>CLINIMIX E 4.25/D5W  1000ML IN</t>
  </si>
  <si>
    <t>ISOPROPYL ALCOHOL 70% 480 ML</t>
  </si>
  <si>
    <t>CLINIMIX E 4.25/D10W 1000ML IN</t>
  </si>
  <si>
    <t>PROVENTIL 0.083% SOLN 2.5MG/3M</t>
  </si>
  <si>
    <t>AMICAR TAB 500MG</t>
  </si>
  <si>
    <t>ERYTHROCIN INJ 500 MG</t>
  </si>
  <si>
    <t>HYCODAN SYRP UD 5 ML</t>
  </si>
  <si>
    <t>KENALOG 40 MG/ML INJ 10 ML</t>
  </si>
  <si>
    <t>ZYLOPRIM TAB 100 MG</t>
  </si>
  <si>
    <t>ERAXIS 50MG INJ VIAL</t>
  </si>
  <si>
    <t>RID SPRAY 240 ML</t>
  </si>
  <si>
    <t>TYLENOL SOLN UD 650 MG/20.3ML</t>
  </si>
  <si>
    <t>ERAXIS 100MG INJ VIAL</t>
  </si>
  <si>
    <t>ZYLOPRIM TAB 300 MG</t>
  </si>
  <si>
    <t>XYLOCAIN / EPI 2% INJ 20 ML</t>
  </si>
  <si>
    <t>PREDNISONE TAB 1MG</t>
  </si>
  <si>
    <t>SEROQUEL XR 50MG TAB</t>
  </si>
  <si>
    <t>CARDIZEM INJ 25MG/5ML VIAL</t>
  </si>
  <si>
    <t>ANAFRANIL CAP 50MG</t>
  </si>
  <si>
    <t>CRANBERRY 450MG TAB</t>
  </si>
  <si>
    <t>CEFOXITIN 1 GM INJ</t>
  </si>
  <si>
    <t>LIDOCAINE 2% MPF 10ML</t>
  </si>
  <si>
    <t>VENLAFAXINE HCL 50MG</t>
  </si>
  <si>
    <t>TRICOR 145MG TAB</t>
  </si>
  <si>
    <t>DESMOPRESSIN ACETATE 0.2MG TAB</t>
  </si>
  <si>
    <t>S-2 2.25% SOLUTION 13.5MG/0.5M</t>
  </si>
  <si>
    <t>TYLENOL SOLN UD 160MG/5ML</t>
  </si>
  <si>
    <t>MAGNESIUM RIDER 2GM INJ</t>
  </si>
  <si>
    <t>ADDERALL XR 5MG CAP</t>
  </si>
  <si>
    <t>SAPHRIS 5MG SUBLING. TAB</t>
  </si>
  <si>
    <t>SAPHRIS 10MG SUBLING TAB</t>
  </si>
  <si>
    <t>XANAX TAB 0.25 MG</t>
  </si>
  <si>
    <t>VIMPAT 100MG TAB</t>
  </si>
  <si>
    <t>FENTANYL CIT/PF   1000 MCG/20</t>
  </si>
  <si>
    <t>HALDOL TAB 10MG</t>
  </si>
  <si>
    <t>XANAX TAB 0.5 MG</t>
  </si>
  <si>
    <t>XANAX TAB 1 MG</t>
  </si>
  <si>
    <t>CLINIMIX 5/20 SOLN 2000ML</t>
  </si>
  <si>
    <t>OXYCODONE IR 10MG TAB</t>
  </si>
  <si>
    <t>HEMORRHOIDAL RECTAL SUPPOSITOR</t>
  </si>
  <si>
    <t>MINIPRESS 1MG CAPSULE</t>
  </si>
  <si>
    <t>ZANTAC 50MG/2ML INJ VIAL</t>
  </si>
  <si>
    <t>PROTONIX 20MG TABLET</t>
  </si>
  <si>
    <t>SANTYL OINTMENT 30 GM</t>
  </si>
  <si>
    <t>TEKTURNA 300 MG TAB 300 MG</t>
  </si>
  <si>
    <t>TOBRAMYCIN 1.2GM PWDR VIAL</t>
  </si>
  <si>
    <t>INVEGA SUSTENA 117MG INJ</t>
  </si>
  <si>
    <t>PHENOBARBITAL 30MG/7.5ML ELIX</t>
  </si>
  <si>
    <t>OXYCODONE IR 5MG TAB</t>
  </si>
  <si>
    <t>XYLOCAINE/EPI 0.5% INJ 50ML</t>
  </si>
  <si>
    <t>EXPAREL 1.3% INJ 20ML</t>
  </si>
  <si>
    <t>INSULIN NOVOLG FLEXPEN 300U/3</t>
  </si>
  <si>
    <t>NOVOLOG 70/30 FLEXPEN SYG 300</t>
  </si>
  <si>
    <t>LEVEMIR FLEXPEN 300 UNITS/3 ML</t>
  </si>
  <si>
    <t>REVATIO 20MG TAB</t>
  </si>
  <si>
    <t>RYANODEX 250 MG INJ (DANTROLEN</t>
  </si>
  <si>
    <t>ADULT TRANSPORT BOX</t>
  </si>
  <si>
    <t>CYANIDE ANTIDOTE KIT</t>
  </si>
  <si>
    <t>CLINIMIX 4.25%/D5W 2000ML BAG</t>
  </si>
  <si>
    <t>FEMARA TAB 2.5 MG</t>
  </si>
  <si>
    <t>TOPROL XL TAB 25 MG</t>
  </si>
  <si>
    <t>NORMAL SALINE 3% HHN SOLN 15ML</t>
  </si>
  <si>
    <t>NORMAL SALINE 10% HHN SOLN 15M</t>
  </si>
  <si>
    <t>TRANSDERM-SCOP PATCH 1.5MG/72H</t>
  </si>
  <si>
    <t>SALAGEN TAB 5MG</t>
  </si>
  <si>
    <t>MYSOLINE TAB 50MG</t>
  </si>
  <si>
    <t>TRADJENTA 5MG TAB</t>
  </si>
  <si>
    <t>AMANTADINE CAP 100 MG</t>
  </si>
  <si>
    <t>AMIKIN INJ 1 GM / 4 ML</t>
  </si>
  <si>
    <t>NICORETTE GUM 2MG</t>
  </si>
  <si>
    <t>ARIXTRA 2.5MG/0.5ML INJ</t>
  </si>
  <si>
    <t>LEVEMIR FLEX TOUCH 300 UNIT/3M</t>
  </si>
  <si>
    <t>AMIKIN INJ 500 MG / 2 ML</t>
  </si>
  <si>
    <t>NAMENDA XR 7MG TAB</t>
  </si>
  <si>
    <t>NAMENDA XR 14MG TAB</t>
  </si>
  <si>
    <t>NAMENDA XR 21MG TAB</t>
  </si>
  <si>
    <t>NAMENDA XR 28MG TAB</t>
  </si>
  <si>
    <t>VANCOMYCIN 125MG CAPS</t>
  </si>
  <si>
    <t>CRESTOR TAB 20MG</t>
  </si>
  <si>
    <t>INFANT GAS RELIEF DROP 30ML</t>
  </si>
  <si>
    <t>KEPPRA INJ 500MG</t>
  </si>
  <si>
    <t>PRILOSEC CAP 40MG</t>
  </si>
  <si>
    <t>AMICAR INJ 250 MG</t>
  </si>
  <si>
    <t>SINEMET 25/100 CR TAB</t>
  </si>
  <si>
    <t>XARELTO 10MG TAB</t>
  </si>
  <si>
    <t>CORDARONE INJ 150 MG / 3 ML</t>
  </si>
  <si>
    <t>XARELTO 15MG TAB</t>
  </si>
  <si>
    <t>XARELTO 20MG TAB</t>
  </si>
  <si>
    <t>RAZADYNE TAB 4MG</t>
  </si>
  <si>
    <t>ROGAINE 2% SOLN</t>
  </si>
  <si>
    <t>SELSUN 1% SHAMPOO</t>
  </si>
  <si>
    <t>AMINOPHYLLINE 500MG INJ</t>
  </si>
  <si>
    <t>DEMEROL TAB 50MG</t>
  </si>
  <si>
    <t>STRATTERA CAP 60MG</t>
  </si>
  <si>
    <t>TEMOVATE 0.05% CRM</t>
  </si>
  <si>
    <t>TOBREX 0.3% OPTH SOLN 5ML</t>
  </si>
  <si>
    <t>CORDARONE TAB 200 MG</t>
  </si>
  <si>
    <t>XANAX TAB 2MG</t>
  </si>
  <si>
    <t>TEKTURNA 150MG</t>
  </si>
  <si>
    <t>EMETROL ORAL SOLN 120ML</t>
  </si>
  <si>
    <t>IMODIUM LIQ</t>
  </si>
  <si>
    <t>ELAVIL TAB 10 MG</t>
  </si>
  <si>
    <t>VIMPAT 200MG TAB</t>
  </si>
  <si>
    <t>GLUCOSE CHEW TAB</t>
  </si>
  <si>
    <t>RYTHMOL TAB 150MG</t>
  </si>
  <si>
    <t>ADDERALL 10MG TAB (GENERIC)</t>
  </si>
  <si>
    <t>VIMPAT 50MG TAB</t>
  </si>
  <si>
    <t>INTEGRILIN INJ 20MG/10ML</t>
  </si>
  <si>
    <t>ORAJEL 10% 7GMS</t>
  </si>
  <si>
    <t>FAZACLO 200MG TAB</t>
  </si>
  <si>
    <t>FERROUS GLUCONATE 325MG TAB</t>
  </si>
  <si>
    <t>ENTRESTO 24-26 MG TAB</t>
  </si>
  <si>
    <t>ENTRESTO 49-51MG TAB</t>
  </si>
  <si>
    <t>ATROVENT HFA MDI 17 MCG / INH</t>
  </si>
  <si>
    <t>ADACEL INJ</t>
  </si>
  <si>
    <t>TRIAVIL TAB 10/2MG</t>
  </si>
  <si>
    <t>MUCINEX TAB 600MG</t>
  </si>
  <si>
    <t>BUMEX INJ 2.5MG/10ML</t>
  </si>
  <si>
    <t>TRIAVIL TAB 10/4MG</t>
  </si>
  <si>
    <t>AMIODARONE BOLUS 150MG/100ML</t>
  </si>
  <si>
    <t>TRIAVIL TAB 25/2MG</t>
  </si>
  <si>
    <t>TRIAVIL TAB 25/4MG</t>
  </si>
  <si>
    <t>AMLACTIN 12% LOTION 240 ML</t>
  </si>
  <si>
    <t>ARICEPT ODT 10MG TAB</t>
  </si>
  <si>
    <t>NORVASC TAB 5 MG</t>
  </si>
  <si>
    <t>NORVASC TAB 10 MG</t>
  </si>
  <si>
    <t>AMMONIA INHALANT</t>
  </si>
  <si>
    <t>PROGRAF 1 MG CAP</t>
  </si>
  <si>
    <t>PROGRAF 0.5 MG CAP</t>
  </si>
  <si>
    <t>AMARYL TAB 2 MG</t>
  </si>
  <si>
    <t>ASPERCREME 10% 35.4 GM</t>
  </si>
  <si>
    <t>RETACRIT 10000 UNITS/ML INJ EP</t>
  </si>
  <si>
    <t>CREON DR 12000 CAP</t>
  </si>
  <si>
    <t>FENTANYL 0.05 MG/ML AMPUL</t>
  </si>
  <si>
    <t>HEPARIN INJ PFS 5000 UNITS</t>
  </si>
  <si>
    <t>AUGMENTIN 500-125 TAB</t>
  </si>
  <si>
    <t>LIDEX 0.05% SOLN</t>
  </si>
  <si>
    <t>NAMENDA TAB 5 MG</t>
  </si>
  <si>
    <t>LOVENOX PER PHARMACY</t>
  </si>
  <si>
    <t>LATUDA 40MG TAB</t>
  </si>
  <si>
    <t>ASPIRIN 300MG SUPPOSITORY</t>
  </si>
  <si>
    <t>NEOMYCIN OTIC SUSP. 10ML</t>
  </si>
  <si>
    <t>.5 NORMAL SALINE 1000ML +20MEQ</t>
  </si>
  <si>
    <t>AMOXIL CAP 250 MG</t>
  </si>
  <si>
    <t>LIDOCAINE (PF) 50MG/5ML 5ML</t>
  </si>
  <si>
    <t>MORPHINE 15MG/ML 20ML â€“ VIAL</t>
  </si>
  <si>
    <t>MAXIPIME 2GM VIAL</t>
  </si>
  <si>
    <t>AMOXIL 250MG/5ML SUSP 100 ML</t>
  </si>
  <si>
    <t>CEFOTAN 2GM VIAL</t>
  </si>
  <si>
    <t>CLOTRIMAZOLE 1% CRM 30GM TUBE</t>
  </si>
  <si>
    <t>DEXTROSE 25% INJ 10ML SYR</t>
  </si>
  <si>
    <t>AMOXIL CAP 500 MG</t>
  </si>
  <si>
    <t>LATUDA 80MG TAB</t>
  </si>
  <si>
    <t>TENEX 1MG TAB</t>
  </si>
  <si>
    <t>BUPIVACAINE (PF) 0.75% 30ML VI</t>
  </si>
  <si>
    <t>NEOSPORIN OINTMENT 30G</t>
  </si>
  <si>
    <t>NIZORAL  2% SOLUTION  120 ML</t>
  </si>
  <si>
    <t>TRILAFON 8 MG TAB</t>
  </si>
  <si>
    <t>REMERON   15MG TABLET</t>
  </si>
  <si>
    <t>RIVASTIGMINE  1.5MG CAPSULE</t>
  </si>
  <si>
    <t xml:space="preserve">GLYCOPYRROLATE   0.2MG/ML 1ML </t>
  </si>
  <si>
    <t>METHERGINE INJ 0.2MG/ML 1ML VI</t>
  </si>
  <si>
    <t>MURI-LUBE 10ML</t>
  </si>
  <si>
    <t>ROBINUL INJ 0.2MG/ML 2ML</t>
  </si>
  <si>
    <t>MIRAPEX 1MG TAB</t>
  </si>
  <si>
    <t>ERYTHROMYCIN-SULFISOXAZOLE 200</t>
  </si>
  <si>
    <t>LYRICA 50MG TAB</t>
  </si>
  <si>
    <t>ROCEPHIN INJ 2GM VIAL</t>
  </si>
  <si>
    <t>COAL TAR PC-TAR 180ML SHAMPOO</t>
  </si>
  <si>
    <t>DIOVAN 80MG TAB</t>
  </si>
  <si>
    <t>PERCOCET 7.5-325MG</t>
  </si>
  <si>
    <t>AMPICILLIN INJ 1 GM</t>
  </si>
  <si>
    <t>VANCOMYCIN INJ 750MG VIAL</t>
  </si>
  <si>
    <t>DANTRIUM CART</t>
  </si>
  <si>
    <t>ATORVASTATIN 10 MG TAB (GENERI</t>
  </si>
  <si>
    <t>ATORVASTATIN 40 MG TAB (GENERI</t>
  </si>
  <si>
    <t>FENOFIBRATE 54 MG TAB (GENERIC</t>
  </si>
  <si>
    <t>FENOFIBRATE 160 MG TAB (GENERI</t>
  </si>
  <si>
    <t>KENALOG 0.5% CREAM 30GM TUBE</t>
  </si>
  <si>
    <t>AMPICILLIN CAP 250 MG</t>
  </si>
  <si>
    <t>LYRICA 100MG TABLET</t>
  </si>
  <si>
    <t>INSULIN NOVOLOG 70/30, 1000 U/</t>
  </si>
  <si>
    <t>INSULIN LEVEMIR ,  1000 U/ 10M</t>
  </si>
  <si>
    <t>VITAMIN D3 1000IU TABLET</t>
  </si>
  <si>
    <t>MERREM 500MG INJ</t>
  </si>
  <si>
    <t>VITRASE SF 200U/ML 1.2ML OVINE</t>
  </si>
  <si>
    <t>ZOMETA 4MG/5ML INJ</t>
  </si>
  <si>
    <t>CYCLOGYL 1% OPTH SOLN 15 ML</t>
  </si>
  <si>
    <t>AMPICILLIN 2GM INJ</t>
  </si>
  <si>
    <t>LIDCAINE OPTH GL 3.5% 1ML PF</t>
  </si>
  <si>
    <t>PILOCARPINE 4% 15ML OPTH DRP</t>
  </si>
  <si>
    <t>PROVISC 10MG/ML 0.85ML</t>
  </si>
  <si>
    <t>XYLOCAINE/EPI 2%-0.0005% MPF 1</t>
  </si>
  <si>
    <t>SUDAFED PE COLD &amp; COUGH 5ML</t>
  </si>
  <si>
    <t>STRATTERA 10MG CAP</t>
  </si>
  <si>
    <t>LEXISCAN 0.4MG/5ML INJ</t>
  </si>
  <si>
    <t>EPIPEN JR AUTO INJECTOR 0.15MG</t>
  </si>
  <si>
    <t>HEPARIN 25000 UNITS-0.45%NS 50</t>
  </si>
  <si>
    <t>PROVIGLL 200MG TAB</t>
  </si>
  <si>
    <t>B &amp; O SUPPOSITORY 30MG</t>
  </si>
  <si>
    <t>B &amp; O SUPPOSITORY 60MG</t>
  </si>
  <si>
    <t>AK-FLUOR 10% 5ML OPTH SOL</t>
  </si>
  <si>
    <t>DIABETIC TUSSIN DM 10ML CUP</t>
  </si>
  <si>
    <t>UNASYN INJ 1.5 GM</t>
  </si>
  <si>
    <t>UNASYN INJ 3 GM</t>
  </si>
  <si>
    <t>GELFOAM 1GM PWDR</t>
  </si>
  <si>
    <t>MERREM 1000MG INJ</t>
  </si>
  <si>
    <t>INFLUENZA VAC - ST VINCENT IPA</t>
  </si>
  <si>
    <t>LYRICA 75MG CAP</t>
  </si>
  <si>
    <t>EFFEXOR TAB 75 MG</t>
  </si>
  <si>
    <t>SODIUM CHLORIDE TAB 1 GM</t>
  </si>
  <si>
    <t>GRANIX 300/0.5ML MCG INJ</t>
  </si>
  <si>
    <t>GRANIX 480/0.8ML MCG INJ</t>
  </si>
  <si>
    <t>AMYL NITRATE 0.3 ML</t>
  </si>
  <si>
    <t>VISCOAT 40-30MG/ML 0.5ML SYRIN</t>
  </si>
  <si>
    <t>BICILLIN LA SYRG 1.2 MU</t>
  </si>
  <si>
    <t>LATUDA 20MG TAB</t>
  </si>
  <si>
    <t>INSULIN NPH INJ 300 UNITS/3ML</t>
  </si>
  <si>
    <t>INSULIN REGULAR INJ 300 UNITS/</t>
  </si>
  <si>
    <t xml:space="preserve">INSULIN NPH-REG 70/30 MIX INJ </t>
  </si>
  <si>
    <t>STARLIX 60 MG TAB (NATEGLINIDE</t>
  </si>
  <si>
    <t>NESINA 6.25 MG TAB</t>
  </si>
  <si>
    <t>NESINA 12.5 MG TAB</t>
  </si>
  <si>
    <t>NESINA 25 MG TAB</t>
  </si>
  <si>
    <t>FOSFOMYCIN 3 GM PCKT</t>
  </si>
  <si>
    <t>AGGRENOX CAP</t>
  </si>
  <si>
    <t>AGRYLIN 0.5MG CAPSULE</t>
  </si>
  <si>
    <t>XARELTO TAB 2.5 MG</t>
  </si>
  <si>
    <t>NIVESTYM SYR 300 MCG</t>
  </si>
  <si>
    <t>NIVESTYM SYR 480 MCG</t>
  </si>
  <si>
    <t>SULINDAC 200 MG TAB</t>
  </si>
  <si>
    <t>PRECEDEX 200 MCG/50 ML INJ</t>
  </si>
  <si>
    <t>CHLORTHALIDONE 25 MG TAB</t>
  </si>
  <si>
    <t>ISOSULFAN BLUE1% 6ML</t>
  </si>
  <si>
    <t>LIDOCAINE 4% INJ 5ML</t>
  </si>
  <si>
    <t>ROBINUL 1 MG TAB</t>
  </si>
  <si>
    <t>ZANAFLEX 4MG TAB</t>
  </si>
  <si>
    <t>ACETAZOLAMIDE ER 500MG CAP</t>
  </si>
  <si>
    <t>URECHOLINE 10 MG TAB</t>
  </si>
  <si>
    <t>INH 100 MG TAB</t>
  </si>
  <si>
    <t>BETADINE 10% PREP PAD</t>
  </si>
  <si>
    <t>BETADINE 10% SWABSTICK</t>
  </si>
  <si>
    <t>PEPCID 10 MG TAB</t>
  </si>
  <si>
    <t>VANCOMYCIN 1500 MG / 300ML INJ</t>
  </si>
  <si>
    <t>VANCOMYCIN 1000MG/200ML INJ</t>
  </si>
  <si>
    <t>BENZOIN TINC 60 ML</t>
  </si>
  <si>
    <t>THEO-24 ER 100 MG CAP</t>
  </si>
  <si>
    <t>ESTRACES 0.5 MG TAB</t>
  </si>
  <si>
    <t>ANUSOL-HC 2.5% CRM 30 GM</t>
  </si>
  <si>
    <t>CLINDAMYCIN 600 MG/50ML PREMIX</t>
  </si>
  <si>
    <t>AZELASTINE 0.05% 6ML OPTH DROP</t>
  </si>
  <si>
    <t>ADODART 0.5 MG TAB</t>
  </si>
  <si>
    <t>TESSALON PERLE 100MG CAP</t>
  </si>
  <si>
    <t>DEPAKOTE SPRINKLES 125 NG CAO</t>
  </si>
  <si>
    <t>SOLU-MEDROL INJ 1000 MG</t>
  </si>
  <si>
    <t>AQUAPHOR OINT 1.75 OZ TUBE</t>
  </si>
  <si>
    <t>RETACRIT 2000 UNITS/ML INJ</t>
  </si>
  <si>
    <t>CALCIUM GLUC 1000 MG/50ML PB</t>
  </si>
  <si>
    <t>CALCIUM GLUC 2000 MG/100ML PB</t>
  </si>
  <si>
    <t>BREVIBLOC INJ 100 MG / 10 ML</t>
  </si>
  <si>
    <t>GENTAMICIN 120 MG/100 ML PB</t>
  </si>
  <si>
    <t>LEVOPHED 16 MG/250ML PB</t>
  </si>
  <si>
    <t>FOLIC ACID TAB 0.4 MG</t>
  </si>
  <si>
    <t>TOPROL XL TAB 100 MG</t>
  </si>
  <si>
    <t>VANCOMYCIN 1G/200ML FROZEN</t>
  </si>
  <si>
    <t>VANCOMYCIN 750MG/150 ML FROZEN</t>
  </si>
  <si>
    <t>CEFTRIAXONE 1GM/50ML FROZEN</t>
  </si>
  <si>
    <t>CEFTIAXONE 2GM/50ML FROZEN</t>
  </si>
  <si>
    <t>CEFEPIME 1GM/50ML FROZEN</t>
  </si>
  <si>
    <t>CEFEPIME 2GM/100ML FROZEN</t>
  </si>
  <si>
    <t>CEFAZOLIN 1GM/50ML FROZEN</t>
  </si>
  <si>
    <t>CEFAZOLIN 2GM/100ML FROZEN</t>
  </si>
  <si>
    <t>VANCOMYCIN 500 MG/100 ML PREMX</t>
  </si>
  <si>
    <t>VANCOMYCIN 1250 MG/250 ML PMX</t>
  </si>
  <si>
    <t>ASPIRIN TAB 325 MG</t>
  </si>
  <si>
    <t>SODIUM ACET INJ 400 MEQ/100ML</t>
  </si>
  <si>
    <t>ASPIRIN TAB 81 MG</t>
  </si>
  <si>
    <t>GLUCOSAMINE SULF 750 MG TAB</t>
  </si>
  <si>
    <t>ZERBAXA 1-0.5MG INJ VIAL</t>
  </si>
  <si>
    <t>VORICONZOLE 200 MG TAB</t>
  </si>
  <si>
    <t>ECOTRIN TAB 81 MG</t>
  </si>
  <si>
    <t>TAMIFLU GELCAP 30 MG</t>
  </si>
  <si>
    <t>KALETRA 100/25 TAB</t>
  </si>
  <si>
    <t>ACTEMRA 20ML/ML AML</t>
  </si>
  <si>
    <t>DIPRIVAN 1% INJ 500 MG/50ML</t>
  </si>
  <si>
    <t>ATRACURIUM 10 MG/ML INJ 10ML</t>
  </si>
  <si>
    <t>VANCOCIN INJ 1.25 GM</t>
  </si>
  <si>
    <t>REQUIP TAB 5 MG</t>
  </si>
  <si>
    <t>PREVNAR 13 INJ 0.5 ML</t>
  </si>
  <si>
    <t>LEVOPHED 8 MG/250ML PB</t>
  </si>
  <si>
    <t>ADDERALL XR CAP 30 MG</t>
  </si>
  <si>
    <t>PHENYLEPHRINE 50 MG/5ML INJ</t>
  </si>
  <si>
    <t>WIXELA INHUB INH 100 - 50MCG</t>
  </si>
  <si>
    <t>WIXELA INHUB INH 250 - 50MCG</t>
  </si>
  <si>
    <t>WIXELA INHUB INH 500-50MCG</t>
  </si>
  <si>
    <t>NEXIUM 40 MG GRANULES</t>
  </si>
  <si>
    <t>ATENOLOL 25MG TAB</t>
  </si>
  <si>
    <t>TENORMIN TAB 50 MG</t>
  </si>
  <si>
    <t>AUGMENTIN 875-125 TAB</t>
  </si>
  <si>
    <t>VIGAMOX OPTH DROP 0.5% 3ML</t>
  </si>
  <si>
    <t>ATIVAN INJ 2 MG / ML</t>
  </si>
  <si>
    <t>VANCOMYCIN 750 MG/150 ML PRMX</t>
  </si>
  <si>
    <t>MINIPRESS 5 MG CAPSULE</t>
  </si>
  <si>
    <t>INSULIN HUMALOG U-100</t>
  </si>
  <si>
    <t>LOTRISONE CRM 15 GM</t>
  </si>
  <si>
    <t>MAG SULF INJ RIDER 1GM/100ML</t>
  </si>
  <si>
    <t>MAGNESIUM SULF DRIP 4 GM/100 M</t>
  </si>
  <si>
    <t>FLOVENT DISKUS 100 MCG</t>
  </si>
  <si>
    <t>FLOVENT DISKUS 50 MCG</t>
  </si>
  <si>
    <t>FLOVENT DISKUS 250 MCG</t>
  </si>
  <si>
    <t>DEMEROL 50 MG / 5ML ORAL SOLU</t>
  </si>
  <si>
    <t>AMANTADINE 50 MG/5ML SOLU</t>
  </si>
  <si>
    <t>ATROPINE INJ 1 MG / ML</t>
  </si>
  <si>
    <t>ATROPINE INJ PFS 1 MG / 10 ML</t>
  </si>
  <si>
    <t>ABILIFY TAB 2 MG</t>
  </si>
  <si>
    <t>LATUDA 120MG TAB</t>
  </si>
  <si>
    <t>LATUDA 60MG TAB</t>
  </si>
  <si>
    <t>ATROPINE 1% O.S. 5ML</t>
  </si>
  <si>
    <t>ASMANEX TWST INH 220MCG</t>
  </si>
  <si>
    <t>MEROPENEM 1000 MG/50ML PREMIX</t>
  </si>
  <si>
    <t>ZONEGRAM 50 MG CAP</t>
  </si>
  <si>
    <t>ATROPINE INJ 0.4 MG / ML</t>
  </si>
  <si>
    <t>AMPHOCIN INJ 50 MG</t>
  </si>
  <si>
    <t>VESICARE 5 MG TAB</t>
  </si>
  <si>
    <t>FLECAINIDE 50 MG TAB</t>
  </si>
  <si>
    <t>CALCIPOTRIENE TOP SOL 0.005%</t>
  </si>
  <si>
    <t>CICLOPIROX TOP SOL 8%</t>
  </si>
  <si>
    <t>DETROL LA 4MG CAP</t>
  </si>
  <si>
    <t>FLUOROMETHOLONE DRP 0.1% SUSP</t>
  </si>
  <si>
    <t>GENTAMICIN 80 MG/100 ML PGBK</t>
  </si>
  <si>
    <t>GENTAMICIN 100 MG/100 ML PGBK</t>
  </si>
  <si>
    <t>AVITENE POWDER 1 GM</t>
  </si>
  <si>
    <t>DETROL LA 2MG CAP</t>
  </si>
  <si>
    <t>AVITENE SHEET 70MMX35MM</t>
  </si>
  <si>
    <t>D10W 500 ML</t>
  </si>
  <si>
    <t>SPIRIVA RESPIMAT 2.5 MCG INH</t>
  </si>
  <si>
    <t>ALDARA CREAM 5% PACKET</t>
  </si>
  <si>
    <t>DITROPAN XL 5 MG TAB</t>
  </si>
  <si>
    <t>VOLTAREN 0.1% DROP 5ML</t>
  </si>
  <si>
    <t>DDAVP 0.01% NASAL SPRAY</t>
  </si>
  <si>
    <t>KERYDIN 5% TOPICAL SOL</t>
  </si>
  <si>
    <t>ZITHROMAX INJ 500 MG</t>
  </si>
  <si>
    <t>AZACTAM INJ 1 GM</t>
  </si>
  <si>
    <t>ZITHROMAX TAB 250 MG</t>
  </si>
  <si>
    <t>BACITRACIN INJ 50000 UNITS</t>
  </si>
  <si>
    <t>CUBICIN 350 MG INJ</t>
  </si>
  <si>
    <t>VITAMIN D3 5000 UNIT TAB</t>
  </si>
  <si>
    <t>DAKIN'S SOLUTION 0.125%</t>
  </si>
  <si>
    <t>EUCERIN HEALING CREME</t>
  </si>
  <si>
    <t>BACITRACN 500U/GM OPT OINT 3.5</t>
  </si>
  <si>
    <t>BACITRACIN TOP OINT 30 GM</t>
  </si>
  <si>
    <t>KETOTIFEN FUM 0.25% OPTH DRP</t>
  </si>
  <si>
    <t>DOPAMINE DRIP 800 MG/500 ML</t>
  </si>
  <si>
    <t>PRESERVISION AREDS 2</t>
  </si>
  <si>
    <t>RETACRIT 40000 UNITS/ML INJ</t>
  </si>
  <si>
    <t>BUPRENORPHINE TAB 8MG</t>
  </si>
  <si>
    <t>D5 1/2NS W/KCL 10MEQ 1000 ML</t>
  </si>
  <si>
    <t>HYOSCYAMINE SULFATE 0.125 MG</t>
  </si>
  <si>
    <t>LIORESAL TAB 10 MG</t>
  </si>
  <si>
    <t>ERYTHROMYCIN 200 MG/ 5 ML SUSP</t>
  </si>
  <si>
    <t>ANCEF 2 GM INJ</t>
  </si>
  <si>
    <t>FOSAMAX 35 MG TAB</t>
  </si>
  <si>
    <t>ISOSORBIDE MONONITR 20MG TAB</t>
  </si>
  <si>
    <t>CEFUROXIME SOD 750 MG INJ</t>
  </si>
  <si>
    <t>BACITRACIN TOP OINT UD 0.9 GM</t>
  </si>
  <si>
    <t>ROCALTROL 0.25 MCG SOLU ORAL</t>
  </si>
  <si>
    <t>MICARDIS 20 MG TAB</t>
  </si>
  <si>
    <t>ALLEGRA TAB 24HR 180 MG</t>
  </si>
  <si>
    <t>ADDERALL XR 15 MG CP24</t>
  </si>
  <si>
    <t>B-12 TAB 1000 MCG</t>
  </si>
  <si>
    <t>SONATA 5 MG CAP (ZALEPLON)</t>
  </si>
  <si>
    <t>KERENDIA TAB 10 MG</t>
  </si>
  <si>
    <t>MYCOLOG II CRM 15 GM</t>
  </si>
  <si>
    <t>JARDIANCE TAB 25 MG</t>
  </si>
  <si>
    <t>EFFERDENT TABLET</t>
  </si>
  <si>
    <t>FENTANYL CIT/PF 50 MCG/ML</t>
  </si>
  <si>
    <t>PROZAC 10 MG TABLET</t>
  </si>
  <si>
    <t>FELODIPINE 5 MG TABLET</t>
  </si>
  <si>
    <t>MESALAMINE 1000 MG SUPP</t>
  </si>
  <si>
    <t>JARDIANCE TAB 10 MG</t>
  </si>
  <si>
    <t>DONNATAL TAB</t>
  </si>
  <si>
    <t>LOTENSIN TAB 10 MG</t>
  </si>
  <si>
    <t>LOTENSIN TAB 20 MG</t>
  </si>
  <si>
    <t>COGENTIN TAB 1 MG</t>
  </si>
  <si>
    <t>COGENTIN INJ 2 MG / 2 ML</t>
  </si>
  <si>
    <t>COGENTIN TAB 2 MG</t>
  </si>
  <si>
    <t>DIPROSONE 0.05% CRM 15 GM</t>
  </si>
  <si>
    <t>BETASEPT 4% SURGICAL SCRUB</t>
  </si>
  <si>
    <t>BETOPTIC 0.2% OPTH SOLN 5 ML</t>
  </si>
  <si>
    <t>VACCINE ADMINISTRATION</t>
  </si>
  <si>
    <t>BICALUTAMIDE 50MG TAB</t>
  </si>
  <si>
    <t>BICILLIN LA SYRG 600000 U/ML</t>
  </si>
  <si>
    <t>DULCOLAX SUPP 10 MG</t>
  </si>
  <si>
    <t>INTEGRILIN 75MG/100ML INJ</t>
  </si>
  <si>
    <t>ALPHAGAN 0.2% OPTH SOL 5 ML</t>
  </si>
  <si>
    <t>BROMOCRIPTINE 2.5MG TAB</t>
  </si>
  <si>
    <t>BSS IRRIG SOLN 15 ML</t>
  </si>
  <si>
    <t>BSS IRRIG SOLN 500 ML</t>
  </si>
  <si>
    <t>BUMEX INJ 1 MG / 4 ML</t>
  </si>
  <si>
    <t>BUMEX TAB 1 MG</t>
  </si>
  <si>
    <t>MARCAINE 0.25% INJ 30 ML</t>
  </si>
  <si>
    <t>MARCAINE 0.5% INJ 30 ML</t>
  </si>
  <si>
    <t>MARCAINE 0.75% INJ 10 ML</t>
  </si>
  <si>
    <t>MARCAINE W/EPI 0.5% INJ 10 ML</t>
  </si>
  <si>
    <t>MYCOBUTIN CAP 150 MG</t>
  </si>
  <si>
    <t>MARCAINE W/EPI 0.25% INJ 30 ML</t>
  </si>
  <si>
    <t>CLARITIN TAB 10 MG</t>
  </si>
  <si>
    <t>NIX 1% LOTION 60 ML</t>
  </si>
  <si>
    <t>MARCAINE W/EPI 0.75% INJ 30 ML</t>
  </si>
  <si>
    <t>WELLBUTRIN SR TAB 100 MG</t>
  </si>
  <si>
    <t>WELLBUTRIN TAB 100 MG</t>
  </si>
  <si>
    <t>WELLBUTRIN SR TAB 150 MG</t>
  </si>
  <si>
    <t>BUSPAR TAB 5 MG</t>
  </si>
  <si>
    <t>BUSPAR TAB 10 MG</t>
  </si>
  <si>
    <t>CLEOCIN T GEL 1% 30 GM</t>
  </si>
  <si>
    <t>CLEOCIN 1% TOP LOTION 60 ML</t>
  </si>
  <si>
    <t>0.9NS IRRIGATION, 1000ML</t>
  </si>
  <si>
    <t>LACTOBACILLUS ACIDOPHILUS CAP</t>
  </si>
  <si>
    <t>LYRICA 150MG CAPSULE</t>
  </si>
  <si>
    <t>SENSORCAINE/DEXT 0.75% INJ 2 M</t>
  </si>
  <si>
    <t>CALCIJEX INJ 0.25 MCG</t>
  </si>
  <si>
    <t>MIACALCIN INJ 400 UNITS/2 ML</t>
  </si>
  <si>
    <t>ROCALTROL CAP 0.25 MCG</t>
  </si>
  <si>
    <t>TUMS TAB 500 MG</t>
  </si>
  <si>
    <t>CALCIUM CL 10% INJ 13.6MEQ/10M</t>
  </si>
  <si>
    <t>CALCIUM CL 10% INJ PFS 10 ML</t>
  </si>
  <si>
    <t>CALMOSEPTINE OINT</t>
  </si>
  <si>
    <t>CALC GLUC 10% INJ 4.65MEQ/10ML</t>
  </si>
  <si>
    <t>CANDIN SKIN TEST</t>
  </si>
  <si>
    <t>CAPOTEN TAB 12.5 MG</t>
  </si>
  <si>
    <t>CAPOTEN TAB 25 MG</t>
  </si>
  <si>
    <t>CYTOMEL - 25MCG</t>
  </si>
  <si>
    <t>TEGRETOL CHEWABLE TAB 100 MG</t>
  </si>
  <si>
    <t>TEGRETOL TAB 200 MG</t>
  </si>
  <si>
    <t>CYTOMEL -5MCG TAB</t>
  </si>
  <si>
    <t>SINEMET TAB 10/100MG</t>
  </si>
  <si>
    <t>SINEMET TAB 25/100MG</t>
  </si>
  <si>
    <t>SINEMET 25/250MG TAB</t>
  </si>
  <si>
    <t>CARDIZEM CD CAP 120 MG</t>
  </si>
  <si>
    <t>CARDIZEM CD CAP 180 MG</t>
  </si>
  <si>
    <t>CELEXA TAB 10 MG</t>
  </si>
  <si>
    <t>SOMA TAB 350 MG</t>
  </si>
  <si>
    <t>COREG TAB 12.5 MG</t>
  </si>
  <si>
    <t>COREG TAB 6.25 MG</t>
  </si>
  <si>
    <t>COREG TAB 3.125 MG</t>
  </si>
  <si>
    <t>DEPAKENE SYRP UD 500 MG / 10 M</t>
  </si>
  <si>
    <t>CANCIDAS INJ 70 MG</t>
  </si>
  <si>
    <t>CANCIDAS INJ 50 MG</t>
  </si>
  <si>
    <t>CATHFLO ACTIVASE 2 MG</t>
  </si>
  <si>
    <t>ANCEF INJ 1 G</t>
  </si>
  <si>
    <t>ARIMIDEX TAB 1MG</t>
  </si>
  <si>
    <t>MAXIPIME INJ 1 GM</t>
  </si>
  <si>
    <t>CEFOTAN INJ 1 GM</t>
  </si>
  <si>
    <t>DULCOLAX TAB 5 MG</t>
  </si>
  <si>
    <t>FORTAZ INJ 1 GM</t>
  </si>
  <si>
    <t>ROCEPHIN INJ 1 GM</t>
  </si>
  <si>
    <t>ECOTRIN TAB 325 MG</t>
  </si>
  <si>
    <t>CELEBREX CAP 200 MG</t>
  </si>
  <si>
    <t>TOPAMAX TAB 100 MG</t>
  </si>
  <si>
    <t>TOPAMAX TAB 50 MG</t>
  </si>
  <si>
    <t>CELEBREX CAP 100 MG</t>
  </si>
  <si>
    <t>CEPACOL SPRAY 4 OZ</t>
  </si>
  <si>
    <t>CELEXA TAB 40 MG</t>
  </si>
  <si>
    <t>CELESTONE SOLUSPAN 6 MG / ML</t>
  </si>
  <si>
    <t>CEPACOL LOZENGE</t>
  </si>
  <si>
    <t>KEFLEX CAP 250 MG</t>
  </si>
  <si>
    <t>KEFLEX 250MG/5ML SUSP 100 ML</t>
  </si>
  <si>
    <t>KEFLEX CAP 500 MG</t>
  </si>
  <si>
    <t>ELAVIL TAB 25 MG</t>
  </si>
  <si>
    <t>ELAVIL TAB 50 MG</t>
  </si>
  <si>
    <t>TETRACAINE 0.5% OPTH SOLN 15 M</t>
  </si>
  <si>
    <t>NEURONTIN CAP 400 MG</t>
  </si>
  <si>
    <t>NEURONTIN TAB 600 MG</t>
  </si>
  <si>
    <t>NOCTEC UD 500 MG / 5 ML</t>
  </si>
  <si>
    <t>VASOTEC TAB 20 MG</t>
  </si>
  <si>
    <t>LIBRIUM CAP 10 MG</t>
  </si>
  <si>
    <t>LIBRIUM CAP 25 MG</t>
  </si>
  <si>
    <t>ERYTHROMYCIN GEL 2% 30 GM</t>
  </si>
  <si>
    <t>ERYTHROMYCIN FILMTAB 500 MG</t>
  </si>
  <si>
    <t>ESKALITH CR TAB 450 MG</t>
  </si>
  <si>
    <t>THORAZINE TAB 25 MG</t>
  </si>
  <si>
    <t>THORAZINE TAB 50 MG</t>
  </si>
  <si>
    <t>THORAZINE TAB 100 MG</t>
  </si>
  <si>
    <t>QUESTRAN PACKET 4 GM</t>
  </si>
  <si>
    <t>CIPRO TAB 250 MG</t>
  </si>
  <si>
    <t>CIPRO TAB 500 MG</t>
  </si>
  <si>
    <t>CILOXAN 0.3% OPHTH SOLN 2.5 ML</t>
  </si>
  <si>
    <t>CELEXA TAB 20 MG</t>
  </si>
  <si>
    <t>BIAXIN TAB 250 MG</t>
  </si>
  <si>
    <t>BIAXIN TAB 500 MG</t>
  </si>
  <si>
    <t>CLEOCIN CAP 150 MG</t>
  </si>
  <si>
    <t>CLEOCIN INJ 600 MG / 4 ML</t>
  </si>
  <si>
    <t>ANAFRANIL CAP 25 MG</t>
  </si>
  <si>
    <t>KLONOPIN TAB 0.5 MG</t>
  </si>
  <si>
    <t>CATAPRES-TTS-1 PATCH 0.1 MG</t>
  </si>
  <si>
    <t>KLONOPIN TAB 2 MG</t>
  </si>
  <si>
    <t>CATAPRES TAB 0.1 MG</t>
  </si>
  <si>
    <t>CATAPRES-TTS-2 PATCH 0.2 MG</t>
  </si>
  <si>
    <t>KLONOPIN TAB 1 MG</t>
  </si>
  <si>
    <t>CATAPRES TAB 0.2 MG</t>
  </si>
  <si>
    <t>CATAPRES-TTS-3 PATCH 0.3 MG</t>
  </si>
  <si>
    <t>BENADRYL 2% CRM 30 G</t>
  </si>
  <si>
    <t>LOTRIMIN 1% CRM 15 GM</t>
  </si>
  <si>
    <t>CLOZARIL MONITOR</t>
  </si>
  <si>
    <t>CLOZARIL TAB 25 MG</t>
  </si>
  <si>
    <t>CLOZARIL TAB 100 MG</t>
  </si>
  <si>
    <t>COCAINE 10% SOLN 4 ML</t>
  </si>
  <si>
    <t>TYLENOL #3 TAB</t>
  </si>
  <si>
    <t>TYLENOL W /COD ELIXIR UD 5ML</t>
  </si>
  <si>
    <t>PHENERGAN W/COD SYRP 5 ML</t>
  </si>
  <si>
    <t>COLCHICINE TAB 0.6 MG</t>
  </si>
  <si>
    <t>COUMADIN TAB 1 MG</t>
  </si>
  <si>
    <t>CORTROSYN INJ 0.25 MG / ML</t>
  </si>
  <si>
    <t>COZAAR TAB 25 MG</t>
  </si>
  <si>
    <t>CROMOLYN 4% OPHTH SOLN 10 ML</t>
  </si>
  <si>
    <t>CUBICIN 500MG VIAL</t>
  </si>
  <si>
    <t>VITAMIN B12 INJ 1000 MCG</t>
  </si>
  <si>
    <t>VITAMIN B12 TAB 100 MCG</t>
  </si>
  <si>
    <t>FLEXERIL TAB 10 MG</t>
  </si>
  <si>
    <t>CYCLOGYL 1% OPTH SOLN 2 ML</t>
  </si>
  <si>
    <t>CYSTO-CONRAY II 17.2% 250 ML</t>
  </si>
  <si>
    <t>PERIACTIN 4MG TABLET</t>
  </si>
  <si>
    <t>DAKIN'S 0.5% SOLN 480 ML</t>
  </si>
  <si>
    <t>DAKIN'S 0.25% SOLN 480 ML</t>
  </si>
  <si>
    <t>DIABETIC TUSSIN DM 5ML</t>
  </si>
  <si>
    <t>LANOXIN UD SOLN 0.25MG/5ML</t>
  </si>
  <si>
    <t>CARDIZEM CD CAP 90 MG</t>
  </si>
  <si>
    <t>DEPAKOTE TAB 500 MG</t>
  </si>
  <si>
    <t>DOBUTAMINE STRESS ECHO KIT</t>
  </si>
  <si>
    <t>LANOXIN UD SOLN 0.125MG/2.5ML</t>
  </si>
  <si>
    <t>DANTRIUM CAP 25 MG</t>
  </si>
  <si>
    <t>DANTRIUM INJ 20 MG</t>
  </si>
  <si>
    <t>DESFERAL INJ 500 MG</t>
  </si>
  <si>
    <t>DECLOMYCIN TAB 150 MG</t>
  </si>
  <si>
    <t>DEPO-MEDROL INJ 40 MG</t>
  </si>
  <si>
    <t>DEPO-MEDROL INJ 80 MG</t>
  </si>
  <si>
    <t>DEPO-PROVERA 150 MG / ML</t>
  </si>
  <si>
    <t>NORPRAMINE 25MG TAB</t>
  </si>
  <si>
    <t>NORPRAMINE 50MG TAB</t>
  </si>
  <si>
    <t>DDAVP INJ 40 MCG / 10 ML</t>
  </si>
  <si>
    <t>DECADRON 0.1% OPTH SOLN 5 ML</t>
  </si>
  <si>
    <t>DECADRON TAB 4 MG</t>
  </si>
  <si>
    <t>DECADRON INJ 4 MG / ML</t>
  </si>
  <si>
    <t>DECADRON SOLN 0.5 MG / 5 ML</t>
  </si>
  <si>
    <t>D50W INJ PFS 50 ML</t>
  </si>
  <si>
    <t>D50W INJ 50 ML</t>
  </si>
  <si>
    <t>DIAMOX INJ 500 MG / 10 ML</t>
  </si>
  <si>
    <t>VALIUM TAB 5 MG</t>
  </si>
  <si>
    <t>VALIUM INJ 10 MG / 2 ML</t>
  </si>
  <si>
    <t>VOLTAREN TAB 25 MG</t>
  </si>
  <si>
    <t>VOLTAREN TAB 75 MG</t>
  </si>
  <si>
    <t>DICLOXACILLIN 250MG CAP</t>
  </si>
  <si>
    <t>DICLOXACILLIN 500MG CAP</t>
  </si>
  <si>
    <t>BENTYL CAP 10 MG</t>
  </si>
  <si>
    <t>BENTYL CAP 20 MG</t>
  </si>
  <si>
    <t>BENTYL INJ 10 MG</t>
  </si>
  <si>
    <t>LOXITANE CAP 5MG</t>
  </si>
  <si>
    <t>LANOXIN TAB 0.125 MG</t>
  </si>
  <si>
    <t>LANOXIN TAB 0.25 MG</t>
  </si>
  <si>
    <t>DIGIBIND INJ 40 MG</t>
  </si>
  <si>
    <t>LANOXIN INJ 0.5 MG/2 ML</t>
  </si>
  <si>
    <t>CARDIZEM TAB 30 MG</t>
  </si>
  <si>
    <t>MELLARIL - 10MG TAB</t>
  </si>
  <si>
    <t>CARDIZEM TAB 60 MG</t>
  </si>
  <si>
    <t>CARDIZEM CD CAP 240 MG</t>
  </si>
  <si>
    <t>CARDIZEM TAB 90 MG</t>
  </si>
  <si>
    <t>BENADRYL CAP 25 MG</t>
  </si>
  <si>
    <t>BENADRYL CAP 50 MG</t>
  </si>
  <si>
    <t>BENADRYL INJ 50 MG / 1 ML</t>
  </si>
  <si>
    <t>CALAMINE LOTION 180 ML</t>
  </si>
  <si>
    <t>LOMOTIL TAB</t>
  </si>
  <si>
    <t>DIPRIVAN 1% INJ 200 MG / 20 ML</t>
  </si>
  <si>
    <t>DEPAKOTE TAB 250 MG</t>
  </si>
  <si>
    <t>DEPAKOTE TAB 125 MG</t>
  </si>
  <si>
    <t>DEPAKOTE ER TAB 500 MG</t>
  </si>
  <si>
    <t>DEPAKENE SYRP UD 250 MG / 5 ML</t>
  </si>
  <si>
    <t>DEPAKOTE ER TAB 250 MG</t>
  </si>
  <si>
    <t>DOBUTAMINE INJ 250 MG</t>
  </si>
  <si>
    <t>DOBUTAMINE DRIP 250 MG/250 ML</t>
  </si>
  <si>
    <t>COLACE CAP 100 MG</t>
  </si>
  <si>
    <t>COLACE LIQ UD 100 MG / 10 ML</t>
  </si>
  <si>
    <t>DONNATAL ELIXIR UD 10 ML</t>
  </si>
  <si>
    <t>COLACE CAP 250 MG</t>
  </si>
  <si>
    <t>ARICEPT TAB 5 MG</t>
  </si>
  <si>
    <t>TRUSOPT 2% OPTH SOLN 10 ML</t>
  </si>
  <si>
    <t>CARDURA TAB 2 MG</t>
  </si>
  <si>
    <t>CARDURA TAB 4 MG</t>
  </si>
  <si>
    <t>MARINOL 2.5MG CAP</t>
  </si>
  <si>
    <t>DOPAMINE INJ 400 MG</t>
  </si>
  <si>
    <t>DURAGESIC PATCH 25 MCG</t>
  </si>
  <si>
    <t>DURAGESIC PATCH 50 MCG</t>
  </si>
  <si>
    <t>DURAGESIC PATCH 75 MCG</t>
  </si>
  <si>
    <t>DOPAMINE DRIP 400 MG / 250 ML</t>
  </si>
  <si>
    <t>DOPAMINE INJ 40 MG / ML</t>
  </si>
  <si>
    <t>DOPRAM INJ 20 MG / ML</t>
  </si>
  <si>
    <t>SINEQUAN CAP 10 MG</t>
  </si>
  <si>
    <t>SINEQUAN CAP 25 MG</t>
  </si>
  <si>
    <t>SINEQUAN CAP 50 MG</t>
  </si>
  <si>
    <t>VIBRAMYCIN INJ 100 MG</t>
  </si>
  <si>
    <t>DURAMORPH PF INJ 10 MG / 10 ML</t>
  </si>
  <si>
    <t>DURAGESIC PATCH 100 MCG</t>
  </si>
  <si>
    <t>SPECTAZOLE 1% CRM</t>
  </si>
  <si>
    <t>EFFEXOR XR CAP 150 MG</t>
  </si>
  <si>
    <t>ELIMITE 5% CRM 60 GM</t>
  </si>
  <si>
    <t>LOVENOX INJ 60 MG</t>
  </si>
  <si>
    <t>LOVENOX INJ 80 MG</t>
  </si>
  <si>
    <t>GOLYTELY SOLN 4000 ML</t>
  </si>
  <si>
    <t>VASOTEC TAB 10 MG</t>
  </si>
  <si>
    <t>ELIXOPHYLLIN ELIXIR 80 MG/15 M</t>
  </si>
  <si>
    <t>VASOTEC TAB 5 MG</t>
  </si>
  <si>
    <t>EPHEDRINE INJ 50MG/ML</t>
  </si>
  <si>
    <t>EPIPEN AUTO-INJECTOR 0.3 MG</t>
  </si>
  <si>
    <t>EPINEPHRINE INJ 1MG/ML 30 ML</t>
  </si>
  <si>
    <t>EPINEPHRINE INJ 1BMG/ML</t>
  </si>
  <si>
    <t>EPINEPHRINE INJ PFS 1 MG/10 ML</t>
  </si>
  <si>
    <t>ERYTHROMYCIN OPTH OINT 3.5 G</t>
  </si>
  <si>
    <t>PREMARIN TAB 0.625 MG</t>
  </si>
  <si>
    <t>ETHYL CHLORIDE SPRAY 104 ML</t>
  </si>
  <si>
    <t>EYE WASH IRRIGATING SOLN 120 M</t>
  </si>
  <si>
    <t>PEPCID INJ 20 MG / 2 ML</t>
  </si>
  <si>
    <t>FINGER STICK BLOOD SUGAR</t>
  </si>
  <si>
    <t>FLOVENT HFA MDI 110 MCG / INH</t>
  </si>
  <si>
    <t>FLOVENT HFA MDI 220 MCG / INH</t>
  </si>
  <si>
    <t>LIDEX 0.05% CRM 15 GM</t>
  </si>
  <si>
    <t>PEPCID TAB 20 MG</t>
  </si>
  <si>
    <t>PROLIXIN DECONATE 25 MG/ML</t>
  </si>
  <si>
    <t>EULEXIN CAP 125 MG</t>
  </si>
  <si>
    <t>FLOVENT HFA MDI 44 MCG / INH</t>
  </si>
  <si>
    <t>FLONASE 0.05% SPRAY 16 GM</t>
  </si>
  <si>
    <t>FOSAMAX TAB 10 MG</t>
  </si>
  <si>
    <t>FOSAMAX 70MG TABLET</t>
  </si>
  <si>
    <t>FENTANYL INJ 0.1 MG / 2 ML</t>
  </si>
  <si>
    <t>FEOSOL LIQ UD 300 MG / 5 ML</t>
  </si>
  <si>
    <t>FEOSOL TAB 325 MG</t>
  </si>
  <si>
    <t>ELAVIL TAB 100 MG</t>
  </si>
  <si>
    <t>NEUPOGEN INJ 300 MCG</t>
  </si>
  <si>
    <t>NEUPOGEN INJ 480 MCG</t>
  </si>
  <si>
    <t>FISH OIL SOFTGEL 1000 MG</t>
  </si>
  <si>
    <t>FIXODENT DENTURE CREAM</t>
  </si>
  <si>
    <t>FLEET PHOSPHO SODA 45 ML</t>
  </si>
  <si>
    <t>DIFLUCAN TAB 100 MG</t>
  </si>
  <si>
    <t>DIFLUCAN TAB 200 MG</t>
  </si>
  <si>
    <t>DIFLUCAN INJ 200 MG / 100 ML</t>
  </si>
  <si>
    <t>PENICILLIN VK TAB 500 MG</t>
  </si>
  <si>
    <t>DIFLUCAN INJ 400 MG / 200 ML</t>
  </si>
  <si>
    <t>FLORINEF TAB 0.1 MG</t>
  </si>
  <si>
    <t>ROMAZICON INJ 0.5 MG / 5 ML</t>
  </si>
  <si>
    <t>SYNALAR 0.01% CRM 15 GM</t>
  </si>
  <si>
    <t>PROZAC CAP 20 MG</t>
  </si>
  <si>
    <t>DALMANE CAPSULE 15 MG</t>
  </si>
  <si>
    <t>ANSAID 0.03% OPTH SOLN 2.5 ML</t>
  </si>
  <si>
    <t>FOLIC ACID TAB 1 MG</t>
  </si>
  <si>
    <t>FOLIC ACID INJ 5 MG / ML</t>
  </si>
  <si>
    <t>LASIX INJ 100 MG / 10 ML</t>
  </si>
  <si>
    <t>FUROSEMIDE 20MG INJ</t>
  </si>
  <si>
    <t>LASIX TAB 20 MG</t>
  </si>
  <si>
    <t>LASIX TAB 40 MG</t>
  </si>
  <si>
    <t>LASIX SOLN 40 MG / 5 ML</t>
  </si>
  <si>
    <t>LASIX INJ 40 MG / 4 ML</t>
  </si>
  <si>
    <t>PREMARIN TAB 1.25 MG</t>
  </si>
  <si>
    <t>GENTAMICIN (PHARMACY CONSULT)</t>
  </si>
  <si>
    <t>GELFOAM 7MM</t>
  </si>
  <si>
    <t>ROBITUSSIN SOLN UD 100MG/5ML</t>
  </si>
  <si>
    <t>GELFOAM SPONGE SIZE 100</t>
  </si>
  <si>
    <t>LOPID TAB 600 MG</t>
  </si>
  <si>
    <t>GRANULEX SPRAY 4 OZ</t>
  </si>
  <si>
    <t>GARAMYCIN INJ 80 MG / 2 ML</t>
  </si>
  <si>
    <t>GARAMYCIN 0.3% OPTH OINT 3.5 G</t>
  </si>
  <si>
    <t>GARAMYCIN 0.3% OPTH SOLN 5 ML</t>
  </si>
  <si>
    <t>GLUCOTROL TAB 10 MG</t>
  </si>
  <si>
    <t>GEODON INJ 20 MG / ML</t>
  </si>
  <si>
    <t>GEODON CAP 80 MG</t>
  </si>
  <si>
    <t>GLUCAGON KIT 1 MG / ML</t>
  </si>
  <si>
    <t>GLUCOPHAGE TAB 1000 MG</t>
  </si>
  <si>
    <t>DIABETA TAB 2.5 MG</t>
  </si>
  <si>
    <t>DIABETA TAB 5 MG</t>
  </si>
  <si>
    <t>GLYCERIN SUPP</t>
  </si>
  <si>
    <t>PROLIXIN TAB 5 MG</t>
  </si>
  <si>
    <t>ROBITUSSIN AC SYRP 5 ML</t>
  </si>
  <si>
    <t>ROBITUSSIN DM SYRP UD 10 ML</t>
  </si>
  <si>
    <t>HALDOL DEC INJ 50 MG/ ML</t>
  </si>
  <si>
    <t>HEPARIN (PHARMACY CONSULT)</t>
  </si>
  <si>
    <t>HYDROCORTISONE 2.5% OINT 20GM</t>
  </si>
  <si>
    <t>HALDOL TAB 1 MG</t>
  </si>
  <si>
    <t>DILAUDID TAB 2 MG</t>
  </si>
  <si>
    <t>DILAUDID PCA INJ 10 MG / 50 ML</t>
  </si>
  <si>
    <t>HALDOL CONC UD 5 MG/2.5 ML</t>
  </si>
  <si>
    <t>HALDOL DEC INJ 100 MG/ML</t>
  </si>
  <si>
    <t>HALDOL TAB 2 MG</t>
  </si>
  <si>
    <t>HALDOL INJ 5 MG/1 ML</t>
  </si>
  <si>
    <t>HALDOL TAB 5 MG</t>
  </si>
  <si>
    <t>DYAZIDE 25/37.5MG CAP</t>
  </si>
  <si>
    <t>DYAZIDE 25/50MG CAP</t>
  </si>
  <si>
    <t>HEPALEAN INJ 1000 UNITS/ML</t>
  </si>
  <si>
    <t>HEPATITIS B VACCINE INJ 20 MCG</t>
  </si>
  <si>
    <t>HEP-LOCK INJ 100 UNITS/ML</t>
  </si>
  <si>
    <t>HESPAN 6% INJ 500 ML</t>
  </si>
  <si>
    <t>HURICAINE SPRAY</t>
  </si>
  <si>
    <t>APRESOLINE TAB 10 MG</t>
  </si>
  <si>
    <t>APRESOLINE INJ 20 MG</t>
  </si>
  <si>
    <t>RISPERDAL M-TAB 3 MG</t>
  </si>
  <si>
    <t>APRESOLINE TAB 25 MG</t>
  </si>
  <si>
    <t>APRESOLINE TAB 50 MG</t>
  </si>
  <si>
    <t>HCTZ TAB 25 MG</t>
  </si>
  <si>
    <t>HYDROCORTISONE ENEMA 100MG/60M</t>
  </si>
  <si>
    <t>HYDROCORTISONE 1% CRM 30 GM</t>
  </si>
  <si>
    <t>HYDROCORTISONE S.S. 250MG INJ</t>
  </si>
  <si>
    <t>HYDROGEN PEROXIDE 3% SOLN 480M</t>
  </si>
  <si>
    <t>DILAUDID INJ 2 MG / ML</t>
  </si>
  <si>
    <t>DILAUDID INJ 4 MG / ML</t>
  </si>
  <si>
    <t>ATARAX TAB 10 MG</t>
  </si>
  <si>
    <t>ATARAX TAB 25 MG</t>
  </si>
  <si>
    <t>VISTARIL INJ 25 MG / ML</t>
  </si>
  <si>
    <t>ATARAX TAB 50 MG</t>
  </si>
  <si>
    <t>ATARAX INJ 50MG/ML</t>
  </si>
  <si>
    <t>VISTARIL CAP 25 MG</t>
  </si>
  <si>
    <t>VISTARIL CAP 50 MG</t>
  </si>
  <si>
    <t>HYDROXYUREA 500 MG CAP</t>
  </si>
  <si>
    <t>MOTRIN SUSP 120 ML</t>
  </si>
  <si>
    <t>MOTRIN TAB 200 MG</t>
  </si>
  <si>
    <t>ISOPTO HOMATROPINE 2% OPTH 5 M</t>
  </si>
  <si>
    <t>CALAN SR TAB 120 MG</t>
  </si>
  <si>
    <t>SEROQUEL XR TAB 400MG</t>
  </si>
  <si>
    <t>MOTRIN TAB 400 MG</t>
  </si>
  <si>
    <t>MOTRIN TAB 600 MG</t>
  </si>
  <si>
    <t>NATRECOR DRIP 1.5 MG / 250 ML</t>
  </si>
  <si>
    <t>IMITREX INJ 6 MG / 0.5 ML</t>
  </si>
  <si>
    <t>TOFRANIL TAB 10 MG</t>
  </si>
  <si>
    <t>TOFRANIL TAB 25 MG</t>
  </si>
  <si>
    <t>TOFRANIL TAB 50 MG</t>
  </si>
  <si>
    <t>INDIGO CARMINE 0.8% INJ 5 ML</t>
  </si>
  <si>
    <t>INDOCIN CAP 25 MG</t>
  </si>
  <si>
    <t>INSULIN MIX 70/30 1000U/10ML</t>
  </si>
  <si>
    <t>INSULIN NPH INJ 1000UNITS/10ML</t>
  </si>
  <si>
    <t>INSULIN REGULAR INJ 1000U/10ML</t>
  </si>
  <si>
    <t>INVEGA TAB 3 MG</t>
  </si>
  <si>
    <t>INVEGA TAB 6 MG</t>
  </si>
  <si>
    <t>INVEGA TAB 9 MG</t>
  </si>
  <si>
    <t>IPECAC SYRP 30 ML</t>
  </si>
  <si>
    <t>ATROVENT 0.02% SOLN 0.5MG/2.5M</t>
  </si>
  <si>
    <t>INH TAB 300 MG</t>
  </si>
  <si>
    <t>ISUPREL 0.2MG/ML INJ 5 ML</t>
  </si>
  <si>
    <t>ISORDIL TAB 10 MG</t>
  </si>
  <si>
    <t>ISORDIL TAB 20 MG</t>
  </si>
  <si>
    <t>SUDAFED TAB 60MG</t>
  </si>
  <si>
    <t>IMDUR TAB 30 MG</t>
  </si>
  <si>
    <t>IMDUR TAB 60 MG</t>
  </si>
  <si>
    <t>KAOPECTATE SUSP 180 ML</t>
  </si>
  <si>
    <t>KETALAR INJ 500 MG / 10 ML</t>
  </si>
  <si>
    <t>KALETRA 200/50 TAB</t>
  </si>
  <si>
    <t>TORADOL TAB 10 MG</t>
  </si>
  <si>
    <t>NIZORAL TAB 200 MG</t>
  </si>
  <si>
    <t>NIZORAL 2% CRM 15 MG</t>
  </si>
  <si>
    <t>TORADOL INJ 30 MG / ML</t>
  </si>
  <si>
    <t>TORADOL INJ 60 MG / 2 ML</t>
  </si>
  <si>
    <t>TRANDATE TAB 100 MG</t>
  </si>
  <si>
    <t>TRANDATE TAB 200 MG</t>
  </si>
  <si>
    <t>LAMICTAL TAB 200 MG</t>
  </si>
  <si>
    <t>EPIVIR TAB 150 MG</t>
  </si>
  <si>
    <t>TRANDATE INJ 5 MG / ML</t>
  </si>
  <si>
    <t>COMBIVIR 150/300 MG TAB</t>
  </si>
  <si>
    <t>LAMICTAL TAB 100 MG</t>
  </si>
  <si>
    <t>LAMICTAL TAB 25 MG</t>
  </si>
  <si>
    <t>LANTUS INSULIN INJ 1000U/10ML</t>
  </si>
  <si>
    <t>XALATAN 0.005% OPTH SOL 3 ML</t>
  </si>
  <si>
    <t>XOPENEX SOLN UD 0.63 MG / 3 ML</t>
  </si>
  <si>
    <t>CEPHULAC SOLN UD 20 GM / 30 ML</t>
  </si>
  <si>
    <t>CARNITOR TAB 330MG</t>
  </si>
  <si>
    <t>LEVAQUIN TAB 250 MG</t>
  </si>
  <si>
    <t>LEVAQUIN INJ 250 MG / 50 ML</t>
  </si>
  <si>
    <t>ZYVOX INJ 600 MG / 300 ML</t>
  </si>
  <si>
    <t>ZYVOX TAB 600 MG</t>
  </si>
  <si>
    <t>LITHIUM CITRATE UD 300MG/5ML</t>
  </si>
  <si>
    <t>COZAAR TAB 50 MG</t>
  </si>
  <si>
    <t>LOVENOX INJ 40 MG</t>
  </si>
  <si>
    <t>LOXITANE CAP 25 MG</t>
  </si>
  <si>
    <t>LUVOX TAB 100 MG</t>
  </si>
  <si>
    <t>INTRALIPID 20% INJ 250 ML</t>
  </si>
  <si>
    <t>LUVOX TAB 50 MG</t>
  </si>
  <si>
    <t>LEVAQUIN TAB 750 MG</t>
  </si>
  <si>
    <t>LEVAQUIN INJ 750 MG / 150 ML</t>
  </si>
  <si>
    <t>LEXIVA TAB 700 MG</t>
  </si>
  <si>
    <t>LOXITANE CAP 10 MG</t>
  </si>
  <si>
    <t>OXANDRIN TAB 10 MG</t>
  </si>
  <si>
    <t>SYNTHROID TAB 0.025 MG</t>
  </si>
  <si>
    <t>LUPRON DEPOT KIT INJ 3.75 MG</t>
  </si>
  <si>
    <t>LUPRON DEPOT KIT INJ 7.5 MG</t>
  </si>
  <si>
    <t>LEVAQUIN TAB 500 MG</t>
  </si>
  <si>
    <t>LEXAPRO TAB 10 MG</t>
  </si>
  <si>
    <t>SYNTHROID TAB 0.05 MG</t>
  </si>
  <si>
    <t>SYNTHROID TAB 0.075 MG</t>
  </si>
  <si>
    <t>SYNTHROID TAB 0.088 MG</t>
  </si>
  <si>
    <t>SYNTHROID TAB 0.125 MG</t>
  </si>
  <si>
    <t>SYNTHROID TAB 0.15 MG</t>
  </si>
  <si>
    <t>SYNTHROID TAB 0.1 MG</t>
  </si>
  <si>
    <t>XYLOCAINE 0.5% INJ 50 ML</t>
  </si>
  <si>
    <t>LIDODERM 5% PATCH 700 MG</t>
  </si>
  <si>
    <t>XYLOCAINE 2% INJ 20 ML</t>
  </si>
  <si>
    <t>MIACALCIN NASAL SPRAY 200U</t>
  </si>
  <si>
    <t>SEROQUEL XR TAB 300 MG</t>
  </si>
  <si>
    <t>VITAMIN D TAB 400 INTL UNITS</t>
  </si>
  <si>
    <t>XYLOCAINE 1% INJ 20 ML</t>
  </si>
  <si>
    <t>LIDOCAINE 1% MPF 5ML INJ</t>
  </si>
  <si>
    <t>THORAZINE TAB 200 MG</t>
  </si>
  <si>
    <t>THORAZINE INJ 50 MG / 2 ML</t>
  </si>
  <si>
    <t>XYLOCAINE 2% JELLY 5 ML</t>
  </si>
  <si>
    <t>ZESTRIL TAB 10 MG</t>
  </si>
  <si>
    <t>ZESTRIL TAB 20 MG</t>
  </si>
  <si>
    <t>ZESTRIL TAB 5 MG</t>
  </si>
  <si>
    <t>LITHIUM CARB CAP 300 MG</t>
  </si>
  <si>
    <t>LOMOTIL LIQ UD 10 ML</t>
  </si>
  <si>
    <t>LONITEN TAB 2.5 MG</t>
  </si>
  <si>
    <t>IMODIUM CAP 2 MG</t>
  </si>
  <si>
    <t>ATIVAN TAB 1 MG</t>
  </si>
  <si>
    <t>ATIVAN TAB 2 MG</t>
  </si>
  <si>
    <t>ATIVAN TAB 0.5 MG</t>
  </si>
  <si>
    <t>VALTREX CAP 500 MG</t>
  </si>
  <si>
    <t>MEVACOR TAB 20 MG</t>
  </si>
  <si>
    <t>VALTREX CAP 1 GM</t>
  </si>
  <si>
    <t>MAG-OXIDE TAB 400 MG</t>
  </si>
  <si>
    <t>ASACOL TAB 400 MG</t>
  </si>
  <si>
    <t>GLUCOPHAGE TAB 500 MG</t>
  </si>
  <si>
    <t>GLUCOPHAGE TAB 850 MG</t>
  </si>
  <si>
    <t>MAALOX PLUS XS UD 30 ML</t>
  </si>
  <si>
    <t>MIRAPEX 0.5MG TABLET</t>
  </si>
  <si>
    <t>REMERON TAB 30 MG</t>
  </si>
  <si>
    <t>SINGULAIR TAB 10 MG</t>
  </si>
  <si>
    <t>MS CONTIN 15MG TAB</t>
  </si>
  <si>
    <t>CYTOTEC TAB 100 MCG</t>
  </si>
  <si>
    <t>MAGNESIUM CITRATE SOLN 300 ML</t>
  </si>
  <si>
    <t>NEPHRO-VITE TAB</t>
  </si>
  <si>
    <t>MILK OF MAGNESIA SUSP 30 ML</t>
  </si>
  <si>
    <t>NEURONTIN CAP 100 MG</t>
  </si>
  <si>
    <t>NEUTRA-PHOS PACKET</t>
  </si>
  <si>
    <t>PROCARDIA XL TAB 90 MG</t>
  </si>
  <si>
    <t>MAGNESIUM SULF INJ 1 GM / 2 ML</t>
  </si>
  <si>
    <t>MANNITOL 25% INJ 50 ML</t>
  </si>
  <si>
    <t>MYLANTA LIQ UD 30ML</t>
  </si>
  <si>
    <t>NORMAL SALINE 3% INJ 500 ML</t>
  </si>
  <si>
    <t>NUTRILYTE II INJ 20 ML</t>
  </si>
  <si>
    <t>NS 0.9% INJ FLUSH 10 ML</t>
  </si>
  <si>
    <t>ORACIT SOLN 30 ML</t>
  </si>
  <si>
    <t>OSCAL TAB 500 MG</t>
  </si>
  <si>
    <t>OSCAL D TAB 500 MG</t>
  </si>
  <si>
    <t>TRILEPTAL TAB 150 MG</t>
  </si>
  <si>
    <t>PROTONIX INJ 40 MG</t>
  </si>
  <si>
    <t>ANTIVERT TAB 25 MG</t>
  </si>
  <si>
    <t>PHISOHEX 3% CLEANSER 120 ML</t>
  </si>
  <si>
    <t>PERIDEX 0.12% LIQ 15 ML</t>
  </si>
  <si>
    <t>PHENERGAN SUPP 25 MG</t>
  </si>
  <si>
    <t>ACTOS TAB 15 MG</t>
  </si>
  <si>
    <t>ZOSYN INJ 2.25 GM</t>
  </si>
  <si>
    <t>ZOSYN INJ 4.5 GM</t>
  </si>
  <si>
    <t>PLETAL TAB 100 MG</t>
  </si>
  <si>
    <t>PNEUMOVAX INJ 25 MCG / 0.5 ML</t>
  </si>
  <si>
    <t>PRAVACHOL TAB 20 MG</t>
  </si>
  <si>
    <t>PROVERA TAB 2.5 MG</t>
  </si>
  <si>
    <t>PRECOSE 50 MG TABLET</t>
  </si>
  <si>
    <t>PROSCAR TAB 5 MG</t>
  </si>
  <si>
    <t>MEGACE TAB 40 MG</t>
  </si>
  <si>
    <t>PROZAC CAP 10 MG</t>
  </si>
  <si>
    <t>PULMICORT RESP HHN 0.25MG/2ML</t>
  </si>
  <si>
    <t>DDAVP 0.1MG TABLET</t>
  </si>
  <si>
    <t>SEROQUEL TAB 100 MG</t>
  </si>
  <si>
    <t>SEROQUEL XR TAB 200MG</t>
  </si>
  <si>
    <t>SEROQUEL TAB 25 MG</t>
  </si>
  <si>
    <t>ALTACE CAPSULE 2.5 MG</t>
  </si>
  <si>
    <t>ALTACE 5MG TAB</t>
  </si>
  <si>
    <t>RISPERDAL TAB 0.5 MG</t>
  </si>
  <si>
    <t>RISPERDAL TAB 2 MG</t>
  </si>
  <si>
    <t>RISPERDAL TAB 3 MG</t>
  </si>
  <si>
    <t>RITALIN TAB 10 MG</t>
  </si>
  <si>
    <t>RITALIN TAB 5 MG</t>
  </si>
  <si>
    <t>NORVIR CAP 100 MG</t>
  </si>
  <si>
    <t>RENAGEL TAB 800 MG</t>
  </si>
  <si>
    <t>DEMEROL INJ 25 MG</t>
  </si>
  <si>
    <t>OCEAN NASAL SPRAY</t>
  </si>
  <si>
    <t>PROTONIX TAB 40 MG</t>
  </si>
  <si>
    <t>SOLU-CORTEF INJ 100 MG</t>
  </si>
  <si>
    <t>DEMEROL INJ 50 MG</t>
  </si>
  <si>
    <t>BETAPACE TAB 80MG</t>
  </si>
  <si>
    <t>ZERIT CAP 40 MG</t>
  </si>
  <si>
    <t>BACTRIM 80/16MG/ML INJ 10 ML</t>
  </si>
  <si>
    <t>SULFADIAZINE TAB 500 MG</t>
  </si>
  <si>
    <t>DEMEROL INJ 75 MG</t>
  </si>
  <si>
    <t>DEMEROL PCA INJ 500 MG / 50 ML</t>
  </si>
  <si>
    <t>RISPERDAL TAB 4 MG</t>
  </si>
  <si>
    <t>BACTRIM SUSP UD 5 ML</t>
  </si>
  <si>
    <t>FLOMAX CAP 0.4 MG</t>
  </si>
  <si>
    <t>HYTRIN CAP 1 MG</t>
  </si>
  <si>
    <t>TNKASE KIT</t>
  </si>
  <si>
    <t>METAMUCIL PACKET 3.4 GM</t>
  </si>
  <si>
    <t>TINACTIN ANTIFUNGAL SPRAY 4 OZ</t>
  </si>
  <si>
    <t>TOPAMAX TAB 25 MG</t>
  </si>
  <si>
    <t>TOPROL XL TAB 50 MG</t>
  </si>
  <si>
    <t>TPN (PHARMACY CONSULT)</t>
  </si>
  <si>
    <t>DESYREL TAB 100 MG</t>
  </si>
  <si>
    <t>ARTANE TAB 5 MG</t>
  </si>
  <si>
    <t>ULTRAM TAB 50 MG</t>
  </si>
  <si>
    <t>MD-GASTROVIEW 66/10 SOLN 120 M</t>
  </si>
  <si>
    <t>VASOTEC INJ 2.5 MG / 2 ML</t>
  </si>
  <si>
    <t>EFFEXOR XR CAP 37.5 MG</t>
  </si>
  <si>
    <t>EFFEXOR XR CAP 75 MG</t>
  </si>
  <si>
    <t>GEODON CAP 20 MG</t>
  </si>
  <si>
    <t>ZITHROMAX SUSP 200MG/5ML 30 ML</t>
  </si>
  <si>
    <t>AMBIEN TAB 10 MG</t>
  </si>
  <si>
    <t>DOLOPHINE TAB 10 MG</t>
  </si>
  <si>
    <t>ZONEGRAM 100MG TAB</t>
  </si>
  <si>
    <t>ZYRTEC 10 MG</t>
  </si>
  <si>
    <t>RISPERDAL M-TAB 1 MG</t>
  </si>
  <si>
    <t>REMERON SOLTAB 15 MG</t>
  </si>
  <si>
    <t>TAPAZOLE TAB 5 MG</t>
  </si>
  <si>
    <t>TERAZOL 7 CRM 45 GM</t>
  </si>
  <si>
    <t>DOLOPHINE TAB 5 MG</t>
  </si>
  <si>
    <t>REGLAN TAB 5 MG</t>
  </si>
  <si>
    <t>SYNTHROID TAB 0.112 MG</t>
  </si>
  <si>
    <t>ROBAXIN TAB 500 MG</t>
  </si>
  <si>
    <t>NAROPIN INJ 10 MG / ML</t>
  </si>
  <si>
    <t>TREXALL TAB 2.5 MG</t>
  </si>
  <si>
    <t>ALDOMET TAB 250 MG</t>
  </si>
  <si>
    <t>METHYLENE BLUE 1% INJ 1 ML</t>
  </si>
  <si>
    <t>MEDROL TAB 4 MG</t>
  </si>
  <si>
    <t>REGLAN TAB 10 MG</t>
  </si>
  <si>
    <t>REGLAN SYRP 10 MG / 10 ML</t>
  </si>
  <si>
    <t>REGLAN INJ 10 MG / 2 ML</t>
  </si>
  <si>
    <t>ZAROXOLYN TAB 2.5 MG</t>
  </si>
  <si>
    <t>LOPRESSOR TAB 25 MG</t>
  </si>
  <si>
    <t>LOPRESSOR INJ 1 MG / ML</t>
  </si>
  <si>
    <t>LOPRESSOR TAB 50 MG</t>
  </si>
  <si>
    <t>FLAGYL TAB 250 MG</t>
  </si>
  <si>
    <t>TRILAFON 2MG TAB</t>
  </si>
  <si>
    <t>FLAGYL TAB 500 MG</t>
  </si>
  <si>
    <t>FLAGYL INJ 500 MG / 100 ML</t>
  </si>
  <si>
    <t>MONISTAT-3 VAG SUPP 200 MG</t>
  </si>
  <si>
    <t>MICATIN ANTIFUNGAL 2% CRM 30 G</t>
  </si>
  <si>
    <t>MIDAZOLAM INJ 2MG/2ML VL</t>
  </si>
  <si>
    <t>MINERAL OIL 30 ML</t>
  </si>
  <si>
    <t>MIOCHOL-E INJ KIT 20MG</t>
  </si>
  <si>
    <t>MIOSTAT 0.01% INJ 1.5 ML</t>
  </si>
  <si>
    <t>LONITEN TAB 10 MG</t>
  </si>
  <si>
    <t>MORPHINE SULF IR TAB 30MG</t>
  </si>
  <si>
    <t>MORPHINE SULF INJ 10MG/ML</t>
  </si>
  <si>
    <t>MOTRIN TAB 800 MG</t>
  </si>
  <si>
    <t>MORPHINE SULF INJ 4MG/ML</t>
  </si>
  <si>
    <t>MORPHINE 8 MG/ML INJ</t>
  </si>
  <si>
    <t>MORPHINE SULF PCA 50MG/50ML</t>
  </si>
  <si>
    <t>MS CONTIN TAB 30 MG</t>
  </si>
  <si>
    <t>MORPHINE SULF INJ 2MG/ML</t>
  </si>
  <si>
    <t>MULTIVITS/MINERALS TAB</t>
  </si>
  <si>
    <t>MULTIVITAMINS TAB</t>
  </si>
  <si>
    <t>MULTIVITS/MINERALS SOLN UD 5 M</t>
  </si>
  <si>
    <t>MULTIVITAMINS SOLN UD 5 ML</t>
  </si>
  <si>
    <t>MULTIVITAMINS INJ 10 ML</t>
  </si>
  <si>
    <t>BLEPHAMIDE OPTH SOLN 5 ML</t>
  </si>
  <si>
    <t>NARCAN INJ 0.4 MG / ML</t>
  </si>
  <si>
    <t>REVIA TAB 50 MG</t>
  </si>
  <si>
    <t>NAPHCON-A OPTH SOLN 5 ML</t>
  </si>
  <si>
    <t>NAPROSYN TAB 375 MG</t>
  </si>
  <si>
    <t>NAPROSYN TAB 500 MG</t>
  </si>
  <si>
    <t>VOLTAREN - 50MG TAB</t>
  </si>
  <si>
    <t>NEOSPORIN OPTH SOLN 10 ML</t>
  </si>
  <si>
    <t>NEOMYCIN TAB 500 MG</t>
  </si>
  <si>
    <t>NEOSPORIN OINT UD 0.9 GM</t>
  </si>
  <si>
    <t>NEOSTIGMINE INJ 1 MG / ML</t>
  </si>
  <si>
    <t>MAXITROL OPTH OINT 3.5 GM</t>
  </si>
  <si>
    <t>MAXITROL OPTH SUSP 5 ML</t>
  </si>
  <si>
    <t>NIACIN CAP 500 MG</t>
  </si>
  <si>
    <t>PROCARDIA CAP 10 MG</t>
  </si>
  <si>
    <t>PROCARDIA XL TAB 30 MG</t>
  </si>
  <si>
    <t>PROCARDIA XL TAB 60 MG</t>
  </si>
  <si>
    <t>NITROGLYCERIN DRIP 50 MG/250 M</t>
  </si>
  <si>
    <t>NITROGLYCERIN PATCH 0.2 MG / H</t>
  </si>
  <si>
    <t>NS 0.9% W/KCL 20MEQ 1000 ML</t>
  </si>
  <si>
    <t>NITROQUICK TAB 0.4 MG</t>
  </si>
  <si>
    <t>NITROGLYCERIN PATCH 0.4 MG / H</t>
  </si>
  <si>
    <t>NITROLINGUAL PUMPSPRAY 0.4 MG</t>
  </si>
  <si>
    <t>NIPRIDE INJ 50 MG / 250 ML</t>
  </si>
  <si>
    <t>LEVOPHED INJ 4 MG / 4 ML</t>
  </si>
  <si>
    <t>PAMELOR CAP 25 MG</t>
  </si>
  <si>
    <t>NYSTOP 100,000U/GM PWDR 15 GM</t>
  </si>
  <si>
    <t>NYSTATIN 100M UNITS 15GM CREAM</t>
  </si>
  <si>
    <t>MYCOSTATIN ORAL SUSP UD 5 ML</t>
  </si>
  <si>
    <t>SANDOSTATIN INJ 100 MCG / ML</t>
  </si>
  <si>
    <t>SANDOSTATIN DRIP 0.5 MG/250ML</t>
  </si>
  <si>
    <t>ZOLOFT TAB 100 MG</t>
  </si>
  <si>
    <t>ZOLOFT TAB 25 MG</t>
  </si>
  <si>
    <t>ZOFRAN INJ 4 MG</t>
  </si>
  <si>
    <t>ZOFRAN TAB 4 MG</t>
  </si>
  <si>
    <t>DITROPAN TAB 5 MG</t>
  </si>
  <si>
    <t>PERCOCET TAB 5/325MG</t>
  </si>
  <si>
    <t>OXYCONTIN TAB 10 MG</t>
  </si>
  <si>
    <t>AFRIN 0.05% PUMP MIST 15 ML</t>
  </si>
  <si>
    <t>AREDIA INJ 30 MG</t>
  </si>
  <si>
    <t>PARA-TIME INJ 60 MG / 2 ML</t>
  </si>
  <si>
    <t>PAXIL TAB 30 MG</t>
  </si>
  <si>
    <t>PAXIL TAB 40 MG</t>
  </si>
  <si>
    <t>PAXIL TAB 20 MG</t>
  </si>
  <si>
    <t>PAXIL CR TAB 25 MG</t>
  </si>
  <si>
    <t>PAXIL TAB 10 MG</t>
  </si>
  <si>
    <t>KEPPRA TAB 500 MG</t>
  </si>
  <si>
    <t>NAVANE CAP 10 MG</t>
  </si>
  <si>
    <t>PFIZERPEN INJ 5 MMU</t>
  </si>
  <si>
    <t>OXYCONTIN TAB 40 MG</t>
  </si>
  <si>
    <t>TRENTAL TAB 400 MG</t>
  </si>
  <si>
    <t>TRILAFON TAB 4 MG</t>
  </si>
  <si>
    <t>PYRIDIUM TAB 100 MG</t>
  </si>
  <si>
    <t>PHENERGAN SYRP UD 6.25MG/5ML</t>
  </si>
  <si>
    <t>POLYSPORIN OINT UD 0.9 GM</t>
  </si>
  <si>
    <t>PHENOBARBITAL TAB 100 MG</t>
  </si>
  <si>
    <t>PHENOBARBITAL TAB 60 MG</t>
  </si>
  <si>
    <t>PHENOBARBITAL 130MG INJ</t>
  </si>
  <si>
    <t>PHENTOLAMINE INJ 5 MG</t>
  </si>
  <si>
    <t>NEO-SYNEPHRINE INJ 10 MG / ML</t>
  </si>
  <si>
    <t>NEO-SYNEPHR 2.5% OPTH SOLN 5ML</t>
  </si>
  <si>
    <t>DILANTIN INJ 250 MG/5ML</t>
  </si>
  <si>
    <t>DILANTIN INJ 100 MG / 2 ML</t>
  </si>
  <si>
    <t>PHOSLO TAB 667 MG</t>
  </si>
  <si>
    <t>ANTILIRIUM INJ 2 MG / 2 ML</t>
  </si>
  <si>
    <t>POLYMYXN B SULF INJ 500000U/ML</t>
  </si>
  <si>
    <t>KCL 10% SOLN UD 20 MEQ / 15 ML</t>
  </si>
  <si>
    <t>POTASSIUM ACET INJ 40MEQ/20ML</t>
  </si>
  <si>
    <t>TRACE ELEMENTS INJ 5 ML</t>
  </si>
  <si>
    <t>K-DUR TAB 10 MEQ</t>
  </si>
  <si>
    <t>K-RIDER INJ 10 MEQ / 100 ML</t>
  </si>
  <si>
    <t>K-RIDER INJ 20 MEQ / 100 ML</t>
  </si>
  <si>
    <t>K-DUR TAB 8 MEQ</t>
  </si>
  <si>
    <t>NEUTRA-PHOS-K INJ 15 MMU / 5 M</t>
  </si>
  <si>
    <t>BETADINE 10% SOLN 120 ML</t>
  </si>
  <si>
    <t>BETADINE 10% OINT 30 GM</t>
  </si>
  <si>
    <t>PRANDIN 2MG TABLET</t>
  </si>
  <si>
    <t>PRIMAQUINE 26.3MG TABLET</t>
  </si>
  <si>
    <t>PREPARATION H OINT 30 ML</t>
  </si>
  <si>
    <t>PRED FORTE 1% OPTH SUSP 5 ML</t>
  </si>
  <si>
    <t>PREDNISONE TAB 10 MG</t>
  </si>
  <si>
    <t>PREDNISONE TAB 20 MG</t>
  </si>
  <si>
    <t>PREDNISONE TAB 5 MG</t>
  </si>
  <si>
    <t>PRENATAL TAB</t>
  </si>
  <si>
    <t>PRILOSEC CAP 20 MG</t>
  </si>
  <si>
    <t>PRIMAXIN INJ 500 MG</t>
  </si>
  <si>
    <t>PRIMAXIN INJ 250 MG</t>
  </si>
  <si>
    <t>PRIMIDONE TAB 250 MG</t>
  </si>
  <si>
    <t>PRONESTYL INJ 1000 MG / 10 ML</t>
  </si>
  <si>
    <t>SEROQUEL TAB 300MG</t>
  </si>
  <si>
    <t>FORANE PER 10ML</t>
  </si>
  <si>
    <t>COMPAZINE INJ 10 MG</t>
  </si>
  <si>
    <t>COMPAZINE TAB 10 MG</t>
  </si>
  <si>
    <t>COMPAZINE SUPP 25 MG</t>
  </si>
  <si>
    <t>COMPAZINE TAB 5 MG</t>
  </si>
  <si>
    <t>PROLIXIN INJ 2.5MG/ML</t>
  </si>
  <si>
    <t>PROLIXIN TAB 10 MG</t>
  </si>
  <si>
    <t>PROLIXIN TAB 1 MG</t>
  </si>
  <si>
    <t>PHENERGAN SUPP 12.5 MG</t>
  </si>
  <si>
    <t>PHENERGAN TAB 25 MG</t>
  </si>
  <si>
    <t>INDERAL TAB 10 MG</t>
  </si>
  <si>
    <t>INDERAL INJ 1 MG / ML</t>
  </si>
  <si>
    <t>INDERAL TAB 20 MG</t>
  </si>
  <si>
    <t>PROPYLTHIOURACIL TAB 50 MG</t>
  </si>
  <si>
    <t>PROTAMINE INJ 50 MG</t>
  </si>
  <si>
    <t>SUDAFED TAB 30 MG</t>
  </si>
  <si>
    <t>PYRAZINAMIDE TAB 500 MG</t>
  </si>
  <si>
    <t>VITAMIN B6 TAB 100 MG</t>
  </si>
  <si>
    <t>VITAMIN B6 TAB 50 MG</t>
  </si>
  <si>
    <t>REYATAZ CAP 150 MG</t>
  </si>
  <si>
    <t>RIFADIN CAP 150 MG</t>
  </si>
  <si>
    <t>STRATTERA CAP 40 MG</t>
  </si>
  <si>
    <t>TAMIFLU GELCAP 75MG</t>
  </si>
  <si>
    <t>RIFADIN CAP 300 MG</t>
  </si>
  <si>
    <t>RISPERDAL M-TAB 0.5 MG</t>
  </si>
  <si>
    <t>ROBITUSSIN SYRP 200 MG / 10 ML</t>
  </si>
  <si>
    <t>SENOKOT TAB 8.6 MG</t>
  </si>
  <si>
    <t>BACTRIM DS 800/160MG TAB</t>
  </si>
  <si>
    <t>SILVER NITRATE APPL</t>
  </si>
  <si>
    <t>MYLICON TAB 80 MG</t>
  </si>
  <si>
    <t>SODIUM ACETATE INJ 40MEQ/20ML</t>
  </si>
  <si>
    <t>SODIUM BICARB INJ 50 MEQ/50ML</t>
  </si>
  <si>
    <t>SODIUM BICARB 8.4% INJ PFS 50M</t>
  </si>
  <si>
    <t>SODIUM BICARB 650MG TAB</t>
  </si>
  <si>
    <t>OMNICEF 300MG CAP</t>
  </si>
  <si>
    <t>NORMAL SALINE 0.9% INJ 10 ML</t>
  </si>
  <si>
    <t>NORMAL SALINE 0.9% HHN SOLN 3M</t>
  </si>
  <si>
    <t>SODIUM CHLORIDE INJ 120MEQ/30M</t>
  </si>
  <si>
    <t>KAYEXALATE SUSP 15 G / 60 ML</t>
  </si>
  <si>
    <t>SOLU-MEDROL INJ 125 MG</t>
  </si>
  <si>
    <t>SOLU-MEDROL INJ 40 MG</t>
  </si>
  <si>
    <t>ZIAGEN 300MG TABLET</t>
  </si>
  <si>
    <t>SORBITOL SOLN 70%</t>
  </si>
  <si>
    <t>ALDACTONE TAB 25 MG</t>
  </si>
  <si>
    <t>ALDACTONE TAB 100 MG</t>
  </si>
  <si>
    <t>STROMECTOL TAB 3MG</t>
  </si>
  <si>
    <t>ANECTINE 20MG/ML INJ 10 ML</t>
  </si>
  <si>
    <t>CARAFATE TAB 1 GM</t>
  </si>
  <si>
    <t>CARAFATE SUSP UD 1 GM / 10 ML</t>
  </si>
  <si>
    <t>SULAMYD 10% OPTH SOLN 15 ML</t>
  </si>
  <si>
    <t>BACTRIM SS 400/80MG TAB</t>
  </si>
  <si>
    <t>AZULFIDINE TAB 500 MG</t>
  </si>
  <si>
    <t>IMITREX TAB 50 MG</t>
  </si>
  <si>
    <t>SUPRANE INH LIQ 240 ML</t>
  </si>
  <si>
    <t>NOLVADEX TAB 10 MG</t>
  </si>
  <si>
    <t>RESTORIL CAP 15 MG</t>
  </si>
  <si>
    <t>RESTORIL CAP 30 MG</t>
  </si>
  <si>
    <t>LAMISIL 1% CRM</t>
  </si>
  <si>
    <t>LAMISIL TAB 250 MG</t>
  </si>
  <si>
    <t>BRETHINE INJ 1 MG</t>
  </si>
  <si>
    <t>BRETHINE TAB 2.5 MG</t>
  </si>
  <si>
    <t>TET/DIPTH TOX 2-2 LFU INJ 0.5M</t>
  </si>
  <si>
    <t>TETRACAINE 1% INJ 2 ML</t>
  </si>
  <si>
    <t>SUMYCIN CAP 250 MG</t>
  </si>
  <si>
    <t>SUMYCIN CAP 500 MG</t>
  </si>
  <si>
    <t>VISINE TEARS DROPS SOLN 15 ML</t>
  </si>
  <si>
    <t>THEO-DUR TAB 200 MG</t>
  </si>
  <si>
    <t>THEOPHYLLINE 300MG TAB/CAP</t>
  </si>
  <si>
    <t>VITAMIN B1 TAB 100 MG</t>
  </si>
  <si>
    <t>VITAMIN B1 INJ 100 MG</t>
  </si>
  <si>
    <t>THIORIDAZINE 50MG TAB</t>
  </si>
  <si>
    <t>NAVANE CAP 5 MG</t>
  </si>
  <si>
    <t>THROMBIN 5000 UNITS</t>
  </si>
  <si>
    <t>TIMOPTIC 0.5% OPTH SOLN 5 ML</t>
  </si>
  <si>
    <t>TIMOPTIC 0.25% OPTH SOLN 5 ML</t>
  </si>
  <si>
    <t>TOBRADEX 0.3% OPTH SUSP 2.5 ML</t>
  </si>
  <si>
    <t>NEBCIN INJ 80 MG / 2 ML</t>
  </si>
  <si>
    <t>DESYREL TAB 50 MG</t>
  </si>
  <si>
    <t>KENALOG 0.1% CRM</t>
  </si>
  <si>
    <t>KENALOG INJ 40 MG / ML</t>
  </si>
  <si>
    <t>KENALOG 0.025% CR</t>
  </si>
  <si>
    <t>MAXZIDE 75/50MG TAB</t>
  </si>
  <si>
    <t>STELAZINE TAB 1 MG</t>
  </si>
  <si>
    <t>STELAZINE TAB 5 MG</t>
  </si>
  <si>
    <t>ARTANE TAB 2 MG</t>
  </si>
  <si>
    <t>TIGAN INJ 200 MG / 2 ML</t>
  </si>
  <si>
    <t>MYDRIACYL 1% OPTH SOLN 15 ML</t>
  </si>
  <si>
    <t>TUBERCULIN</t>
  </si>
  <si>
    <t>ULTANE INH LIQ 250 ML</t>
  </si>
  <si>
    <t>ACTIGALL CAP 300 MG</t>
  </si>
  <si>
    <t>VANCOCIN INJ 500 MG</t>
  </si>
  <si>
    <t>VANCOCIN ORAL SUSP 25MG/ML 150</t>
  </si>
  <si>
    <t>VANCOCIN INJ 1 GM</t>
  </si>
  <si>
    <t>PITRESSIN INJ 20 UNITS/ML</t>
  </si>
  <si>
    <t>CALAN SR TAB 180 MG</t>
  </si>
  <si>
    <t>CALAN SR TAB 240 MG</t>
  </si>
  <si>
    <t>XYLOCAINE/EPI 1% INJ 30 ML</t>
  </si>
  <si>
    <t>XYLOCAINE 2% INJ PFS 100MG/5ML</t>
  </si>
  <si>
    <t>CALAN INJ 5 MG</t>
  </si>
  <si>
    <t>XYLOCAINE DRIP 2 GM / 500 ML</t>
  </si>
  <si>
    <t>VITAMIN A CAP 10000 UNITS</t>
  </si>
  <si>
    <t>VITAMIN C TAB 500 MG</t>
  </si>
  <si>
    <t>VITAMIN E CAP 1000 IU</t>
  </si>
  <si>
    <t>VITAMIN E CAP 400 UNITS</t>
  </si>
  <si>
    <t>VITAMIN A &amp; D UD OINT 5 GM</t>
  </si>
  <si>
    <t>COUMADIN TAB 2 MG</t>
  </si>
  <si>
    <t>COUMADIN TAB 2.5 MG</t>
  </si>
  <si>
    <t>COUMADIN TAB 5 MG</t>
  </si>
  <si>
    <t>WELLBUTRIN XL TAB 150 MG</t>
  </si>
  <si>
    <t>ZEMURON INJ 100 MG / 10 ML</t>
  </si>
  <si>
    <t>ZERIT CAP 20 MG</t>
  </si>
  <si>
    <t>ZINC OXIDE 20% OINT 30 GM</t>
  </si>
  <si>
    <t>ZINC SULFATE CAP 220 MG</t>
  </si>
  <si>
    <t>AMBIEN TAB 5 MG</t>
  </si>
  <si>
    <t>PROLIXIN ELIX UD 2.5 MG/5ML</t>
  </si>
  <si>
    <t>DIPRIVAN 1% DRIP 1 GM / 100 ML</t>
  </si>
  <si>
    <t>SENSIPAR 30MG TAB</t>
  </si>
  <si>
    <t>SODIUM PHOSPHATE INJ 15MMU/5ML</t>
  </si>
  <si>
    <t>DILANTIN SUSP UD 100 MG / 4 ML</t>
  </si>
  <si>
    <t>EXELON CAP 3 MG</t>
  </si>
  <si>
    <t>ANDRODERM PATCH 5 MG / 24 HR</t>
  </si>
  <si>
    <t>INTRALIPID 10% INJ 250 ML</t>
  </si>
  <si>
    <t>MESTINON TAB 60 MG</t>
  </si>
  <si>
    <t>CELLCEPT CAP 250 MG</t>
  </si>
  <si>
    <t>COLACE LIQ UD 250 MG / 25 ML</t>
  </si>
  <si>
    <t>CYMBALTA CAP 20 MG</t>
  </si>
  <si>
    <t>TYGACIL INJ 50 MG</t>
  </si>
  <si>
    <t>REQUIP TAB 1 MG</t>
  </si>
  <si>
    <t>VIBRAMYCIN CAP 100 MG</t>
  </si>
  <si>
    <t>INFLUENZA VACCINE INJ 0.5 ML</t>
  </si>
  <si>
    <t>ZETIA TAB 10 MG</t>
  </si>
  <si>
    <t>HYDROCORTISONE 1% CRM UD 1.5 G</t>
  </si>
  <si>
    <t>VENOFER INJ 100 MG / 5 ML</t>
  </si>
  <si>
    <t>INTRALIPID 10% INJ 500 ML</t>
  </si>
  <si>
    <t>REYATAZ CAP 200 MG</t>
  </si>
  <si>
    <t>MUCINEX DM TAB</t>
  </si>
  <si>
    <t>ZITHROMAX TAB 600 MG</t>
  </si>
  <si>
    <t>AEROCHAMBER MDI SPACER</t>
  </si>
  <si>
    <t>PHENERGAN W/DM SYRP UD 5 ML</t>
  </si>
  <si>
    <t>SILVADENE 1% CRM 25 GM</t>
  </si>
  <si>
    <t>PROZAC SOLN 20 MG / 5 ML</t>
  </si>
  <si>
    <t>HECTOROL CAP 0.5 MCG</t>
  </si>
  <si>
    <t>RISPERDAL SOLN UD 1 MG / ML</t>
  </si>
  <si>
    <t>TRUVADA TAB</t>
  </si>
  <si>
    <t>NORCO TAB 7.5 MG / 325 MG</t>
  </si>
  <si>
    <t>NORCO TAB 10 MG / 325 MG</t>
  </si>
  <si>
    <t>BENGAY ORIGINAL OINT</t>
  </si>
  <si>
    <t>PROVERA TAB 5 MG</t>
  </si>
  <si>
    <t>RISPERDAL M-TAB 4 MG</t>
  </si>
  <si>
    <t>SEROQUEL TAB 50 MG</t>
  </si>
  <si>
    <t>ACTIDOSE/SORBIT SUSP 50GM/240M</t>
  </si>
  <si>
    <t>BENZOYL PEROXIDE 5% GEL 45 GM</t>
  </si>
  <si>
    <t>ABILIFY TAB 30 MG</t>
  </si>
  <si>
    <t>PETROLATUM FOILPAC JELLY 5 GM</t>
  </si>
  <si>
    <t>K-DUR TAB 20 MEQ</t>
  </si>
  <si>
    <t>URECHOLINE TAB 25 MG</t>
  </si>
  <si>
    <t>PROCRIT INJ 10000U/ML ESRD</t>
  </si>
  <si>
    <t>PROCRIT INJ 20000U/ML ESRD</t>
  </si>
  <si>
    <t>CLINIMIX 4.25%/10 SOLN 1000 ML</t>
  </si>
  <si>
    <t>CLINIMIX 5/20 SOLN 1000 ML</t>
  </si>
  <si>
    <t>CLINIMIX 5/25 SOLN 1000 ML</t>
  </si>
  <si>
    <t>CLINIMIX 4.25%/10 SOLN 2000 ML</t>
  </si>
  <si>
    <t>CLINIMIX 5/25 SOLN 2000 ML</t>
  </si>
  <si>
    <t>CORDARONE DRIP 900 MG / 500 ML</t>
  </si>
  <si>
    <t>VERSED DRIP 50 MG / 100 ML</t>
  </si>
  <si>
    <t>LOTENSIN TAB 5 MG</t>
  </si>
  <si>
    <t>D5 1/2NS W/KCL 20MEQ 1000 ML</t>
  </si>
  <si>
    <t>D5 1/2NS W/KCL 30MEQ 1000 ML</t>
  </si>
  <si>
    <t>D5 0.9NS INJECTION, 1000ML</t>
  </si>
  <si>
    <t>D5 0.45NS INJECTION, 1000ML</t>
  </si>
  <si>
    <t>D5NS INJ 1000 ML</t>
  </si>
  <si>
    <t>D5W INJ 100 ML</t>
  </si>
  <si>
    <t>D5 INJECTION, 1000ML</t>
  </si>
  <si>
    <t>D5W INJ 250 ML</t>
  </si>
  <si>
    <t>D5W INJ 500 ML</t>
  </si>
  <si>
    <t>D5W INJ 50 ML</t>
  </si>
  <si>
    <t>D10W INJ 1000 ML</t>
  </si>
  <si>
    <t>NITRO-BID 2% UD OINT</t>
  </si>
  <si>
    <t>D5NS W/KCL 20MEQ INJ 1000 ML</t>
  </si>
  <si>
    <t>D5 1/2NS INJECTION, 500ML</t>
  </si>
  <si>
    <t>D5W W/KCL 20MEQ INJ 1000 ML</t>
  </si>
  <si>
    <t>INTRALIPID 20% INJ 500 ML</t>
  </si>
  <si>
    <t>HEOALEAN DRIP 25000UNITS/500ML</t>
  </si>
  <si>
    <t>LACTATED RINGER INJ, 1000ML</t>
  </si>
  <si>
    <t>MANNITOL DRIP INJ 20GM/500ML</t>
  </si>
  <si>
    <t>0.9NS INJECTION, 1000ML</t>
  </si>
  <si>
    <t>NORMAL SALINE 0.9% INJ 100 ML</t>
  </si>
  <si>
    <t>0.45NS INJECTION, 1000ML</t>
  </si>
  <si>
    <t>0.45NS INJECTION, 500ML</t>
  </si>
  <si>
    <t>SALINE 0.9% INJ 250 ML</t>
  </si>
  <si>
    <t>NORMAL SALINE 0.9% INJ 500 ML</t>
  </si>
  <si>
    <t>0.9NS INJECTION, 50ML</t>
  </si>
  <si>
    <t>PLAQUENIL 200MG TABLET</t>
  </si>
  <si>
    <t>NS0.9% IRRIG SOLN 3000 ML</t>
  </si>
  <si>
    <t>STERILE WATER INJ 1000 ML</t>
  </si>
  <si>
    <t>RISPERDAL M-TAB 2 MG</t>
  </si>
  <si>
    <t>STERILE H2O IRRIGATION 500ML</t>
  </si>
  <si>
    <t>POTASSIUM CHLOR INJ 40MEQ/20ML</t>
  </si>
  <si>
    <t>CRASH CART TRAY</t>
  </si>
  <si>
    <t>RISPERDAL TAB 1 MG</t>
  </si>
  <si>
    <t>EFFEXOR TAB 37.5 MG</t>
  </si>
  <si>
    <t>NEURONTIN CAP 300 MG</t>
  </si>
  <si>
    <t>LEVAQUIN INJ 500 MG / 100 ML</t>
  </si>
  <si>
    <t>FLEET ENEMA 133 ML</t>
  </si>
  <si>
    <t>FLEET ENEMA - MINERAL OIL</t>
  </si>
  <si>
    <t>PLAVIX TAB 75 MG</t>
  </si>
  <si>
    <t>WELLBUTRIN TAB 75 MG</t>
  </si>
  <si>
    <t>ZOLOFT TAB 50 MG</t>
  </si>
  <si>
    <t>SLOW-MAG TAB 64 MG</t>
  </si>
  <si>
    <t>AQUA-MEPHYTON INJ 10 MG / ML</t>
  </si>
  <si>
    <t>ZOCOR TAB 10 MG</t>
  </si>
  <si>
    <t>ZOSYN INJ 3.375 GM</t>
  </si>
  <si>
    <t>LOVENOX INJ 30 MG</t>
  </si>
  <si>
    <t>KCL 10% SOLN UD 40 MEQ / 30 ML</t>
  </si>
  <si>
    <t>HYTRIN CAP 5 MG</t>
  </si>
  <si>
    <t>ZOCOR TAB 20 MG</t>
  </si>
  <si>
    <t>LOVENOX INJ 100 MG</t>
  </si>
  <si>
    <t>ANUSOL-HC SUPP 25 MG</t>
  </si>
  <si>
    <t>CALAN TAB 80 MG</t>
  </si>
  <si>
    <t>CARDIZEM INJ 125 MG / 25 ML</t>
  </si>
  <si>
    <t>COMTAN TAB 200 MG</t>
  </si>
  <si>
    <t>CORTISPORIN OTIC SOLN 10 ML</t>
  </si>
  <si>
    <t>CYMBALTA CAP 30 MG</t>
  </si>
  <si>
    <t>DEBROX 6.5% EAR DROPS</t>
  </si>
  <si>
    <t>DEXAMETHASONE 10 MG VIAL</t>
  </si>
  <si>
    <t>DEPACON INJ 500 MG</t>
  </si>
  <si>
    <t>DILANTIN CAP 100 MG</t>
  </si>
  <si>
    <t>GABITRIL TAB 4 MG</t>
  </si>
  <si>
    <t>INVANZ INJ 1 GM</t>
  </si>
  <si>
    <t>KENALOG-ORABASE 0.1% PASTE</t>
  </si>
  <si>
    <t>LACRI-LUBE OPTH OINT 3.5 GM</t>
  </si>
  <si>
    <t>LEXAPRO TAB 5 MG</t>
  </si>
  <si>
    <t>LORTAB ELIXIR UD 15 ML</t>
  </si>
  <si>
    <t>MACROBID CAP 100 MG</t>
  </si>
  <si>
    <t>MEGACE SUSP UD 400 MG / 10 ML</t>
  </si>
  <si>
    <t>METROGEL-VAGINAL 0.75% GEL 70G</t>
  </si>
  <si>
    <t>MIRAPEX TAB 0.25 MG</t>
  </si>
  <si>
    <t>MOBIC TAB 15 MG</t>
  </si>
  <si>
    <t>NAMENDA TAB 10 MG</t>
  </si>
  <si>
    <t>NEOSPORIN OINTMENT 15 GM</t>
  </si>
  <si>
    <t>NICODERM CQ PATCH 14 MG / 24 H</t>
  </si>
  <si>
    <t>NICODERM CQ PATCH 7 MG / 24 HR</t>
  </si>
  <si>
    <t>NITROGLYCERIN PATCH 0.1 MG / H</t>
  </si>
  <si>
    <t>INSULIN NOVOLOG 1000 U/10 ML</t>
  </si>
  <si>
    <t>PAXIL CR TAB 12.5 MG</t>
  </si>
  <si>
    <t>THORAZINE TAB 10 MG</t>
  </si>
  <si>
    <t>TEGRETOL 100MG/5ML SUSP 120 ML</t>
  </si>
  <si>
    <t>WELLBUTRIN XL TAB 300 MG</t>
  </si>
  <si>
    <t>ZOCOR TAB 40 MG</t>
  </si>
  <si>
    <t>ZOVIRAX 5% CRM 2 GM</t>
  </si>
  <si>
    <t>MYCOSTATIN 100,000U/GM CRM 30G</t>
  </si>
  <si>
    <t>ERYTHROMYCIN DR CAP 250 MG</t>
  </si>
  <si>
    <t>NICODERM CQ PATCH 21 MG / 24 H</t>
  </si>
  <si>
    <t>DYLOJECT 37.5 MG/ML INJECTION</t>
  </si>
  <si>
    <t>PHARMACY MISC 7</t>
  </si>
  <si>
    <t>PHARMACY MISC 8</t>
  </si>
  <si>
    <t>PHARMACY MISC 9</t>
  </si>
  <si>
    <t>KCL SPRINKLE CAP 10MEQ</t>
  </si>
  <si>
    <t>LITHIUM CARB CAP 150 MG</t>
  </si>
  <si>
    <t>LIDOCAINE OINT 5% TUBE</t>
  </si>
  <si>
    <t>MORPHINE 5MG/0.25ML ORAL SOL</t>
  </si>
  <si>
    <t>VOLTAREN GEL 1% 100GM</t>
  </si>
  <si>
    <t>ELIQUIS 5 MG TAB</t>
  </si>
  <si>
    <t>ELIQUIS 2.5 MG TAB</t>
  </si>
  <si>
    <t>NAFCILLIN 2 GM INJ</t>
  </si>
  <si>
    <t>LOVENOX INJ 150 MG</t>
  </si>
  <si>
    <t>CLINIMIX E 4.25/D10W 2000ML</t>
  </si>
  <si>
    <t>RESTASSIS 0.05% DPET</t>
  </si>
  <si>
    <t>SANTY UD OINT 4.28MG (COLLAGEN</t>
  </si>
  <si>
    <t>ALBUMIN 5% INJ 250 ML</t>
  </si>
  <si>
    <t>AMIKACIN (PHARMACY CONSULT)</t>
  </si>
  <si>
    <t>CLINIMIX E5%D20W 2000ML IV BAG</t>
  </si>
  <si>
    <t>OPTI-FREE EXPRESS ML SOLN 118M</t>
  </si>
  <si>
    <t>PRELONE 15 MG/5ML SOLN</t>
  </si>
  <si>
    <t>0.9% N.S IRIGATION 3000ML</t>
  </si>
  <si>
    <t>IOPAMIDOL</t>
  </si>
  <si>
    <t>ENSURE ENLIVE</t>
  </si>
  <si>
    <t>ENSUSRE HIGH PROTEIN</t>
  </si>
  <si>
    <t>ENSURE CLEAR</t>
  </si>
  <si>
    <t>GLUCERNA</t>
  </si>
  <si>
    <t>NEPRO ORAL</t>
  </si>
  <si>
    <t>SUPLENA</t>
  </si>
  <si>
    <t>PROSTAT</t>
  </si>
  <si>
    <t>PACKET JUVEN</t>
  </si>
  <si>
    <t>JEVITY 1.2 LITER</t>
  </si>
  <si>
    <t>GLUCERNA 1.2</t>
  </si>
  <si>
    <t>OSMOLITE 1.2 LITER</t>
  </si>
  <si>
    <t>TWO CAL HN</t>
  </si>
  <si>
    <t>NEPRO- TUBE FEEDING</t>
  </si>
  <si>
    <t>VITAL AF 1.2 CAL</t>
  </si>
  <si>
    <t>PULMOCARE</t>
  </si>
  <si>
    <t>REMDESIVIR 100MG</t>
  </si>
  <si>
    <t>COVID19 1ST VACC PFIZER</t>
  </si>
  <si>
    <t>COVID19 2ND VACCINE PFIZER</t>
  </si>
  <si>
    <t>COVID19 1ST VAC MODERNA</t>
  </si>
  <si>
    <t>COVID19 2ND VACC ADM</t>
  </si>
  <si>
    <t>CDM#</t>
  </si>
  <si>
    <t>Price</t>
  </si>
  <si>
    <t>Rev Code</t>
  </si>
  <si>
    <t>Cpt Code</t>
  </si>
  <si>
    <t>Hospital Name:  L.A.  DOWNTOWN MEDICAL CENTER</t>
  </si>
  <si>
    <t>OSHPD Facility No: 106190661</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</si>
  <si>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</si>
  <si>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CPT Code</t>
  </si>
  <si>
    <t>Average Charge</t>
  </si>
  <si>
    <t>Laboratory &amp; Pathology Services (CPT Codes 80047-89398)</t>
  </si>
  <si>
    <t>Basic Metabolic Panel</t>
  </si>
  <si>
    <t>Coronary Lipid Panel</t>
  </si>
  <si>
    <t>Complete Blood Count, with differential WBC, automated</t>
  </si>
  <si>
    <t>Comprehensive Metabolic Panel</t>
  </si>
  <si>
    <t>CK Total</t>
  </si>
  <si>
    <t>CKMB Fraction</t>
  </si>
  <si>
    <t>Troponin, Quantitative</t>
  </si>
  <si>
    <t>Hepatitis Panel (B&amp;A)</t>
  </si>
  <si>
    <t>Urinalysis, with microscopy</t>
  </si>
  <si>
    <t>Radiology Services  (CPT Codes 70010-79999)</t>
  </si>
  <si>
    <t xml:space="preserve">  Chest Xray 1 view</t>
  </si>
  <si>
    <t>CT Scan, Head or Brain, without contrast</t>
  </si>
  <si>
    <t>CT Scan, Abd/Pelvis, withoutcontrast</t>
  </si>
  <si>
    <t>MRI, Head or Brain, without contrast, followed by contrast</t>
  </si>
  <si>
    <t>Ultrasound, OB, Biophysical Profile</t>
  </si>
  <si>
    <t>X-Ray, Chest, two views</t>
  </si>
  <si>
    <t>Medicine Services  (CPT Codes 90281-99607)</t>
  </si>
  <si>
    <t>Echo  2D / M Mode</t>
  </si>
  <si>
    <t xml:space="preserve">  EKG 12 LEAD</t>
  </si>
  <si>
    <t>Surgery Services  (CPT Codes 10021-69990)</t>
  </si>
  <si>
    <t>Arthroscopy, Shoulder, Surgical; w/Rotator Cuff Repair</t>
  </si>
  <si>
    <t>Colonoscopy, diagnostic</t>
  </si>
  <si>
    <t>Count of Reported Procedures (minimum 25 required)</t>
  </si>
  <si>
    <t>Instructions for Completing AB 1045 Common Outpatient Procedure Form</t>
  </si>
  <si>
    <t>1. Enter Hospital Name and OSHPD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</si>
  <si>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</si>
  <si>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</si>
  <si>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</si>
  <si>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</si>
  <si>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</si>
  <si>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</si>
  <si>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</si>
  <si>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</si>
  <si>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chargemaster@oshpd.ca.gov or by standard mail on CD.</t>
  </si>
  <si>
    <t>Hospital Name: L.A.  Downtown Medical Center</t>
  </si>
  <si>
    <t>Previous Year Gross Revenue</t>
  </si>
  <si>
    <t>Current Year Gross Revenue</t>
  </si>
  <si>
    <t>% Change</t>
  </si>
  <si>
    <t>This change is due to low census</t>
  </si>
  <si>
    <t>Carpal Tunnel</t>
  </si>
  <si>
    <t>Revise Ulnar Nerve</t>
  </si>
  <si>
    <t>NJX INTERLAMINAR CRV/THR</t>
  </si>
  <si>
    <t xml:space="preserve">  NJX INTERLAMINAR LMBR/SA</t>
  </si>
  <si>
    <t>Incision of Spinal Nerve</t>
  </si>
  <si>
    <t xml:space="preserve">  LEXI STRESS TEST</t>
  </si>
  <si>
    <t>Effective Date of Charges: 2024</t>
  </si>
  <si>
    <t>Effective Date of Charges: June 1, 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</si>
</sst>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_);[Red]\(&quot;$&quot;#,##0\)"/>
    <numFmt numFmtId="44" formatCode="_(&quot;$&quot;* #,##0.00_);_(&quot;$&quot;* \(#,##0.00\);_(&quot;$&quot;* &quot;-&quot;??_);_(@_)"/>
    <numFmt numFmtId="164" formatCode="&quot;$&quot;#,##0.00"/>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1"/>
      <name val="Arial"/>
      <family val="2"/>
    </font>
    <font>
      <sz val="11"/>
      <name val="Arial"/>
      <family val="2"/>
    </font>
    <font>
      <sz val="11"/>
      <color theme="1"/>
      <name val="Arial"/>
      <family val="2"/>
    </font>
    <font>
      <sz val="12"/>
      <color theme="1"/>
      <name val="Calibri"/>
      <family val="2"/>
      <scheme val="minor"/>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0"/>
      <name val="Arial"/>
      <family val="2"/>
    </font>
    <font>
      <sz val="10"/>
      <color rgb="FF000000"/>
      <name val="Arial Unicode MS"/>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3">
    <xf numFmtId="0" fontId="0" fillId="0" borderId="0"/>
    <xf numFmtId="44" fontId="1" fillId="0" borderId="0" applyFont="0" applyFill="0" applyBorder="0" applyAlignment="0" applyProtection="0"/>
    <xf numFmtId="44" fontId="12" fillId="0" borderId="0" applyFont="0" applyFill="0" applyBorder="0" applyAlignment="0" applyProtection="0"/>
  </cellStyleXfs>
  <cellXfs count="73">
    <xf numFmtId="0" fontId="0" fillId="0" borderId="0" xfId="0"/>
    <xf numFmtId="4" fontId="0" fillId="0" borderId="0" xfId="0" applyNumberFormat="1"/>
    <xf numFmtId="0" fontId="2" fillId="0" borderId="0" xfId="0" applyFont="1"/>
    <xf numFmtId="0" fontId="3" fillId="0" borderId="1" xfId="0" applyFont="1" applyBorder="1" applyAlignment="1">
      <alignment horizontal="left"/>
    </xf>
    <xf numFmtId="0" fontId="4" fillId="0" borderId="2" xfId="0" applyFont="1" applyBorder="1" applyAlignment="1">
      <alignment vertical="center" wrapText="1"/>
    </xf>
    <xf numFmtId="0" fontId="4" fillId="0" borderId="3" xfId="0" applyFont="1" applyBorder="1"/>
    <xf numFmtId="0" fontId="3" fillId="0" borderId="4" xfId="0" applyFont="1" applyBorder="1" applyAlignment="1">
      <alignment horizontal="left"/>
    </xf>
    <xf numFmtId="0" fontId="4" fillId="0" borderId="0" xfId="0" applyFont="1" applyBorder="1" applyAlignment="1">
      <alignment vertical="center" wrapText="1"/>
    </xf>
    <xf numFmtId="0" fontId="4" fillId="0" borderId="5" xfId="0" applyFont="1" applyBorder="1"/>
    <xf numFmtId="0" fontId="3" fillId="0" borderId="6" xfId="0" applyFont="1" applyBorder="1" applyAlignment="1">
      <alignment horizontal="left"/>
    </xf>
    <xf numFmtId="0" fontId="4" fillId="0" borderId="7" xfId="0" applyFont="1" applyBorder="1" applyAlignment="1">
      <alignment vertical="center" wrapText="1"/>
    </xf>
    <xf numFmtId="0" fontId="4" fillId="0" borderId="8" xfId="0" applyFont="1" applyBorder="1"/>
    <xf numFmtId="0" fontId="3" fillId="2" borderId="12" xfId="0" applyFont="1" applyFill="1" applyBorder="1" applyAlignment="1">
      <alignment horizontal="center" vertical="center" wrapText="1"/>
    </xf>
    <xf numFmtId="0" fontId="3" fillId="2" borderId="11" xfId="0" applyFont="1" applyFill="1" applyBorder="1" applyAlignment="1">
      <alignment horizontal="center"/>
    </xf>
    <xf numFmtId="0" fontId="4" fillId="0" borderId="13" xfId="0" applyFont="1" applyFill="1" applyBorder="1" applyAlignment="1">
      <alignment horizontal="center" vertical="center" wrapText="1"/>
    </xf>
    <xf numFmtId="44" fontId="5" fillId="3" borderId="12" xfId="1" applyFont="1" applyFill="1" applyBorder="1"/>
    <xf numFmtId="0" fontId="4" fillId="0" borderId="14" xfId="0" applyFont="1" applyFill="1" applyBorder="1" applyAlignment="1">
      <alignment horizontal="center" vertical="center" wrapText="1"/>
    </xf>
    <xf numFmtId="0" fontId="3" fillId="2" borderId="12" xfId="0" applyFont="1" applyFill="1" applyBorder="1" applyAlignment="1"/>
    <xf numFmtId="17" fontId="4" fillId="0" borderId="13" xfId="0" applyNumberFormat="1" applyFont="1" applyFill="1" applyBorder="1" applyAlignment="1">
      <alignment horizontal="left" indent="1"/>
    </xf>
    <xf numFmtId="0" fontId="4" fillId="0" borderId="15" xfId="0" applyFont="1" applyFill="1" applyBorder="1" applyAlignment="1">
      <alignment horizontal="center" vertical="center" wrapText="1"/>
    </xf>
    <xf numFmtId="17" fontId="4" fillId="0" borderId="14" xfId="0" applyNumberFormat="1" applyFont="1" applyFill="1" applyBorder="1" applyAlignment="1">
      <alignment horizontal="left" indent="1"/>
    </xf>
    <xf numFmtId="0" fontId="4" fillId="0" borderId="16" xfId="0" applyFont="1" applyFill="1" applyBorder="1" applyAlignment="1">
      <alignment horizontal="center" vertical="center" wrapText="1"/>
    </xf>
    <xf numFmtId="44" fontId="4" fillId="3" borderId="12" xfId="1" applyFont="1" applyFill="1" applyBorder="1" applyAlignment="1"/>
    <xf numFmtId="0" fontId="4" fillId="0" borderId="14" xfId="0" applyFont="1" applyFill="1" applyBorder="1" applyAlignment="1">
      <alignment horizontal="left" indent="1"/>
    </xf>
    <xf numFmtId="0" fontId="5" fillId="0" borderId="0" xfId="0" applyFont="1" applyAlignment="1">
      <alignment horizontal="center"/>
    </xf>
    <xf numFmtId="0" fontId="4" fillId="0" borderId="14" xfId="0" applyFont="1" applyFill="1" applyBorder="1" applyAlignment="1">
      <alignment horizontal="left" wrapText="1" indent="1"/>
    </xf>
    <xf numFmtId="0" fontId="4" fillId="0" borderId="16" xfId="0" applyFont="1" applyFill="1" applyBorder="1" applyAlignment="1">
      <alignment horizontal="center" wrapText="1"/>
    </xf>
    <xf numFmtId="17" fontId="3" fillId="2" borderId="12" xfId="0" applyNumberFormat="1" applyFont="1" applyFill="1" applyBorder="1" applyAlignment="1"/>
    <xf numFmtId="17" fontId="4" fillId="3" borderId="17" xfId="0" applyNumberFormat="1" applyFont="1" applyFill="1" applyBorder="1" applyAlignment="1"/>
    <xf numFmtId="0" fontId="4" fillId="3" borderId="17" xfId="0" applyFont="1" applyFill="1" applyBorder="1" applyAlignment="1">
      <alignment horizontal="center" vertical="center" wrapText="1"/>
    </xf>
    <xf numFmtId="44" fontId="4" fillId="3" borderId="12" xfId="1" applyFont="1" applyFill="1" applyBorder="1" applyAlignment="1">
      <alignment horizontal="center"/>
    </xf>
    <xf numFmtId="44" fontId="6" fillId="3" borderId="12" xfId="1" applyFont="1" applyFill="1" applyBorder="1"/>
    <xf numFmtId="17" fontId="4" fillId="0" borderId="14" xfId="0" applyNumberFormat="1" applyFont="1" applyFill="1" applyBorder="1" applyAlignment="1">
      <alignment horizontal="left" wrapText="1" indent="1"/>
    </xf>
    <xf numFmtId="164" fontId="3" fillId="2" borderId="11" xfId="0" applyNumberFormat="1" applyFont="1" applyFill="1" applyBorder="1" applyAlignment="1">
      <alignment horizontal="center"/>
    </xf>
    <xf numFmtId="0" fontId="4" fillId="0" borderId="13" xfId="0" applyFont="1" applyFill="1" applyBorder="1" applyAlignment="1">
      <alignment horizontal="left" indent="1"/>
    </xf>
    <xf numFmtId="0" fontId="6" fillId="0" borderId="0" xfId="0" applyFont="1" applyFill="1"/>
    <xf numFmtId="0" fontId="4" fillId="0" borderId="13" xfId="0" applyFont="1" applyFill="1" applyBorder="1" applyAlignment="1">
      <alignment horizontal="center" wrapText="1"/>
    </xf>
    <xf numFmtId="44" fontId="4" fillId="0" borderId="12" xfId="1" applyFont="1" applyBorder="1" applyAlignment="1"/>
    <xf numFmtId="0" fontId="4" fillId="0" borderId="14" xfId="0" applyFont="1" applyFill="1" applyBorder="1" applyAlignment="1">
      <alignment horizontal="center" wrapText="1"/>
    </xf>
    <xf numFmtId="44" fontId="4" fillId="0" borderId="12" xfId="1" applyNumberFormat="1" applyFont="1" applyFill="1" applyBorder="1" applyAlignment="1"/>
    <xf numFmtId="0" fontId="4" fillId="0" borderId="17" xfId="0" applyFont="1" applyFill="1" applyBorder="1" applyAlignment="1">
      <alignment horizontal="left" indent="1"/>
    </xf>
    <xf numFmtId="0" fontId="4" fillId="0" borderId="17" xfId="0" applyFont="1" applyFill="1" applyBorder="1" applyAlignment="1">
      <alignment horizontal="center" wrapText="1"/>
    </xf>
    <xf numFmtId="44" fontId="4" fillId="0" borderId="11" xfId="1" applyFont="1" applyBorder="1" applyAlignment="1"/>
    <xf numFmtId="0" fontId="3" fillId="0" borderId="18" xfId="0" applyFont="1" applyFill="1" applyBorder="1" applyAlignment="1">
      <alignment horizontal="left" indent="1"/>
    </xf>
    <xf numFmtId="0" fontId="4" fillId="0" borderId="19" xfId="0" applyFont="1" applyBorder="1"/>
    <xf numFmtId="0" fontId="4" fillId="0" borderId="20" xfId="0" applyFont="1" applyBorder="1"/>
    <xf numFmtId="0" fontId="7" fillId="0" borderId="4" xfId="0" applyFont="1" applyBorder="1"/>
    <xf numFmtId="0" fontId="8" fillId="0" borderId="0" xfId="0" applyFont="1" applyBorder="1" applyAlignment="1">
      <alignment vertical="center" wrapText="1"/>
    </xf>
    <xf numFmtId="0" fontId="4" fillId="0" borderId="21" xfId="0" applyFont="1" applyBorder="1"/>
    <xf numFmtId="0" fontId="9" fillId="0" borderId="4" xfId="0" applyFont="1" applyBorder="1" applyAlignment="1">
      <alignment horizontal="left"/>
    </xf>
    <xf numFmtId="0" fontId="9" fillId="0" borderId="0" xfId="0" applyFont="1" applyBorder="1"/>
    <xf numFmtId="164" fontId="9" fillId="0" borderId="5" xfId="0" applyNumberFormat="1" applyFont="1" applyBorder="1"/>
    <xf numFmtId="0" fontId="9" fillId="0" borderId="0" xfId="0" applyFont="1" applyBorder="1" applyAlignment="1">
      <alignment vertical="center" wrapText="1"/>
    </xf>
    <xf numFmtId="0" fontId="9" fillId="0" borderId="5" xfId="0" applyFont="1" applyBorder="1"/>
    <xf numFmtId="0" fontId="9" fillId="0" borderId="0" xfId="0" applyFont="1" applyAlignment="1">
      <alignment vertical="center" wrapText="1"/>
    </xf>
    <xf numFmtId="0" fontId="9" fillId="0" borderId="0" xfId="0" applyNumberFormat="1" applyFont="1" applyBorder="1" applyAlignment="1">
      <alignment vertical="center" wrapText="1"/>
    </xf>
    <xf numFmtId="3" fontId="9" fillId="0" borderId="5" xfId="0" applyNumberFormat="1" applyFont="1" applyBorder="1"/>
    <xf numFmtId="0" fontId="9" fillId="0" borderId="6" xfId="0" applyFont="1" applyBorder="1" applyAlignment="1">
      <alignment horizontal="left"/>
    </xf>
    <xf numFmtId="0" fontId="9" fillId="0" borderId="7" xfId="0" applyFont="1" applyBorder="1" applyAlignment="1">
      <alignment vertical="center" wrapText="1"/>
    </xf>
    <xf numFmtId="0" fontId="9" fillId="0" borderId="8" xfId="0" applyFont="1" applyBorder="1"/>
    <xf numFmtId="0" fontId="2" fillId="0" borderId="12" xfId="0" applyFont="1" applyBorder="1"/>
    <xf numFmtId="0" fontId="2" fillId="0" borderId="12" xfId="0" applyFont="1" applyBorder="1" applyAlignment="1">
      <alignment horizontal="center"/>
    </xf>
    <xf numFmtId="0" fontId="2" fillId="0" borderId="12" xfId="0" applyFont="1" applyBorder="1" applyAlignment="1">
      <alignment vertical="center"/>
    </xf>
    <xf numFmtId="0" fontId="2" fillId="0" borderId="12" xfId="0" applyFont="1" applyBorder="1" applyAlignment="1">
      <alignment horizontal="center" vertical="center"/>
    </xf>
    <xf numFmtId="0" fontId="0" fillId="0" borderId="0" xfId="0" applyAlignment="1">
      <alignment vertical="center"/>
    </xf>
    <xf numFmtId="6" fontId="0" fillId="0" borderId="12" xfId="0" applyNumberFormat="1" applyBorder="1" applyAlignment="1">
      <alignment horizontal="center"/>
    </xf>
    <xf numFmtId="10" fontId="0" fillId="0" borderId="12" xfId="0" applyNumberFormat="1" applyBorder="1" applyAlignment="1">
      <alignment horizontal="center"/>
    </xf>
    <xf numFmtId="44" fontId="12" fillId="0" borderId="0" xfId="2" applyFont="1" applyFill="1"/>
    <xf numFmtId="0" fontId="13" fillId="0" borderId="0" xfId="0" applyFont="1" applyAlignment="1">
      <alignment vertical="center"/>
    </xf>
    <xf numFmtId="0" fontId="4" fillId="0" borderId="17" xfId="0" applyFont="1" applyFill="1" applyBorder="1" applyAlignment="1">
      <alignment horizontal="center" vertical="center" wrapText="1"/>
    </xf>
    <xf numFmtId="0" fontId="4" fillId="0" borderId="9" xfId="0" applyFont="1" applyBorder="1" applyAlignment="1">
      <alignment horizontal="left" wrapText="1"/>
    </xf>
    <xf numFmtId="0" fontId="4" fillId="0" borderId="10" xfId="0" applyFont="1" applyBorder="1" applyAlignment="1">
      <alignment horizontal="left" wrapText="1"/>
    </xf>
    <xf numFmtId="0" fontId="4" fillId="0" borderId="11" xfId="0" applyFont="1" applyBorder="1" applyAlignment="1">
      <alignment horizontal="left" wrapText="1"/>
    </xf>
  </cellXfs>
  <cellStyles count="3">
    <cellStyle name="Currency" xfId="1" builtinId="4"/>
    <cellStyle name="Currency 9"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077"/>
  <sheetViews>
    <sheetView workbookViewId="0">
      <selection activeCell="A2" sqref="A2"/>
    </sheetView>
  </sheetViews>
  <sheetFormatPr defaultRowHeight="15" x14ac:dyDescent="0.25"/>
  <cols>
    <col min="1" max="1" width="16.28515625" customWidth="1"/>
    <col min="2" max="2" width="36.42578125" customWidth="1"/>
    <col min="3" max="3" width="11" customWidth="1"/>
    <col min="4" max="4" width="5.140625" customWidth="1"/>
  </cols>
  <sheetData>
    <row r="1" spans="1:5" x14ac:dyDescent="0.25">
      <c r="A1" s="2" t="s">
        <v>10263</v>
      </c>
      <c r="B1" s="2" t="s">
        <v>0</v>
      </c>
      <c r="C1" s="2" t="s">
        <v>10264</v>
      </c>
      <c r="D1" s="2" t="s">
        <v>10265</v>
      </c>
      <c r="E1" s="2" t="s">
        <v>10266</v>
      </c>
    </row>
    <row r="2" spans="1:5" x14ac:dyDescent="0.25">
      <c r="A2" t="str">
        <f>"617110100"</f>
        <v>617110100</v>
      </c>
      <c r="B2" t="s">
        <v>1</v>
      </c>
      <c r="C2" s="1">
        <v>3465</v>
      </c>
      <c r="D2" t="str">
        <f>"110"</f>
        <v>110</v>
      </c>
    </row>
    <row r="3" spans="1:5" x14ac:dyDescent="0.25">
      <c r="A3" t="str">
        <f>"617110101"</f>
        <v>617110101</v>
      </c>
      <c r="B3" t="s">
        <v>2</v>
      </c>
      <c r="C3" s="1">
        <v>3850</v>
      </c>
      <c r="D3" t="str">
        <f>"210"</f>
        <v>210</v>
      </c>
    </row>
    <row r="4" spans="1:5" x14ac:dyDescent="0.25">
      <c r="A4" t="str">
        <f>"617110400"</f>
        <v>617110400</v>
      </c>
      <c r="B4" t="s">
        <v>3</v>
      </c>
      <c r="C4" s="1">
        <v>3465</v>
      </c>
      <c r="D4" t="str">
        <f>"111"</f>
        <v>111</v>
      </c>
    </row>
    <row r="5" spans="1:5" x14ac:dyDescent="0.25">
      <c r="A5" t="str">
        <f>"617120300"</f>
        <v>617120300</v>
      </c>
      <c r="B5" t="s">
        <v>4</v>
      </c>
      <c r="C5" s="1">
        <v>2598.75</v>
      </c>
      <c r="D5" t="str">
        <f>"120"</f>
        <v>120</v>
      </c>
    </row>
    <row r="6" spans="1:5" x14ac:dyDescent="0.25">
      <c r="A6" t="str">
        <f>"617120301"</f>
        <v>617120301</v>
      </c>
      <c r="B6" t="s">
        <v>5</v>
      </c>
      <c r="C6" s="1">
        <v>2598.75</v>
      </c>
      <c r="D6" t="str">
        <f>"124"</f>
        <v>124</v>
      </c>
    </row>
    <row r="7" spans="1:5" x14ac:dyDescent="0.25">
      <c r="A7" t="str">
        <f>"617512600"</f>
        <v>617512600</v>
      </c>
      <c r="B7" t="s">
        <v>6</v>
      </c>
      <c r="C7">
        <v>234.47</v>
      </c>
      <c r="D7" t="str">
        <f t="shared" ref="D7:D17" si="0">"456"</f>
        <v>456</v>
      </c>
      <c r="E7" t="str">
        <f>"96361"</f>
        <v>96361</v>
      </c>
    </row>
    <row r="8" spans="1:5" x14ac:dyDescent="0.25">
      <c r="A8" t="str">
        <f>"617512605"</f>
        <v>617512605</v>
      </c>
      <c r="B8" t="s">
        <v>7</v>
      </c>
      <c r="C8">
        <v>228.69</v>
      </c>
      <c r="D8" t="str">
        <f t="shared" si="0"/>
        <v>456</v>
      </c>
      <c r="E8" t="str">
        <f>"96366"</f>
        <v>96366</v>
      </c>
    </row>
    <row r="9" spans="1:5" x14ac:dyDescent="0.25">
      <c r="A9" t="str">
        <f>"617512610"</f>
        <v>617512610</v>
      </c>
      <c r="B9" t="s">
        <v>8</v>
      </c>
      <c r="C9">
        <v>226.38</v>
      </c>
      <c r="D9" t="str">
        <f t="shared" si="0"/>
        <v>456</v>
      </c>
      <c r="E9" t="str">
        <f>"96367"</f>
        <v>96367</v>
      </c>
    </row>
    <row r="10" spans="1:5" x14ac:dyDescent="0.25">
      <c r="A10" t="str">
        <f>"617512615"</f>
        <v>617512615</v>
      </c>
      <c r="B10" t="s">
        <v>9</v>
      </c>
      <c r="C10">
        <v>439.19</v>
      </c>
      <c r="D10" t="str">
        <f t="shared" si="0"/>
        <v>456</v>
      </c>
      <c r="E10" t="str">
        <f>"96360"</f>
        <v>96360</v>
      </c>
    </row>
    <row r="11" spans="1:5" x14ac:dyDescent="0.25">
      <c r="A11" t="str">
        <f>"617512620"</f>
        <v>617512620</v>
      </c>
      <c r="B11" t="s">
        <v>10</v>
      </c>
      <c r="C11">
        <v>446.14</v>
      </c>
      <c r="D11" t="str">
        <f t="shared" si="0"/>
        <v>456</v>
      </c>
      <c r="E11" t="str">
        <f>"96365"</f>
        <v>96365</v>
      </c>
    </row>
    <row r="12" spans="1:5" x14ac:dyDescent="0.25">
      <c r="A12" t="str">
        <f>"617512625"</f>
        <v>617512625</v>
      </c>
      <c r="B12" t="s">
        <v>11</v>
      </c>
      <c r="C12">
        <v>77.650000000000006</v>
      </c>
      <c r="D12" t="str">
        <f t="shared" si="0"/>
        <v>456</v>
      </c>
      <c r="E12" t="str">
        <f>"96368"</f>
        <v>96368</v>
      </c>
    </row>
    <row r="13" spans="1:5" x14ac:dyDescent="0.25">
      <c r="A13" t="str">
        <f>"617630030"</f>
        <v>617630030</v>
      </c>
      <c r="B13" t="s">
        <v>12</v>
      </c>
      <c r="C13">
        <v>135.13999999999999</v>
      </c>
      <c r="D13" t="str">
        <f t="shared" si="0"/>
        <v>456</v>
      </c>
      <c r="E13" t="str">
        <f>"96372"</f>
        <v>96372</v>
      </c>
    </row>
    <row r="14" spans="1:5" x14ac:dyDescent="0.25">
      <c r="A14" t="str">
        <f>"617630035"</f>
        <v>617630035</v>
      </c>
      <c r="B14" t="s">
        <v>13</v>
      </c>
      <c r="C14">
        <v>227.54</v>
      </c>
      <c r="D14" t="str">
        <f t="shared" si="0"/>
        <v>456</v>
      </c>
      <c r="E14" t="str">
        <f>"96373"</f>
        <v>96373</v>
      </c>
    </row>
    <row r="15" spans="1:5" x14ac:dyDescent="0.25">
      <c r="A15" t="str">
        <f>"617630040"</f>
        <v>617630040</v>
      </c>
      <c r="B15" t="s">
        <v>14</v>
      </c>
      <c r="C15">
        <v>213.91</v>
      </c>
      <c r="D15" t="str">
        <f t="shared" si="0"/>
        <v>456</v>
      </c>
      <c r="E15" t="str">
        <f>"96374"</f>
        <v>96374</v>
      </c>
    </row>
    <row r="16" spans="1:5" x14ac:dyDescent="0.25">
      <c r="A16" t="str">
        <f>"617630045"</f>
        <v>617630045</v>
      </c>
      <c r="B16" t="s">
        <v>15</v>
      </c>
      <c r="C16">
        <v>200.13</v>
      </c>
      <c r="D16" t="str">
        <f t="shared" si="0"/>
        <v>456</v>
      </c>
      <c r="E16" t="str">
        <f>"96375"</f>
        <v>96375</v>
      </c>
    </row>
    <row r="17" spans="1:5" x14ac:dyDescent="0.25">
      <c r="A17" t="str">
        <f>"617630050"</f>
        <v>617630050</v>
      </c>
      <c r="B17" t="s">
        <v>16</v>
      </c>
      <c r="C17">
        <v>161.22999999999999</v>
      </c>
      <c r="D17" t="str">
        <f t="shared" si="0"/>
        <v>456</v>
      </c>
      <c r="E17" t="str">
        <f>"96376"</f>
        <v>96376</v>
      </c>
    </row>
    <row r="18" spans="1:5" x14ac:dyDescent="0.25">
      <c r="A18" t="str">
        <f>"617761000"</f>
        <v>617761000</v>
      </c>
      <c r="B18" t="s">
        <v>17</v>
      </c>
      <c r="C18" s="1">
        <v>2194.5</v>
      </c>
      <c r="D18" t="str">
        <f>"761"</f>
        <v>761</v>
      </c>
      <c r="E18" t="str">
        <f>"36569"</f>
        <v>36569</v>
      </c>
    </row>
    <row r="19" spans="1:5" x14ac:dyDescent="0.25">
      <c r="A19" t="str">
        <f>"617762005"</f>
        <v>617762005</v>
      </c>
      <c r="B19" t="s">
        <v>18</v>
      </c>
      <c r="C19">
        <v>209.06</v>
      </c>
      <c r="D19" t="str">
        <f>"762"</f>
        <v>762</v>
      </c>
      <c r="E19" t="str">
        <f>"G0379"</f>
        <v>G0379</v>
      </c>
    </row>
    <row r="20" spans="1:5" x14ac:dyDescent="0.25">
      <c r="A20" t="str">
        <f>"7042762102"</f>
        <v>7042762102</v>
      </c>
      <c r="B20" t="s">
        <v>19</v>
      </c>
      <c r="C20">
        <v>275</v>
      </c>
      <c r="D20" t="str">
        <f>"762"</f>
        <v>762</v>
      </c>
      <c r="E20" t="str">
        <f>"G0378"</f>
        <v>G0378</v>
      </c>
    </row>
    <row r="21" spans="1:5" x14ac:dyDescent="0.25">
      <c r="A21" t="str">
        <f>"742762100"</f>
        <v>742762100</v>
      </c>
      <c r="B21" t="s">
        <v>20</v>
      </c>
      <c r="C21" s="1">
        <v>1320</v>
      </c>
      <c r="D21" t="str">
        <f>"762"</f>
        <v>762</v>
      </c>
      <c r="E21" t="str">
        <f>"G0379"</f>
        <v>G0379</v>
      </c>
    </row>
    <row r="22" spans="1:5" x14ac:dyDescent="0.25">
      <c r="A22" t="str">
        <f>"743110200"</f>
        <v>743110200</v>
      </c>
      <c r="B22" t="s">
        <v>21</v>
      </c>
      <c r="C22" s="1">
        <v>3176.25</v>
      </c>
      <c r="D22" t="str">
        <f>"120"</f>
        <v>120</v>
      </c>
    </row>
    <row r="23" spans="1:5" x14ac:dyDescent="0.25">
      <c r="A23" t="str">
        <f>"634110300"</f>
        <v>634110300</v>
      </c>
      <c r="B23" t="s">
        <v>22</v>
      </c>
      <c r="C23" s="1">
        <v>3465</v>
      </c>
      <c r="D23" t="str">
        <f>"114"</f>
        <v>114</v>
      </c>
    </row>
    <row r="24" spans="1:5" x14ac:dyDescent="0.25">
      <c r="A24" t="str">
        <f>"634110301"</f>
        <v>634110301</v>
      </c>
      <c r="B24" t="s">
        <v>23</v>
      </c>
      <c r="C24">
        <v>192.5</v>
      </c>
      <c r="D24" t="str">
        <f>"914"</f>
        <v>914</v>
      </c>
      <c r="E24" t="str">
        <f>"90801"</f>
        <v>90801</v>
      </c>
    </row>
    <row r="25" spans="1:5" x14ac:dyDescent="0.25">
      <c r="A25" t="str">
        <f>"634120050"</f>
        <v>634120050</v>
      </c>
      <c r="B25" t="s">
        <v>24</v>
      </c>
      <c r="C25" s="1">
        <v>2598.75</v>
      </c>
      <c r="D25" t="str">
        <f>"124"</f>
        <v>124</v>
      </c>
    </row>
    <row r="26" spans="1:5" x14ac:dyDescent="0.25">
      <c r="A26" t="str">
        <f>"634910000"</f>
        <v>634910000</v>
      </c>
      <c r="B26" t="s">
        <v>25</v>
      </c>
      <c r="C26">
        <v>231</v>
      </c>
      <c r="D26" t="str">
        <f t="shared" ref="D26:D31" si="1">"914"</f>
        <v>914</v>
      </c>
      <c r="E26" t="str">
        <f>"90804"</f>
        <v>90804</v>
      </c>
    </row>
    <row r="27" spans="1:5" x14ac:dyDescent="0.25">
      <c r="A27" t="str">
        <f>"634910060"</f>
        <v>634910060</v>
      </c>
      <c r="B27" t="s">
        <v>26</v>
      </c>
      <c r="C27">
        <v>231</v>
      </c>
      <c r="D27" t="str">
        <f t="shared" si="1"/>
        <v>914</v>
      </c>
      <c r="E27" t="str">
        <f>"90806"</f>
        <v>90806</v>
      </c>
    </row>
    <row r="28" spans="1:5" x14ac:dyDescent="0.25">
      <c r="A28" t="str">
        <f>"634914010"</f>
        <v>634914010</v>
      </c>
      <c r="B28" t="s">
        <v>27</v>
      </c>
      <c r="C28">
        <v>231</v>
      </c>
      <c r="D28" t="str">
        <f t="shared" si="1"/>
        <v>914</v>
      </c>
      <c r="E28" t="str">
        <f>"90832"</f>
        <v>90832</v>
      </c>
    </row>
    <row r="29" spans="1:5" x14ac:dyDescent="0.25">
      <c r="A29" t="str">
        <f>"634914015"</f>
        <v>634914015</v>
      </c>
      <c r="B29" t="s">
        <v>28</v>
      </c>
      <c r="C29">
        <v>231</v>
      </c>
      <c r="D29" t="str">
        <f t="shared" si="1"/>
        <v>914</v>
      </c>
      <c r="E29" t="str">
        <f>"90834"</f>
        <v>90834</v>
      </c>
    </row>
    <row r="30" spans="1:5" x14ac:dyDescent="0.25">
      <c r="A30" t="str">
        <f>"634914020"</f>
        <v>634914020</v>
      </c>
      <c r="B30" t="s">
        <v>29</v>
      </c>
      <c r="C30">
        <v>231</v>
      </c>
      <c r="D30" t="str">
        <f t="shared" si="1"/>
        <v>914</v>
      </c>
      <c r="E30" t="str">
        <f>"90837"</f>
        <v>90837</v>
      </c>
    </row>
    <row r="31" spans="1:5" x14ac:dyDescent="0.25">
      <c r="A31" t="str">
        <f>"634914021"</f>
        <v>634914021</v>
      </c>
      <c r="B31" t="s">
        <v>28</v>
      </c>
      <c r="C31">
        <v>231</v>
      </c>
      <c r="D31" t="str">
        <f t="shared" si="1"/>
        <v>914</v>
      </c>
      <c r="E31" t="str">
        <f>"90834"</f>
        <v>90834</v>
      </c>
    </row>
    <row r="32" spans="1:5" x14ac:dyDescent="0.25">
      <c r="A32" t="str">
        <f>"634915010"</f>
        <v>634915010</v>
      </c>
      <c r="B32" t="s">
        <v>30</v>
      </c>
      <c r="C32">
        <v>231</v>
      </c>
      <c r="D32" t="str">
        <f t="shared" ref="D32:D42" si="2">"915"</f>
        <v>915</v>
      </c>
      <c r="E32" t="str">
        <f t="shared" ref="E32:E39" si="3">"90853"</f>
        <v>90853</v>
      </c>
    </row>
    <row r="33" spans="1:5" x14ac:dyDescent="0.25">
      <c r="A33" t="str">
        <f>"634915020"</f>
        <v>634915020</v>
      </c>
      <c r="B33" t="s">
        <v>31</v>
      </c>
      <c r="C33">
        <v>231</v>
      </c>
      <c r="D33" t="str">
        <f t="shared" si="2"/>
        <v>915</v>
      </c>
      <c r="E33" t="str">
        <f t="shared" si="3"/>
        <v>90853</v>
      </c>
    </row>
    <row r="34" spans="1:5" x14ac:dyDescent="0.25">
      <c r="A34" t="str">
        <f>"634915030"</f>
        <v>634915030</v>
      </c>
      <c r="B34" t="s">
        <v>32</v>
      </c>
      <c r="C34">
        <v>231</v>
      </c>
      <c r="D34" t="str">
        <f t="shared" si="2"/>
        <v>915</v>
      </c>
      <c r="E34" t="str">
        <f t="shared" si="3"/>
        <v>90853</v>
      </c>
    </row>
    <row r="35" spans="1:5" x14ac:dyDescent="0.25">
      <c r="A35" t="str">
        <f>"634915040"</f>
        <v>634915040</v>
      </c>
      <c r="B35" t="s">
        <v>33</v>
      </c>
      <c r="C35">
        <v>231</v>
      </c>
      <c r="D35" t="str">
        <f t="shared" si="2"/>
        <v>915</v>
      </c>
      <c r="E35" t="str">
        <f t="shared" si="3"/>
        <v>90853</v>
      </c>
    </row>
    <row r="36" spans="1:5" x14ac:dyDescent="0.25">
      <c r="A36" t="str">
        <f>"634915060"</f>
        <v>634915060</v>
      </c>
      <c r="B36" t="s">
        <v>34</v>
      </c>
      <c r="C36">
        <v>231</v>
      </c>
      <c r="D36" t="str">
        <f t="shared" si="2"/>
        <v>915</v>
      </c>
      <c r="E36" t="str">
        <f t="shared" si="3"/>
        <v>90853</v>
      </c>
    </row>
    <row r="37" spans="1:5" x14ac:dyDescent="0.25">
      <c r="A37" t="str">
        <f>"634915070"</f>
        <v>634915070</v>
      </c>
      <c r="B37" t="s">
        <v>35</v>
      </c>
      <c r="C37">
        <v>231</v>
      </c>
      <c r="D37" t="str">
        <f t="shared" si="2"/>
        <v>915</v>
      </c>
      <c r="E37" t="str">
        <f t="shared" si="3"/>
        <v>90853</v>
      </c>
    </row>
    <row r="38" spans="1:5" x14ac:dyDescent="0.25">
      <c r="A38" t="str">
        <f>"634915080"</f>
        <v>634915080</v>
      </c>
      <c r="B38" t="s">
        <v>36</v>
      </c>
      <c r="C38">
        <v>231</v>
      </c>
      <c r="D38" t="str">
        <f t="shared" si="2"/>
        <v>915</v>
      </c>
      <c r="E38" t="str">
        <f t="shared" si="3"/>
        <v>90853</v>
      </c>
    </row>
    <row r="39" spans="1:5" x14ac:dyDescent="0.25">
      <c r="A39" t="str">
        <f>"634915090"</f>
        <v>634915090</v>
      </c>
      <c r="B39" t="s">
        <v>37</v>
      </c>
      <c r="C39">
        <v>231</v>
      </c>
      <c r="D39" t="str">
        <f t="shared" si="2"/>
        <v>915</v>
      </c>
      <c r="E39" t="str">
        <f t="shared" si="3"/>
        <v>90853</v>
      </c>
    </row>
    <row r="40" spans="1:5" x14ac:dyDescent="0.25">
      <c r="A40" t="str">
        <f>"634915200"</f>
        <v>634915200</v>
      </c>
      <c r="B40" t="s">
        <v>38</v>
      </c>
      <c r="C40">
        <v>866.25</v>
      </c>
      <c r="D40" t="str">
        <f t="shared" si="2"/>
        <v>915</v>
      </c>
    </row>
    <row r="41" spans="1:5" x14ac:dyDescent="0.25">
      <c r="A41" t="str">
        <f>"634915210"</f>
        <v>634915210</v>
      </c>
      <c r="B41" t="s">
        <v>39</v>
      </c>
      <c r="C41">
        <v>231</v>
      </c>
      <c r="D41" t="str">
        <f t="shared" si="2"/>
        <v>915</v>
      </c>
      <c r="E41" t="str">
        <f>"90853"</f>
        <v>90853</v>
      </c>
    </row>
    <row r="42" spans="1:5" x14ac:dyDescent="0.25">
      <c r="A42" t="str">
        <f>"634915220"</f>
        <v>634915220</v>
      </c>
      <c r="B42" t="s">
        <v>40</v>
      </c>
      <c r="C42">
        <v>231</v>
      </c>
      <c r="D42" t="str">
        <f t="shared" si="2"/>
        <v>915</v>
      </c>
      <c r="E42" t="str">
        <f>"90853"</f>
        <v>90853</v>
      </c>
    </row>
    <row r="43" spans="1:5" x14ac:dyDescent="0.25">
      <c r="A43" t="str">
        <f>"634916010"</f>
        <v>634916010</v>
      </c>
      <c r="B43" t="s">
        <v>41</v>
      </c>
      <c r="C43">
        <v>231</v>
      </c>
      <c r="D43" t="str">
        <f>"916"</f>
        <v>916</v>
      </c>
      <c r="E43" t="str">
        <f>"90846"</f>
        <v>90846</v>
      </c>
    </row>
    <row r="44" spans="1:5" x14ac:dyDescent="0.25">
      <c r="A44" t="str">
        <f>"634916015"</f>
        <v>634916015</v>
      </c>
      <c r="B44" t="s">
        <v>42</v>
      </c>
      <c r="C44">
        <v>231</v>
      </c>
      <c r="D44" t="str">
        <f>"916"</f>
        <v>916</v>
      </c>
      <c r="E44" t="str">
        <f>"90847"</f>
        <v>90847</v>
      </c>
    </row>
    <row r="45" spans="1:5" x14ac:dyDescent="0.25">
      <c r="A45" t="str">
        <f>"634916020"</f>
        <v>634916020</v>
      </c>
      <c r="B45" t="s">
        <v>43</v>
      </c>
      <c r="C45">
        <v>231</v>
      </c>
      <c r="D45" t="str">
        <f>"916"</f>
        <v>916</v>
      </c>
      <c r="E45" t="str">
        <f>"90849"</f>
        <v>90849</v>
      </c>
    </row>
    <row r="46" spans="1:5" x14ac:dyDescent="0.25">
      <c r="A46" t="str">
        <f>"777422493"</f>
        <v>777422493</v>
      </c>
      <c r="B46" t="s">
        <v>44</v>
      </c>
      <c r="C46">
        <v>146.11000000000001</v>
      </c>
      <c r="D46" t="str">
        <f t="shared" ref="D46:D47" si="4">"456"</f>
        <v>456</v>
      </c>
      <c r="E46" t="str">
        <f>"29515"</f>
        <v>29515</v>
      </c>
    </row>
    <row r="47" spans="1:5" x14ac:dyDescent="0.25">
      <c r="A47" t="str">
        <f>"777422494"</f>
        <v>777422494</v>
      </c>
      <c r="B47" t="s">
        <v>45</v>
      </c>
      <c r="C47">
        <v>379.5</v>
      </c>
      <c r="D47" t="str">
        <f t="shared" si="4"/>
        <v>456</v>
      </c>
      <c r="E47" t="str">
        <f>"92950"</f>
        <v>92950</v>
      </c>
    </row>
    <row r="48" spans="1:5" x14ac:dyDescent="0.25">
      <c r="A48" t="str">
        <f>"472900128"</f>
        <v>472900128</v>
      </c>
      <c r="B48" t="s">
        <v>46</v>
      </c>
      <c r="C48" s="1">
        <v>1547.7</v>
      </c>
      <c r="D48" t="str">
        <f>"270"</f>
        <v>270</v>
      </c>
    </row>
    <row r="49" spans="1:4" x14ac:dyDescent="0.25">
      <c r="A49" t="str">
        <f>"742200100"</f>
        <v>742200100</v>
      </c>
      <c r="B49" t="s">
        <v>47</v>
      </c>
      <c r="C49">
        <v>896.5</v>
      </c>
      <c r="D49" t="str">
        <f>"272"</f>
        <v>272</v>
      </c>
    </row>
    <row r="50" spans="1:4" x14ac:dyDescent="0.25">
      <c r="A50" t="str">
        <f>"742200101"</f>
        <v>742200101</v>
      </c>
      <c r="B50" t="s">
        <v>48</v>
      </c>
      <c r="C50" s="1">
        <v>3190</v>
      </c>
      <c r="D50" t="str">
        <f>"272"</f>
        <v>272</v>
      </c>
    </row>
    <row r="51" spans="1:4" x14ac:dyDescent="0.25">
      <c r="A51" t="str">
        <f>"742200602"</f>
        <v>742200602</v>
      </c>
      <c r="B51" t="s">
        <v>49</v>
      </c>
      <c r="C51">
        <v>253</v>
      </c>
      <c r="D51" t="str">
        <f>"270"</f>
        <v>270</v>
      </c>
    </row>
    <row r="52" spans="1:4" x14ac:dyDescent="0.25">
      <c r="A52" t="str">
        <f>"742200800"</f>
        <v>742200800</v>
      </c>
      <c r="B52" t="s">
        <v>50</v>
      </c>
      <c r="C52" s="1">
        <v>2679.6</v>
      </c>
      <c r="D52" t="str">
        <f>"272"</f>
        <v>272</v>
      </c>
    </row>
    <row r="53" spans="1:4" x14ac:dyDescent="0.25">
      <c r="A53" t="str">
        <f>"742200802"</f>
        <v>742200802</v>
      </c>
      <c r="B53" t="s">
        <v>51</v>
      </c>
      <c r="C53" s="1">
        <v>3850</v>
      </c>
      <c r="D53" t="str">
        <f>"272"</f>
        <v>272</v>
      </c>
    </row>
    <row r="54" spans="1:4" x14ac:dyDescent="0.25">
      <c r="A54" t="str">
        <f>"742270556"</f>
        <v>742270556</v>
      </c>
      <c r="B54" t="s">
        <v>52</v>
      </c>
      <c r="C54">
        <v>967.9</v>
      </c>
      <c r="D54" t="str">
        <f>"272"</f>
        <v>272</v>
      </c>
    </row>
    <row r="55" spans="1:4" x14ac:dyDescent="0.25">
      <c r="A55" t="str">
        <f>"742271121"</f>
        <v>742271121</v>
      </c>
      <c r="B55" t="s">
        <v>53</v>
      </c>
      <c r="C55" s="1">
        <v>1051.97</v>
      </c>
      <c r="D55" t="str">
        <f>"760"</f>
        <v>760</v>
      </c>
    </row>
    <row r="56" spans="1:4" x14ac:dyDescent="0.25">
      <c r="A56" t="str">
        <f>"742274754"</f>
        <v>742274754</v>
      </c>
      <c r="B56" t="s">
        <v>54</v>
      </c>
      <c r="C56" s="1">
        <v>1660.31</v>
      </c>
      <c r="D56" t="str">
        <f>"360"</f>
        <v>360</v>
      </c>
    </row>
    <row r="57" spans="1:4" x14ac:dyDescent="0.25">
      <c r="A57" t="str">
        <f>"742274757"</f>
        <v>742274757</v>
      </c>
      <c r="B57" t="s">
        <v>55</v>
      </c>
      <c r="C57">
        <v>521.66</v>
      </c>
      <c r="D57" t="str">
        <f>"360"</f>
        <v>360</v>
      </c>
    </row>
    <row r="58" spans="1:4" x14ac:dyDescent="0.25">
      <c r="A58" t="str">
        <f>"742288777"</f>
        <v>742288777</v>
      </c>
      <c r="B58" t="s">
        <v>56</v>
      </c>
      <c r="C58">
        <v>528</v>
      </c>
      <c r="D58" t="str">
        <f>"272"</f>
        <v>272</v>
      </c>
    </row>
    <row r="59" spans="1:4" x14ac:dyDescent="0.25">
      <c r="A59" t="str">
        <f>"742360000"</f>
        <v>742360000</v>
      </c>
      <c r="B59" t="s">
        <v>57</v>
      </c>
      <c r="C59" s="1">
        <v>1051.97</v>
      </c>
      <c r="D59" t="str">
        <f>"760"</f>
        <v>760</v>
      </c>
    </row>
    <row r="60" spans="1:4" x14ac:dyDescent="0.25">
      <c r="A60" t="str">
        <f>"742360001"</f>
        <v>742360001</v>
      </c>
      <c r="B60" t="s">
        <v>58</v>
      </c>
      <c r="C60" s="1">
        <v>1051.97</v>
      </c>
      <c r="D60" t="str">
        <f>"760"</f>
        <v>760</v>
      </c>
    </row>
    <row r="61" spans="1:4" x14ac:dyDescent="0.25">
      <c r="A61" t="str">
        <f>"742360010"</f>
        <v>742360010</v>
      </c>
      <c r="B61" t="s">
        <v>59</v>
      </c>
      <c r="C61" s="1">
        <v>7969.5</v>
      </c>
      <c r="D61" t="str">
        <f t="shared" ref="D61:D67" si="5">"360"</f>
        <v>360</v>
      </c>
    </row>
    <row r="62" spans="1:4" x14ac:dyDescent="0.25">
      <c r="A62" t="str">
        <f>"742360015"</f>
        <v>742360015</v>
      </c>
      <c r="B62" t="s">
        <v>60</v>
      </c>
      <c r="C62" s="1">
        <v>2656.5</v>
      </c>
      <c r="D62" t="str">
        <f t="shared" si="5"/>
        <v>360</v>
      </c>
    </row>
    <row r="63" spans="1:4" x14ac:dyDescent="0.25">
      <c r="A63" t="str">
        <f>"742360020"</f>
        <v>742360020</v>
      </c>
      <c r="B63" t="s">
        <v>61</v>
      </c>
      <c r="C63" s="1">
        <v>10626</v>
      </c>
      <c r="D63" t="str">
        <f t="shared" si="5"/>
        <v>360</v>
      </c>
    </row>
    <row r="64" spans="1:4" x14ac:dyDescent="0.25">
      <c r="A64" t="str">
        <f>"742360025"</f>
        <v>742360025</v>
      </c>
      <c r="B64" t="s">
        <v>62</v>
      </c>
      <c r="C64" s="1">
        <v>3320.63</v>
      </c>
      <c r="D64" t="str">
        <f t="shared" si="5"/>
        <v>360</v>
      </c>
    </row>
    <row r="65" spans="1:4" x14ac:dyDescent="0.25">
      <c r="A65" t="str">
        <f>"742360030"</f>
        <v>742360030</v>
      </c>
      <c r="B65" t="s">
        <v>63</v>
      </c>
      <c r="C65" s="1">
        <v>7969.5</v>
      </c>
      <c r="D65" t="str">
        <f t="shared" si="5"/>
        <v>360</v>
      </c>
    </row>
    <row r="66" spans="1:4" x14ac:dyDescent="0.25">
      <c r="A66" t="str">
        <f>"742360035"</f>
        <v>742360035</v>
      </c>
      <c r="B66" t="s">
        <v>64</v>
      </c>
      <c r="C66" s="1">
        <v>9961.8799999999992</v>
      </c>
      <c r="D66" t="str">
        <f t="shared" si="5"/>
        <v>360</v>
      </c>
    </row>
    <row r="67" spans="1:4" x14ac:dyDescent="0.25">
      <c r="A67" t="str">
        <f>"742360040"</f>
        <v>742360040</v>
      </c>
      <c r="B67" t="s">
        <v>65</v>
      </c>
      <c r="C67" s="1">
        <v>11954.25</v>
      </c>
      <c r="D67" t="str">
        <f t="shared" si="5"/>
        <v>360</v>
      </c>
    </row>
    <row r="68" spans="1:4" x14ac:dyDescent="0.25">
      <c r="A68" t="str">
        <f>"742360460"</f>
        <v>742360460</v>
      </c>
      <c r="B68" t="s">
        <v>66</v>
      </c>
      <c r="C68" s="1">
        <v>1195.43</v>
      </c>
      <c r="D68" t="str">
        <f>"750"</f>
        <v>750</v>
      </c>
    </row>
    <row r="69" spans="1:4" x14ac:dyDescent="0.25">
      <c r="A69" t="str">
        <f>"742360465"</f>
        <v>742360465</v>
      </c>
      <c r="B69" t="s">
        <v>67</v>
      </c>
      <c r="C69" s="1">
        <v>2390.85</v>
      </c>
      <c r="D69" t="str">
        <f>"750"</f>
        <v>750</v>
      </c>
    </row>
    <row r="70" spans="1:4" x14ac:dyDescent="0.25">
      <c r="A70" t="str">
        <f>"742361000"</f>
        <v>742361000</v>
      </c>
      <c r="B70" t="s">
        <v>68</v>
      </c>
      <c r="C70">
        <v>865.26</v>
      </c>
      <c r="D70" t="str">
        <f t="shared" ref="D70:D91" si="6">"360"</f>
        <v>360</v>
      </c>
    </row>
    <row r="71" spans="1:4" x14ac:dyDescent="0.25">
      <c r="A71" t="str">
        <f>"742361004"</f>
        <v>742361004</v>
      </c>
      <c r="B71" t="s">
        <v>69</v>
      </c>
      <c r="C71" s="1">
        <v>19923.75</v>
      </c>
      <c r="D71" t="str">
        <f t="shared" si="6"/>
        <v>360</v>
      </c>
    </row>
    <row r="72" spans="1:4" x14ac:dyDescent="0.25">
      <c r="A72" t="str">
        <f>"742361005"</f>
        <v>742361005</v>
      </c>
      <c r="B72" t="s">
        <v>70</v>
      </c>
      <c r="C72" s="1">
        <v>4980.93</v>
      </c>
      <c r="D72" t="str">
        <f t="shared" si="6"/>
        <v>360</v>
      </c>
    </row>
    <row r="73" spans="1:4" x14ac:dyDescent="0.25">
      <c r="A73" t="str">
        <f>"742361006"</f>
        <v>742361006</v>
      </c>
      <c r="B73" t="s">
        <v>71</v>
      </c>
      <c r="C73" s="1">
        <v>15939</v>
      </c>
      <c r="D73" t="str">
        <f t="shared" si="6"/>
        <v>360</v>
      </c>
    </row>
    <row r="74" spans="1:4" x14ac:dyDescent="0.25">
      <c r="A74" t="str">
        <f>"742361007"</f>
        <v>742361007</v>
      </c>
      <c r="B74" t="s">
        <v>72</v>
      </c>
      <c r="C74" s="1">
        <v>3984.75</v>
      </c>
      <c r="D74" t="str">
        <f t="shared" si="6"/>
        <v>360</v>
      </c>
    </row>
    <row r="75" spans="1:4" x14ac:dyDescent="0.25">
      <c r="A75" t="str">
        <f>"742361008"</f>
        <v>742361008</v>
      </c>
      <c r="B75" t="s">
        <v>73</v>
      </c>
      <c r="C75" s="1">
        <v>23908.5</v>
      </c>
      <c r="D75" t="str">
        <f t="shared" si="6"/>
        <v>360</v>
      </c>
    </row>
    <row r="76" spans="1:4" x14ac:dyDescent="0.25">
      <c r="A76" t="str">
        <f>"742361009"</f>
        <v>742361009</v>
      </c>
      <c r="B76" t="s">
        <v>74</v>
      </c>
      <c r="C76" s="1">
        <v>5977.13</v>
      </c>
      <c r="D76" t="str">
        <f t="shared" si="6"/>
        <v>360</v>
      </c>
    </row>
    <row r="77" spans="1:4" x14ac:dyDescent="0.25">
      <c r="A77" t="str">
        <f>"742361012"</f>
        <v>742361012</v>
      </c>
      <c r="B77" t="s">
        <v>75</v>
      </c>
      <c r="C77" s="1">
        <v>1328.25</v>
      </c>
      <c r="D77" t="str">
        <f t="shared" si="6"/>
        <v>360</v>
      </c>
    </row>
    <row r="78" spans="1:4" x14ac:dyDescent="0.25">
      <c r="A78" t="str">
        <f>"742362000"</f>
        <v>742362000</v>
      </c>
      <c r="B78" t="s">
        <v>76</v>
      </c>
      <c r="C78" s="1">
        <v>1992.38</v>
      </c>
      <c r="D78" t="str">
        <f t="shared" si="6"/>
        <v>360</v>
      </c>
    </row>
    <row r="79" spans="1:4" x14ac:dyDescent="0.25">
      <c r="A79" t="str">
        <f>"742362005"</f>
        <v>742362005</v>
      </c>
      <c r="B79" t="s">
        <v>77</v>
      </c>
      <c r="C79">
        <v>996.18</v>
      </c>
      <c r="D79" t="str">
        <f t="shared" si="6"/>
        <v>360</v>
      </c>
    </row>
    <row r="80" spans="1:4" x14ac:dyDescent="0.25">
      <c r="A80" t="str">
        <f>"742362010"</f>
        <v>742362010</v>
      </c>
      <c r="B80" t="s">
        <v>78</v>
      </c>
      <c r="C80" s="1">
        <v>3320.63</v>
      </c>
      <c r="D80" t="str">
        <f t="shared" si="6"/>
        <v>360</v>
      </c>
    </row>
    <row r="81" spans="1:4" x14ac:dyDescent="0.25">
      <c r="A81" t="str">
        <f>"742362015"</f>
        <v>742362015</v>
      </c>
      <c r="B81" t="s">
        <v>79</v>
      </c>
      <c r="C81" s="1">
        <v>1328.25</v>
      </c>
      <c r="D81" t="str">
        <f t="shared" si="6"/>
        <v>360</v>
      </c>
    </row>
    <row r="82" spans="1:4" x14ac:dyDescent="0.25">
      <c r="A82" t="str">
        <f>"742362020"</f>
        <v>742362020</v>
      </c>
      <c r="B82" t="s">
        <v>80</v>
      </c>
      <c r="C82" s="1">
        <v>5313</v>
      </c>
      <c r="D82" t="str">
        <f t="shared" si="6"/>
        <v>360</v>
      </c>
    </row>
    <row r="83" spans="1:4" x14ac:dyDescent="0.25">
      <c r="A83" t="str">
        <f>"742362025"</f>
        <v>742362025</v>
      </c>
      <c r="B83" t="s">
        <v>81</v>
      </c>
      <c r="C83" s="1">
        <v>1992.38</v>
      </c>
      <c r="D83" t="str">
        <f t="shared" si="6"/>
        <v>360</v>
      </c>
    </row>
    <row r="84" spans="1:4" x14ac:dyDescent="0.25">
      <c r="A84" t="str">
        <f>"742362030"</f>
        <v>742362030</v>
      </c>
      <c r="B84" t="s">
        <v>82</v>
      </c>
      <c r="C84" s="1">
        <v>3320.22</v>
      </c>
      <c r="D84" t="str">
        <f t="shared" si="6"/>
        <v>360</v>
      </c>
    </row>
    <row r="85" spans="1:4" x14ac:dyDescent="0.25">
      <c r="A85" t="str">
        <f>"742362035"</f>
        <v>742362035</v>
      </c>
      <c r="B85" t="s">
        <v>83</v>
      </c>
      <c r="C85" s="1">
        <v>1535.07</v>
      </c>
      <c r="D85" t="str">
        <f t="shared" si="6"/>
        <v>360</v>
      </c>
    </row>
    <row r="86" spans="1:4" x14ac:dyDescent="0.25">
      <c r="A86" t="str">
        <f>"742362040"</f>
        <v>742362040</v>
      </c>
      <c r="B86" t="s">
        <v>84</v>
      </c>
      <c r="C86" s="1">
        <v>5977.13</v>
      </c>
      <c r="D86" t="str">
        <f t="shared" si="6"/>
        <v>360</v>
      </c>
    </row>
    <row r="87" spans="1:4" x14ac:dyDescent="0.25">
      <c r="A87" t="str">
        <f>"742362045"</f>
        <v>742362045</v>
      </c>
      <c r="B87" t="s">
        <v>85</v>
      </c>
      <c r="C87" s="1">
        <v>2887.5</v>
      </c>
      <c r="D87" t="str">
        <f t="shared" si="6"/>
        <v>360</v>
      </c>
    </row>
    <row r="88" spans="1:4" x14ac:dyDescent="0.25">
      <c r="A88" t="str">
        <f>"742362050"</f>
        <v>742362050</v>
      </c>
      <c r="B88" t="s">
        <v>86</v>
      </c>
      <c r="C88" s="1">
        <v>1660.31</v>
      </c>
      <c r="D88" t="str">
        <f t="shared" si="6"/>
        <v>360</v>
      </c>
    </row>
    <row r="89" spans="1:4" x14ac:dyDescent="0.25">
      <c r="A89" t="str">
        <f>"742362055"</f>
        <v>742362055</v>
      </c>
      <c r="B89" t="s">
        <v>87</v>
      </c>
      <c r="C89" s="1">
        <v>5977.13</v>
      </c>
      <c r="D89" t="str">
        <f t="shared" si="6"/>
        <v>360</v>
      </c>
    </row>
    <row r="90" spans="1:4" x14ac:dyDescent="0.25">
      <c r="A90" t="str">
        <f>"742362060"</f>
        <v>742362060</v>
      </c>
      <c r="B90" t="s">
        <v>88</v>
      </c>
      <c r="C90" s="1">
        <v>1992.38</v>
      </c>
      <c r="D90" t="str">
        <f t="shared" si="6"/>
        <v>360</v>
      </c>
    </row>
    <row r="91" spans="1:4" x14ac:dyDescent="0.25">
      <c r="A91" t="str">
        <f>"742362065"</f>
        <v>742362065</v>
      </c>
      <c r="B91" t="s">
        <v>89</v>
      </c>
      <c r="C91">
        <v>996.18</v>
      </c>
      <c r="D91" t="str">
        <f t="shared" si="6"/>
        <v>360</v>
      </c>
    </row>
    <row r="92" spans="1:4" x14ac:dyDescent="0.25">
      <c r="A92" t="str">
        <f>"742362070"</f>
        <v>742362070</v>
      </c>
      <c r="B92" t="s">
        <v>90</v>
      </c>
      <c r="C92">
        <v>796.95</v>
      </c>
      <c r="D92" t="str">
        <f>"370"</f>
        <v>370</v>
      </c>
    </row>
    <row r="93" spans="1:4" x14ac:dyDescent="0.25">
      <c r="A93" t="str">
        <f>"742362075"</f>
        <v>742362075</v>
      </c>
      <c r="B93" t="s">
        <v>91</v>
      </c>
      <c r="C93" s="1">
        <v>3320.63</v>
      </c>
      <c r="D93" t="str">
        <f>"360"</f>
        <v>360</v>
      </c>
    </row>
    <row r="94" spans="1:4" x14ac:dyDescent="0.25">
      <c r="A94" t="str">
        <f>"742362080"</f>
        <v>742362080</v>
      </c>
      <c r="B94" t="s">
        <v>92</v>
      </c>
      <c r="C94" s="1">
        <v>1992.38</v>
      </c>
      <c r="D94" t="str">
        <f>"360"</f>
        <v>360</v>
      </c>
    </row>
    <row r="95" spans="1:4" x14ac:dyDescent="0.25">
      <c r="A95" t="str">
        <f>"742362085"</f>
        <v>742362085</v>
      </c>
      <c r="B95" t="s">
        <v>93</v>
      </c>
      <c r="C95">
        <v>996.18</v>
      </c>
      <c r="D95" t="str">
        <f>"360"</f>
        <v>360</v>
      </c>
    </row>
    <row r="96" spans="1:4" x14ac:dyDescent="0.25">
      <c r="A96" t="str">
        <f>"742362090"</f>
        <v>742362090</v>
      </c>
      <c r="B96" t="s">
        <v>94</v>
      </c>
      <c r="C96" s="1">
        <v>3320.63</v>
      </c>
      <c r="D96" t="str">
        <f>"360"</f>
        <v>360</v>
      </c>
    </row>
    <row r="97" spans="1:5" x14ac:dyDescent="0.25">
      <c r="A97" t="str">
        <f>"742363002"</f>
        <v>742363002</v>
      </c>
      <c r="B97" t="s">
        <v>95</v>
      </c>
      <c r="C97" s="1">
        <v>1204.98</v>
      </c>
      <c r="D97" t="str">
        <f>"710"</f>
        <v>710</v>
      </c>
    </row>
    <row r="98" spans="1:5" x14ac:dyDescent="0.25">
      <c r="A98" t="str">
        <f>"742363004"</f>
        <v>742363004</v>
      </c>
      <c r="B98" t="s">
        <v>96</v>
      </c>
      <c r="C98">
        <v>483.91</v>
      </c>
      <c r="D98" t="str">
        <f>"710"</f>
        <v>710</v>
      </c>
    </row>
    <row r="99" spans="1:5" x14ac:dyDescent="0.25">
      <c r="A99" t="str">
        <f>"742363007"</f>
        <v>742363007</v>
      </c>
      <c r="B99" t="s">
        <v>97</v>
      </c>
      <c r="C99">
        <v>107.91</v>
      </c>
      <c r="D99" t="str">
        <f t="shared" ref="D99:D105" si="7">"272"</f>
        <v>272</v>
      </c>
    </row>
    <row r="100" spans="1:5" x14ac:dyDescent="0.25">
      <c r="A100" t="str">
        <f>"742363008"</f>
        <v>742363008</v>
      </c>
      <c r="B100" t="s">
        <v>98</v>
      </c>
      <c r="C100">
        <v>129.58000000000001</v>
      </c>
      <c r="D100" t="str">
        <f t="shared" si="7"/>
        <v>272</v>
      </c>
    </row>
    <row r="101" spans="1:5" x14ac:dyDescent="0.25">
      <c r="A101" t="str">
        <f>"742363009"</f>
        <v>742363009</v>
      </c>
      <c r="B101" t="s">
        <v>99</v>
      </c>
      <c r="C101">
        <v>131.07</v>
      </c>
      <c r="D101" t="str">
        <f t="shared" si="7"/>
        <v>272</v>
      </c>
    </row>
    <row r="102" spans="1:5" x14ac:dyDescent="0.25">
      <c r="A102" t="str">
        <f>"742363010"</f>
        <v>742363010</v>
      </c>
      <c r="B102" t="s">
        <v>100</v>
      </c>
      <c r="C102">
        <v>131.07</v>
      </c>
      <c r="D102" t="str">
        <f t="shared" si="7"/>
        <v>272</v>
      </c>
    </row>
    <row r="103" spans="1:5" x14ac:dyDescent="0.25">
      <c r="A103" t="str">
        <f>"742363011"</f>
        <v>742363011</v>
      </c>
      <c r="B103" t="s">
        <v>101</v>
      </c>
      <c r="C103">
        <v>169.98</v>
      </c>
      <c r="D103" t="str">
        <f t="shared" si="7"/>
        <v>272</v>
      </c>
    </row>
    <row r="104" spans="1:5" x14ac:dyDescent="0.25">
      <c r="A104" t="str">
        <f>"742363012"</f>
        <v>742363012</v>
      </c>
      <c r="B104" t="s">
        <v>102</v>
      </c>
      <c r="C104">
        <v>44.63</v>
      </c>
      <c r="D104" t="str">
        <f t="shared" si="7"/>
        <v>272</v>
      </c>
    </row>
    <row r="105" spans="1:5" x14ac:dyDescent="0.25">
      <c r="A105" t="str">
        <f>"742364648"</f>
        <v>742364648</v>
      </c>
      <c r="B105" t="s">
        <v>103</v>
      </c>
      <c r="C105">
        <v>550</v>
      </c>
      <c r="D105" t="str">
        <f t="shared" si="7"/>
        <v>272</v>
      </c>
    </row>
    <row r="106" spans="1:5" x14ac:dyDescent="0.25">
      <c r="A106" t="str">
        <f>"742370019"</f>
        <v>742370019</v>
      </c>
      <c r="B106" t="s">
        <v>104</v>
      </c>
      <c r="C106">
        <v>132.29</v>
      </c>
      <c r="D106" t="str">
        <f>"370"</f>
        <v>370</v>
      </c>
    </row>
    <row r="107" spans="1:5" x14ac:dyDescent="0.25">
      <c r="A107" t="str">
        <f>"742370020"</f>
        <v>742370020</v>
      </c>
      <c r="B107" t="s">
        <v>105</v>
      </c>
      <c r="C107">
        <v>83.68</v>
      </c>
      <c r="D107" t="str">
        <f>"370"</f>
        <v>370</v>
      </c>
    </row>
    <row r="108" spans="1:5" x14ac:dyDescent="0.25">
      <c r="A108" t="str">
        <f>"742370021"</f>
        <v>742370021</v>
      </c>
      <c r="B108" t="s">
        <v>106</v>
      </c>
      <c r="C108">
        <v>796.95</v>
      </c>
      <c r="D108" t="str">
        <f>"370"</f>
        <v>370</v>
      </c>
    </row>
    <row r="109" spans="1:5" x14ac:dyDescent="0.25">
      <c r="A109" t="str">
        <f>"742370022"</f>
        <v>742370022</v>
      </c>
      <c r="B109" t="s">
        <v>107</v>
      </c>
      <c r="C109" s="1">
        <v>1195.43</v>
      </c>
      <c r="D109" t="str">
        <f>"370"</f>
        <v>370</v>
      </c>
    </row>
    <row r="110" spans="1:5" x14ac:dyDescent="0.25">
      <c r="A110" t="str">
        <f>"742370025"</f>
        <v>742370025</v>
      </c>
      <c r="B110" t="s">
        <v>108</v>
      </c>
      <c r="C110">
        <v>74.11</v>
      </c>
      <c r="D110" t="str">
        <f>"370"</f>
        <v>370</v>
      </c>
    </row>
    <row r="111" spans="1:5" x14ac:dyDescent="0.25">
      <c r="A111" t="str">
        <f>"742370030"</f>
        <v>742370030</v>
      </c>
      <c r="B111" t="s">
        <v>109</v>
      </c>
      <c r="C111">
        <v>896.57</v>
      </c>
      <c r="D111" t="str">
        <f>"372"</f>
        <v>372</v>
      </c>
      <c r="E111" t="str">
        <f>"99144"</f>
        <v>99144</v>
      </c>
    </row>
    <row r="112" spans="1:5" x14ac:dyDescent="0.25">
      <c r="A112" t="str">
        <f>"742370035"</f>
        <v>742370035</v>
      </c>
      <c r="B112" t="s">
        <v>110</v>
      </c>
      <c r="C112">
        <v>314.79000000000002</v>
      </c>
      <c r="D112" t="str">
        <f>"372"</f>
        <v>372</v>
      </c>
      <c r="E112" t="str">
        <f>"99145"</f>
        <v>99145</v>
      </c>
    </row>
    <row r="113" spans="1:5" x14ac:dyDescent="0.25">
      <c r="A113" t="str">
        <f>"742370040"</f>
        <v>742370040</v>
      </c>
      <c r="B113" t="s">
        <v>111</v>
      </c>
      <c r="C113">
        <v>396.89</v>
      </c>
      <c r="D113" t="str">
        <f>"370"</f>
        <v>370</v>
      </c>
    </row>
    <row r="114" spans="1:5" x14ac:dyDescent="0.25">
      <c r="A114" t="str">
        <f>"742370045"</f>
        <v>742370045</v>
      </c>
      <c r="B114" t="s">
        <v>112</v>
      </c>
      <c r="C114">
        <v>262.99</v>
      </c>
      <c r="D114" t="str">
        <f>"370"</f>
        <v>370</v>
      </c>
    </row>
    <row r="115" spans="1:5" x14ac:dyDescent="0.25">
      <c r="A115" t="str">
        <f>"742370050"</f>
        <v>742370050</v>
      </c>
      <c r="B115" t="s">
        <v>113</v>
      </c>
      <c r="C115">
        <v>398.48</v>
      </c>
      <c r="D115" t="str">
        <f>"370"</f>
        <v>370</v>
      </c>
    </row>
    <row r="116" spans="1:5" x14ac:dyDescent="0.25">
      <c r="A116" t="str">
        <f>"742401440"</f>
        <v>742401440</v>
      </c>
      <c r="B116" t="s">
        <v>114</v>
      </c>
      <c r="C116">
        <v>222.64</v>
      </c>
      <c r="D116" t="str">
        <f>"272       "</f>
        <v xml:space="preserve">272       </v>
      </c>
    </row>
    <row r="117" spans="1:5" x14ac:dyDescent="0.25">
      <c r="A117" t="str">
        <f>"742401441"</f>
        <v>742401441</v>
      </c>
      <c r="B117" t="s">
        <v>115</v>
      </c>
      <c r="C117">
        <v>222.64</v>
      </c>
      <c r="D117" t="str">
        <f>"270       "</f>
        <v xml:space="preserve">270       </v>
      </c>
    </row>
    <row r="118" spans="1:5" x14ac:dyDescent="0.25">
      <c r="A118" t="str">
        <f>"742401457"</f>
        <v>742401457</v>
      </c>
      <c r="B118" t="s">
        <v>116</v>
      </c>
      <c r="C118">
        <v>131.56</v>
      </c>
      <c r="D118" t="str">
        <f>"270"</f>
        <v>270</v>
      </c>
    </row>
    <row r="119" spans="1:5" x14ac:dyDescent="0.25">
      <c r="A119" t="str">
        <f>"742401705"</f>
        <v>742401705</v>
      </c>
      <c r="B119" t="s">
        <v>117</v>
      </c>
      <c r="C119" s="1">
        <v>5500</v>
      </c>
      <c r="D119" t="str">
        <f>"270"</f>
        <v>270</v>
      </c>
    </row>
    <row r="120" spans="1:5" x14ac:dyDescent="0.25">
      <c r="A120" t="str">
        <f>"742511362"</f>
        <v>742511362</v>
      </c>
      <c r="B120" t="s">
        <v>118</v>
      </c>
      <c r="C120">
        <v>824.78</v>
      </c>
      <c r="D120" t="str">
        <f>"270"</f>
        <v>270</v>
      </c>
    </row>
    <row r="121" spans="1:5" x14ac:dyDescent="0.25">
      <c r="A121" t="str">
        <f>"742710005"</f>
        <v>742710005</v>
      </c>
      <c r="B121" t="s">
        <v>119</v>
      </c>
      <c r="C121">
        <v>301.25</v>
      </c>
      <c r="D121" t="str">
        <f>"710"</f>
        <v>710</v>
      </c>
    </row>
    <row r="122" spans="1:5" x14ac:dyDescent="0.25">
      <c r="A122" t="str">
        <f>"742710010"</f>
        <v>742710010</v>
      </c>
      <c r="B122" t="s">
        <v>120</v>
      </c>
      <c r="C122">
        <v>968.08</v>
      </c>
      <c r="D122" t="str">
        <f>"710"</f>
        <v>710</v>
      </c>
    </row>
    <row r="123" spans="1:5" x14ac:dyDescent="0.25">
      <c r="A123" t="str">
        <f>"742710015"</f>
        <v>742710015</v>
      </c>
      <c r="B123" t="s">
        <v>121</v>
      </c>
      <c r="C123">
        <v>602.49</v>
      </c>
      <c r="D123" t="str">
        <f>"710"</f>
        <v>710</v>
      </c>
    </row>
    <row r="124" spans="1:5" x14ac:dyDescent="0.25">
      <c r="A124" t="str">
        <f>"742762101"</f>
        <v>742762101</v>
      </c>
      <c r="B124" t="s">
        <v>122</v>
      </c>
      <c r="C124" s="1">
        <v>8250</v>
      </c>
      <c r="D124" t="str">
        <f>"740"</f>
        <v>740</v>
      </c>
      <c r="E124" t="str">
        <f>"95940"</f>
        <v>95940</v>
      </c>
    </row>
    <row r="125" spans="1:5" x14ac:dyDescent="0.25">
      <c r="A125" t="str">
        <f>"742762102"</f>
        <v>742762102</v>
      </c>
      <c r="B125" t="s">
        <v>123</v>
      </c>
      <c r="C125">
        <v>672.98</v>
      </c>
      <c r="D125" t="str">
        <f>"360"</f>
        <v>360</v>
      </c>
    </row>
    <row r="126" spans="1:5" x14ac:dyDescent="0.25">
      <c r="A126" t="str">
        <f>"742762103"</f>
        <v>742762103</v>
      </c>
      <c r="B126" t="s">
        <v>124</v>
      </c>
      <c r="C126">
        <v>989.23</v>
      </c>
      <c r="D126" t="str">
        <f>"272"</f>
        <v>272</v>
      </c>
    </row>
    <row r="127" spans="1:5" x14ac:dyDescent="0.25">
      <c r="A127" t="str">
        <f>"742762105"</f>
        <v>742762105</v>
      </c>
      <c r="B127" t="s">
        <v>125</v>
      </c>
      <c r="C127" s="1">
        <v>5060</v>
      </c>
      <c r="D127" t="str">
        <f>"272"</f>
        <v>272</v>
      </c>
    </row>
    <row r="128" spans="1:5" x14ac:dyDescent="0.25">
      <c r="A128" t="str">
        <f>"742762106"</f>
        <v>742762106</v>
      </c>
      <c r="B128" t="s">
        <v>126</v>
      </c>
      <c r="C128" s="1">
        <v>2557.83</v>
      </c>
      <c r="D128" t="str">
        <f>"272"</f>
        <v>272</v>
      </c>
    </row>
    <row r="129" spans="1:4" x14ac:dyDescent="0.25">
      <c r="A129" t="str">
        <f>"742762107"</f>
        <v>742762107</v>
      </c>
      <c r="B129" t="s">
        <v>127</v>
      </c>
      <c r="C129" s="1">
        <v>1485.11</v>
      </c>
      <c r="D129" t="str">
        <f>"360"</f>
        <v>360</v>
      </c>
    </row>
    <row r="130" spans="1:4" x14ac:dyDescent="0.25">
      <c r="A130" t="str">
        <f>"742762108"</f>
        <v>742762108</v>
      </c>
      <c r="B130" t="s">
        <v>128</v>
      </c>
      <c r="C130">
        <v>989.23</v>
      </c>
      <c r="D130" t="str">
        <f>"360"</f>
        <v>360</v>
      </c>
    </row>
    <row r="131" spans="1:4" x14ac:dyDescent="0.25">
      <c r="A131" t="str">
        <f>"742762109"</f>
        <v>742762109</v>
      </c>
      <c r="B131" t="s">
        <v>129</v>
      </c>
      <c r="C131" s="1">
        <v>8860.06</v>
      </c>
      <c r="D131" t="str">
        <f>"272"</f>
        <v>272</v>
      </c>
    </row>
    <row r="132" spans="1:4" x14ac:dyDescent="0.25">
      <c r="A132" t="str">
        <f>"742762110"</f>
        <v>742762110</v>
      </c>
      <c r="B132" t="s">
        <v>130</v>
      </c>
      <c r="C132">
        <v>273.24</v>
      </c>
      <c r="D132" t="str">
        <f>"272"</f>
        <v>272</v>
      </c>
    </row>
    <row r="133" spans="1:4" x14ac:dyDescent="0.25">
      <c r="A133" t="str">
        <f>"742762111"</f>
        <v>742762111</v>
      </c>
      <c r="B133" t="s">
        <v>131</v>
      </c>
      <c r="C133" s="1">
        <v>3795</v>
      </c>
      <c r="D133" t="str">
        <f>"272"</f>
        <v>272</v>
      </c>
    </row>
    <row r="134" spans="1:4" x14ac:dyDescent="0.25">
      <c r="A134" t="str">
        <f>"742762112"</f>
        <v>742762112</v>
      </c>
      <c r="B134" t="s">
        <v>132</v>
      </c>
      <c r="C134" s="1">
        <v>1265</v>
      </c>
      <c r="D134" t="str">
        <f>"272"</f>
        <v>272</v>
      </c>
    </row>
    <row r="135" spans="1:4" x14ac:dyDescent="0.25">
      <c r="A135" t="str">
        <f>"742762113"</f>
        <v>742762113</v>
      </c>
      <c r="B135" t="s">
        <v>133</v>
      </c>
      <c r="C135">
        <v>989.23</v>
      </c>
      <c r="D135" t="str">
        <f>"272"</f>
        <v>272</v>
      </c>
    </row>
    <row r="136" spans="1:4" x14ac:dyDescent="0.25">
      <c r="A136" t="str">
        <f>"742762114"</f>
        <v>742762114</v>
      </c>
      <c r="B136" t="s">
        <v>134</v>
      </c>
      <c r="C136">
        <v>599.61</v>
      </c>
      <c r="D136" t="str">
        <f t="shared" ref="D136:D141" si="8">"360"</f>
        <v>360</v>
      </c>
    </row>
    <row r="137" spans="1:4" x14ac:dyDescent="0.25">
      <c r="A137" t="str">
        <f>"742762115"</f>
        <v>742762115</v>
      </c>
      <c r="B137" t="s">
        <v>135</v>
      </c>
      <c r="C137" s="1">
        <v>3223.22</v>
      </c>
      <c r="D137" t="str">
        <f t="shared" si="8"/>
        <v>360</v>
      </c>
    </row>
    <row r="138" spans="1:4" x14ac:dyDescent="0.25">
      <c r="A138" t="str">
        <f>"742762116"</f>
        <v>742762116</v>
      </c>
      <c r="B138" t="s">
        <v>136</v>
      </c>
      <c r="C138">
        <v>172.04</v>
      </c>
      <c r="D138" t="str">
        <f t="shared" si="8"/>
        <v>360</v>
      </c>
    </row>
    <row r="139" spans="1:4" x14ac:dyDescent="0.25">
      <c r="A139" t="str">
        <f>"742762117"</f>
        <v>742762117</v>
      </c>
      <c r="B139" t="s">
        <v>137</v>
      </c>
      <c r="C139">
        <v>452.87</v>
      </c>
      <c r="D139" t="str">
        <f t="shared" si="8"/>
        <v>360</v>
      </c>
    </row>
    <row r="140" spans="1:4" x14ac:dyDescent="0.25">
      <c r="A140" t="str">
        <f>"742762118"</f>
        <v>742762118</v>
      </c>
      <c r="B140" t="s">
        <v>138</v>
      </c>
      <c r="C140">
        <v>676.78</v>
      </c>
      <c r="D140" t="str">
        <f t="shared" si="8"/>
        <v>360</v>
      </c>
    </row>
    <row r="141" spans="1:4" x14ac:dyDescent="0.25">
      <c r="A141" t="str">
        <f>"742762119"</f>
        <v>742762119</v>
      </c>
      <c r="B141" t="s">
        <v>139</v>
      </c>
      <c r="C141">
        <v>903.21</v>
      </c>
      <c r="D141" t="str">
        <f t="shared" si="8"/>
        <v>360</v>
      </c>
    </row>
    <row r="142" spans="1:4" x14ac:dyDescent="0.25">
      <c r="A142" t="str">
        <f>"742762120"</f>
        <v>742762120</v>
      </c>
      <c r="B142" t="s">
        <v>140</v>
      </c>
      <c r="C142">
        <v>144.21</v>
      </c>
      <c r="D142" t="str">
        <f>"272"</f>
        <v>272</v>
      </c>
    </row>
    <row r="143" spans="1:4" x14ac:dyDescent="0.25">
      <c r="A143" t="str">
        <f>"742762121"</f>
        <v>742762121</v>
      </c>
      <c r="B143" t="s">
        <v>141</v>
      </c>
      <c r="C143" s="1">
        <v>1854.49</v>
      </c>
      <c r="D143" t="str">
        <f>"370"</f>
        <v>370</v>
      </c>
    </row>
    <row r="144" spans="1:4" x14ac:dyDescent="0.25">
      <c r="A144" t="str">
        <f>"742762122"</f>
        <v>742762122</v>
      </c>
      <c r="B144" t="s">
        <v>142</v>
      </c>
      <c r="C144" s="1">
        <v>1854.49</v>
      </c>
      <c r="D144" t="str">
        <f>"370"</f>
        <v>370</v>
      </c>
    </row>
    <row r="145" spans="1:4" x14ac:dyDescent="0.25">
      <c r="A145" t="str">
        <f>"742762123"</f>
        <v>742762123</v>
      </c>
      <c r="B145" t="s">
        <v>143</v>
      </c>
      <c r="C145">
        <v>154.33000000000001</v>
      </c>
      <c r="D145" t="str">
        <f>"272"</f>
        <v>272</v>
      </c>
    </row>
    <row r="146" spans="1:4" x14ac:dyDescent="0.25">
      <c r="A146" t="str">
        <f>"742762124"</f>
        <v>742762124</v>
      </c>
      <c r="B146" t="s">
        <v>144</v>
      </c>
      <c r="C146" s="1">
        <v>1558.48</v>
      </c>
      <c r="D146" t="str">
        <f>"360"</f>
        <v>360</v>
      </c>
    </row>
    <row r="147" spans="1:4" x14ac:dyDescent="0.25">
      <c r="A147" t="str">
        <f>"742762125"</f>
        <v>742762125</v>
      </c>
      <c r="B147" t="s">
        <v>145</v>
      </c>
      <c r="C147" s="1">
        <v>1485.11</v>
      </c>
      <c r="D147" t="str">
        <f>"272"</f>
        <v>272</v>
      </c>
    </row>
    <row r="148" spans="1:4" x14ac:dyDescent="0.25">
      <c r="A148" t="str">
        <f>"742762126"</f>
        <v>742762126</v>
      </c>
      <c r="B148" t="s">
        <v>146</v>
      </c>
      <c r="C148">
        <v>950.4</v>
      </c>
      <c r="D148" t="str">
        <f>"272"</f>
        <v>272</v>
      </c>
    </row>
    <row r="149" spans="1:4" x14ac:dyDescent="0.25">
      <c r="A149" t="str">
        <f>"742762127"</f>
        <v>742762127</v>
      </c>
      <c r="B149" t="s">
        <v>147</v>
      </c>
      <c r="C149">
        <v>232.76</v>
      </c>
      <c r="D149" t="str">
        <f>"270"</f>
        <v>270</v>
      </c>
    </row>
    <row r="150" spans="1:4" x14ac:dyDescent="0.25">
      <c r="A150" t="str">
        <f>"742762128"</f>
        <v>742762128</v>
      </c>
      <c r="B150" t="s">
        <v>148</v>
      </c>
      <c r="C150">
        <v>141.68</v>
      </c>
      <c r="D150" t="str">
        <f>"270"</f>
        <v>270</v>
      </c>
    </row>
    <row r="151" spans="1:4" x14ac:dyDescent="0.25">
      <c r="A151" t="str">
        <f>"742762129"</f>
        <v>742762129</v>
      </c>
      <c r="B151" t="s">
        <v>149</v>
      </c>
      <c r="C151">
        <v>660</v>
      </c>
      <c r="D151" t="str">
        <f>"272"</f>
        <v>272</v>
      </c>
    </row>
    <row r="152" spans="1:4" x14ac:dyDescent="0.25">
      <c r="A152" t="str">
        <f>"742762130"</f>
        <v>742762130</v>
      </c>
      <c r="B152" t="s">
        <v>150</v>
      </c>
      <c r="C152" s="1">
        <v>1796.3</v>
      </c>
      <c r="D152" t="str">
        <f>"360"</f>
        <v>360</v>
      </c>
    </row>
    <row r="153" spans="1:4" x14ac:dyDescent="0.25">
      <c r="A153" t="str">
        <f>"742762131"</f>
        <v>742762131</v>
      </c>
      <c r="B153" t="s">
        <v>151</v>
      </c>
      <c r="C153" s="1">
        <v>1796.3</v>
      </c>
      <c r="D153" t="str">
        <f>"360"</f>
        <v>360</v>
      </c>
    </row>
    <row r="154" spans="1:4" x14ac:dyDescent="0.25">
      <c r="A154" t="str">
        <f>"742762132"</f>
        <v>742762132</v>
      </c>
      <c r="B154" t="s">
        <v>152</v>
      </c>
      <c r="C154" s="1">
        <v>2097.37</v>
      </c>
      <c r="D154" t="str">
        <f>"272"</f>
        <v>272</v>
      </c>
    </row>
    <row r="155" spans="1:4" x14ac:dyDescent="0.25">
      <c r="A155" t="str">
        <f>"742762133"</f>
        <v>742762133</v>
      </c>
      <c r="B155" t="s">
        <v>153</v>
      </c>
      <c r="C155">
        <v>273.24</v>
      </c>
      <c r="D155" t="str">
        <f>"270"</f>
        <v>270</v>
      </c>
    </row>
    <row r="156" spans="1:4" x14ac:dyDescent="0.25">
      <c r="A156" t="str">
        <f>"742762134"</f>
        <v>742762134</v>
      </c>
      <c r="B156" t="s">
        <v>154</v>
      </c>
      <c r="C156">
        <v>209.99</v>
      </c>
      <c r="D156" t="str">
        <f>"270"</f>
        <v>270</v>
      </c>
    </row>
    <row r="157" spans="1:4" x14ac:dyDescent="0.25">
      <c r="A157" t="str">
        <f>"742762135"</f>
        <v>742762135</v>
      </c>
      <c r="B157" t="s">
        <v>155</v>
      </c>
      <c r="C157">
        <v>660.33</v>
      </c>
      <c r="D157" t="str">
        <f>"360"</f>
        <v>360</v>
      </c>
    </row>
    <row r="158" spans="1:4" x14ac:dyDescent="0.25">
      <c r="A158" t="str">
        <f>"742762136"</f>
        <v>742762136</v>
      </c>
      <c r="B158" t="s">
        <v>156</v>
      </c>
      <c r="C158">
        <v>290.95</v>
      </c>
      <c r="D158" t="str">
        <f>"480"</f>
        <v>480</v>
      </c>
    </row>
    <row r="159" spans="1:4" x14ac:dyDescent="0.25">
      <c r="A159" t="str">
        <f>"742762137"</f>
        <v>742762137</v>
      </c>
      <c r="B159" t="s">
        <v>157</v>
      </c>
      <c r="C159">
        <v>676.78</v>
      </c>
      <c r="D159" t="str">
        <f>"360"</f>
        <v>360</v>
      </c>
    </row>
    <row r="160" spans="1:4" x14ac:dyDescent="0.25">
      <c r="A160" t="str">
        <f>"742762138"</f>
        <v>742762138</v>
      </c>
      <c r="B160" t="s">
        <v>158</v>
      </c>
      <c r="C160">
        <v>452.87</v>
      </c>
      <c r="D160" t="str">
        <f>"360"</f>
        <v>360</v>
      </c>
    </row>
    <row r="161" spans="1:4" x14ac:dyDescent="0.25">
      <c r="A161" t="str">
        <f>"742762139"</f>
        <v>742762139</v>
      </c>
      <c r="B161" t="s">
        <v>159</v>
      </c>
      <c r="C161" s="1">
        <v>1419.33</v>
      </c>
      <c r="D161" t="str">
        <f>"370"</f>
        <v>370</v>
      </c>
    </row>
    <row r="162" spans="1:4" x14ac:dyDescent="0.25">
      <c r="A162" t="str">
        <f>"742762140"</f>
        <v>742762140</v>
      </c>
      <c r="B162" t="s">
        <v>160</v>
      </c>
      <c r="C162" s="1">
        <v>1950.63</v>
      </c>
      <c r="D162" t="str">
        <f>"370"</f>
        <v>370</v>
      </c>
    </row>
    <row r="163" spans="1:4" x14ac:dyDescent="0.25">
      <c r="A163" t="str">
        <f>"742762141"</f>
        <v>742762141</v>
      </c>
      <c r="B163" t="s">
        <v>161</v>
      </c>
      <c r="C163">
        <v>599.61</v>
      </c>
      <c r="D163" t="str">
        <f>"360"</f>
        <v>360</v>
      </c>
    </row>
    <row r="164" spans="1:4" x14ac:dyDescent="0.25">
      <c r="A164" t="str">
        <f>"742762142"</f>
        <v>742762142</v>
      </c>
      <c r="B164" t="s">
        <v>162</v>
      </c>
      <c r="C164" s="1">
        <v>2557.83</v>
      </c>
      <c r="D164" t="str">
        <f>"272"</f>
        <v>272</v>
      </c>
    </row>
    <row r="165" spans="1:4" x14ac:dyDescent="0.25">
      <c r="A165" t="str">
        <f>"742762143"</f>
        <v>742762143</v>
      </c>
      <c r="B165" t="s">
        <v>163</v>
      </c>
      <c r="C165" s="1">
        <v>1458.6</v>
      </c>
      <c r="D165" t="str">
        <f>"370"</f>
        <v>370</v>
      </c>
    </row>
    <row r="166" spans="1:4" x14ac:dyDescent="0.25">
      <c r="A166" t="str">
        <f>"742762144"</f>
        <v>742762144</v>
      </c>
      <c r="B166" t="s">
        <v>164</v>
      </c>
      <c r="C166" s="1">
        <v>1039.5</v>
      </c>
      <c r="D166" t="str">
        <f>"360"</f>
        <v>360</v>
      </c>
    </row>
    <row r="167" spans="1:4" x14ac:dyDescent="0.25">
      <c r="A167" t="str">
        <f>"742762145"</f>
        <v>742762145</v>
      </c>
      <c r="B167" t="s">
        <v>165</v>
      </c>
      <c r="C167">
        <v>105.6</v>
      </c>
      <c r="D167" t="str">
        <f>"360"</f>
        <v>360</v>
      </c>
    </row>
    <row r="168" spans="1:4" x14ac:dyDescent="0.25">
      <c r="A168" t="str">
        <f>"742762146"</f>
        <v>742762146</v>
      </c>
      <c r="B168" t="s">
        <v>166</v>
      </c>
      <c r="C168">
        <v>209</v>
      </c>
      <c r="D168" t="str">
        <f>"270"</f>
        <v>270</v>
      </c>
    </row>
    <row r="169" spans="1:4" x14ac:dyDescent="0.25">
      <c r="A169" t="str">
        <f>"742762147"</f>
        <v>742762147</v>
      </c>
      <c r="B169" t="s">
        <v>167</v>
      </c>
      <c r="C169">
        <v>92.4</v>
      </c>
      <c r="D169" t="str">
        <f>"272"</f>
        <v>272</v>
      </c>
    </row>
    <row r="170" spans="1:4" x14ac:dyDescent="0.25">
      <c r="A170" t="str">
        <f>"742762148"</f>
        <v>742762148</v>
      </c>
      <c r="B170" t="s">
        <v>168</v>
      </c>
      <c r="C170">
        <v>158.4</v>
      </c>
      <c r="D170" t="str">
        <f>"272"</f>
        <v>272</v>
      </c>
    </row>
    <row r="171" spans="1:4" x14ac:dyDescent="0.25">
      <c r="A171" t="str">
        <f>"742762149"</f>
        <v>742762149</v>
      </c>
      <c r="B171" t="s">
        <v>169</v>
      </c>
      <c r="C171" s="1">
        <v>1039.5</v>
      </c>
      <c r="D171" t="str">
        <f>"750"</f>
        <v>750</v>
      </c>
    </row>
    <row r="172" spans="1:4" x14ac:dyDescent="0.25">
      <c r="A172" t="str">
        <f>"742762150"</f>
        <v>742762150</v>
      </c>
      <c r="B172" t="s">
        <v>170</v>
      </c>
      <c r="C172">
        <v>110</v>
      </c>
      <c r="D172" t="str">
        <f>"272"</f>
        <v>272</v>
      </c>
    </row>
    <row r="173" spans="1:4" x14ac:dyDescent="0.25">
      <c r="A173" t="str">
        <f>"742762151"</f>
        <v>742762151</v>
      </c>
      <c r="B173" t="s">
        <v>171</v>
      </c>
      <c r="C173" s="1">
        <v>1039.5</v>
      </c>
      <c r="D173" t="str">
        <f>"750"</f>
        <v>750</v>
      </c>
    </row>
    <row r="174" spans="1:4" x14ac:dyDescent="0.25">
      <c r="A174" t="str">
        <f>"742762152"</f>
        <v>742762152</v>
      </c>
      <c r="B174" t="s">
        <v>172</v>
      </c>
      <c r="C174" s="1">
        <v>1562</v>
      </c>
      <c r="D174" t="str">
        <f>"360"</f>
        <v>360</v>
      </c>
    </row>
    <row r="175" spans="1:4" x14ac:dyDescent="0.25">
      <c r="A175" t="str">
        <f>"742762153"</f>
        <v>742762153</v>
      </c>
      <c r="B175" t="s">
        <v>173</v>
      </c>
      <c r="C175">
        <v>521.4</v>
      </c>
      <c r="D175" t="str">
        <f>"360"</f>
        <v>360</v>
      </c>
    </row>
    <row r="176" spans="1:4" x14ac:dyDescent="0.25">
      <c r="A176" t="str">
        <f>"742762154"</f>
        <v>742762154</v>
      </c>
      <c r="B176" t="s">
        <v>174</v>
      </c>
      <c r="C176" s="1">
        <v>1940.4</v>
      </c>
      <c r="D176" t="str">
        <f>"272"</f>
        <v>272</v>
      </c>
    </row>
    <row r="177" spans="1:4" x14ac:dyDescent="0.25">
      <c r="A177" t="str">
        <f>"742762155"</f>
        <v>742762155</v>
      </c>
      <c r="B177" t="s">
        <v>175</v>
      </c>
      <c r="C177" s="1">
        <v>8408.4</v>
      </c>
      <c r="D177" t="str">
        <f>"272"</f>
        <v>272</v>
      </c>
    </row>
    <row r="178" spans="1:4" x14ac:dyDescent="0.25">
      <c r="A178" t="str">
        <f>"742762156"</f>
        <v>742762156</v>
      </c>
      <c r="B178" t="s">
        <v>176</v>
      </c>
      <c r="C178" s="1">
        <v>8250</v>
      </c>
      <c r="D178" t="str">
        <f>"360"</f>
        <v>360</v>
      </c>
    </row>
    <row r="179" spans="1:4" x14ac:dyDescent="0.25">
      <c r="A179" t="str">
        <f>"742762157"</f>
        <v>742762157</v>
      </c>
      <c r="B179" t="s">
        <v>177</v>
      </c>
      <c r="C179" s="1">
        <v>1940.4</v>
      </c>
      <c r="D179" t="str">
        <f>"272"</f>
        <v>272</v>
      </c>
    </row>
    <row r="180" spans="1:4" x14ac:dyDescent="0.25">
      <c r="A180" t="str">
        <f>"742762158"</f>
        <v>742762158</v>
      </c>
      <c r="B180" t="s">
        <v>178</v>
      </c>
      <c r="C180">
        <v>970.2</v>
      </c>
      <c r="D180" t="str">
        <f>"272"</f>
        <v>272</v>
      </c>
    </row>
    <row r="181" spans="1:4" x14ac:dyDescent="0.25">
      <c r="A181" t="str">
        <f>"742762159"</f>
        <v>742762159</v>
      </c>
      <c r="B181" t="s">
        <v>179</v>
      </c>
      <c r="C181" s="1">
        <v>1940.4</v>
      </c>
      <c r="D181" t="str">
        <f>"272"</f>
        <v>272</v>
      </c>
    </row>
    <row r="182" spans="1:4" x14ac:dyDescent="0.25">
      <c r="A182" t="str">
        <f>"742762160"</f>
        <v>742762160</v>
      </c>
      <c r="B182" t="s">
        <v>180</v>
      </c>
      <c r="C182">
        <v>749.1</v>
      </c>
      <c r="D182" t="str">
        <f>"360"</f>
        <v>360</v>
      </c>
    </row>
    <row r="183" spans="1:4" x14ac:dyDescent="0.25">
      <c r="A183" t="str">
        <f>"742762161"</f>
        <v>742762161</v>
      </c>
      <c r="B183" t="s">
        <v>181</v>
      </c>
      <c r="C183" s="1">
        <v>15668.4</v>
      </c>
      <c r="D183" t="str">
        <f>"360"</f>
        <v>360</v>
      </c>
    </row>
    <row r="184" spans="1:4" x14ac:dyDescent="0.25">
      <c r="A184" t="str">
        <f>"742762162"</f>
        <v>742762162</v>
      </c>
      <c r="B184" t="s">
        <v>182</v>
      </c>
      <c r="C184" s="1">
        <v>9154.2000000000007</v>
      </c>
      <c r="D184" t="str">
        <f>"360"</f>
        <v>360</v>
      </c>
    </row>
    <row r="185" spans="1:4" x14ac:dyDescent="0.25">
      <c r="A185" t="str">
        <f>"742762163"</f>
        <v>742762163</v>
      </c>
      <c r="B185" t="s">
        <v>183</v>
      </c>
      <c r="C185">
        <v>290.39999999999998</v>
      </c>
      <c r="D185" t="str">
        <f>"272"</f>
        <v>272</v>
      </c>
    </row>
    <row r="186" spans="1:4" x14ac:dyDescent="0.25">
      <c r="A186" t="str">
        <f>"742762164"</f>
        <v>742762164</v>
      </c>
      <c r="B186" t="s">
        <v>184</v>
      </c>
      <c r="C186" s="1">
        <v>3118.5</v>
      </c>
      <c r="D186" t="str">
        <f>"750"</f>
        <v>750</v>
      </c>
    </row>
    <row r="187" spans="1:4" x14ac:dyDescent="0.25">
      <c r="A187" t="str">
        <f>"742762165"</f>
        <v>742762165</v>
      </c>
      <c r="B187" t="s">
        <v>185</v>
      </c>
      <c r="C187">
        <v>110</v>
      </c>
      <c r="D187" t="str">
        <f>"272"</f>
        <v>272</v>
      </c>
    </row>
    <row r="188" spans="1:4" x14ac:dyDescent="0.25">
      <c r="A188" t="str">
        <f>"742762166"</f>
        <v>742762166</v>
      </c>
      <c r="B188" t="s">
        <v>186</v>
      </c>
      <c r="C188" s="1">
        <v>1039.5</v>
      </c>
      <c r="D188" t="str">
        <f>"750"</f>
        <v>750</v>
      </c>
    </row>
    <row r="189" spans="1:4" x14ac:dyDescent="0.25">
      <c r="A189" t="str">
        <f>"742762167"</f>
        <v>742762167</v>
      </c>
      <c r="B189" t="s">
        <v>187</v>
      </c>
      <c r="C189">
        <v>209</v>
      </c>
      <c r="D189" t="str">
        <f>"730"</f>
        <v>730</v>
      </c>
    </row>
    <row r="190" spans="1:4" x14ac:dyDescent="0.25">
      <c r="A190" t="str">
        <f>"742762168"</f>
        <v>742762168</v>
      </c>
      <c r="B190" t="s">
        <v>188</v>
      </c>
      <c r="C190">
        <v>112.2</v>
      </c>
      <c r="D190" t="str">
        <f>"730"</f>
        <v>730</v>
      </c>
    </row>
    <row r="191" spans="1:4" x14ac:dyDescent="0.25">
      <c r="A191" t="str">
        <f>"742762169"</f>
        <v>742762169</v>
      </c>
      <c r="B191" t="s">
        <v>189</v>
      </c>
      <c r="C191">
        <v>57.2</v>
      </c>
      <c r="D191" t="str">
        <f>"272"</f>
        <v>272</v>
      </c>
    </row>
    <row r="192" spans="1:4" x14ac:dyDescent="0.25">
      <c r="A192" t="str">
        <f>"742762170"</f>
        <v>742762170</v>
      </c>
      <c r="B192" t="s">
        <v>190</v>
      </c>
      <c r="C192">
        <v>573.1</v>
      </c>
      <c r="D192" t="str">
        <f>"360"</f>
        <v>360</v>
      </c>
    </row>
    <row r="193" spans="1:4" x14ac:dyDescent="0.25">
      <c r="A193" t="str">
        <f>"742762171"</f>
        <v>742762171</v>
      </c>
      <c r="B193" t="s">
        <v>191</v>
      </c>
      <c r="C193" s="1">
        <v>2200</v>
      </c>
      <c r="D193" t="str">
        <f>"360"</f>
        <v>360</v>
      </c>
    </row>
    <row r="194" spans="1:4" x14ac:dyDescent="0.25">
      <c r="A194" t="str">
        <f>"742762172"</f>
        <v>742762172</v>
      </c>
      <c r="B194" t="s">
        <v>192</v>
      </c>
      <c r="C194">
        <v>92.4</v>
      </c>
      <c r="D194" t="str">
        <f>"272"</f>
        <v>272</v>
      </c>
    </row>
    <row r="195" spans="1:4" x14ac:dyDescent="0.25">
      <c r="A195" t="str">
        <f>"742762173"</f>
        <v>742762173</v>
      </c>
      <c r="B195" t="s">
        <v>193</v>
      </c>
      <c r="C195" s="1">
        <v>1080.2</v>
      </c>
      <c r="D195" t="str">
        <f>"272"</f>
        <v>272</v>
      </c>
    </row>
    <row r="196" spans="1:4" x14ac:dyDescent="0.25">
      <c r="A196" t="str">
        <f>"742762174"</f>
        <v>742762174</v>
      </c>
      <c r="B196" t="s">
        <v>194</v>
      </c>
      <c r="C196" s="1">
        <v>2543.1999999999998</v>
      </c>
      <c r="D196" t="str">
        <f>"370"</f>
        <v>370</v>
      </c>
    </row>
    <row r="197" spans="1:4" x14ac:dyDescent="0.25">
      <c r="A197" t="str">
        <f>"742762175"</f>
        <v>742762175</v>
      </c>
      <c r="B197" t="s">
        <v>195</v>
      </c>
      <c r="C197" s="1">
        <v>1039.5</v>
      </c>
      <c r="D197" t="str">
        <f>"360"</f>
        <v>360</v>
      </c>
    </row>
    <row r="198" spans="1:4" x14ac:dyDescent="0.25">
      <c r="A198" t="str">
        <f>"742762176"</f>
        <v>742762176</v>
      </c>
      <c r="B198" t="s">
        <v>196</v>
      </c>
      <c r="C198" s="1">
        <v>1042.8</v>
      </c>
      <c r="D198" t="str">
        <f>"360"</f>
        <v>360</v>
      </c>
    </row>
    <row r="199" spans="1:4" x14ac:dyDescent="0.25">
      <c r="A199" t="str">
        <f>"742762177"</f>
        <v>742762177</v>
      </c>
      <c r="B199" t="s">
        <v>197</v>
      </c>
      <c r="C199">
        <v>67.099999999999994</v>
      </c>
      <c r="D199" t="str">
        <f>"272"</f>
        <v>272</v>
      </c>
    </row>
    <row r="200" spans="1:4" x14ac:dyDescent="0.25">
      <c r="A200" t="str">
        <f>"742762178"</f>
        <v>742762178</v>
      </c>
      <c r="B200" t="s">
        <v>198</v>
      </c>
      <c r="C200">
        <v>781</v>
      </c>
      <c r="D200" t="str">
        <f>"360"</f>
        <v>360</v>
      </c>
    </row>
    <row r="201" spans="1:4" x14ac:dyDescent="0.25">
      <c r="A201" t="str">
        <f>"742762179"</f>
        <v>742762179</v>
      </c>
      <c r="B201" t="s">
        <v>199</v>
      </c>
      <c r="C201">
        <v>781</v>
      </c>
      <c r="D201" t="str">
        <f>"360"</f>
        <v>360</v>
      </c>
    </row>
    <row r="202" spans="1:4" x14ac:dyDescent="0.25">
      <c r="A202" t="str">
        <f>"742762180"</f>
        <v>742762180</v>
      </c>
      <c r="B202" t="s">
        <v>200</v>
      </c>
      <c r="C202">
        <v>257.39999999999998</v>
      </c>
      <c r="D202" t="str">
        <f>"360"</f>
        <v>360</v>
      </c>
    </row>
    <row r="203" spans="1:4" x14ac:dyDescent="0.25">
      <c r="A203" t="str">
        <f>"742762181"</f>
        <v>742762181</v>
      </c>
      <c r="B203" t="s">
        <v>201</v>
      </c>
      <c r="C203" s="1">
        <v>1326.6</v>
      </c>
      <c r="D203" t="str">
        <f>"272"</f>
        <v>272</v>
      </c>
    </row>
    <row r="204" spans="1:4" x14ac:dyDescent="0.25">
      <c r="A204" t="str">
        <f>"742762182"</f>
        <v>742762182</v>
      </c>
      <c r="B204" t="s">
        <v>202</v>
      </c>
      <c r="C204" s="1">
        <v>3740</v>
      </c>
      <c r="D204" t="str">
        <f>"360"</f>
        <v>360</v>
      </c>
    </row>
    <row r="205" spans="1:4" x14ac:dyDescent="0.25">
      <c r="A205" t="str">
        <f>"742762183"</f>
        <v>742762183</v>
      </c>
      <c r="B205" t="s">
        <v>203</v>
      </c>
      <c r="C205" s="1">
        <v>3740</v>
      </c>
      <c r="D205" t="str">
        <f>"360"</f>
        <v>360</v>
      </c>
    </row>
    <row r="206" spans="1:4" x14ac:dyDescent="0.25">
      <c r="A206" t="str">
        <f>"742762184"</f>
        <v>742762184</v>
      </c>
      <c r="B206" t="s">
        <v>204</v>
      </c>
      <c r="C206">
        <v>521.4</v>
      </c>
      <c r="D206" t="str">
        <f>"360"</f>
        <v>360</v>
      </c>
    </row>
    <row r="207" spans="1:4" x14ac:dyDescent="0.25">
      <c r="A207" t="str">
        <f>"742762185"</f>
        <v>742762185</v>
      </c>
      <c r="B207" t="s">
        <v>205</v>
      </c>
      <c r="C207">
        <v>209</v>
      </c>
      <c r="D207" t="str">
        <f>"272"</f>
        <v>272</v>
      </c>
    </row>
    <row r="208" spans="1:4" x14ac:dyDescent="0.25">
      <c r="A208" t="str">
        <f>"742762186"</f>
        <v>742762186</v>
      </c>
      <c r="B208" t="s">
        <v>206</v>
      </c>
      <c r="C208">
        <v>829.4</v>
      </c>
      <c r="D208" t="str">
        <f>"320"</f>
        <v>320</v>
      </c>
    </row>
    <row r="209" spans="1:4" x14ac:dyDescent="0.25">
      <c r="A209" t="str">
        <f>"742762187"</f>
        <v>742762187</v>
      </c>
      <c r="B209" t="s">
        <v>207</v>
      </c>
      <c r="C209">
        <v>92.4</v>
      </c>
      <c r="D209" t="str">
        <f>"270"</f>
        <v>270</v>
      </c>
    </row>
    <row r="210" spans="1:4" x14ac:dyDescent="0.25">
      <c r="A210" t="str">
        <f>"742762188"</f>
        <v>742762188</v>
      </c>
      <c r="B210" t="s">
        <v>208</v>
      </c>
      <c r="C210" s="1">
        <v>2802.8</v>
      </c>
      <c r="D210" t="str">
        <f t="shared" ref="D210:D216" si="9">"272"</f>
        <v>272</v>
      </c>
    </row>
    <row r="211" spans="1:4" x14ac:dyDescent="0.25">
      <c r="A211" t="str">
        <f>"742762189"</f>
        <v>742762189</v>
      </c>
      <c r="B211" t="s">
        <v>209</v>
      </c>
      <c r="C211" s="1">
        <v>2802.8</v>
      </c>
      <c r="D211" t="str">
        <f t="shared" si="9"/>
        <v>272</v>
      </c>
    </row>
    <row r="212" spans="1:4" x14ac:dyDescent="0.25">
      <c r="A212" t="str">
        <f>"742762190"</f>
        <v>742762190</v>
      </c>
      <c r="B212" t="s">
        <v>210</v>
      </c>
      <c r="C212" s="1">
        <v>2802.8</v>
      </c>
      <c r="D212" t="str">
        <f t="shared" si="9"/>
        <v>272</v>
      </c>
    </row>
    <row r="213" spans="1:4" x14ac:dyDescent="0.25">
      <c r="A213" t="str">
        <f>"742762191"</f>
        <v>742762191</v>
      </c>
      <c r="B213" t="s">
        <v>211</v>
      </c>
      <c r="C213">
        <v>860.2</v>
      </c>
      <c r="D213" t="str">
        <f t="shared" si="9"/>
        <v>272</v>
      </c>
    </row>
    <row r="214" spans="1:4" x14ac:dyDescent="0.25">
      <c r="A214" t="str">
        <f>"742762192"</f>
        <v>742762192</v>
      </c>
      <c r="B214" t="s">
        <v>212</v>
      </c>
      <c r="C214">
        <v>860.2</v>
      </c>
      <c r="D214" t="str">
        <f t="shared" si="9"/>
        <v>272</v>
      </c>
    </row>
    <row r="215" spans="1:4" x14ac:dyDescent="0.25">
      <c r="A215" t="str">
        <f>"742762193"</f>
        <v>742762193</v>
      </c>
      <c r="B215" t="s">
        <v>213</v>
      </c>
      <c r="C215">
        <v>92.4</v>
      </c>
      <c r="D215" t="str">
        <f t="shared" si="9"/>
        <v>272</v>
      </c>
    </row>
    <row r="216" spans="1:4" x14ac:dyDescent="0.25">
      <c r="A216" t="str">
        <f>"742762194"</f>
        <v>742762194</v>
      </c>
      <c r="B216" t="s">
        <v>214</v>
      </c>
      <c r="C216">
        <v>145.19999999999999</v>
      </c>
      <c r="D216" t="str">
        <f t="shared" si="9"/>
        <v>272</v>
      </c>
    </row>
    <row r="217" spans="1:4" x14ac:dyDescent="0.25">
      <c r="A217" t="str">
        <f>"742762195"</f>
        <v>742762195</v>
      </c>
      <c r="B217" t="s">
        <v>215</v>
      </c>
      <c r="C217">
        <v>183.7</v>
      </c>
      <c r="D217" t="str">
        <f>"750"</f>
        <v>750</v>
      </c>
    </row>
    <row r="218" spans="1:4" x14ac:dyDescent="0.25">
      <c r="A218" t="str">
        <f>"742762196"</f>
        <v>742762196</v>
      </c>
      <c r="B218" t="s">
        <v>216</v>
      </c>
      <c r="C218">
        <v>116.6</v>
      </c>
      <c r="D218" t="str">
        <f>"750"</f>
        <v>750</v>
      </c>
    </row>
    <row r="219" spans="1:4" x14ac:dyDescent="0.25">
      <c r="A219" t="str">
        <f>"742762197"</f>
        <v>742762197</v>
      </c>
      <c r="B219" t="s">
        <v>217</v>
      </c>
      <c r="C219">
        <v>202.4</v>
      </c>
      <c r="D219" t="str">
        <f>"750"</f>
        <v>750</v>
      </c>
    </row>
    <row r="220" spans="1:4" x14ac:dyDescent="0.25">
      <c r="A220" t="str">
        <f>"742762198"</f>
        <v>742762198</v>
      </c>
      <c r="B220" t="s">
        <v>218</v>
      </c>
      <c r="C220" s="1">
        <v>2802.8</v>
      </c>
      <c r="D220" t="str">
        <f>"272"</f>
        <v>272</v>
      </c>
    </row>
    <row r="221" spans="1:4" x14ac:dyDescent="0.25">
      <c r="A221" t="str">
        <f>"742762200"</f>
        <v>742762200</v>
      </c>
      <c r="B221" t="s">
        <v>219</v>
      </c>
      <c r="C221" s="1">
        <v>6600</v>
      </c>
      <c r="D221" t="str">
        <f>"360"</f>
        <v>360</v>
      </c>
    </row>
    <row r="222" spans="1:4" x14ac:dyDescent="0.25">
      <c r="A222" t="str">
        <f>"742762201"</f>
        <v>742762201</v>
      </c>
      <c r="B222" t="s">
        <v>220</v>
      </c>
      <c r="C222">
        <v>860.2</v>
      </c>
      <c r="D222" t="str">
        <f>"272"</f>
        <v>272</v>
      </c>
    </row>
    <row r="223" spans="1:4" x14ac:dyDescent="0.25">
      <c r="A223" t="str">
        <f>"742762202"</f>
        <v>742762202</v>
      </c>
      <c r="B223" t="s">
        <v>221</v>
      </c>
      <c r="C223">
        <v>111.1</v>
      </c>
      <c r="D223" t="str">
        <f>"272"</f>
        <v>272</v>
      </c>
    </row>
    <row r="224" spans="1:4" x14ac:dyDescent="0.25">
      <c r="A224" t="str">
        <f>"742762203"</f>
        <v>742762203</v>
      </c>
      <c r="B224" t="s">
        <v>222</v>
      </c>
      <c r="C224">
        <v>860.2</v>
      </c>
      <c r="D224" t="str">
        <f>"272"</f>
        <v>272</v>
      </c>
    </row>
    <row r="225" spans="1:4" x14ac:dyDescent="0.25">
      <c r="A225" t="str">
        <f>"742762204"</f>
        <v>742762204</v>
      </c>
      <c r="B225" t="s">
        <v>223</v>
      </c>
      <c r="C225" s="1">
        <v>1018.6</v>
      </c>
      <c r="D225" t="str">
        <f>"370"</f>
        <v>370</v>
      </c>
    </row>
    <row r="226" spans="1:4" x14ac:dyDescent="0.25">
      <c r="A226" t="str">
        <f>"742762205"</f>
        <v>742762205</v>
      </c>
      <c r="B226" t="s">
        <v>224</v>
      </c>
      <c r="C226">
        <v>521.4</v>
      </c>
      <c r="D226" t="str">
        <f>"270"</f>
        <v>270</v>
      </c>
    </row>
    <row r="227" spans="1:4" x14ac:dyDescent="0.25">
      <c r="A227" t="str">
        <f>"742762206"</f>
        <v>742762206</v>
      </c>
      <c r="B227" t="s">
        <v>225</v>
      </c>
      <c r="C227">
        <v>521.4</v>
      </c>
      <c r="D227" t="str">
        <f>"360"</f>
        <v>360</v>
      </c>
    </row>
    <row r="228" spans="1:4" x14ac:dyDescent="0.25">
      <c r="A228" t="str">
        <f>"742762207"</f>
        <v>742762207</v>
      </c>
      <c r="B228" t="s">
        <v>226</v>
      </c>
      <c r="C228">
        <v>506</v>
      </c>
      <c r="D228" t="str">
        <f>"360"</f>
        <v>360</v>
      </c>
    </row>
    <row r="229" spans="1:4" x14ac:dyDescent="0.25">
      <c r="A229" t="str">
        <f>"742762208"</f>
        <v>742762208</v>
      </c>
      <c r="B229" t="s">
        <v>227</v>
      </c>
      <c r="C229" s="1">
        <v>1001</v>
      </c>
      <c r="D229" t="str">
        <f>"360"</f>
        <v>360</v>
      </c>
    </row>
    <row r="230" spans="1:4" x14ac:dyDescent="0.25">
      <c r="A230" t="str">
        <f>"742762209"</f>
        <v>742762209</v>
      </c>
      <c r="B230" t="s">
        <v>228</v>
      </c>
      <c r="C230" s="1">
        <v>5088.6000000000004</v>
      </c>
      <c r="D230" t="str">
        <f>"360"</f>
        <v>360</v>
      </c>
    </row>
    <row r="231" spans="1:4" x14ac:dyDescent="0.25">
      <c r="A231" t="str">
        <f>"742762210"</f>
        <v>742762210</v>
      </c>
      <c r="B231" t="s">
        <v>229</v>
      </c>
      <c r="C231">
        <v>201.3</v>
      </c>
      <c r="D231" t="str">
        <f>"272"</f>
        <v>272</v>
      </c>
    </row>
    <row r="232" spans="1:4" x14ac:dyDescent="0.25">
      <c r="A232" t="str">
        <f>"742762211"</f>
        <v>742762211</v>
      </c>
      <c r="B232" t="s">
        <v>230</v>
      </c>
      <c r="C232" s="1">
        <v>4303.2</v>
      </c>
      <c r="D232" t="str">
        <f>"360"</f>
        <v>360</v>
      </c>
    </row>
    <row r="233" spans="1:4" x14ac:dyDescent="0.25">
      <c r="A233" t="str">
        <f>"742762212"</f>
        <v>742762212</v>
      </c>
      <c r="B233" t="s">
        <v>231</v>
      </c>
      <c r="C233" s="1">
        <v>2343</v>
      </c>
      <c r="D233" t="str">
        <f>"360"</f>
        <v>360</v>
      </c>
    </row>
    <row r="234" spans="1:4" x14ac:dyDescent="0.25">
      <c r="A234" t="str">
        <f>"742762213"</f>
        <v>742762213</v>
      </c>
      <c r="B234" t="s">
        <v>232</v>
      </c>
      <c r="C234" s="1">
        <v>1485</v>
      </c>
      <c r="D234" t="str">
        <f>"360"</f>
        <v>360</v>
      </c>
    </row>
    <row r="235" spans="1:4" x14ac:dyDescent="0.25">
      <c r="A235" t="str">
        <f>"742762214"</f>
        <v>742762214</v>
      </c>
      <c r="B235" t="s">
        <v>233</v>
      </c>
      <c r="C235" s="1">
        <v>2343</v>
      </c>
      <c r="D235" t="str">
        <f>"360"</f>
        <v>360</v>
      </c>
    </row>
    <row r="236" spans="1:4" x14ac:dyDescent="0.25">
      <c r="A236" t="str">
        <f>"742762215"</f>
        <v>742762215</v>
      </c>
      <c r="B236" t="s">
        <v>234</v>
      </c>
      <c r="C236" s="1">
        <v>4392.3</v>
      </c>
      <c r="D236" t="str">
        <f>"360"</f>
        <v>360</v>
      </c>
    </row>
    <row r="237" spans="1:4" x14ac:dyDescent="0.25">
      <c r="A237" t="str">
        <f>"742762216"</f>
        <v>742762216</v>
      </c>
      <c r="B237" t="s">
        <v>235</v>
      </c>
      <c r="C237" s="1">
        <v>1755.6</v>
      </c>
      <c r="D237" t="str">
        <f>"270"</f>
        <v>270</v>
      </c>
    </row>
    <row r="238" spans="1:4" x14ac:dyDescent="0.25">
      <c r="A238" t="str">
        <f>"742762217"</f>
        <v>742762217</v>
      </c>
      <c r="B238" t="s">
        <v>236</v>
      </c>
      <c r="C238" s="1">
        <v>3003</v>
      </c>
      <c r="D238" t="str">
        <f>"370"</f>
        <v>370</v>
      </c>
    </row>
    <row r="239" spans="1:4" x14ac:dyDescent="0.25">
      <c r="A239" t="str">
        <f>"742762218"</f>
        <v>742762218</v>
      </c>
      <c r="B239" t="s">
        <v>237</v>
      </c>
      <c r="C239" s="1">
        <v>1643.4</v>
      </c>
      <c r="D239" t="str">
        <f>"370"</f>
        <v>370</v>
      </c>
    </row>
    <row r="240" spans="1:4" x14ac:dyDescent="0.25">
      <c r="A240" t="str">
        <f>"742762219"</f>
        <v>742762219</v>
      </c>
      <c r="B240" t="s">
        <v>238</v>
      </c>
      <c r="C240" s="1">
        <v>8032.2</v>
      </c>
      <c r="D240" t="str">
        <f>"360"</f>
        <v>360</v>
      </c>
    </row>
    <row r="241" spans="1:4" x14ac:dyDescent="0.25">
      <c r="A241" t="str">
        <f>"742762220"</f>
        <v>742762220</v>
      </c>
      <c r="B241" t="s">
        <v>239</v>
      </c>
      <c r="C241" s="1">
        <v>1564.2</v>
      </c>
      <c r="D241" t="str">
        <f>"272"</f>
        <v>272</v>
      </c>
    </row>
    <row r="242" spans="1:4" x14ac:dyDescent="0.25">
      <c r="A242" t="str">
        <f>"742762221"</f>
        <v>742762221</v>
      </c>
      <c r="B242" t="s">
        <v>240</v>
      </c>
      <c r="C242" s="1">
        <v>4573.8</v>
      </c>
      <c r="D242" t="str">
        <f>"270"</f>
        <v>270</v>
      </c>
    </row>
    <row r="243" spans="1:4" x14ac:dyDescent="0.25">
      <c r="A243" t="str">
        <f>"742762222"</f>
        <v>742762222</v>
      </c>
      <c r="B243" t="s">
        <v>241</v>
      </c>
      <c r="C243" s="1">
        <v>5471.4</v>
      </c>
      <c r="D243" t="str">
        <f>"272"</f>
        <v>272</v>
      </c>
    </row>
    <row r="244" spans="1:4" x14ac:dyDescent="0.25">
      <c r="A244" t="str">
        <f>"742762223"</f>
        <v>742762223</v>
      </c>
      <c r="B244" t="s">
        <v>242</v>
      </c>
      <c r="C244" s="1">
        <v>1062.5999999999999</v>
      </c>
      <c r="D244" t="str">
        <f>"270"</f>
        <v>270</v>
      </c>
    </row>
    <row r="245" spans="1:4" x14ac:dyDescent="0.25">
      <c r="A245" t="str">
        <f>"742762224"</f>
        <v>742762224</v>
      </c>
      <c r="B245" t="s">
        <v>243</v>
      </c>
      <c r="C245" s="1">
        <v>2735.7</v>
      </c>
      <c r="D245" t="str">
        <f t="shared" ref="D245:D252" si="10">"272"</f>
        <v>272</v>
      </c>
    </row>
    <row r="246" spans="1:4" x14ac:dyDescent="0.25">
      <c r="A246" t="str">
        <f>"742762225"</f>
        <v>742762225</v>
      </c>
      <c r="B246" t="s">
        <v>244</v>
      </c>
      <c r="C246" s="1">
        <v>2735.7</v>
      </c>
      <c r="D246" t="str">
        <f t="shared" si="10"/>
        <v>272</v>
      </c>
    </row>
    <row r="247" spans="1:4" x14ac:dyDescent="0.25">
      <c r="A247" t="str">
        <f>"742762226"</f>
        <v>742762226</v>
      </c>
      <c r="B247" t="s">
        <v>245</v>
      </c>
      <c r="C247" s="1">
        <v>2735.7</v>
      </c>
      <c r="D247" t="str">
        <f t="shared" si="10"/>
        <v>272</v>
      </c>
    </row>
    <row r="248" spans="1:4" x14ac:dyDescent="0.25">
      <c r="A248" t="str">
        <f>"742762227"</f>
        <v>742762227</v>
      </c>
      <c r="B248" t="s">
        <v>246</v>
      </c>
      <c r="C248" s="1">
        <v>3240.6</v>
      </c>
      <c r="D248" t="str">
        <f t="shared" si="10"/>
        <v>272</v>
      </c>
    </row>
    <row r="249" spans="1:4" x14ac:dyDescent="0.25">
      <c r="A249" t="str">
        <f>"742762228"</f>
        <v>742762228</v>
      </c>
      <c r="B249" t="s">
        <v>247</v>
      </c>
      <c r="C249" s="1">
        <v>7042.2</v>
      </c>
      <c r="D249" t="str">
        <f t="shared" si="10"/>
        <v>272</v>
      </c>
    </row>
    <row r="250" spans="1:4" x14ac:dyDescent="0.25">
      <c r="A250" t="str">
        <f>"742762229"</f>
        <v>742762229</v>
      </c>
      <c r="B250" t="s">
        <v>248</v>
      </c>
      <c r="C250" s="1">
        <v>1290.3</v>
      </c>
      <c r="D250" t="str">
        <f t="shared" si="10"/>
        <v>272</v>
      </c>
    </row>
    <row r="251" spans="1:4" x14ac:dyDescent="0.25">
      <c r="A251" t="str">
        <f>"742762230"</f>
        <v>742762230</v>
      </c>
      <c r="B251" t="s">
        <v>249</v>
      </c>
      <c r="C251" s="1">
        <v>7042.2</v>
      </c>
      <c r="D251" t="str">
        <f t="shared" si="10"/>
        <v>272</v>
      </c>
    </row>
    <row r="252" spans="1:4" x14ac:dyDescent="0.25">
      <c r="A252" t="str">
        <f>"742762231"</f>
        <v>742762231</v>
      </c>
      <c r="B252" t="s">
        <v>250</v>
      </c>
      <c r="C252" s="1">
        <v>2580.6</v>
      </c>
      <c r="D252" t="str">
        <f t="shared" si="10"/>
        <v>272</v>
      </c>
    </row>
    <row r="253" spans="1:4" x14ac:dyDescent="0.25">
      <c r="A253" t="str">
        <f>"742762232"</f>
        <v>742762232</v>
      </c>
      <c r="B253" t="s">
        <v>251</v>
      </c>
      <c r="C253" s="1">
        <v>19377.599999999999</v>
      </c>
      <c r="D253" t="str">
        <f>"270"</f>
        <v>270</v>
      </c>
    </row>
    <row r="254" spans="1:4" x14ac:dyDescent="0.25">
      <c r="A254" t="str">
        <f>"742762233"</f>
        <v>742762233</v>
      </c>
      <c r="B254" t="s">
        <v>252</v>
      </c>
      <c r="C254" s="1">
        <v>3003</v>
      </c>
      <c r="D254" t="str">
        <f>"360"</f>
        <v>360</v>
      </c>
    </row>
    <row r="255" spans="1:4" x14ac:dyDescent="0.25">
      <c r="A255" t="str">
        <f>"742762234"</f>
        <v>742762234</v>
      </c>
      <c r="B255" t="s">
        <v>253</v>
      </c>
      <c r="C255" s="1">
        <v>5471.4</v>
      </c>
      <c r="D255" t="str">
        <f>"272"</f>
        <v>272</v>
      </c>
    </row>
    <row r="256" spans="1:4" x14ac:dyDescent="0.25">
      <c r="A256" t="str">
        <f>"742762235"</f>
        <v>742762235</v>
      </c>
      <c r="B256" t="s">
        <v>254</v>
      </c>
      <c r="C256">
        <v>501.6</v>
      </c>
      <c r="D256" t="str">
        <f>"270"</f>
        <v>270</v>
      </c>
    </row>
    <row r="257" spans="1:4" x14ac:dyDescent="0.25">
      <c r="A257" t="str">
        <f>"742762236"</f>
        <v>742762236</v>
      </c>
      <c r="B257" t="s">
        <v>255</v>
      </c>
      <c r="C257" s="1">
        <v>1564.2</v>
      </c>
      <c r="D257" t="str">
        <f>"360"</f>
        <v>360</v>
      </c>
    </row>
    <row r="258" spans="1:4" x14ac:dyDescent="0.25">
      <c r="A258" t="str">
        <f>"742762237"</f>
        <v>742762237</v>
      </c>
      <c r="B258" t="s">
        <v>256</v>
      </c>
      <c r="C258" s="1">
        <v>3240.6</v>
      </c>
      <c r="D258" t="str">
        <f>"272"</f>
        <v>272</v>
      </c>
    </row>
    <row r="259" spans="1:4" x14ac:dyDescent="0.25">
      <c r="A259" t="str">
        <f>"742762238"</f>
        <v>742762238</v>
      </c>
      <c r="B259" t="s">
        <v>257</v>
      </c>
      <c r="C259" s="1">
        <v>1696.2</v>
      </c>
      <c r="D259" t="str">
        <f>"360"</f>
        <v>360</v>
      </c>
    </row>
    <row r="260" spans="1:4" x14ac:dyDescent="0.25">
      <c r="A260" t="str">
        <f>"742762239"</f>
        <v>742762239</v>
      </c>
      <c r="B260" t="s">
        <v>258</v>
      </c>
      <c r="C260" s="1">
        <v>1170.4000000000001</v>
      </c>
      <c r="D260" t="str">
        <f>"360"</f>
        <v>360</v>
      </c>
    </row>
    <row r="261" spans="1:4" x14ac:dyDescent="0.25">
      <c r="A261" t="str">
        <f>"742762240"</f>
        <v>742762240</v>
      </c>
      <c r="B261" t="s">
        <v>259</v>
      </c>
      <c r="C261">
        <v>413.6</v>
      </c>
      <c r="D261" t="str">
        <f t="shared" ref="D261:D267" si="11">"272"</f>
        <v>272</v>
      </c>
    </row>
    <row r="262" spans="1:4" x14ac:dyDescent="0.25">
      <c r="A262" t="str">
        <f>"742762241"</f>
        <v>742762241</v>
      </c>
      <c r="B262" t="s">
        <v>260</v>
      </c>
      <c r="C262" s="1">
        <v>1927.2</v>
      </c>
      <c r="D262" t="str">
        <f t="shared" si="11"/>
        <v>272</v>
      </c>
    </row>
    <row r="263" spans="1:4" x14ac:dyDescent="0.25">
      <c r="A263" t="str">
        <f>"742762242"</f>
        <v>742762242</v>
      </c>
      <c r="B263" t="s">
        <v>261</v>
      </c>
      <c r="C263">
        <v>135.30000000000001</v>
      </c>
      <c r="D263" t="str">
        <f t="shared" si="11"/>
        <v>272</v>
      </c>
    </row>
    <row r="264" spans="1:4" x14ac:dyDescent="0.25">
      <c r="A264" t="str">
        <f>"742762243"</f>
        <v>742762243</v>
      </c>
      <c r="B264" t="s">
        <v>262</v>
      </c>
      <c r="C264" s="1">
        <v>2582.8000000000002</v>
      </c>
      <c r="D264" t="str">
        <f t="shared" si="11"/>
        <v>272</v>
      </c>
    </row>
    <row r="265" spans="1:4" x14ac:dyDescent="0.25">
      <c r="A265" t="str">
        <f>"742762244"</f>
        <v>742762244</v>
      </c>
      <c r="B265" t="s">
        <v>263</v>
      </c>
      <c r="C265">
        <v>895.4</v>
      </c>
      <c r="D265" t="str">
        <f t="shared" si="11"/>
        <v>272</v>
      </c>
    </row>
    <row r="266" spans="1:4" x14ac:dyDescent="0.25">
      <c r="A266" t="str">
        <f>"742762245"</f>
        <v>742762245</v>
      </c>
      <c r="B266" t="s">
        <v>264</v>
      </c>
      <c r="C266" s="1">
        <v>2802.8</v>
      </c>
      <c r="D266" t="str">
        <f t="shared" si="11"/>
        <v>272</v>
      </c>
    </row>
    <row r="267" spans="1:4" x14ac:dyDescent="0.25">
      <c r="A267" t="str">
        <f>"742762246"</f>
        <v>742762246</v>
      </c>
      <c r="B267" t="s">
        <v>265</v>
      </c>
      <c r="C267" s="1">
        <v>1513.6</v>
      </c>
      <c r="D267" t="str">
        <f t="shared" si="11"/>
        <v>272</v>
      </c>
    </row>
    <row r="268" spans="1:4" x14ac:dyDescent="0.25">
      <c r="A268" t="str">
        <f>"742762247"</f>
        <v>742762247</v>
      </c>
      <c r="B268" t="s">
        <v>266</v>
      </c>
      <c r="C268" s="1">
        <v>1256.2</v>
      </c>
      <c r="D268" t="str">
        <f>"270"</f>
        <v>270</v>
      </c>
    </row>
    <row r="269" spans="1:4" x14ac:dyDescent="0.25">
      <c r="A269" t="str">
        <f>"742762248"</f>
        <v>742762248</v>
      </c>
      <c r="B269" t="s">
        <v>267</v>
      </c>
      <c r="C269">
        <v>860.2</v>
      </c>
      <c r="D269" t="str">
        <f>"272"</f>
        <v>272</v>
      </c>
    </row>
    <row r="270" spans="1:4" x14ac:dyDescent="0.25">
      <c r="A270" t="str">
        <f>"742762249"</f>
        <v>742762249</v>
      </c>
      <c r="B270" t="s">
        <v>268</v>
      </c>
      <c r="C270">
        <v>413.6</v>
      </c>
      <c r="D270" t="str">
        <f>"272"</f>
        <v>272</v>
      </c>
    </row>
    <row r="271" spans="1:4" x14ac:dyDescent="0.25">
      <c r="A271" t="str">
        <f>"742762250"</f>
        <v>742762250</v>
      </c>
      <c r="B271" t="s">
        <v>269</v>
      </c>
      <c r="C271">
        <v>939.4</v>
      </c>
      <c r="D271" t="str">
        <f>"272"</f>
        <v>272</v>
      </c>
    </row>
    <row r="272" spans="1:4" x14ac:dyDescent="0.25">
      <c r="A272" t="str">
        <f>"742762251"</f>
        <v>742762251</v>
      </c>
      <c r="B272" t="s">
        <v>270</v>
      </c>
      <c r="C272">
        <v>82.5</v>
      </c>
      <c r="D272" t="str">
        <f>"272"</f>
        <v>272</v>
      </c>
    </row>
    <row r="273" spans="1:4" x14ac:dyDescent="0.25">
      <c r="A273" t="str">
        <f>"742762252"</f>
        <v>742762252</v>
      </c>
      <c r="B273" t="s">
        <v>271</v>
      </c>
      <c r="C273">
        <v>558.79999999999995</v>
      </c>
      <c r="D273" t="str">
        <f t="shared" ref="D273:D330" si="12">"360"</f>
        <v>360</v>
      </c>
    </row>
    <row r="274" spans="1:4" x14ac:dyDescent="0.25">
      <c r="A274" t="str">
        <f>"742762253"</f>
        <v>742762253</v>
      </c>
      <c r="B274" t="s">
        <v>272</v>
      </c>
      <c r="C274" s="1">
        <v>3097.6</v>
      </c>
      <c r="D274" t="str">
        <f t="shared" si="12"/>
        <v>360</v>
      </c>
    </row>
    <row r="275" spans="1:4" x14ac:dyDescent="0.25">
      <c r="A275" t="str">
        <f>"742762254"</f>
        <v>742762254</v>
      </c>
      <c r="B275" t="s">
        <v>273</v>
      </c>
      <c r="C275" s="1">
        <v>8553.6</v>
      </c>
      <c r="D275" t="str">
        <f t="shared" si="12"/>
        <v>360</v>
      </c>
    </row>
    <row r="276" spans="1:4" x14ac:dyDescent="0.25">
      <c r="A276" t="str">
        <f>"742762255"</f>
        <v>742762255</v>
      </c>
      <c r="B276" t="s">
        <v>274</v>
      </c>
      <c r="C276" s="1">
        <v>4122.8</v>
      </c>
      <c r="D276" t="str">
        <f t="shared" si="12"/>
        <v>360</v>
      </c>
    </row>
    <row r="277" spans="1:4" x14ac:dyDescent="0.25">
      <c r="A277" t="str">
        <f>"742762256"</f>
        <v>742762256</v>
      </c>
      <c r="B277" t="s">
        <v>275</v>
      </c>
      <c r="C277" s="1">
        <v>4637.6000000000004</v>
      </c>
      <c r="D277" t="str">
        <f t="shared" si="12"/>
        <v>360</v>
      </c>
    </row>
    <row r="278" spans="1:4" x14ac:dyDescent="0.25">
      <c r="A278" t="str">
        <f>"742762257"</f>
        <v>742762257</v>
      </c>
      <c r="B278" t="s">
        <v>276</v>
      </c>
      <c r="C278" s="1">
        <v>5152.3999999999996</v>
      </c>
      <c r="D278" t="str">
        <f t="shared" si="12"/>
        <v>360</v>
      </c>
    </row>
    <row r="279" spans="1:4" x14ac:dyDescent="0.25">
      <c r="A279" t="str">
        <f>"742762258"</f>
        <v>742762258</v>
      </c>
      <c r="B279" t="s">
        <v>277</v>
      </c>
      <c r="C279" s="1">
        <v>5669.4</v>
      </c>
      <c r="D279" t="str">
        <f t="shared" si="12"/>
        <v>360</v>
      </c>
    </row>
    <row r="280" spans="1:4" x14ac:dyDescent="0.25">
      <c r="A280" t="str">
        <f>"742762259"</f>
        <v>742762259</v>
      </c>
      <c r="B280" t="s">
        <v>278</v>
      </c>
      <c r="C280" s="1">
        <v>6186.4</v>
      </c>
      <c r="D280" t="str">
        <f t="shared" si="12"/>
        <v>360</v>
      </c>
    </row>
    <row r="281" spans="1:4" x14ac:dyDescent="0.25">
      <c r="A281" t="str">
        <f>"742762260"</f>
        <v>742762260</v>
      </c>
      <c r="B281" t="s">
        <v>279</v>
      </c>
      <c r="C281" s="1">
        <v>6701.2</v>
      </c>
      <c r="D281" t="str">
        <f t="shared" si="12"/>
        <v>360</v>
      </c>
    </row>
    <row r="282" spans="1:4" x14ac:dyDescent="0.25">
      <c r="A282" t="str">
        <f>"742762261"</f>
        <v>742762261</v>
      </c>
      <c r="B282" t="s">
        <v>280</v>
      </c>
      <c r="C282" s="1">
        <v>7257.8</v>
      </c>
      <c r="D282" t="str">
        <f t="shared" si="12"/>
        <v>360</v>
      </c>
    </row>
    <row r="283" spans="1:4" x14ac:dyDescent="0.25">
      <c r="A283" t="str">
        <f>"742762262"</f>
        <v>742762262</v>
      </c>
      <c r="B283" t="s">
        <v>281</v>
      </c>
      <c r="C283" s="1">
        <v>7821</v>
      </c>
      <c r="D283" t="str">
        <f t="shared" si="12"/>
        <v>360</v>
      </c>
    </row>
    <row r="284" spans="1:4" x14ac:dyDescent="0.25">
      <c r="A284" t="str">
        <f>"742762263"</f>
        <v>742762263</v>
      </c>
      <c r="B284" t="s">
        <v>282</v>
      </c>
      <c r="C284" s="1">
        <v>8379.7999999999993</v>
      </c>
      <c r="D284" t="str">
        <f t="shared" si="12"/>
        <v>360</v>
      </c>
    </row>
    <row r="285" spans="1:4" x14ac:dyDescent="0.25">
      <c r="A285" t="str">
        <f>"742762264"</f>
        <v>742762264</v>
      </c>
      <c r="B285" t="s">
        <v>283</v>
      </c>
      <c r="C285" s="1">
        <v>8949.6</v>
      </c>
      <c r="D285" t="str">
        <f t="shared" si="12"/>
        <v>360</v>
      </c>
    </row>
    <row r="286" spans="1:4" x14ac:dyDescent="0.25">
      <c r="A286" t="str">
        <f>"742762265"</f>
        <v>742762265</v>
      </c>
      <c r="B286" t="s">
        <v>284</v>
      </c>
      <c r="C286" s="1">
        <v>9530.4</v>
      </c>
      <c r="D286" t="str">
        <f t="shared" si="12"/>
        <v>360</v>
      </c>
    </row>
    <row r="287" spans="1:4" x14ac:dyDescent="0.25">
      <c r="A287" t="str">
        <f>"742762266"</f>
        <v>742762266</v>
      </c>
      <c r="B287" t="s">
        <v>285</v>
      </c>
      <c r="C287" s="1">
        <v>10065</v>
      </c>
      <c r="D287" t="str">
        <f t="shared" si="12"/>
        <v>360</v>
      </c>
    </row>
    <row r="288" spans="1:4" x14ac:dyDescent="0.25">
      <c r="A288" t="str">
        <f>"742762268"</f>
        <v>742762268</v>
      </c>
      <c r="B288" t="s">
        <v>286</v>
      </c>
      <c r="C288">
        <v>748</v>
      </c>
      <c r="D288" t="str">
        <f t="shared" si="12"/>
        <v>360</v>
      </c>
    </row>
    <row r="289" spans="1:4" x14ac:dyDescent="0.25">
      <c r="A289" t="str">
        <f>"742762269"</f>
        <v>742762269</v>
      </c>
      <c r="B289" t="s">
        <v>287</v>
      </c>
      <c r="C289" s="1">
        <v>4554</v>
      </c>
      <c r="D289" t="str">
        <f t="shared" si="12"/>
        <v>360</v>
      </c>
    </row>
    <row r="290" spans="1:4" x14ac:dyDescent="0.25">
      <c r="A290" t="str">
        <f>"742762270"</f>
        <v>742762270</v>
      </c>
      <c r="B290" t="s">
        <v>288</v>
      </c>
      <c r="C290" s="1">
        <v>5066.6000000000004</v>
      </c>
      <c r="D290" t="str">
        <f t="shared" si="12"/>
        <v>360</v>
      </c>
    </row>
    <row r="291" spans="1:4" x14ac:dyDescent="0.25">
      <c r="A291" t="str">
        <f>"742762271"</f>
        <v>742762271</v>
      </c>
      <c r="B291" t="s">
        <v>289</v>
      </c>
      <c r="C291" s="1">
        <v>6047.8</v>
      </c>
      <c r="D291" t="str">
        <f t="shared" si="12"/>
        <v>360</v>
      </c>
    </row>
    <row r="292" spans="1:4" x14ac:dyDescent="0.25">
      <c r="A292" t="str">
        <f>"742762272"</f>
        <v>742762272</v>
      </c>
      <c r="B292" t="s">
        <v>290</v>
      </c>
      <c r="C292" s="1">
        <v>6791.4</v>
      </c>
      <c r="D292" t="str">
        <f t="shared" si="12"/>
        <v>360</v>
      </c>
    </row>
    <row r="293" spans="1:4" x14ac:dyDescent="0.25">
      <c r="A293" t="str">
        <f>"742762273"</f>
        <v>742762273</v>
      </c>
      <c r="B293" t="s">
        <v>291</v>
      </c>
      <c r="C293" s="1">
        <v>7543.8</v>
      </c>
      <c r="D293" t="str">
        <f t="shared" si="12"/>
        <v>360</v>
      </c>
    </row>
    <row r="294" spans="1:4" x14ac:dyDescent="0.25">
      <c r="A294" t="str">
        <f>"742762274"</f>
        <v>742762274</v>
      </c>
      <c r="B294" t="s">
        <v>292</v>
      </c>
      <c r="C294" s="1">
        <v>8289.6</v>
      </c>
      <c r="D294" t="str">
        <f t="shared" si="12"/>
        <v>360</v>
      </c>
    </row>
    <row r="295" spans="1:4" x14ac:dyDescent="0.25">
      <c r="A295" t="str">
        <f>"742762275"</f>
        <v>742762275</v>
      </c>
      <c r="B295" t="s">
        <v>293</v>
      </c>
      <c r="C295" s="1">
        <v>9039.7999999999993</v>
      </c>
      <c r="D295" t="str">
        <f t="shared" si="12"/>
        <v>360</v>
      </c>
    </row>
    <row r="296" spans="1:4" x14ac:dyDescent="0.25">
      <c r="A296" t="str">
        <f>"742762276"</f>
        <v>742762276</v>
      </c>
      <c r="B296" t="s">
        <v>294</v>
      </c>
      <c r="C296" s="1">
        <v>9779</v>
      </c>
      <c r="D296" t="str">
        <f t="shared" si="12"/>
        <v>360</v>
      </c>
    </row>
    <row r="297" spans="1:4" x14ac:dyDescent="0.25">
      <c r="A297" t="str">
        <f>"742762277"</f>
        <v>742762277</v>
      </c>
      <c r="B297" t="s">
        <v>295</v>
      </c>
      <c r="C297" s="1">
        <v>10531.4</v>
      </c>
      <c r="D297" t="str">
        <f t="shared" si="12"/>
        <v>360</v>
      </c>
    </row>
    <row r="298" spans="1:4" x14ac:dyDescent="0.25">
      <c r="A298" t="str">
        <f>"742762278"</f>
        <v>742762278</v>
      </c>
      <c r="B298" t="s">
        <v>296</v>
      </c>
      <c r="C298" s="1">
        <v>11277.2</v>
      </c>
      <c r="D298" t="str">
        <f t="shared" si="12"/>
        <v>360</v>
      </c>
    </row>
    <row r="299" spans="1:4" x14ac:dyDescent="0.25">
      <c r="A299" t="str">
        <f>"742762279"</f>
        <v>742762279</v>
      </c>
      <c r="B299" t="s">
        <v>297</v>
      </c>
      <c r="C299" s="1">
        <v>12027.4</v>
      </c>
      <c r="D299" t="str">
        <f t="shared" si="12"/>
        <v>360</v>
      </c>
    </row>
    <row r="300" spans="1:4" x14ac:dyDescent="0.25">
      <c r="A300" t="str">
        <f>"742762280"</f>
        <v>742762280</v>
      </c>
      <c r="B300" t="s">
        <v>298</v>
      </c>
      <c r="C300" s="1">
        <v>12773.2</v>
      </c>
      <c r="D300" t="str">
        <f t="shared" si="12"/>
        <v>360</v>
      </c>
    </row>
    <row r="301" spans="1:4" x14ac:dyDescent="0.25">
      <c r="A301" t="str">
        <f>"742762281"</f>
        <v>742762281</v>
      </c>
      <c r="B301" t="s">
        <v>299</v>
      </c>
      <c r="C301" s="1">
        <v>13521.2</v>
      </c>
      <c r="D301" t="str">
        <f t="shared" si="12"/>
        <v>360</v>
      </c>
    </row>
    <row r="302" spans="1:4" x14ac:dyDescent="0.25">
      <c r="A302" t="str">
        <f>"742762282"</f>
        <v>742762282</v>
      </c>
      <c r="B302" t="s">
        <v>300</v>
      </c>
      <c r="C302" s="1">
        <v>7133.5</v>
      </c>
      <c r="D302" t="str">
        <f t="shared" si="12"/>
        <v>360</v>
      </c>
    </row>
    <row r="303" spans="1:4" x14ac:dyDescent="0.25">
      <c r="A303" t="str">
        <f>"742762283"</f>
        <v>742762283</v>
      </c>
      <c r="B303" t="s">
        <v>301</v>
      </c>
      <c r="C303" s="1">
        <v>7508.6</v>
      </c>
      <c r="D303" t="str">
        <f t="shared" si="12"/>
        <v>360</v>
      </c>
    </row>
    <row r="304" spans="1:4" x14ac:dyDescent="0.25">
      <c r="A304" t="str">
        <f>"742762284"</f>
        <v>742762284</v>
      </c>
      <c r="B304" t="s">
        <v>302</v>
      </c>
      <c r="C304" s="1">
        <v>7879.3</v>
      </c>
      <c r="D304" t="str">
        <f t="shared" si="12"/>
        <v>360</v>
      </c>
    </row>
    <row r="305" spans="1:4" x14ac:dyDescent="0.25">
      <c r="A305" t="str">
        <f>"742762285"</f>
        <v>742762285</v>
      </c>
      <c r="B305" t="s">
        <v>303</v>
      </c>
      <c r="C305" s="1">
        <v>8255.5</v>
      </c>
      <c r="D305" t="str">
        <f t="shared" si="12"/>
        <v>360</v>
      </c>
    </row>
    <row r="306" spans="1:4" x14ac:dyDescent="0.25">
      <c r="A306" t="str">
        <f>"742762286"</f>
        <v>742762286</v>
      </c>
      <c r="B306" t="s">
        <v>304</v>
      </c>
      <c r="C306" s="1">
        <v>8627.2999999999993</v>
      </c>
      <c r="D306" t="str">
        <f t="shared" si="12"/>
        <v>360</v>
      </c>
    </row>
    <row r="307" spans="1:4" x14ac:dyDescent="0.25">
      <c r="A307" t="str">
        <f>"742762287"</f>
        <v>742762287</v>
      </c>
      <c r="B307" t="s">
        <v>305</v>
      </c>
      <c r="C307" s="1">
        <v>9002.4</v>
      </c>
      <c r="D307" t="str">
        <f t="shared" si="12"/>
        <v>360</v>
      </c>
    </row>
    <row r="308" spans="1:4" x14ac:dyDescent="0.25">
      <c r="A308" t="str">
        <f>"742762288"</f>
        <v>742762288</v>
      </c>
      <c r="B308" t="s">
        <v>306</v>
      </c>
      <c r="C308" s="1">
        <v>9375.2999999999993</v>
      </c>
      <c r="D308" t="str">
        <f t="shared" si="12"/>
        <v>360</v>
      </c>
    </row>
    <row r="309" spans="1:4" x14ac:dyDescent="0.25">
      <c r="A309" t="str">
        <f>"742762289"</f>
        <v>742762289</v>
      </c>
      <c r="B309" t="s">
        <v>307</v>
      </c>
      <c r="C309" s="1">
        <v>9750.4</v>
      </c>
      <c r="D309" t="str">
        <f t="shared" si="12"/>
        <v>360</v>
      </c>
    </row>
    <row r="310" spans="1:4" x14ac:dyDescent="0.25">
      <c r="A310" t="str">
        <f>"742762290"</f>
        <v>742762290</v>
      </c>
      <c r="B310" t="s">
        <v>308</v>
      </c>
      <c r="C310">
        <v>853.6</v>
      </c>
      <c r="D310" t="str">
        <f t="shared" si="12"/>
        <v>360</v>
      </c>
    </row>
    <row r="311" spans="1:4" x14ac:dyDescent="0.25">
      <c r="A311" t="str">
        <f>"742762291"</f>
        <v>742762291</v>
      </c>
      <c r="B311" t="s">
        <v>309</v>
      </c>
      <c r="C311" s="1">
        <v>12117.6</v>
      </c>
      <c r="D311" t="str">
        <f t="shared" si="12"/>
        <v>360</v>
      </c>
    </row>
    <row r="312" spans="1:4" x14ac:dyDescent="0.25">
      <c r="A312" t="str">
        <f>"742762292"</f>
        <v>742762292</v>
      </c>
      <c r="B312" t="s">
        <v>310</v>
      </c>
      <c r="C312" s="1">
        <v>6120.4</v>
      </c>
      <c r="D312" t="str">
        <f t="shared" si="12"/>
        <v>360</v>
      </c>
    </row>
    <row r="313" spans="1:4" x14ac:dyDescent="0.25">
      <c r="A313" t="str">
        <f>"742762293"</f>
        <v>742762293</v>
      </c>
      <c r="B313" t="s">
        <v>311</v>
      </c>
      <c r="C313" s="1">
        <v>6969.6</v>
      </c>
      <c r="D313" t="str">
        <f t="shared" si="12"/>
        <v>360</v>
      </c>
    </row>
    <row r="314" spans="1:4" x14ac:dyDescent="0.25">
      <c r="A314" t="str">
        <f>"742762294"</f>
        <v>742762294</v>
      </c>
      <c r="B314" t="s">
        <v>312</v>
      </c>
      <c r="C314" s="1">
        <v>7825.4</v>
      </c>
      <c r="D314" t="str">
        <f t="shared" si="12"/>
        <v>360</v>
      </c>
    </row>
    <row r="315" spans="1:4" x14ac:dyDescent="0.25">
      <c r="A315" t="str">
        <f>"742762295"</f>
        <v>742762295</v>
      </c>
      <c r="B315" t="s">
        <v>313</v>
      </c>
      <c r="C315" s="1">
        <v>8683.4</v>
      </c>
      <c r="D315" t="str">
        <f t="shared" si="12"/>
        <v>360</v>
      </c>
    </row>
    <row r="316" spans="1:4" x14ac:dyDescent="0.25">
      <c r="A316" t="str">
        <f>"742762296"</f>
        <v>742762296</v>
      </c>
      <c r="B316" t="s">
        <v>314</v>
      </c>
      <c r="C316" s="1">
        <v>9534.7999999999993</v>
      </c>
      <c r="D316" t="str">
        <f t="shared" si="12"/>
        <v>360</v>
      </c>
    </row>
    <row r="317" spans="1:4" x14ac:dyDescent="0.25">
      <c r="A317" t="str">
        <f>"742762297"</f>
        <v>742762297</v>
      </c>
      <c r="B317" t="s">
        <v>315</v>
      </c>
      <c r="C317" s="1">
        <v>10388.4</v>
      </c>
      <c r="D317" t="str">
        <f t="shared" si="12"/>
        <v>360</v>
      </c>
    </row>
    <row r="318" spans="1:4" x14ac:dyDescent="0.25">
      <c r="A318" t="str">
        <f>"742762298"</f>
        <v>742762298</v>
      </c>
      <c r="B318" t="s">
        <v>316</v>
      </c>
      <c r="C318" s="1">
        <v>11244.2</v>
      </c>
      <c r="D318" t="str">
        <f t="shared" si="12"/>
        <v>360</v>
      </c>
    </row>
    <row r="319" spans="1:4" x14ac:dyDescent="0.25">
      <c r="A319" t="str">
        <f>"742762299"</f>
        <v>742762299</v>
      </c>
      <c r="B319" t="s">
        <v>317</v>
      </c>
      <c r="C319" s="1">
        <v>12095.6</v>
      </c>
      <c r="D319" t="str">
        <f t="shared" si="12"/>
        <v>360</v>
      </c>
    </row>
    <row r="320" spans="1:4" x14ac:dyDescent="0.25">
      <c r="A320" t="str">
        <f>"742762300"</f>
        <v>742762300</v>
      </c>
      <c r="B320" t="s">
        <v>318</v>
      </c>
      <c r="C320" s="1">
        <v>12951.4</v>
      </c>
      <c r="D320" t="str">
        <f t="shared" si="12"/>
        <v>360</v>
      </c>
    </row>
    <row r="321" spans="1:4" x14ac:dyDescent="0.25">
      <c r="A321" t="str">
        <f>"742762301"</f>
        <v>742762301</v>
      </c>
      <c r="B321" t="s">
        <v>319</v>
      </c>
      <c r="C321" s="1">
        <v>13809.4</v>
      </c>
      <c r="D321" t="str">
        <f t="shared" si="12"/>
        <v>360</v>
      </c>
    </row>
    <row r="322" spans="1:4" x14ac:dyDescent="0.25">
      <c r="A322" t="str">
        <f>"742762302"</f>
        <v>742762302</v>
      </c>
      <c r="B322" t="s">
        <v>320</v>
      </c>
      <c r="C322" s="1">
        <v>14660.8</v>
      </c>
      <c r="D322" t="str">
        <f t="shared" si="12"/>
        <v>360</v>
      </c>
    </row>
    <row r="323" spans="1:4" x14ac:dyDescent="0.25">
      <c r="A323" t="str">
        <f>"742762303"</f>
        <v>742762303</v>
      </c>
      <c r="B323" t="s">
        <v>321</v>
      </c>
      <c r="C323" s="1">
        <v>15514.4</v>
      </c>
      <c r="D323" t="str">
        <f t="shared" si="12"/>
        <v>360</v>
      </c>
    </row>
    <row r="324" spans="1:4" x14ac:dyDescent="0.25">
      <c r="A324" t="str">
        <f>"742762304"</f>
        <v>742762304</v>
      </c>
      <c r="B324" t="s">
        <v>322</v>
      </c>
      <c r="C324" s="1">
        <v>8184</v>
      </c>
      <c r="D324" t="str">
        <f t="shared" si="12"/>
        <v>360</v>
      </c>
    </row>
    <row r="325" spans="1:4" x14ac:dyDescent="0.25">
      <c r="A325" t="str">
        <f>"742762305"</f>
        <v>742762305</v>
      </c>
      <c r="B325" t="s">
        <v>323</v>
      </c>
      <c r="C325" s="1">
        <v>8610.7999999999993</v>
      </c>
      <c r="D325" t="str">
        <f t="shared" si="12"/>
        <v>360</v>
      </c>
    </row>
    <row r="326" spans="1:4" x14ac:dyDescent="0.25">
      <c r="A326" t="str">
        <f>"742762306"</f>
        <v>742762306</v>
      </c>
      <c r="B326" t="s">
        <v>324</v>
      </c>
      <c r="C326" s="1">
        <v>9037.6</v>
      </c>
      <c r="D326" t="str">
        <f t="shared" si="12"/>
        <v>360</v>
      </c>
    </row>
    <row r="327" spans="1:4" x14ac:dyDescent="0.25">
      <c r="A327" t="str">
        <f>"742762307"</f>
        <v>742762307</v>
      </c>
      <c r="B327" t="s">
        <v>325</v>
      </c>
      <c r="C327" s="1">
        <v>9465.5</v>
      </c>
      <c r="D327" t="str">
        <f t="shared" si="12"/>
        <v>360</v>
      </c>
    </row>
    <row r="328" spans="1:4" x14ac:dyDescent="0.25">
      <c r="A328" t="str">
        <f>"742762308"</f>
        <v>742762308</v>
      </c>
      <c r="B328" t="s">
        <v>326</v>
      </c>
      <c r="C328" s="1">
        <v>9892.2999999999993</v>
      </c>
      <c r="D328" t="str">
        <f t="shared" si="12"/>
        <v>360</v>
      </c>
    </row>
    <row r="329" spans="1:4" x14ac:dyDescent="0.25">
      <c r="A329" t="str">
        <f>"742762309"</f>
        <v>742762309</v>
      </c>
      <c r="B329" t="s">
        <v>327</v>
      </c>
      <c r="C329" s="1">
        <v>10319.1</v>
      </c>
      <c r="D329" t="str">
        <f t="shared" si="12"/>
        <v>360</v>
      </c>
    </row>
    <row r="330" spans="1:4" x14ac:dyDescent="0.25">
      <c r="A330" t="str">
        <f>"742762310"</f>
        <v>742762310</v>
      </c>
      <c r="B330" t="s">
        <v>328</v>
      </c>
      <c r="C330" s="1">
        <v>10745.9</v>
      </c>
      <c r="D330" t="str">
        <f t="shared" si="12"/>
        <v>360</v>
      </c>
    </row>
    <row r="331" spans="1:4" x14ac:dyDescent="0.25">
      <c r="A331" t="str">
        <f>"742762311"</f>
        <v>742762311</v>
      </c>
      <c r="B331" t="s">
        <v>329</v>
      </c>
      <c r="C331" s="1">
        <v>1762.2</v>
      </c>
      <c r="D331" t="str">
        <f>"272"</f>
        <v>272</v>
      </c>
    </row>
    <row r="332" spans="1:4" x14ac:dyDescent="0.25">
      <c r="A332" t="str">
        <f>"742762312"</f>
        <v>742762312</v>
      </c>
      <c r="B332" t="s">
        <v>330</v>
      </c>
      <c r="C332">
        <v>49.5</v>
      </c>
      <c r="D332" t="str">
        <f>"270"</f>
        <v>270</v>
      </c>
    </row>
    <row r="333" spans="1:4" x14ac:dyDescent="0.25">
      <c r="A333" t="str">
        <f>"742762313"</f>
        <v>742762313</v>
      </c>
      <c r="B333" t="s">
        <v>331</v>
      </c>
      <c r="C333">
        <v>645.70000000000005</v>
      </c>
      <c r="D333" t="str">
        <f>"272"</f>
        <v>272</v>
      </c>
    </row>
    <row r="334" spans="1:4" x14ac:dyDescent="0.25">
      <c r="A334" t="str">
        <f>"742762314"</f>
        <v>742762314</v>
      </c>
      <c r="B334" t="s">
        <v>332</v>
      </c>
      <c r="C334">
        <v>756.8</v>
      </c>
      <c r="D334" t="str">
        <f>"272"</f>
        <v>272</v>
      </c>
    </row>
    <row r="335" spans="1:4" x14ac:dyDescent="0.25">
      <c r="A335" t="str">
        <f>"742762315"</f>
        <v>742762315</v>
      </c>
      <c r="B335" t="s">
        <v>333</v>
      </c>
      <c r="C335">
        <v>540.1</v>
      </c>
      <c r="D335" t="str">
        <f>"272"</f>
        <v>272</v>
      </c>
    </row>
    <row r="336" spans="1:4" x14ac:dyDescent="0.25">
      <c r="A336" t="str">
        <f>"742762316"</f>
        <v>742762316</v>
      </c>
      <c r="B336" t="s">
        <v>334</v>
      </c>
      <c r="C336" s="1">
        <v>3247.2</v>
      </c>
      <c r="D336" t="str">
        <f>"272"</f>
        <v>272</v>
      </c>
    </row>
    <row r="337" spans="1:4" x14ac:dyDescent="0.25">
      <c r="A337" t="str">
        <f>"742762317"</f>
        <v>742762317</v>
      </c>
      <c r="B337" t="s">
        <v>335</v>
      </c>
      <c r="C337" s="1">
        <v>1610.4</v>
      </c>
      <c r="D337" t="str">
        <f>"272"</f>
        <v>272</v>
      </c>
    </row>
    <row r="338" spans="1:4" x14ac:dyDescent="0.25">
      <c r="A338" t="str">
        <f>"742762318"</f>
        <v>742762318</v>
      </c>
      <c r="B338" t="s">
        <v>336</v>
      </c>
      <c r="C338" s="1">
        <v>1018.6</v>
      </c>
      <c r="D338" t="str">
        <f>"370"</f>
        <v>370</v>
      </c>
    </row>
    <row r="339" spans="1:4" x14ac:dyDescent="0.25">
      <c r="A339" t="str">
        <f>"742762319"</f>
        <v>742762319</v>
      </c>
      <c r="B339" t="s">
        <v>337</v>
      </c>
      <c r="C339">
        <v>781</v>
      </c>
      <c r="D339" t="str">
        <f>"360"</f>
        <v>360</v>
      </c>
    </row>
    <row r="340" spans="1:4" x14ac:dyDescent="0.25">
      <c r="A340" t="str">
        <f>"742762320"</f>
        <v>742762320</v>
      </c>
      <c r="B340" t="s">
        <v>338</v>
      </c>
      <c r="C340">
        <v>426.8</v>
      </c>
      <c r="D340" t="str">
        <f>"370"</f>
        <v>370</v>
      </c>
    </row>
    <row r="341" spans="1:4" x14ac:dyDescent="0.25">
      <c r="A341" t="str">
        <f>"742762321"</f>
        <v>742762321</v>
      </c>
      <c r="B341" t="s">
        <v>339</v>
      </c>
      <c r="C341">
        <v>935</v>
      </c>
      <c r="D341" t="str">
        <f>"370"</f>
        <v>370</v>
      </c>
    </row>
    <row r="342" spans="1:4" x14ac:dyDescent="0.25">
      <c r="A342" t="str">
        <f>"742762322"</f>
        <v>742762322</v>
      </c>
      <c r="B342" t="s">
        <v>340</v>
      </c>
      <c r="C342">
        <v>418</v>
      </c>
      <c r="D342" t="str">
        <f>"272"</f>
        <v>272</v>
      </c>
    </row>
    <row r="343" spans="1:4" x14ac:dyDescent="0.25">
      <c r="A343" t="str">
        <f>"742762323"</f>
        <v>742762323</v>
      </c>
      <c r="B343" t="s">
        <v>341</v>
      </c>
      <c r="C343" s="1">
        <v>1434.4</v>
      </c>
      <c r="D343" t="str">
        <f>"360"</f>
        <v>360</v>
      </c>
    </row>
    <row r="344" spans="1:4" x14ac:dyDescent="0.25">
      <c r="A344" t="str">
        <f>"742762324"</f>
        <v>742762324</v>
      </c>
      <c r="B344" t="s">
        <v>342</v>
      </c>
      <c r="C344" s="1">
        <v>2158.1999999999998</v>
      </c>
      <c r="D344" t="str">
        <f>"270"</f>
        <v>270</v>
      </c>
    </row>
    <row r="345" spans="1:4" x14ac:dyDescent="0.25">
      <c r="A345" t="str">
        <f>"742762325"</f>
        <v>742762325</v>
      </c>
      <c r="B345" t="s">
        <v>343</v>
      </c>
      <c r="C345" s="1">
        <v>1650</v>
      </c>
      <c r="D345" t="str">
        <f>"361"</f>
        <v>361</v>
      </c>
    </row>
    <row r="346" spans="1:4" x14ac:dyDescent="0.25">
      <c r="A346" t="str">
        <f>"742762326"</f>
        <v>742762326</v>
      </c>
      <c r="B346" t="s">
        <v>344</v>
      </c>
      <c r="C346">
        <v>860.2</v>
      </c>
      <c r="D346" t="str">
        <f>"272"</f>
        <v>272</v>
      </c>
    </row>
    <row r="347" spans="1:4" x14ac:dyDescent="0.25">
      <c r="A347" t="str">
        <f>"742762327"</f>
        <v>742762327</v>
      </c>
      <c r="B347" t="s">
        <v>345</v>
      </c>
      <c r="C347" s="1">
        <v>1562</v>
      </c>
      <c r="D347" t="str">
        <f>"360"</f>
        <v>360</v>
      </c>
    </row>
    <row r="348" spans="1:4" x14ac:dyDescent="0.25">
      <c r="A348" t="str">
        <f>"742762328"</f>
        <v>742762328</v>
      </c>
      <c r="B348" t="s">
        <v>346</v>
      </c>
      <c r="C348">
        <v>134.19999999999999</v>
      </c>
      <c r="D348" t="str">
        <f>"360"</f>
        <v>360</v>
      </c>
    </row>
    <row r="349" spans="1:4" x14ac:dyDescent="0.25">
      <c r="A349" t="str">
        <f>"742762329"</f>
        <v>742762329</v>
      </c>
      <c r="B349" t="s">
        <v>347</v>
      </c>
      <c r="C349">
        <v>57.2</v>
      </c>
      <c r="D349" t="str">
        <f>"272"</f>
        <v>272</v>
      </c>
    </row>
    <row r="350" spans="1:4" x14ac:dyDescent="0.25">
      <c r="A350" t="str">
        <f>"742762330"</f>
        <v>742762330</v>
      </c>
      <c r="B350" t="s">
        <v>348</v>
      </c>
      <c r="C350">
        <v>81.400000000000006</v>
      </c>
      <c r="D350" t="str">
        <f>"272"</f>
        <v>272</v>
      </c>
    </row>
    <row r="351" spans="1:4" x14ac:dyDescent="0.25">
      <c r="A351" t="str">
        <f>"742762331"</f>
        <v>742762331</v>
      </c>
      <c r="B351" t="s">
        <v>349</v>
      </c>
      <c r="C351">
        <v>752.4</v>
      </c>
      <c r="D351" t="str">
        <f>"272"</f>
        <v>272</v>
      </c>
    </row>
    <row r="352" spans="1:4" x14ac:dyDescent="0.25">
      <c r="A352" t="str">
        <f>"742762332"</f>
        <v>742762332</v>
      </c>
      <c r="B352" t="s">
        <v>350</v>
      </c>
      <c r="C352">
        <v>158.4</v>
      </c>
      <c r="D352" t="str">
        <f>"360"</f>
        <v>360</v>
      </c>
    </row>
    <row r="353" spans="1:4" x14ac:dyDescent="0.25">
      <c r="A353" t="str">
        <f>"742762333"</f>
        <v>742762333</v>
      </c>
      <c r="B353" t="s">
        <v>351</v>
      </c>
      <c r="C353">
        <v>860.2</v>
      </c>
      <c r="D353" t="str">
        <f>"710"</f>
        <v>710</v>
      </c>
    </row>
    <row r="354" spans="1:4" x14ac:dyDescent="0.25">
      <c r="A354" t="str">
        <f>"742762334"</f>
        <v>742762334</v>
      </c>
      <c r="B354" t="s">
        <v>352</v>
      </c>
      <c r="C354" s="1">
        <v>1018.6</v>
      </c>
      <c r="D354" t="str">
        <f t="shared" ref="D354:D359" si="13">"360"</f>
        <v>360</v>
      </c>
    </row>
    <row r="355" spans="1:4" x14ac:dyDescent="0.25">
      <c r="A355" t="str">
        <f>"742762335"</f>
        <v>742762335</v>
      </c>
      <c r="B355" t="s">
        <v>353</v>
      </c>
      <c r="C355">
        <v>587.4</v>
      </c>
      <c r="D355" t="str">
        <f t="shared" si="13"/>
        <v>360</v>
      </c>
    </row>
    <row r="356" spans="1:4" x14ac:dyDescent="0.25">
      <c r="A356" t="str">
        <f>"742762336"</f>
        <v>742762336</v>
      </c>
      <c r="B356" t="s">
        <v>354</v>
      </c>
      <c r="C356">
        <v>666.6</v>
      </c>
      <c r="D356" t="str">
        <f t="shared" si="13"/>
        <v>360</v>
      </c>
    </row>
    <row r="357" spans="1:4" x14ac:dyDescent="0.25">
      <c r="A357" t="str">
        <f>"742762337"</f>
        <v>742762337</v>
      </c>
      <c r="B357" t="s">
        <v>355</v>
      </c>
      <c r="C357">
        <v>742.5</v>
      </c>
      <c r="D357" t="str">
        <f t="shared" si="13"/>
        <v>360</v>
      </c>
    </row>
    <row r="358" spans="1:4" x14ac:dyDescent="0.25">
      <c r="A358" t="str">
        <f>"742762338"</f>
        <v>742762338</v>
      </c>
      <c r="B358" t="s">
        <v>356</v>
      </c>
      <c r="C358">
        <v>821.7</v>
      </c>
      <c r="D358" t="str">
        <f t="shared" si="13"/>
        <v>360</v>
      </c>
    </row>
    <row r="359" spans="1:4" x14ac:dyDescent="0.25">
      <c r="A359" t="str">
        <f>"742762339"</f>
        <v>742762339</v>
      </c>
      <c r="B359" t="s">
        <v>357</v>
      </c>
      <c r="C359">
        <v>896.5</v>
      </c>
      <c r="D359" t="str">
        <f t="shared" si="13"/>
        <v>360</v>
      </c>
    </row>
    <row r="360" spans="1:4" x14ac:dyDescent="0.25">
      <c r="A360" t="str">
        <f>"742762340"</f>
        <v>742762340</v>
      </c>
      <c r="B360" t="s">
        <v>358</v>
      </c>
      <c r="C360">
        <v>860.2</v>
      </c>
      <c r="D360" t="str">
        <f>"272"</f>
        <v>272</v>
      </c>
    </row>
    <row r="361" spans="1:4" x14ac:dyDescent="0.25">
      <c r="A361" t="str">
        <f>"742762341"</f>
        <v>742762341</v>
      </c>
      <c r="B361" t="s">
        <v>359</v>
      </c>
      <c r="C361" s="1">
        <v>1039.5</v>
      </c>
      <c r="D361" t="str">
        <f>"360"</f>
        <v>360</v>
      </c>
    </row>
    <row r="362" spans="1:4" x14ac:dyDescent="0.25">
      <c r="A362" t="str">
        <f>"742762342"</f>
        <v>742762342</v>
      </c>
      <c r="B362" t="s">
        <v>360</v>
      </c>
      <c r="C362">
        <v>521.4</v>
      </c>
      <c r="D362" t="str">
        <f>"360"</f>
        <v>360</v>
      </c>
    </row>
    <row r="363" spans="1:4" x14ac:dyDescent="0.25">
      <c r="A363" t="str">
        <f>"742762343"</f>
        <v>742762343</v>
      </c>
      <c r="B363" t="s">
        <v>361</v>
      </c>
      <c r="C363">
        <v>193.6</v>
      </c>
      <c r="D363" t="str">
        <f>"272"</f>
        <v>272</v>
      </c>
    </row>
    <row r="364" spans="1:4" x14ac:dyDescent="0.25">
      <c r="A364" t="str">
        <f>"742762344"</f>
        <v>742762344</v>
      </c>
      <c r="B364" t="s">
        <v>362</v>
      </c>
      <c r="C364" s="1">
        <v>1001</v>
      </c>
      <c r="D364" t="str">
        <f>"370"</f>
        <v>370</v>
      </c>
    </row>
    <row r="365" spans="1:4" x14ac:dyDescent="0.25">
      <c r="A365" t="str">
        <f>"742762345"</f>
        <v>742762345</v>
      </c>
      <c r="B365" t="s">
        <v>363</v>
      </c>
      <c r="C365" s="1">
        <v>1188</v>
      </c>
      <c r="D365" t="str">
        <f>"370"</f>
        <v>370</v>
      </c>
    </row>
    <row r="366" spans="1:4" x14ac:dyDescent="0.25">
      <c r="A366" t="str">
        <f>"742762346"</f>
        <v>742762346</v>
      </c>
      <c r="B366" t="s">
        <v>364</v>
      </c>
      <c r="C366">
        <v>292.60000000000002</v>
      </c>
      <c r="D366" t="str">
        <f>"360"</f>
        <v>360</v>
      </c>
    </row>
    <row r="367" spans="1:4" x14ac:dyDescent="0.25">
      <c r="A367" t="str">
        <f>"742762347"</f>
        <v>742762347</v>
      </c>
      <c r="B367" t="s">
        <v>365</v>
      </c>
      <c r="C367">
        <v>134.19999999999999</v>
      </c>
      <c r="D367" t="str">
        <f>"272"</f>
        <v>272</v>
      </c>
    </row>
    <row r="368" spans="1:4" x14ac:dyDescent="0.25">
      <c r="A368" t="str">
        <f>"742762348"</f>
        <v>742762348</v>
      </c>
      <c r="B368" t="s">
        <v>366</v>
      </c>
      <c r="C368">
        <v>57.2</v>
      </c>
      <c r="D368" t="str">
        <f>"272"</f>
        <v>272</v>
      </c>
    </row>
    <row r="369" spans="1:4" x14ac:dyDescent="0.25">
      <c r="A369" t="str">
        <f>"742762349"</f>
        <v>742762349</v>
      </c>
      <c r="B369" t="s">
        <v>367</v>
      </c>
      <c r="C369">
        <v>781</v>
      </c>
      <c r="D369" t="str">
        <f>"360"</f>
        <v>360</v>
      </c>
    </row>
    <row r="370" spans="1:4" x14ac:dyDescent="0.25">
      <c r="A370" t="str">
        <f>"742762350"</f>
        <v>742762350</v>
      </c>
      <c r="B370" t="s">
        <v>368</v>
      </c>
      <c r="C370">
        <v>781</v>
      </c>
      <c r="D370" t="str">
        <f>"360"</f>
        <v>360</v>
      </c>
    </row>
    <row r="371" spans="1:4" x14ac:dyDescent="0.25">
      <c r="A371" t="str">
        <f>"742762351"</f>
        <v>742762351</v>
      </c>
      <c r="B371" t="s">
        <v>369</v>
      </c>
      <c r="C371">
        <v>849.2</v>
      </c>
      <c r="D371" t="str">
        <f>"272"</f>
        <v>272</v>
      </c>
    </row>
    <row r="372" spans="1:4" x14ac:dyDescent="0.25">
      <c r="A372" t="str">
        <f>"742762352"</f>
        <v>742762352</v>
      </c>
      <c r="B372" t="s">
        <v>370</v>
      </c>
      <c r="C372">
        <v>849.2</v>
      </c>
      <c r="D372" t="str">
        <f>"272"</f>
        <v>272</v>
      </c>
    </row>
    <row r="373" spans="1:4" x14ac:dyDescent="0.25">
      <c r="A373" t="str">
        <f>"742762353"</f>
        <v>742762353</v>
      </c>
      <c r="B373" t="s">
        <v>371</v>
      </c>
      <c r="C373">
        <v>646.79999999999995</v>
      </c>
      <c r="D373" t="str">
        <f>"272"</f>
        <v>272</v>
      </c>
    </row>
    <row r="374" spans="1:4" x14ac:dyDescent="0.25">
      <c r="A374" t="str">
        <f>"742762354"</f>
        <v>742762354</v>
      </c>
      <c r="B374" t="s">
        <v>372</v>
      </c>
      <c r="C374" s="1">
        <v>1823.8</v>
      </c>
      <c r="D374" t="str">
        <f>"272"</f>
        <v>272</v>
      </c>
    </row>
    <row r="375" spans="1:4" x14ac:dyDescent="0.25">
      <c r="A375" t="str">
        <f>"742762355"</f>
        <v>742762355</v>
      </c>
      <c r="B375" t="s">
        <v>373</v>
      </c>
      <c r="C375">
        <v>521.4</v>
      </c>
      <c r="D375" t="str">
        <f>"360"</f>
        <v>360</v>
      </c>
    </row>
    <row r="376" spans="1:4" x14ac:dyDescent="0.25">
      <c r="A376" t="str">
        <f>"742762356"</f>
        <v>742762356</v>
      </c>
      <c r="B376" t="s">
        <v>374</v>
      </c>
      <c r="C376" s="1">
        <v>2860</v>
      </c>
      <c r="D376" t="str">
        <f>"920"</f>
        <v>920</v>
      </c>
    </row>
    <row r="377" spans="1:4" x14ac:dyDescent="0.25">
      <c r="A377" t="str">
        <f>"742762357"</f>
        <v>742762357</v>
      </c>
      <c r="B377" t="s">
        <v>375</v>
      </c>
      <c r="C377">
        <v>92.4</v>
      </c>
      <c r="D377" t="str">
        <f>"370"</f>
        <v>370</v>
      </c>
    </row>
    <row r="378" spans="1:4" x14ac:dyDescent="0.25">
      <c r="A378" t="str">
        <f>"742762358"</f>
        <v>742762358</v>
      </c>
      <c r="B378" t="s">
        <v>376</v>
      </c>
      <c r="C378">
        <v>521.4</v>
      </c>
      <c r="D378" t="str">
        <f>"270"</f>
        <v>270</v>
      </c>
    </row>
    <row r="379" spans="1:4" x14ac:dyDescent="0.25">
      <c r="A379" t="str">
        <f>"742762359"</f>
        <v>742762359</v>
      </c>
      <c r="B379" t="s">
        <v>377</v>
      </c>
      <c r="C379">
        <v>402.6</v>
      </c>
      <c r="D379" t="str">
        <f>"272"</f>
        <v>272</v>
      </c>
    </row>
    <row r="380" spans="1:4" x14ac:dyDescent="0.25">
      <c r="A380" t="str">
        <f>"742762360"</f>
        <v>742762360</v>
      </c>
      <c r="B380" t="s">
        <v>378</v>
      </c>
      <c r="C380" s="1">
        <v>1339.8</v>
      </c>
      <c r="D380" t="str">
        <f>"370"</f>
        <v>370</v>
      </c>
    </row>
    <row r="381" spans="1:4" x14ac:dyDescent="0.25">
      <c r="A381" t="str">
        <f>"742762361"</f>
        <v>742762361</v>
      </c>
      <c r="B381" t="s">
        <v>379</v>
      </c>
      <c r="C381">
        <v>521.4</v>
      </c>
      <c r="D381" t="str">
        <f>"360"</f>
        <v>360</v>
      </c>
    </row>
    <row r="382" spans="1:4" x14ac:dyDescent="0.25">
      <c r="A382" t="str">
        <f>"742762362"</f>
        <v>742762362</v>
      </c>
      <c r="B382" t="s">
        <v>380</v>
      </c>
      <c r="C382" s="1">
        <v>1042.8</v>
      </c>
      <c r="D382" t="str">
        <f>"360"</f>
        <v>360</v>
      </c>
    </row>
    <row r="383" spans="1:4" x14ac:dyDescent="0.25">
      <c r="A383" t="str">
        <f>"742762363"</f>
        <v>742762363</v>
      </c>
      <c r="B383" t="s">
        <v>381</v>
      </c>
      <c r="C383">
        <v>849.2</v>
      </c>
      <c r="D383" t="str">
        <f>"370"</f>
        <v>370</v>
      </c>
    </row>
    <row r="384" spans="1:4" x14ac:dyDescent="0.25">
      <c r="A384" t="str">
        <f>"742762364"</f>
        <v>742762364</v>
      </c>
      <c r="B384" t="s">
        <v>382</v>
      </c>
      <c r="C384">
        <v>904.2</v>
      </c>
      <c r="D384" t="str">
        <f>"270"</f>
        <v>270</v>
      </c>
    </row>
    <row r="385" spans="1:4" x14ac:dyDescent="0.25">
      <c r="A385" t="str">
        <f>"742762365"</f>
        <v>742762365</v>
      </c>
      <c r="B385" t="s">
        <v>383</v>
      </c>
      <c r="C385">
        <v>752.4</v>
      </c>
      <c r="D385" t="str">
        <f>"360"</f>
        <v>360</v>
      </c>
    </row>
    <row r="386" spans="1:4" x14ac:dyDescent="0.25">
      <c r="A386" t="str">
        <f>"742762366"</f>
        <v>742762366</v>
      </c>
      <c r="B386" t="s">
        <v>384</v>
      </c>
      <c r="C386" s="1">
        <v>1404.7</v>
      </c>
      <c r="D386" t="str">
        <f>"272"</f>
        <v>272</v>
      </c>
    </row>
    <row r="387" spans="1:4" x14ac:dyDescent="0.25">
      <c r="A387" t="str">
        <f>"742762367"</f>
        <v>742762367</v>
      </c>
      <c r="B387" t="s">
        <v>385</v>
      </c>
      <c r="C387">
        <v>911.9</v>
      </c>
      <c r="D387" t="str">
        <f>"272"</f>
        <v>272</v>
      </c>
    </row>
    <row r="388" spans="1:4" x14ac:dyDescent="0.25">
      <c r="A388" t="str">
        <f>"742762368"</f>
        <v>742762368</v>
      </c>
      <c r="B388" t="s">
        <v>386</v>
      </c>
      <c r="C388">
        <v>233.2</v>
      </c>
      <c r="D388" t="str">
        <f>"272"</f>
        <v>272</v>
      </c>
    </row>
    <row r="389" spans="1:4" x14ac:dyDescent="0.25">
      <c r="A389" t="str">
        <f>"742762369"</f>
        <v>742762369</v>
      </c>
      <c r="B389" t="s">
        <v>387</v>
      </c>
      <c r="C389">
        <v>521.4</v>
      </c>
      <c r="D389" t="str">
        <f>"360"</f>
        <v>360</v>
      </c>
    </row>
    <row r="390" spans="1:4" x14ac:dyDescent="0.25">
      <c r="A390" t="str">
        <f>"742762370"</f>
        <v>742762370</v>
      </c>
      <c r="B390" t="s">
        <v>388</v>
      </c>
      <c r="C390">
        <v>521.4</v>
      </c>
      <c r="D390" t="str">
        <f>"360"</f>
        <v>360</v>
      </c>
    </row>
    <row r="391" spans="1:4" x14ac:dyDescent="0.25">
      <c r="A391" t="str">
        <f>"742762371"</f>
        <v>742762371</v>
      </c>
      <c r="B391" t="s">
        <v>389</v>
      </c>
      <c r="C391" s="1">
        <v>1287</v>
      </c>
      <c r="D391" t="str">
        <f>"370"</f>
        <v>370</v>
      </c>
    </row>
    <row r="392" spans="1:4" x14ac:dyDescent="0.25">
      <c r="A392" t="str">
        <f>"742762372"</f>
        <v>742762372</v>
      </c>
      <c r="B392" t="s">
        <v>390</v>
      </c>
      <c r="C392">
        <v>781</v>
      </c>
      <c r="D392" t="str">
        <f>"360"</f>
        <v>360</v>
      </c>
    </row>
    <row r="393" spans="1:4" x14ac:dyDescent="0.25">
      <c r="A393" t="str">
        <f>"742762373"</f>
        <v>742762373</v>
      </c>
      <c r="B393" t="s">
        <v>391</v>
      </c>
      <c r="C393" s="1">
        <v>1524.6</v>
      </c>
      <c r="D393" t="str">
        <f>"360"</f>
        <v>360</v>
      </c>
    </row>
    <row r="394" spans="1:4" x14ac:dyDescent="0.25">
      <c r="A394" t="str">
        <f>"742762374"</f>
        <v>742762374</v>
      </c>
      <c r="B394" t="s">
        <v>392</v>
      </c>
      <c r="C394">
        <v>860.2</v>
      </c>
      <c r="D394" t="str">
        <f>"272"</f>
        <v>272</v>
      </c>
    </row>
    <row r="395" spans="1:4" x14ac:dyDescent="0.25">
      <c r="A395" t="str">
        <f>"742762375"</f>
        <v>742762375</v>
      </c>
      <c r="B395" t="s">
        <v>393</v>
      </c>
      <c r="C395" s="1">
        <v>6461.4</v>
      </c>
      <c r="D395" t="str">
        <f>"272"</f>
        <v>272</v>
      </c>
    </row>
    <row r="396" spans="1:4" x14ac:dyDescent="0.25">
      <c r="A396" t="str">
        <f>"742762376"</f>
        <v>742762376</v>
      </c>
      <c r="B396" t="s">
        <v>394</v>
      </c>
      <c r="C396">
        <v>233.2</v>
      </c>
      <c r="D396" t="str">
        <f>"270"</f>
        <v>270</v>
      </c>
    </row>
    <row r="397" spans="1:4" x14ac:dyDescent="0.25">
      <c r="A397" t="str">
        <f>"742762377"</f>
        <v>742762377</v>
      </c>
      <c r="B397" t="s">
        <v>395</v>
      </c>
      <c r="C397">
        <v>11</v>
      </c>
      <c r="D397" t="str">
        <f>"272"</f>
        <v>272</v>
      </c>
    </row>
    <row r="398" spans="1:4" x14ac:dyDescent="0.25">
      <c r="A398" t="str">
        <f>"742762378"</f>
        <v>742762378</v>
      </c>
      <c r="B398" t="s">
        <v>396</v>
      </c>
      <c r="C398" s="1">
        <v>1039.5</v>
      </c>
      <c r="D398" t="str">
        <f>"360"</f>
        <v>360</v>
      </c>
    </row>
    <row r="399" spans="1:4" x14ac:dyDescent="0.25">
      <c r="A399" t="str">
        <f>"742762379"</f>
        <v>742762379</v>
      </c>
      <c r="B399" t="s">
        <v>397</v>
      </c>
      <c r="C399" s="1">
        <v>1339.8</v>
      </c>
      <c r="D399" t="str">
        <f>"370"</f>
        <v>370</v>
      </c>
    </row>
    <row r="400" spans="1:4" x14ac:dyDescent="0.25">
      <c r="A400" t="str">
        <f>"742762380"</f>
        <v>742762380</v>
      </c>
      <c r="B400" t="s">
        <v>398</v>
      </c>
      <c r="C400" s="1">
        <v>2373.8000000000002</v>
      </c>
      <c r="D400" t="str">
        <f>"360"</f>
        <v>360</v>
      </c>
    </row>
    <row r="401" spans="1:4" x14ac:dyDescent="0.25">
      <c r="A401" t="str">
        <f>"742762381"</f>
        <v>742762381</v>
      </c>
      <c r="B401" t="s">
        <v>399</v>
      </c>
      <c r="C401">
        <v>303.60000000000002</v>
      </c>
      <c r="D401" t="str">
        <f>"360"</f>
        <v>360</v>
      </c>
    </row>
    <row r="402" spans="1:4" x14ac:dyDescent="0.25">
      <c r="A402" t="str">
        <f>"742762382"</f>
        <v>742762382</v>
      </c>
      <c r="B402" t="s">
        <v>400</v>
      </c>
      <c r="C402">
        <v>547.79999999999995</v>
      </c>
      <c r="D402" t="str">
        <f>"360"</f>
        <v>360</v>
      </c>
    </row>
    <row r="403" spans="1:4" x14ac:dyDescent="0.25">
      <c r="A403" t="str">
        <f>"742762383"</f>
        <v>742762383</v>
      </c>
      <c r="B403" t="s">
        <v>401</v>
      </c>
      <c r="C403">
        <v>183.7</v>
      </c>
      <c r="D403" t="str">
        <f>"272"</f>
        <v>272</v>
      </c>
    </row>
    <row r="404" spans="1:4" x14ac:dyDescent="0.25">
      <c r="A404" t="str">
        <f>"742762384"</f>
        <v>742762384</v>
      </c>
      <c r="B404" t="s">
        <v>402</v>
      </c>
      <c r="C404">
        <v>754.6</v>
      </c>
      <c r="D404" t="str">
        <f>"270"</f>
        <v>270</v>
      </c>
    </row>
    <row r="405" spans="1:4" x14ac:dyDescent="0.25">
      <c r="A405" t="str">
        <f>"742762385"</f>
        <v>742762385</v>
      </c>
      <c r="B405" t="s">
        <v>403</v>
      </c>
      <c r="C405">
        <v>627</v>
      </c>
      <c r="D405" t="str">
        <f>"270"</f>
        <v>270</v>
      </c>
    </row>
    <row r="406" spans="1:4" x14ac:dyDescent="0.25">
      <c r="A406" t="str">
        <f>"742762386"</f>
        <v>742762386</v>
      </c>
      <c r="B406" t="s">
        <v>404</v>
      </c>
      <c r="C406">
        <v>611.6</v>
      </c>
      <c r="D406" t="str">
        <f>"270"</f>
        <v>270</v>
      </c>
    </row>
    <row r="407" spans="1:4" x14ac:dyDescent="0.25">
      <c r="A407" t="str">
        <f>"742762387"</f>
        <v>742762387</v>
      </c>
      <c r="B407" t="s">
        <v>405</v>
      </c>
      <c r="C407">
        <v>690.8</v>
      </c>
      <c r="D407" t="str">
        <f>"270"</f>
        <v>270</v>
      </c>
    </row>
    <row r="408" spans="1:4" x14ac:dyDescent="0.25">
      <c r="A408" t="str">
        <f>"742762388"</f>
        <v>742762388</v>
      </c>
      <c r="B408" t="s">
        <v>406</v>
      </c>
      <c r="C408">
        <v>220</v>
      </c>
      <c r="D408" t="str">
        <f>"270"</f>
        <v>270</v>
      </c>
    </row>
    <row r="409" spans="1:4" x14ac:dyDescent="0.25">
      <c r="A409" t="str">
        <f>"742762389"</f>
        <v>742762389</v>
      </c>
      <c r="B409" t="s">
        <v>407</v>
      </c>
      <c r="C409">
        <v>50.6</v>
      </c>
      <c r="D409" t="str">
        <f t="shared" ref="D409:D435" si="14">"370"</f>
        <v>370</v>
      </c>
    </row>
    <row r="410" spans="1:4" x14ac:dyDescent="0.25">
      <c r="A410" t="str">
        <f>"742762390"</f>
        <v>742762390</v>
      </c>
      <c r="B410" t="s">
        <v>408</v>
      </c>
      <c r="C410">
        <v>188.1</v>
      </c>
      <c r="D410" t="str">
        <f t="shared" si="14"/>
        <v>370</v>
      </c>
    </row>
    <row r="411" spans="1:4" x14ac:dyDescent="0.25">
      <c r="A411" t="str">
        <f>"742762391"</f>
        <v>742762391</v>
      </c>
      <c r="B411" t="s">
        <v>409</v>
      </c>
      <c r="C411">
        <v>114.4</v>
      </c>
      <c r="D411" t="str">
        <f t="shared" si="14"/>
        <v>370</v>
      </c>
    </row>
    <row r="412" spans="1:4" x14ac:dyDescent="0.25">
      <c r="A412" t="str">
        <f>"742762392"</f>
        <v>742762392</v>
      </c>
      <c r="B412" t="s">
        <v>410</v>
      </c>
      <c r="C412">
        <v>638</v>
      </c>
      <c r="D412" t="str">
        <f t="shared" si="14"/>
        <v>370</v>
      </c>
    </row>
    <row r="413" spans="1:4" x14ac:dyDescent="0.25">
      <c r="A413" t="str">
        <f>"742762393"</f>
        <v>742762393</v>
      </c>
      <c r="B413" t="s">
        <v>411</v>
      </c>
      <c r="C413">
        <v>794.2</v>
      </c>
      <c r="D413" t="str">
        <f t="shared" si="14"/>
        <v>370</v>
      </c>
    </row>
    <row r="414" spans="1:4" x14ac:dyDescent="0.25">
      <c r="A414" t="str">
        <f>"742762394"</f>
        <v>742762394</v>
      </c>
      <c r="B414" t="s">
        <v>412</v>
      </c>
      <c r="C414">
        <v>941.6</v>
      </c>
      <c r="D414" t="str">
        <f t="shared" si="14"/>
        <v>370</v>
      </c>
    </row>
    <row r="415" spans="1:4" x14ac:dyDescent="0.25">
      <c r="A415" t="str">
        <f>"742762395"</f>
        <v>742762395</v>
      </c>
      <c r="B415" t="s">
        <v>413</v>
      </c>
      <c r="C415" s="1">
        <v>1106.5999999999999</v>
      </c>
      <c r="D415" t="str">
        <f t="shared" si="14"/>
        <v>370</v>
      </c>
    </row>
    <row r="416" spans="1:4" x14ac:dyDescent="0.25">
      <c r="A416" t="str">
        <f>"742762396"</f>
        <v>742762396</v>
      </c>
      <c r="B416" t="s">
        <v>414</v>
      </c>
      <c r="C416" s="1">
        <v>1258.4000000000001</v>
      </c>
      <c r="D416" t="str">
        <f t="shared" si="14"/>
        <v>370</v>
      </c>
    </row>
    <row r="417" spans="1:4" x14ac:dyDescent="0.25">
      <c r="A417" t="str">
        <f>"742762397"</f>
        <v>742762397</v>
      </c>
      <c r="B417" t="s">
        <v>415</v>
      </c>
      <c r="C417" s="1">
        <v>1412.4</v>
      </c>
      <c r="D417" t="str">
        <f t="shared" si="14"/>
        <v>370</v>
      </c>
    </row>
    <row r="418" spans="1:4" x14ac:dyDescent="0.25">
      <c r="A418" t="str">
        <f>"742762398"</f>
        <v>742762398</v>
      </c>
      <c r="B418" t="s">
        <v>416</v>
      </c>
      <c r="C418" s="1">
        <v>1568.6</v>
      </c>
      <c r="D418" t="str">
        <f t="shared" si="14"/>
        <v>370</v>
      </c>
    </row>
    <row r="419" spans="1:4" x14ac:dyDescent="0.25">
      <c r="A419" t="str">
        <f>"742762399"</f>
        <v>742762399</v>
      </c>
      <c r="B419" t="s">
        <v>417</v>
      </c>
      <c r="C419" s="1">
        <v>1720.4</v>
      </c>
      <c r="D419" t="str">
        <f t="shared" si="14"/>
        <v>370</v>
      </c>
    </row>
    <row r="420" spans="1:4" x14ac:dyDescent="0.25">
      <c r="A420" t="str">
        <f>"742762400"</f>
        <v>742762400</v>
      </c>
      <c r="B420" t="s">
        <v>418</v>
      </c>
      <c r="C420" s="1">
        <v>1881</v>
      </c>
      <c r="D420" t="str">
        <f t="shared" si="14"/>
        <v>370</v>
      </c>
    </row>
    <row r="421" spans="1:4" x14ac:dyDescent="0.25">
      <c r="A421" t="str">
        <f>"742762401"</f>
        <v>742762401</v>
      </c>
      <c r="B421" t="s">
        <v>419</v>
      </c>
      <c r="C421" s="1">
        <v>2037.2</v>
      </c>
      <c r="D421" t="str">
        <f t="shared" si="14"/>
        <v>370</v>
      </c>
    </row>
    <row r="422" spans="1:4" x14ac:dyDescent="0.25">
      <c r="A422" t="str">
        <f>"742762402"</f>
        <v>742762402</v>
      </c>
      <c r="B422" t="s">
        <v>420</v>
      </c>
      <c r="C422" s="1">
        <v>2186.8000000000002</v>
      </c>
      <c r="D422" t="str">
        <f t="shared" si="14"/>
        <v>370</v>
      </c>
    </row>
    <row r="423" spans="1:4" x14ac:dyDescent="0.25">
      <c r="A423" t="str">
        <f>"742762403"</f>
        <v>742762403</v>
      </c>
      <c r="B423" t="s">
        <v>421</v>
      </c>
      <c r="C423" s="1">
        <v>2351.8000000000002</v>
      </c>
      <c r="D423" t="str">
        <f t="shared" si="14"/>
        <v>370</v>
      </c>
    </row>
    <row r="424" spans="1:4" x14ac:dyDescent="0.25">
      <c r="A424" t="str">
        <f>"742762404"</f>
        <v>742762404</v>
      </c>
      <c r="B424" t="s">
        <v>422</v>
      </c>
      <c r="C424" s="1">
        <v>2499.1999999999998</v>
      </c>
      <c r="D424" t="str">
        <f t="shared" si="14"/>
        <v>370</v>
      </c>
    </row>
    <row r="425" spans="1:4" x14ac:dyDescent="0.25">
      <c r="A425" t="str">
        <f>"742762405"</f>
        <v>742762405</v>
      </c>
      <c r="B425" t="s">
        <v>423</v>
      </c>
      <c r="C425" s="1">
        <v>1327.7</v>
      </c>
      <c r="D425" t="str">
        <f t="shared" si="14"/>
        <v>370</v>
      </c>
    </row>
    <row r="426" spans="1:4" x14ac:dyDescent="0.25">
      <c r="A426" t="str">
        <f>"742762406"</f>
        <v>742762406</v>
      </c>
      <c r="B426" t="s">
        <v>424</v>
      </c>
      <c r="C426" s="1">
        <v>1411.3</v>
      </c>
      <c r="D426" t="str">
        <f t="shared" si="14"/>
        <v>370</v>
      </c>
    </row>
    <row r="427" spans="1:4" x14ac:dyDescent="0.25">
      <c r="A427" t="str">
        <f>"742762407"</f>
        <v>742762407</v>
      </c>
      <c r="B427" t="s">
        <v>425</v>
      </c>
      <c r="C427" s="1">
        <v>1487.2</v>
      </c>
      <c r="D427" t="str">
        <f t="shared" si="14"/>
        <v>370</v>
      </c>
    </row>
    <row r="428" spans="1:4" x14ac:dyDescent="0.25">
      <c r="A428" t="str">
        <f>"742762408"</f>
        <v>742762408</v>
      </c>
      <c r="B428" t="s">
        <v>426</v>
      </c>
      <c r="C428" s="1">
        <v>1562</v>
      </c>
      <c r="D428" t="str">
        <f t="shared" si="14"/>
        <v>370</v>
      </c>
    </row>
    <row r="429" spans="1:4" x14ac:dyDescent="0.25">
      <c r="A429" t="str">
        <f>"742762409"</f>
        <v>742762409</v>
      </c>
      <c r="B429" t="s">
        <v>427</v>
      </c>
      <c r="C429" s="1">
        <v>1641.2</v>
      </c>
      <c r="D429" t="str">
        <f t="shared" si="14"/>
        <v>370</v>
      </c>
    </row>
    <row r="430" spans="1:4" x14ac:dyDescent="0.25">
      <c r="A430" t="str">
        <f>"742762410"</f>
        <v>742762410</v>
      </c>
      <c r="B430" t="s">
        <v>428</v>
      </c>
      <c r="C430" s="1">
        <v>1720.4</v>
      </c>
      <c r="D430" t="str">
        <f t="shared" si="14"/>
        <v>370</v>
      </c>
    </row>
    <row r="431" spans="1:4" x14ac:dyDescent="0.25">
      <c r="A431" t="str">
        <f>"742762411"</f>
        <v>742762411</v>
      </c>
      <c r="B431" t="s">
        <v>429</v>
      </c>
      <c r="C431" s="1">
        <v>1797.4</v>
      </c>
      <c r="D431" t="str">
        <f t="shared" si="14"/>
        <v>370</v>
      </c>
    </row>
    <row r="432" spans="1:4" x14ac:dyDescent="0.25">
      <c r="A432" t="str">
        <f>"742762412"</f>
        <v>742762412</v>
      </c>
      <c r="B432" t="s">
        <v>430</v>
      </c>
      <c r="C432" s="1">
        <v>1874.4</v>
      </c>
      <c r="D432" t="str">
        <f t="shared" si="14"/>
        <v>370</v>
      </c>
    </row>
    <row r="433" spans="1:4" x14ac:dyDescent="0.25">
      <c r="A433" t="str">
        <f>"742762413"</f>
        <v>742762413</v>
      </c>
      <c r="B433" t="s">
        <v>431</v>
      </c>
      <c r="C433">
        <v>158.4</v>
      </c>
      <c r="D433" t="str">
        <f t="shared" si="14"/>
        <v>370</v>
      </c>
    </row>
    <row r="434" spans="1:4" x14ac:dyDescent="0.25">
      <c r="A434" t="str">
        <f>"742762414"</f>
        <v>742762414</v>
      </c>
      <c r="B434" t="s">
        <v>432</v>
      </c>
      <c r="C434" s="1">
        <v>1122</v>
      </c>
      <c r="D434" t="str">
        <f t="shared" si="14"/>
        <v>370</v>
      </c>
    </row>
    <row r="435" spans="1:4" x14ac:dyDescent="0.25">
      <c r="A435" t="str">
        <f>"742762417"</f>
        <v>742762417</v>
      </c>
      <c r="B435" t="s">
        <v>433</v>
      </c>
      <c r="C435">
        <v>356.4</v>
      </c>
      <c r="D435" t="str">
        <f t="shared" si="14"/>
        <v>370</v>
      </c>
    </row>
    <row r="436" spans="1:4" x14ac:dyDescent="0.25">
      <c r="A436" t="str">
        <f>"742762418"</f>
        <v>742762418</v>
      </c>
      <c r="B436" t="s">
        <v>434</v>
      </c>
      <c r="C436">
        <v>231</v>
      </c>
      <c r="D436" t="str">
        <f>"270"</f>
        <v>270</v>
      </c>
    </row>
    <row r="437" spans="1:4" x14ac:dyDescent="0.25">
      <c r="A437" t="str">
        <f>"742762419"</f>
        <v>742762419</v>
      </c>
      <c r="B437" t="s">
        <v>435</v>
      </c>
      <c r="C437">
        <v>114.4</v>
      </c>
      <c r="D437" t="str">
        <f t="shared" ref="D437:D442" si="15">"370"</f>
        <v>370</v>
      </c>
    </row>
    <row r="438" spans="1:4" x14ac:dyDescent="0.25">
      <c r="A438" t="str">
        <f>"742762420"</f>
        <v>742762420</v>
      </c>
      <c r="B438" t="s">
        <v>436</v>
      </c>
      <c r="C438">
        <v>550</v>
      </c>
      <c r="D438" t="str">
        <f t="shared" si="15"/>
        <v>370</v>
      </c>
    </row>
    <row r="439" spans="1:4" x14ac:dyDescent="0.25">
      <c r="A439" t="str">
        <f>"742762421"</f>
        <v>742762421</v>
      </c>
      <c r="B439" t="s">
        <v>437</v>
      </c>
      <c r="C439">
        <v>275</v>
      </c>
      <c r="D439" t="str">
        <f t="shared" si="15"/>
        <v>370</v>
      </c>
    </row>
    <row r="440" spans="1:4" x14ac:dyDescent="0.25">
      <c r="A440" t="str">
        <f>"742762422"</f>
        <v>742762422</v>
      </c>
      <c r="B440" t="s">
        <v>438</v>
      </c>
      <c r="C440">
        <v>85.8</v>
      </c>
      <c r="D440" t="str">
        <f t="shared" si="15"/>
        <v>370</v>
      </c>
    </row>
    <row r="441" spans="1:4" x14ac:dyDescent="0.25">
      <c r="A441" t="str">
        <f>"742762423"</f>
        <v>742762423</v>
      </c>
      <c r="B441" t="s">
        <v>439</v>
      </c>
      <c r="C441">
        <v>158.4</v>
      </c>
      <c r="D441" t="str">
        <f t="shared" si="15"/>
        <v>370</v>
      </c>
    </row>
    <row r="442" spans="1:4" x14ac:dyDescent="0.25">
      <c r="A442" t="str">
        <f>"742762424"</f>
        <v>742762424</v>
      </c>
      <c r="B442" t="s">
        <v>440</v>
      </c>
      <c r="C442">
        <v>158.4</v>
      </c>
      <c r="D442" t="str">
        <f t="shared" si="15"/>
        <v>370</v>
      </c>
    </row>
    <row r="443" spans="1:4" x14ac:dyDescent="0.25">
      <c r="A443" t="str">
        <f>"742762500"</f>
        <v>742762500</v>
      </c>
      <c r="B443" t="s">
        <v>441</v>
      </c>
      <c r="C443">
        <v>80.959999999999994</v>
      </c>
      <c r="D443" t="str">
        <f>"762"</f>
        <v>762</v>
      </c>
    </row>
    <row r="444" spans="1:4" x14ac:dyDescent="0.25">
      <c r="A444" t="str">
        <f>"742762501"</f>
        <v>742762501</v>
      </c>
      <c r="B444" t="s">
        <v>442</v>
      </c>
      <c r="C444" s="1">
        <v>17127</v>
      </c>
      <c r="D444" t="str">
        <f>"278"</f>
        <v>278</v>
      </c>
    </row>
    <row r="445" spans="1:4" x14ac:dyDescent="0.25">
      <c r="A445" t="str">
        <f>"742762502"</f>
        <v>742762502</v>
      </c>
      <c r="B445" t="s">
        <v>443</v>
      </c>
      <c r="C445" s="1">
        <v>9174</v>
      </c>
      <c r="D445" t="str">
        <f>"278"</f>
        <v>278</v>
      </c>
    </row>
    <row r="446" spans="1:4" x14ac:dyDescent="0.25">
      <c r="A446" t="str">
        <f>"742762503"</f>
        <v>742762503</v>
      </c>
      <c r="B446" t="s">
        <v>444</v>
      </c>
      <c r="C446">
        <v>293.26</v>
      </c>
      <c r="D446" t="str">
        <f>"278"</f>
        <v>278</v>
      </c>
    </row>
    <row r="447" spans="1:4" x14ac:dyDescent="0.25">
      <c r="A447" t="str">
        <f>"742762504"</f>
        <v>742762504</v>
      </c>
      <c r="B447" t="s">
        <v>445</v>
      </c>
      <c r="C447">
        <v>330</v>
      </c>
      <c r="D447" t="str">
        <f>"278"</f>
        <v>278</v>
      </c>
    </row>
    <row r="448" spans="1:4" x14ac:dyDescent="0.25">
      <c r="A448" t="str">
        <f>"742762505"</f>
        <v>742762505</v>
      </c>
      <c r="B448" t="s">
        <v>446</v>
      </c>
      <c r="C448" s="1">
        <v>3300</v>
      </c>
      <c r="D448" t="str">
        <f>"270"</f>
        <v>270</v>
      </c>
    </row>
    <row r="449" spans="1:4" x14ac:dyDescent="0.25">
      <c r="A449" t="str">
        <f>"742762506"</f>
        <v>742762506</v>
      </c>
      <c r="B449" t="s">
        <v>447</v>
      </c>
      <c r="C449" s="1">
        <v>5049</v>
      </c>
      <c r="D449" t="str">
        <f t="shared" ref="D449:D465" si="16">"278"</f>
        <v>278</v>
      </c>
    </row>
    <row r="450" spans="1:4" x14ac:dyDescent="0.25">
      <c r="A450" t="str">
        <f>"742762507"</f>
        <v>742762507</v>
      </c>
      <c r="B450" t="s">
        <v>448</v>
      </c>
      <c r="C450">
        <v>478.56</v>
      </c>
      <c r="D450" t="str">
        <f t="shared" si="16"/>
        <v>278</v>
      </c>
    </row>
    <row r="451" spans="1:4" x14ac:dyDescent="0.25">
      <c r="A451" t="str">
        <f>"742762508"</f>
        <v>742762508</v>
      </c>
      <c r="B451" t="s">
        <v>449</v>
      </c>
      <c r="C451">
        <v>968</v>
      </c>
      <c r="D451" t="str">
        <f t="shared" si="16"/>
        <v>278</v>
      </c>
    </row>
    <row r="452" spans="1:4" x14ac:dyDescent="0.25">
      <c r="A452" t="str">
        <f>"742762509"</f>
        <v>742762509</v>
      </c>
      <c r="B452" t="s">
        <v>450</v>
      </c>
      <c r="C452" s="1">
        <v>2750</v>
      </c>
      <c r="D452" t="str">
        <f t="shared" si="16"/>
        <v>278</v>
      </c>
    </row>
    <row r="453" spans="1:4" x14ac:dyDescent="0.25">
      <c r="A453" t="str">
        <f>"742762510"</f>
        <v>742762510</v>
      </c>
      <c r="B453" t="s">
        <v>451</v>
      </c>
      <c r="C453" s="1">
        <v>7656</v>
      </c>
      <c r="D453" t="str">
        <f t="shared" si="16"/>
        <v>278</v>
      </c>
    </row>
    <row r="454" spans="1:4" x14ac:dyDescent="0.25">
      <c r="A454" t="str">
        <f>"742762511"</f>
        <v>742762511</v>
      </c>
      <c r="B454" t="s">
        <v>452</v>
      </c>
      <c r="C454">
        <v>14.41</v>
      </c>
      <c r="D454" t="str">
        <f t="shared" si="16"/>
        <v>278</v>
      </c>
    </row>
    <row r="455" spans="1:4" x14ac:dyDescent="0.25">
      <c r="A455" t="str">
        <f>"742762512"</f>
        <v>742762512</v>
      </c>
      <c r="B455" t="s">
        <v>453</v>
      </c>
      <c r="C455" s="1">
        <v>3300</v>
      </c>
      <c r="D455" t="str">
        <f t="shared" si="16"/>
        <v>278</v>
      </c>
    </row>
    <row r="456" spans="1:4" x14ac:dyDescent="0.25">
      <c r="A456" t="str">
        <f>"742762513"</f>
        <v>742762513</v>
      </c>
      <c r="B456" t="s">
        <v>454</v>
      </c>
      <c r="C456" s="1">
        <v>2750</v>
      </c>
      <c r="D456" t="str">
        <f t="shared" si="16"/>
        <v>278</v>
      </c>
    </row>
    <row r="457" spans="1:4" x14ac:dyDescent="0.25">
      <c r="A457" t="str">
        <f>"742762514"</f>
        <v>742762514</v>
      </c>
      <c r="B457" t="s">
        <v>455</v>
      </c>
      <c r="C457">
        <v>57.86</v>
      </c>
      <c r="D457" t="str">
        <f t="shared" si="16"/>
        <v>278</v>
      </c>
    </row>
    <row r="458" spans="1:4" x14ac:dyDescent="0.25">
      <c r="A458" t="str">
        <f>"742762515"</f>
        <v>742762515</v>
      </c>
      <c r="B458" t="s">
        <v>456</v>
      </c>
      <c r="C458">
        <v>48.18</v>
      </c>
      <c r="D458" t="str">
        <f t="shared" si="16"/>
        <v>278</v>
      </c>
    </row>
    <row r="459" spans="1:4" x14ac:dyDescent="0.25">
      <c r="A459" t="str">
        <f>"742762516"</f>
        <v>742762516</v>
      </c>
      <c r="B459" t="s">
        <v>457</v>
      </c>
      <c r="C459">
        <v>75.349999999999994</v>
      </c>
      <c r="D459" t="str">
        <f t="shared" si="16"/>
        <v>278</v>
      </c>
    </row>
    <row r="460" spans="1:4" x14ac:dyDescent="0.25">
      <c r="A460" t="str">
        <f>"742762517"</f>
        <v>742762517</v>
      </c>
      <c r="B460" t="s">
        <v>458</v>
      </c>
      <c r="C460">
        <v>220</v>
      </c>
      <c r="D460" t="str">
        <f t="shared" si="16"/>
        <v>278</v>
      </c>
    </row>
    <row r="461" spans="1:4" x14ac:dyDescent="0.25">
      <c r="A461" t="str">
        <f>"742762518"</f>
        <v>742762518</v>
      </c>
      <c r="B461" t="s">
        <v>459</v>
      </c>
      <c r="C461">
        <v>33.770000000000003</v>
      </c>
      <c r="D461" t="str">
        <f t="shared" si="16"/>
        <v>278</v>
      </c>
    </row>
    <row r="462" spans="1:4" x14ac:dyDescent="0.25">
      <c r="A462" t="str">
        <f>"742762519"</f>
        <v>742762519</v>
      </c>
      <c r="B462" t="s">
        <v>460</v>
      </c>
      <c r="C462">
        <v>47.74</v>
      </c>
      <c r="D462" t="str">
        <f t="shared" si="16"/>
        <v>278</v>
      </c>
    </row>
    <row r="463" spans="1:4" x14ac:dyDescent="0.25">
      <c r="A463" t="str">
        <f>"742762520"</f>
        <v>742762520</v>
      </c>
      <c r="B463" t="s">
        <v>461</v>
      </c>
      <c r="C463">
        <v>124.63</v>
      </c>
      <c r="D463" t="str">
        <f t="shared" si="16"/>
        <v>278</v>
      </c>
    </row>
    <row r="464" spans="1:4" x14ac:dyDescent="0.25">
      <c r="A464" t="str">
        <f>"742762521"</f>
        <v>742762521</v>
      </c>
      <c r="B464" t="s">
        <v>462</v>
      </c>
      <c r="C464">
        <v>516.12</v>
      </c>
      <c r="D464" t="str">
        <f t="shared" si="16"/>
        <v>278</v>
      </c>
    </row>
    <row r="465" spans="1:4" x14ac:dyDescent="0.25">
      <c r="A465" t="str">
        <f>"742762522"</f>
        <v>742762522</v>
      </c>
      <c r="B465" t="s">
        <v>463</v>
      </c>
      <c r="C465" s="1">
        <v>15675</v>
      </c>
      <c r="D465" t="str">
        <f t="shared" si="16"/>
        <v>278</v>
      </c>
    </row>
    <row r="466" spans="1:4" x14ac:dyDescent="0.25">
      <c r="A466" t="str">
        <f>"742762800"</f>
        <v>742762800</v>
      </c>
      <c r="B466" t="s">
        <v>464</v>
      </c>
      <c r="C466" s="1">
        <v>1039.5</v>
      </c>
      <c r="D466" t="str">
        <f>"750"</f>
        <v>750</v>
      </c>
    </row>
    <row r="467" spans="1:4" x14ac:dyDescent="0.25">
      <c r="A467" t="str">
        <f>"742800100"</f>
        <v>742800100</v>
      </c>
      <c r="B467" t="s">
        <v>465</v>
      </c>
      <c r="C467" s="1">
        <v>2200</v>
      </c>
      <c r="D467" t="str">
        <f>"360"</f>
        <v>360</v>
      </c>
    </row>
    <row r="468" spans="1:4" x14ac:dyDescent="0.25">
      <c r="A468" t="str">
        <f>"742800101"</f>
        <v>742800101</v>
      </c>
      <c r="B468" t="s">
        <v>466</v>
      </c>
      <c r="C468" s="1">
        <v>1155</v>
      </c>
      <c r="D468" t="str">
        <f>"360"</f>
        <v>360</v>
      </c>
    </row>
    <row r="469" spans="1:4" x14ac:dyDescent="0.25">
      <c r="A469" t="str">
        <f>"742800102"</f>
        <v>742800102</v>
      </c>
      <c r="B469" t="s">
        <v>467</v>
      </c>
      <c r="C469">
        <v>880</v>
      </c>
      <c r="D469" t="str">
        <f>"370"</f>
        <v>370</v>
      </c>
    </row>
    <row r="470" spans="1:4" x14ac:dyDescent="0.25">
      <c r="A470" t="str">
        <f>"742800110"</f>
        <v>742800110</v>
      </c>
      <c r="B470" t="s">
        <v>468</v>
      </c>
      <c r="C470" s="1">
        <v>7700</v>
      </c>
      <c r="D470" t="str">
        <f>"270"</f>
        <v>270</v>
      </c>
    </row>
    <row r="471" spans="1:4" x14ac:dyDescent="0.25">
      <c r="A471" t="str">
        <f>"742800111"</f>
        <v>742800111</v>
      </c>
      <c r="B471" t="s">
        <v>469</v>
      </c>
      <c r="C471" s="1">
        <v>7700</v>
      </c>
      <c r="D471" t="str">
        <f t="shared" ref="D471:D483" si="17">"272"</f>
        <v>272</v>
      </c>
    </row>
    <row r="472" spans="1:4" x14ac:dyDescent="0.25">
      <c r="A472" t="str">
        <f>"742800112"</f>
        <v>742800112</v>
      </c>
      <c r="B472" t="s">
        <v>470</v>
      </c>
      <c r="C472" s="1">
        <v>6391</v>
      </c>
      <c r="D472" t="str">
        <f t="shared" si="17"/>
        <v>272</v>
      </c>
    </row>
    <row r="473" spans="1:4" x14ac:dyDescent="0.25">
      <c r="A473" t="str">
        <f>"742800113"</f>
        <v>742800113</v>
      </c>
      <c r="B473" t="s">
        <v>471</v>
      </c>
      <c r="C473" s="1">
        <v>13490.4</v>
      </c>
      <c r="D473" t="str">
        <f t="shared" si="17"/>
        <v>272</v>
      </c>
    </row>
    <row r="474" spans="1:4" x14ac:dyDescent="0.25">
      <c r="A474" t="str">
        <f>"742800114"</f>
        <v>742800114</v>
      </c>
      <c r="B474" t="s">
        <v>472</v>
      </c>
      <c r="C474" s="1">
        <v>8637.2000000000007</v>
      </c>
      <c r="D474" t="str">
        <f t="shared" si="17"/>
        <v>272</v>
      </c>
    </row>
    <row r="475" spans="1:4" x14ac:dyDescent="0.25">
      <c r="A475" t="str">
        <f>"742800115"</f>
        <v>742800115</v>
      </c>
      <c r="B475" t="s">
        <v>473</v>
      </c>
      <c r="C475" s="1">
        <v>6545</v>
      </c>
      <c r="D475" t="str">
        <f t="shared" si="17"/>
        <v>272</v>
      </c>
    </row>
    <row r="476" spans="1:4" x14ac:dyDescent="0.25">
      <c r="A476" t="str">
        <f>"742800116"</f>
        <v>742800116</v>
      </c>
      <c r="B476" t="s">
        <v>474</v>
      </c>
      <c r="C476" s="1">
        <v>2750</v>
      </c>
      <c r="D476" t="str">
        <f t="shared" si="17"/>
        <v>272</v>
      </c>
    </row>
    <row r="477" spans="1:4" x14ac:dyDescent="0.25">
      <c r="A477" t="str">
        <f>"742800117"</f>
        <v>742800117</v>
      </c>
      <c r="B477" t="s">
        <v>475</v>
      </c>
      <c r="C477" s="1">
        <v>3762</v>
      </c>
      <c r="D477" t="str">
        <f t="shared" si="17"/>
        <v>272</v>
      </c>
    </row>
    <row r="478" spans="1:4" x14ac:dyDescent="0.25">
      <c r="A478" t="str">
        <f>"742800118"</f>
        <v>742800118</v>
      </c>
      <c r="B478" t="s">
        <v>476</v>
      </c>
      <c r="C478" s="1">
        <v>8970.06</v>
      </c>
      <c r="D478" t="str">
        <f t="shared" si="17"/>
        <v>272</v>
      </c>
    </row>
    <row r="479" spans="1:4" x14ac:dyDescent="0.25">
      <c r="A479" t="str">
        <f>"742800119"</f>
        <v>742800119</v>
      </c>
      <c r="B479" t="s">
        <v>477</v>
      </c>
      <c r="C479" s="1">
        <v>4840</v>
      </c>
      <c r="D479" t="str">
        <f t="shared" si="17"/>
        <v>272</v>
      </c>
    </row>
    <row r="480" spans="1:4" x14ac:dyDescent="0.25">
      <c r="A480" t="str">
        <f>"742800120"</f>
        <v>742800120</v>
      </c>
      <c r="B480" t="s">
        <v>478</v>
      </c>
      <c r="C480" s="1">
        <v>10175</v>
      </c>
      <c r="D480" t="str">
        <f t="shared" si="17"/>
        <v>272</v>
      </c>
    </row>
    <row r="481" spans="1:4" x14ac:dyDescent="0.25">
      <c r="A481" t="str">
        <f>"742800121"</f>
        <v>742800121</v>
      </c>
      <c r="B481" t="s">
        <v>479</v>
      </c>
      <c r="C481" s="1">
        <v>2147.75</v>
      </c>
      <c r="D481" t="str">
        <f t="shared" si="17"/>
        <v>272</v>
      </c>
    </row>
    <row r="482" spans="1:4" x14ac:dyDescent="0.25">
      <c r="A482" t="str">
        <f>"742800122"</f>
        <v>742800122</v>
      </c>
      <c r="B482" t="s">
        <v>480</v>
      </c>
      <c r="C482" s="1">
        <v>2069.1</v>
      </c>
      <c r="D482" t="str">
        <f t="shared" si="17"/>
        <v>272</v>
      </c>
    </row>
    <row r="483" spans="1:4" x14ac:dyDescent="0.25">
      <c r="A483" t="str">
        <f>"742800123"</f>
        <v>742800123</v>
      </c>
      <c r="B483" t="s">
        <v>481</v>
      </c>
      <c r="C483" s="1">
        <v>4840</v>
      </c>
      <c r="D483" t="str">
        <f t="shared" si="17"/>
        <v>272</v>
      </c>
    </row>
    <row r="484" spans="1:4" x14ac:dyDescent="0.25">
      <c r="A484" t="str">
        <f>"742900100"</f>
        <v>742900100</v>
      </c>
      <c r="B484" t="s">
        <v>482</v>
      </c>
      <c r="C484" s="1">
        <v>1650</v>
      </c>
      <c r="D484" t="str">
        <f t="shared" ref="D484:D517" si="18">"270"</f>
        <v>270</v>
      </c>
    </row>
    <row r="485" spans="1:4" x14ac:dyDescent="0.25">
      <c r="A485" t="str">
        <f>"742900101"</f>
        <v>742900101</v>
      </c>
      <c r="B485" t="s">
        <v>483</v>
      </c>
      <c r="C485" s="1">
        <v>2750</v>
      </c>
      <c r="D485" t="str">
        <f t="shared" si="18"/>
        <v>270</v>
      </c>
    </row>
    <row r="486" spans="1:4" x14ac:dyDescent="0.25">
      <c r="A486" t="str">
        <f>"742900102"</f>
        <v>742900102</v>
      </c>
      <c r="B486" t="s">
        <v>484</v>
      </c>
      <c r="C486" s="1">
        <v>2530</v>
      </c>
      <c r="D486" t="str">
        <f t="shared" si="18"/>
        <v>270</v>
      </c>
    </row>
    <row r="487" spans="1:4" x14ac:dyDescent="0.25">
      <c r="A487" t="str">
        <f>"742900103"</f>
        <v>742900103</v>
      </c>
      <c r="B487" t="s">
        <v>485</v>
      </c>
      <c r="C487" s="1">
        <v>2970</v>
      </c>
      <c r="D487" t="str">
        <f t="shared" si="18"/>
        <v>270</v>
      </c>
    </row>
    <row r="488" spans="1:4" x14ac:dyDescent="0.25">
      <c r="A488" t="str">
        <f>"742900104"</f>
        <v>742900104</v>
      </c>
      <c r="B488" t="s">
        <v>486</v>
      </c>
      <c r="C488" s="1">
        <v>2750</v>
      </c>
      <c r="D488" t="str">
        <f t="shared" si="18"/>
        <v>270</v>
      </c>
    </row>
    <row r="489" spans="1:4" x14ac:dyDescent="0.25">
      <c r="A489" t="str">
        <f>"742900105"</f>
        <v>742900105</v>
      </c>
      <c r="B489" t="s">
        <v>487</v>
      </c>
      <c r="C489" s="1">
        <v>2530</v>
      </c>
      <c r="D489" t="str">
        <f t="shared" si="18"/>
        <v>270</v>
      </c>
    </row>
    <row r="490" spans="1:4" x14ac:dyDescent="0.25">
      <c r="A490" t="str">
        <f>"742900106"</f>
        <v>742900106</v>
      </c>
      <c r="B490" t="s">
        <v>488</v>
      </c>
      <c r="C490">
        <v>770</v>
      </c>
      <c r="D490" t="str">
        <f t="shared" si="18"/>
        <v>270</v>
      </c>
    </row>
    <row r="491" spans="1:4" x14ac:dyDescent="0.25">
      <c r="A491" t="str">
        <f>"742900107"</f>
        <v>742900107</v>
      </c>
      <c r="B491" t="s">
        <v>489</v>
      </c>
      <c r="C491" s="1">
        <v>2530</v>
      </c>
      <c r="D491" t="str">
        <f t="shared" si="18"/>
        <v>270</v>
      </c>
    </row>
    <row r="492" spans="1:4" x14ac:dyDescent="0.25">
      <c r="A492" t="str">
        <f>"742900108"</f>
        <v>742900108</v>
      </c>
      <c r="B492" t="s">
        <v>490</v>
      </c>
      <c r="C492">
        <v>330</v>
      </c>
      <c r="D492" t="str">
        <f t="shared" si="18"/>
        <v>270</v>
      </c>
    </row>
    <row r="493" spans="1:4" x14ac:dyDescent="0.25">
      <c r="A493" t="str">
        <f>"742900109"</f>
        <v>742900109</v>
      </c>
      <c r="B493" t="s">
        <v>491</v>
      </c>
      <c r="C493" s="1">
        <v>1177</v>
      </c>
      <c r="D493" t="str">
        <f t="shared" si="18"/>
        <v>270</v>
      </c>
    </row>
    <row r="494" spans="1:4" x14ac:dyDescent="0.25">
      <c r="A494" t="str">
        <f>"742900110"</f>
        <v>742900110</v>
      </c>
      <c r="B494" t="s">
        <v>492</v>
      </c>
      <c r="C494">
        <v>40.04</v>
      </c>
      <c r="D494" t="str">
        <f t="shared" si="18"/>
        <v>270</v>
      </c>
    </row>
    <row r="495" spans="1:4" x14ac:dyDescent="0.25">
      <c r="A495" t="str">
        <f>"742900111"</f>
        <v>742900111</v>
      </c>
      <c r="B495" t="s">
        <v>493</v>
      </c>
      <c r="C495">
        <v>77.36</v>
      </c>
      <c r="D495" t="str">
        <f t="shared" si="18"/>
        <v>270</v>
      </c>
    </row>
    <row r="496" spans="1:4" x14ac:dyDescent="0.25">
      <c r="A496" t="str">
        <f>"742900112"</f>
        <v>742900112</v>
      </c>
      <c r="B496" t="s">
        <v>494</v>
      </c>
      <c r="C496" s="1">
        <v>1320</v>
      </c>
      <c r="D496" t="str">
        <f t="shared" si="18"/>
        <v>270</v>
      </c>
    </row>
    <row r="497" spans="1:4" x14ac:dyDescent="0.25">
      <c r="A497" t="str">
        <f>"742900113"</f>
        <v>742900113</v>
      </c>
      <c r="B497" t="s">
        <v>495</v>
      </c>
      <c r="C497" s="1">
        <v>1650</v>
      </c>
      <c r="D497" t="str">
        <f t="shared" si="18"/>
        <v>270</v>
      </c>
    </row>
    <row r="498" spans="1:4" x14ac:dyDescent="0.25">
      <c r="A498" t="str">
        <f>"742900114"</f>
        <v>742900114</v>
      </c>
      <c r="B498" t="s">
        <v>496</v>
      </c>
      <c r="C498" s="1">
        <v>1870</v>
      </c>
      <c r="D498" t="str">
        <f t="shared" si="18"/>
        <v>270</v>
      </c>
    </row>
    <row r="499" spans="1:4" x14ac:dyDescent="0.25">
      <c r="A499" t="str">
        <f>"742900115"</f>
        <v>742900115</v>
      </c>
      <c r="B499" t="s">
        <v>497</v>
      </c>
      <c r="C499" s="1">
        <v>2332</v>
      </c>
      <c r="D499" t="str">
        <f t="shared" si="18"/>
        <v>270</v>
      </c>
    </row>
    <row r="500" spans="1:4" x14ac:dyDescent="0.25">
      <c r="A500" t="str">
        <f>"742900116"</f>
        <v>742900116</v>
      </c>
      <c r="B500" t="s">
        <v>498</v>
      </c>
      <c r="C500">
        <v>924</v>
      </c>
      <c r="D500" t="str">
        <f t="shared" si="18"/>
        <v>270</v>
      </c>
    </row>
    <row r="501" spans="1:4" x14ac:dyDescent="0.25">
      <c r="A501" t="str">
        <f>"742900117"</f>
        <v>742900117</v>
      </c>
      <c r="B501" t="s">
        <v>499</v>
      </c>
      <c r="C501" s="1">
        <v>2332</v>
      </c>
      <c r="D501" t="str">
        <f t="shared" si="18"/>
        <v>270</v>
      </c>
    </row>
    <row r="502" spans="1:4" x14ac:dyDescent="0.25">
      <c r="A502" t="str">
        <f>"742900118"</f>
        <v>742900118</v>
      </c>
      <c r="B502" t="s">
        <v>500</v>
      </c>
      <c r="C502">
        <v>124.3</v>
      </c>
      <c r="D502" t="str">
        <f t="shared" si="18"/>
        <v>270</v>
      </c>
    </row>
    <row r="503" spans="1:4" x14ac:dyDescent="0.25">
      <c r="A503" t="str">
        <f>"742900119"</f>
        <v>742900119</v>
      </c>
      <c r="B503" t="s">
        <v>501</v>
      </c>
      <c r="C503" s="1">
        <v>4835.6000000000004</v>
      </c>
      <c r="D503" t="str">
        <f t="shared" si="18"/>
        <v>270</v>
      </c>
    </row>
    <row r="504" spans="1:4" x14ac:dyDescent="0.25">
      <c r="A504" t="str">
        <f>"742900120"</f>
        <v>742900120</v>
      </c>
      <c r="B504" t="s">
        <v>502</v>
      </c>
      <c r="C504" s="1">
        <v>2530</v>
      </c>
      <c r="D504" t="str">
        <f t="shared" si="18"/>
        <v>270</v>
      </c>
    </row>
    <row r="505" spans="1:4" x14ac:dyDescent="0.25">
      <c r="A505" t="str">
        <f>"742900121"</f>
        <v>742900121</v>
      </c>
      <c r="B505" t="s">
        <v>503</v>
      </c>
      <c r="C505" s="1">
        <v>1389.3</v>
      </c>
      <c r="D505" t="str">
        <f t="shared" si="18"/>
        <v>270</v>
      </c>
    </row>
    <row r="506" spans="1:4" x14ac:dyDescent="0.25">
      <c r="A506" t="str">
        <f>"742900122"</f>
        <v>742900122</v>
      </c>
      <c r="B506" t="s">
        <v>504</v>
      </c>
      <c r="C506" s="1">
        <v>2101</v>
      </c>
      <c r="D506" t="str">
        <f t="shared" si="18"/>
        <v>270</v>
      </c>
    </row>
    <row r="507" spans="1:4" x14ac:dyDescent="0.25">
      <c r="A507" t="str">
        <f>"742900123"</f>
        <v>742900123</v>
      </c>
      <c r="B507" t="s">
        <v>505</v>
      </c>
      <c r="C507">
        <v>396</v>
      </c>
      <c r="D507" t="str">
        <f t="shared" si="18"/>
        <v>270</v>
      </c>
    </row>
    <row r="508" spans="1:4" x14ac:dyDescent="0.25">
      <c r="A508" t="str">
        <f>"742900124"</f>
        <v>742900124</v>
      </c>
      <c r="B508" t="s">
        <v>506</v>
      </c>
      <c r="C508">
        <v>660</v>
      </c>
      <c r="D508" t="str">
        <f t="shared" si="18"/>
        <v>270</v>
      </c>
    </row>
    <row r="509" spans="1:4" x14ac:dyDescent="0.25">
      <c r="A509" t="str">
        <f>"742900125"</f>
        <v>742900125</v>
      </c>
      <c r="B509" t="s">
        <v>507</v>
      </c>
      <c r="C509" s="1">
        <v>1100</v>
      </c>
      <c r="D509" t="str">
        <f t="shared" si="18"/>
        <v>270</v>
      </c>
    </row>
    <row r="510" spans="1:4" x14ac:dyDescent="0.25">
      <c r="A510" t="str">
        <f>"742900126"</f>
        <v>742900126</v>
      </c>
      <c r="B510" t="s">
        <v>508</v>
      </c>
      <c r="C510" s="1">
        <v>4906</v>
      </c>
      <c r="D510" t="str">
        <f t="shared" si="18"/>
        <v>270</v>
      </c>
    </row>
    <row r="511" spans="1:4" x14ac:dyDescent="0.25">
      <c r="A511" t="str">
        <f>"742900127"</f>
        <v>742900127</v>
      </c>
      <c r="B511" t="s">
        <v>509</v>
      </c>
      <c r="C511" s="1">
        <v>2310</v>
      </c>
      <c r="D511" t="str">
        <f t="shared" si="18"/>
        <v>270</v>
      </c>
    </row>
    <row r="512" spans="1:4" x14ac:dyDescent="0.25">
      <c r="A512" t="str">
        <f>"742900128"</f>
        <v>742900128</v>
      </c>
      <c r="B512" t="s">
        <v>510</v>
      </c>
      <c r="C512">
        <v>880</v>
      </c>
      <c r="D512" t="str">
        <f t="shared" si="18"/>
        <v>270</v>
      </c>
    </row>
    <row r="513" spans="1:5" x14ac:dyDescent="0.25">
      <c r="A513" t="str">
        <f>"742900129"</f>
        <v>742900129</v>
      </c>
      <c r="B513" t="s">
        <v>511</v>
      </c>
      <c r="C513">
        <v>434.5</v>
      </c>
      <c r="D513" t="str">
        <f t="shared" si="18"/>
        <v>270</v>
      </c>
    </row>
    <row r="514" spans="1:5" x14ac:dyDescent="0.25">
      <c r="A514" t="str">
        <f>"742900130"</f>
        <v>742900130</v>
      </c>
      <c r="B514" t="s">
        <v>512</v>
      </c>
      <c r="C514">
        <v>275</v>
      </c>
      <c r="D514" t="str">
        <f t="shared" si="18"/>
        <v>270</v>
      </c>
    </row>
    <row r="515" spans="1:5" x14ac:dyDescent="0.25">
      <c r="A515" t="str">
        <f>"742900131"</f>
        <v>742900131</v>
      </c>
      <c r="B515" t="s">
        <v>513</v>
      </c>
      <c r="C515">
        <v>220</v>
      </c>
      <c r="D515" t="str">
        <f t="shared" si="18"/>
        <v>270</v>
      </c>
    </row>
    <row r="516" spans="1:5" x14ac:dyDescent="0.25">
      <c r="A516" t="str">
        <f>"868678798"</f>
        <v>868678798</v>
      </c>
      <c r="B516" t="s">
        <v>514</v>
      </c>
      <c r="C516">
        <v>4.13</v>
      </c>
      <c r="D516" t="str">
        <f t="shared" si="18"/>
        <v>270</v>
      </c>
    </row>
    <row r="517" spans="1:5" x14ac:dyDescent="0.25">
      <c r="A517" t="str">
        <f>"86878789"</f>
        <v>86878789</v>
      </c>
      <c r="B517" t="s">
        <v>515</v>
      </c>
      <c r="C517">
        <v>692.45</v>
      </c>
      <c r="D517" t="str">
        <f t="shared" si="18"/>
        <v>270</v>
      </c>
    </row>
    <row r="518" spans="1:5" x14ac:dyDescent="0.25">
      <c r="A518" t="str">
        <f>"749942005"</f>
        <v>749942005</v>
      </c>
      <c r="B518" t="s">
        <v>516</v>
      </c>
      <c r="C518">
        <v>110.88</v>
      </c>
      <c r="D518" t="str">
        <f>"942"</f>
        <v>942</v>
      </c>
      <c r="E518" t="str">
        <f>"97802"</f>
        <v>97802</v>
      </c>
    </row>
    <row r="519" spans="1:5" x14ac:dyDescent="0.25">
      <c r="A519" t="str">
        <f>"749942006"</f>
        <v>749942006</v>
      </c>
      <c r="B519" t="s">
        <v>517</v>
      </c>
      <c r="C519">
        <v>27.72</v>
      </c>
      <c r="D519" t="str">
        <f>"942"</f>
        <v>942</v>
      </c>
      <c r="E519" t="str">
        <f>"97803"</f>
        <v>97803</v>
      </c>
    </row>
    <row r="520" spans="1:5" x14ac:dyDescent="0.25">
      <c r="A520" t="str">
        <f>"7500306032"</f>
        <v>7500306032</v>
      </c>
      <c r="B520" t="s">
        <v>518</v>
      </c>
      <c r="C520">
        <v>832.15</v>
      </c>
      <c r="D520" t="str">
        <f>"306"</f>
        <v>306</v>
      </c>
      <c r="E520" t="str">
        <f>"87070"</f>
        <v>87070</v>
      </c>
    </row>
    <row r="521" spans="1:5" x14ac:dyDescent="0.25">
      <c r="A521" t="str">
        <f>"750270001"</f>
        <v>750270001</v>
      </c>
      <c r="B521" t="s">
        <v>519</v>
      </c>
      <c r="C521">
        <v>166.1</v>
      </c>
      <c r="D521" t="str">
        <f t="shared" ref="D521:D570" si="19">"270"</f>
        <v>270</v>
      </c>
    </row>
    <row r="522" spans="1:5" x14ac:dyDescent="0.25">
      <c r="A522" t="str">
        <f>"750270004"</f>
        <v>750270004</v>
      </c>
      <c r="B522" t="s">
        <v>520</v>
      </c>
      <c r="C522">
        <v>143</v>
      </c>
      <c r="D522" t="str">
        <f t="shared" si="19"/>
        <v>270</v>
      </c>
    </row>
    <row r="523" spans="1:5" x14ac:dyDescent="0.25">
      <c r="A523" t="str">
        <f>"750270005"</f>
        <v>750270005</v>
      </c>
      <c r="B523" t="s">
        <v>521</v>
      </c>
      <c r="C523">
        <v>392.7</v>
      </c>
      <c r="D523" t="str">
        <f t="shared" si="19"/>
        <v>270</v>
      </c>
    </row>
    <row r="524" spans="1:5" x14ac:dyDescent="0.25">
      <c r="A524" t="str">
        <f>"750270006"</f>
        <v>750270006</v>
      </c>
      <c r="B524" t="s">
        <v>522</v>
      </c>
      <c r="C524">
        <v>567.6</v>
      </c>
      <c r="D524" t="str">
        <f t="shared" si="19"/>
        <v>270</v>
      </c>
    </row>
    <row r="525" spans="1:5" x14ac:dyDescent="0.25">
      <c r="A525" t="str">
        <f>"750270007"</f>
        <v>750270007</v>
      </c>
      <c r="B525" t="s">
        <v>523</v>
      </c>
      <c r="C525">
        <v>79.2</v>
      </c>
      <c r="D525" t="str">
        <f t="shared" si="19"/>
        <v>270</v>
      </c>
    </row>
    <row r="526" spans="1:5" x14ac:dyDescent="0.25">
      <c r="A526" t="str">
        <f>"750270008"</f>
        <v>750270008</v>
      </c>
      <c r="B526" t="s">
        <v>524</v>
      </c>
      <c r="C526">
        <v>376.2</v>
      </c>
      <c r="D526" t="str">
        <f t="shared" si="19"/>
        <v>270</v>
      </c>
    </row>
    <row r="527" spans="1:5" x14ac:dyDescent="0.25">
      <c r="A527" t="str">
        <f>"750270010"</f>
        <v>750270010</v>
      </c>
      <c r="B527" t="s">
        <v>525</v>
      </c>
      <c r="C527">
        <v>280.5</v>
      </c>
      <c r="D527" t="str">
        <f t="shared" si="19"/>
        <v>270</v>
      </c>
    </row>
    <row r="528" spans="1:5" x14ac:dyDescent="0.25">
      <c r="A528" t="str">
        <f>"750270011"</f>
        <v>750270011</v>
      </c>
      <c r="B528" t="s">
        <v>526</v>
      </c>
      <c r="C528">
        <v>178.2</v>
      </c>
      <c r="D528" t="str">
        <f t="shared" si="19"/>
        <v>270</v>
      </c>
    </row>
    <row r="529" spans="1:4" x14ac:dyDescent="0.25">
      <c r="A529" t="str">
        <f>"750270012"</f>
        <v>750270012</v>
      </c>
      <c r="B529" t="s">
        <v>527</v>
      </c>
      <c r="C529">
        <v>237.6</v>
      </c>
      <c r="D529" t="str">
        <f t="shared" si="19"/>
        <v>270</v>
      </c>
    </row>
    <row r="530" spans="1:4" x14ac:dyDescent="0.25">
      <c r="A530" t="str">
        <f>"750270013"</f>
        <v>750270013</v>
      </c>
      <c r="B530" t="s">
        <v>528</v>
      </c>
      <c r="C530">
        <v>343.2</v>
      </c>
      <c r="D530" t="str">
        <f t="shared" si="19"/>
        <v>270</v>
      </c>
    </row>
    <row r="531" spans="1:4" x14ac:dyDescent="0.25">
      <c r="A531" t="str">
        <f>"750270014"</f>
        <v>750270014</v>
      </c>
      <c r="B531" t="s">
        <v>529</v>
      </c>
      <c r="C531">
        <v>211.2</v>
      </c>
      <c r="D531" t="str">
        <f t="shared" si="19"/>
        <v>270</v>
      </c>
    </row>
    <row r="532" spans="1:4" x14ac:dyDescent="0.25">
      <c r="A532" t="str">
        <f>"750270015"</f>
        <v>750270015</v>
      </c>
      <c r="B532" t="s">
        <v>530</v>
      </c>
      <c r="C532">
        <v>336.6</v>
      </c>
      <c r="D532" t="str">
        <f t="shared" si="19"/>
        <v>270</v>
      </c>
    </row>
    <row r="533" spans="1:4" x14ac:dyDescent="0.25">
      <c r="A533" t="str">
        <f>"750270016"</f>
        <v>750270016</v>
      </c>
      <c r="B533" t="s">
        <v>531</v>
      </c>
      <c r="C533">
        <v>627</v>
      </c>
      <c r="D533" t="str">
        <f t="shared" si="19"/>
        <v>270</v>
      </c>
    </row>
    <row r="534" spans="1:4" x14ac:dyDescent="0.25">
      <c r="A534" t="str">
        <f>"750270017"</f>
        <v>750270017</v>
      </c>
      <c r="B534" t="s">
        <v>532</v>
      </c>
      <c r="C534">
        <v>382.8</v>
      </c>
      <c r="D534" t="str">
        <f t="shared" si="19"/>
        <v>270</v>
      </c>
    </row>
    <row r="535" spans="1:4" x14ac:dyDescent="0.25">
      <c r="A535" t="str">
        <f>"750270018"</f>
        <v>750270018</v>
      </c>
      <c r="B535" t="s">
        <v>533</v>
      </c>
      <c r="C535">
        <v>231</v>
      </c>
      <c r="D535" t="str">
        <f t="shared" si="19"/>
        <v>270</v>
      </c>
    </row>
    <row r="536" spans="1:4" x14ac:dyDescent="0.25">
      <c r="A536" t="str">
        <f>"750270019"</f>
        <v>750270019</v>
      </c>
      <c r="B536" t="s">
        <v>534</v>
      </c>
      <c r="C536">
        <v>294.8</v>
      </c>
      <c r="D536" t="str">
        <f t="shared" si="19"/>
        <v>270</v>
      </c>
    </row>
    <row r="537" spans="1:4" x14ac:dyDescent="0.25">
      <c r="A537" t="str">
        <f>"750270020"</f>
        <v>750270020</v>
      </c>
      <c r="B537" t="s">
        <v>535</v>
      </c>
      <c r="C537">
        <v>237.6</v>
      </c>
      <c r="D537" t="str">
        <f t="shared" si="19"/>
        <v>270</v>
      </c>
    </row>
    <row r="538" spans="1:4" x14ac:dyDescent="0.25">
      <c r="A538" t="str">
        <f>"750270021"</f>
        <v>750270021</v>
      </c>
      <c r="B538" t="s">
        <v>536</v>
      </c>
      <c r="C538">
        <v>419.1</v>
      </c>
      <c r="D538" t="str">
        <f t="shared" si="19"/>
        <v>270</v>
      </c>
    </row>
    <row r="539" spans="1:4" x14ac:dyDescent="0.25">
      <c r="A539" t="str">
        <f>"750270022"</f>
        <v>750270022</v>
      </c>
      <c r="B539" t="s">
        <v>537</v>
      </c>
      <c r="C539">
        <v>398.2</v>
      </c>
      <c r="D539" t="str">
        <f t="shared" si="19"/>
        <v>270</v>
      </c>
    </row>
    <row r="540" spans="1:4" x14ac:dyDescent="0.25">
      <c r="A540" t="str">
        <f>"750270023"</f>
        <v>750270023</v>
      </c>
      <c r="B540" t="s">
        <v>538</v>
      </c>
      <c r="C540">
        <v>613.79999999999995</v>
      </c>
      <c r="D540" t="str">
        <f t="shared" si="19"/>
        <v>270</v>
      </c>
    </row>
    <row r="541" spans="1:4" x14ac:dyDescent="0.25">
      <c r="A541" t="str">
        <f>"750270024"</f>
        <v>750270024</v>
      </c>
      <c r="B541" t="s">
        <v>539</v>
      </c>
      <c r="C541">
        <v>211.2</v>
      </c>
      <c r="D541" t="str">
        <f t="shared" si="19"/>
        <v>270</v>
      </c>
    </row>
    <row r="542" spans="1:4" x14ac:dyDescent="0.25">
      <c r="A542" t="str">
        <f>"750270025"</f>
        <v>750270025</v>
      </c>
      <c r="B542" t="s">
        <v>540</v>
      </c>
      <c r="C542">
        <v>336.6</v>
      </c>
      <c r="D542" t="str">
        <f t="shared" si="19"/>
        <v>270</v>
      </c>
    </row>
    <row r="543" spans="1:4" x14ac:dyDescent="0.25">
      <c r="A543" t="str">
        <f>"750270026"</f>
        <v>750270026</v>
      </c>
      <c r="B543" t="s">
        <v>541</v>
      </c>
      <c r="C543">
        <v>873.4</v>
      </c>
      <c r="D543" t="str">
        <f t="shared" si="19"/>
        <v>270</v>
      </c>
    </row>
    <row r="544" spans="1:4" x14ac:dyDescent="0.25">
      <c r="A544" t="str">
        <f>"750270027"</f>
        <v>750270027</v>
      </c>
      <c r="B544" t="s">
        <v>542</v>
      </c>
      <c r="C544">
        <v>957</v>
      </c>
      <c r="D544" t="str">
        <f t="shared" si="19"/>
        <v>270</v>
      </c>
    </row>
    <row r="545" spans="1:4" x14ac:dyDescent="0.25">
      <c r="A545" t="str">
        <f>"750270028"</f>
        <v>750270028</v>
      </c>
      <c r="B545" t="s">
        <v>543</v>
      </c>
      <c r="C545">
        <v>211.2</v>
      </c>
      <c r="D545" t="str">
        <f t="shared" si="19"/>
        <v>270</v>
      </c>
    </row>
    <row r="546" spans="1:4" x14ac:dyDescent="0.25">
      <c r="A546" t="str">
        <f>"750270029"</f>
        <v>750270029</v>
      </c>
      <c r="B546" t="s">
        <v>544</v>
      </c>
      <c r="C546">
        <v>481.8</v>
      </c>
      <c r="D546" t="str">
        <f t="shared" si="19"/>
        <v>270</v>
      </c>
    </row>
    <row r="547" spans="1:4" x14ac:dyDescent="0.25">
      <c r="A547" t="str">
        <f>"750270030"</f>
        <v>750270030</v>
      </c>
      <c r="B547" t="s">
        <v>545</v>
      </c>
      <c r="C547">
        <v>570.9</v>
      </c>
      <c r="D547" t="str">
        <f t="shared" si="19"/>
        <v>270</v>
      </c>
    </row>
    <row r="548" spans="1:4" x14ac:dyDescent="0.25">
      <c r="A548" t="str">
        <f>"750270031"</f>
        <v>750270031</v>
      </c>
      <c r="B548" t="s">
        <v>546</v>
      </c>
      <c r="C548">
        <v>268.39999999999998</v>
      </c>
      <c r="D548" t="str">
        <f t="shared" si="19"/>
        <v>270</v>
      </c>
    </row>
    <row r="549" spans="1:4" x14ac:dyDescent="0.25">
      <c r="A549" t="str">
        <f>"750270032"</f>
        <v>750270032</v>
      </c>
      <c r="B549" t="s">
        <v>547</v>
      </c>
      <c r="C549">
        <v>437.8</v>
      </c>
      <c r="D549" t="str">
        <f t="shared" si="19"/>
        <v>270</v>
      </c>
    </row>
    <row r="550" spans="1:4" x14ac:dyDescent="0.25">
      <c r="A550" t="str">
        <f>"750270033"</f>
        <v>750270033</v>
      </c>
      <c r="B550" t="s">
        <v>548</v>
      </c>
      <c r="C550">
        <v>354.2</v>
      </c>
      <c r="D550" t="str">
        <f t="shared" si="19"/>
        <v>270</v>
      </c>
    </row>
    <row r="551" spans="1:4" x14ac:dyDescent="0.25">
      <c r="A551" t="str">
        <f>"750270034"</f>
        <v>750270034</v>
      </c>
      <c r="B551" t="s">
        <v>549</v>
      </c>
      <c r="C551">
        <v>534.6</v>
      </c>
      <c r="D551" t="str">
        <f t="shared" si="19"/>
        <v>270</v>
      </c>
    </row>
    <row r="552" spans="1:4" x14ac:dyDescent="0.25">
      <c r="A552" t="str">
        <f>"750270035"</f>
        <v>750270035</v>
      </c>
      <c r="B552" t="s">
        <v>550</v>
      </c>
      <c r="C552">
        <v>952.6</v>
      </c>
      <c r="D552" t="str">
        <f t="shared" si="19"/>
        <v>270</v>
      </c>
    </row>
    <row r="553" spans="1:4" x14ac:dyDescent="0.25">
      <c r="A553" t="str">
        <f>"750270036"</f>
        <v>750270036</v>
      </c>
      <c r="B553" t="s">
        <v>551</v>
      </c>
      <c r="C553">
        <v>433.4</v>
      </c>
      <c r="D553" t="str">
        <f t="shared" si="19"/>
        <v>270</v>
      </c>
    </row>
    <row r="554" spans="1:4" x14ac:dyDescent="0.25">
      <c r="A554" t="str">
        <f>"750270037"</f>
        <v>750270037</v>
      </c>
      <c r="B554" t="s">
        <v>552</v>
      </c>
      <c r="C554">
        <v>534.6</v>
      </c>
      <c r="D554" t="str">
        <f t="shared" si="19"/>
        <v>270</v>
      </c>
    </row>
    <row r="555" spans="1:4" x14ac:dyDescent="0.25">
      <c r="A555" t="str">
        <f>"750270038"</f>
        <v>750270038</v>
      </c>
      <c r="B555" t="s">
        <v>553</v>
      </c>
      <c r="C555">
        <v>827.2</v>
      </c>
      <c r="D555" t="str">
        <f t="shared" si="19"/>
        <v>270</v>
      </c>
    </row>
    <row r="556" spans="1:4" x14ac:dyDescent="0.25">
      <c r="A556" t="str">
        <f>"750270039"</f>
        <v>750270039</v>
      </c>
      <c r="B556" t="s">
        <v>554</v>
      </c>
      <c r="C556">
        <v>563.20000000000005</v>
      </c>
      <c r="D556" t="str">
        <f t="shared" si="19"/>
        <v>270</v>
      </c>
    </row>
    <row r="557" spans="1:4" x14ac:dyDescent="0.25">
      <c r="A557" t="str">
        <f>"750270040"</f>
        <v>750270040</v>
      </c>
      <c r="B557" t="s">
        <v>555</v>
      </c>
      <c r="C557">
        <v>479.6</v>
      </c>
      <c r="D557" t="str">
        <f t="shared" si="19"/>
        <v>270</v>
      </c>
    </row>
    <row r="558" spans="1:4" x14ac:dyDescent="0.25">
      <c r="A558" t="str">
        <f>"750270041"</f>
        <v>750270041</v>
      </c>
      <c r="B558" t="s">
        <v>556</v>
      </c>
      <c r="C558">
        <v>770</v>
      </c>
      <c r="D558" t="str">
        <f t="shared" si="19"/>
        <v>270</v>
      </c>
    </row>
    <row r="559" spans="1:4" x14ac:dyDescent="0.25">
      <c r="A559" t="str">
        <f>"750270042"</f>
        <v>750270042</v>
      </c>
      <c r="B559" t="s">
        <v>557</v>
      </c>
      <c r="C559">
        <v>481.8</v>
      </c>
      <c r="D559" t="str">
        <f t="shared" si="19"/>
        <v>270</v>
      </c>
    </row>
    <row r="560" spans="1:4" x14ac:dyDescent="0.25">
      <c r="A560" t="str">
        <f>"750270043"</f>
        <v>750270043</v>
      </c>
      <c r="B560" t="s">
        <v>558</v>
      </c>
      <c r="C560">
        <v>376.2</v>
      </c>
      <c r="D560" t="str">
        <f t="shared" si="19"/>
        <v>270</v>
      </c>
    </row>
    <row r="561" spans="1:5" x14ac:dyDescent="0.25">
      <c r="A561" t="str">
        <f>"750270044"</f>
        <v>750270044</v>
      </c>
      <c r="B561" t="s">
        <v>559</v>
      </c>
      <c r="C561">
        <v>184.8</v>
      </c>
      <c r="D561" t="str">
        <f t="shared" si="19"/>
        <v>270</v>
      </c>
    </row>
    <row r="562" spans="1:5" x14ac:dyDescent="0.25">
      <c r="A562" t="str">
        <f>"750270045"</f>
        <v>750270045</v>
      </c>
      <c r="B562" t="s">
        <v>560</v>
      </c>
      <c r="C562">
        <v>345.4</v>
      </c>
      <c r="D562" t="str">
        <f t="shared" si="19"/>
        <v>270</v>
      </c>
    </row>
    <row r="563" spans="1:5" x14ac:dyDescent="0.25">
      <c r="A563" t="str">
        <f>"750270046"</f>
        <v>750270046</v>
      </c>
      <c r="B563" t="s">
        <v>561</v>
      </c>
      <c r="C563">
        <v>176</v>
      </c>
      <c r="D563" t="str">
        <f t="shared" si="19"/>
        <v>270</v>
      </c>
    </row>
    <row r="564" spans="1:5" x14ac:dyDescent="0.25">
      <c r="A564" t="str">
        <f>"750270047"</f>
        <v>750270047</v>
      </c>
      <c r="B564" t="s">
        <v>562</v>
      </c>
      <c r="C564">
        <v>187</v>
      </c>
      <c r="D564" t="str">
        <f t="shared" si="19"/>
        <v>270</v>
      </c>
    </row>
    <row r="565" spans="1:5" x14ac:dyDescent="0.25">
      <c r="A565" t="str">
        <f>"750270048"</f>
        <v>750270048</v>
      </c>
      <c r="B565" t="s">
        <v>563</v>
      </c>
      <c r="C565">
        <v>363</v>
      </c>
      <c r="D565" t="str">
        <f t="shared" si="19"/>
        <v>270</v>
      </c>
    </row>
    <row r="566" spans="1:5" x14ac:dyDescent="0.25">
      <c r="A566" t="str">
        <f>"750270049"</f>
        <v>750270049</v>
      </c>
      <c r="B566" t="s">
        <v>564</v>
      </c>
      <c r="C566">
        <v>478.5</v>
      </c>
      <c r="D566" t="str">
        <f t="shared" si="19"/>
        <v>270</v>
      </c>
    </row>
    <row r="567" spans="1:5" x14ac:dyDescent="0.25">
      <c r="A567" t="str">
        <f>"750270050"</f>
        <v>750270050</v>
      </c>
      <c r="B567" t="s">
        <v>565</v>
      </c>
      <c r="C567">
        <v>255.2</v>
      </c>
      <c r="D567" t="str">
        <f t="shared" si="19"/>
        <v>270</v>
      </c>
    </row>
    <row r="568" spans="1:5" x14ac:dyDescent="0.25">
      <c r="A568" t="str">
        <f>"750270051"</f>
        <v>750270051</v>
      </c>
      <c r="B568" t="s">
        <v>566</v>
      </c>
      <c r="C568">
        <v>479.6</v>
      </c>
      <c r="D568" t="str">
        <f t="shared" si="19"/>
        <v>270</v>
      </c>
    </row>
    <row r="569" spans="1:5" x14ac:dyDescent="0.25">
      <c r="A569" t="str">
        <f>"750270052"</f>
        <v>750270052</v>
      </c>
      <c r="B569" t="s">
        <v>567</v>
      </c>
      <c r="C569">
        <v>445.5</v>
      </c>
      <c r="D569" t="str">
        <f t="shared" si="19"/>
        <v>270</v>
      </c>
    </row>
    <row r="570" spans="1:5" x14ac:dyDescent="0.25">
      <c r="A570" t="str">
        <f>"750270053"</f>
        <v>750270053</v>
      </c>
      <c r="B570" t="s">
        <v>568</v>
      </c>
      <c r="C570">
        <v>354.2</v>
      </c>
      <c r="D570" t="str">
        <f t="shared" si="19"/>
        <v>270</v>
      </c>
    </row>
    <row r="571" spans="1:5" x14ac:dyDescent="0.25">
      <c r="A571" t="str">
        <f>"750271178"</f>
        <v>750271178</v>
      </c>
      <c r="B571" t="s">
        <v>569</v>
      </c>
      <c r="C571">
        <v>103.95</v>
      </c>
      <c r="D571" t="str">
        <f>"301"</f>
        <v>301</v>
      </c>
      <c r="E571" t="str">
        <f>"82570"</f>
        <v>82570</v>
      </c>
    </row>
    <row r="572" spans="1:5" x14ac:dyDescent="0.25">
      <c r="A572" t="str">
        <f>"750271181"</f>
        <v>750271181</v>
      </c>
      <c r="B572" t="s">
        <v>570</v>
      </c>
      <c r="C572">
        <v>103.95</v>
      </c>
      <c r="D572" t="str">
        <f>"301"</f>
        <v>301</v>
      </c>
      <c r="E572" t="str">
        <f>"84133"</f>
        <v>84133</v>
      </c>
    </row>
    <row r="573" spans="1:5" x14ac:dyDescent="0.25">
      <c r="A573" t="str">
        <f>"750271182"</f>
        <v>750271182</v>
      </c>
      <c r="B573" t="s">
        <v>571</v>
      </c>
      <c r="C573">
        <v>103.95</v>
      </c>
      <c r="D573" t="str">
        <f>"301"</f>
        <v>301</v>
      </c>
      <c r="E573" t="str">
        <f>"84300"</f>
        <v>84300</v>
      </c>
    </row>
    <row r="574" spans="1:5" x14ac:dyDescent="0.25">
      <c r="A574" t="str">
        <f>"750271184"</f>
        <v>750271184</v>
      </c>
      <c r="B574" t="s">
        <v>572</v>
      </c>
      <c r="C574">
        <v>103.95</v>
      </c>
      <c r="D574" t="str">
        <f>"301"</f>
        <v>301</v>
      </c>
      <c r="E574" t="str">
        <f>"84156"</f>
        <v>84156</v>
      </c>
    </row>
    <row r="575" spans="1:5" x14ac:dyDescent="0.25">
      <c r="A575" t="str">
        <f>"750271187"</f>
        <v>750271187</v>
      </c>
      <c r="B575" t="s">
        <v>573</v>
      </c>
      <c r="C575">
        <v>90.2</v>
      </c>
      <c r="D575" t="str">
        <f>"390"</f>
        <v>390</v>
      </c>
      <c r="E575" t="str">
        <f>"86927"</f>
        <v>86927</v>
      </c>
    </row>
    <row r="576" spans="1:5" x14ac:dyDescent="0.25">
      <c r="A576" t="str">
        <f>"750300003"</f>
        <v>750300003</v>
      </c>
      <c r="B576" t="s">
        <v>574</v>
      </c>
      <c r="C576">
        <v>0.43</v>
      </c>
      <c r="D576" t="str">
        <f t="shared" ref="D576:D631" si="20">"301"</f>
        <v>301</v>
      </c>
      <c r="E576" t="str">
        <f t="shared" ref="E576:E631" si="21">"82085"</f>
        <v>82085</v>
      </c>
    </row>
    <row r="577" spans="1:5" x14ac:dyDescent="0.25">
      <c r="A577" t="str">
        <f>"750300004"</f>
        <v>750300004</v>
      </c>
      <c r="B577" t="s">
        <v>575</v>
      </c>
      <c r="C577">
        <v>7.0000000000000007E-2</v>
      </c>
      <c r="D577" t="str">
        <f t="shared" si="20"/>
        <v>301</v>
      </c>
      <c r="E577" t="str">
        <f t="shared" si="21"/>
        <v>82085</v>
      </c>
    </row>
    <row r="578" spans="1:5" x14ac:dyDescent="0.25">
      <c r="A578" t="str">
        <f>"750300005"</f>
        <v>750300005</v>
      </c>
      <c r="B578" t="s">
        <v>576</v>
      </c>
      <c r="C578">
        <v>7.0000000000000007E-2</v>
      </c>
      <c r="D578" t="str">
        <f t="shared" si="20"/>
        <v>301</v>
      </c>
      <c r="E578" t="str">
        <f t="shared" si="21"/>
        <v>82085</v>
      </c>
    </row>
    <row r="579" spans="1:5" x14ac:dyDescent="0.25">
      <c r="A579" t="str">
        <f>"750300006"</f>
        <v>750300006</v>
      </c>
      <c r="B579" t="s">
        <v>577</v>
      </c>
      <c r="C579">
        <v>0.32</v>
      </c>
      <c r="D579" t="str">
        <f t="shared" si="20"/>
        <v>301</v>
      </c>
      <c r="E579" t="str">
        <f t="shared" si="21"/>
        <v>82085</v>
      </c>
    </row>
    <row r="580" spans="1:5" x14ac:dyDescent="0.25">
      <c r="A580" t="str">
        <f>"750300007"</f>
        <v>750300007</v>
      </c>
      <c r="B580" t="s">
        <v>578</v>
      </c>
      <c r="C580">
        <v>2.12</v>
      </c>
      <c r="D580" t="str">
        <f t="shared" si="20"/>
        <v>301</v>
      </c>
      <c r="E580" t="str">
        <f t="shared" si="21"/>
        <v>82085</v>
      </c>
    </row>
    <row r="581" spans="1:5" x14ac:dyDescent="0.25">
      <c r="A581" t="str">
        <f>"750300008"</f>
        <v>750300008</v>
      </c>
      <c r="B581" t="s">
        <v>579</v>
      </c>
      <c r="C581">
        <v>0.08</v>
      </c>
      <c r="D581" t="str">
        <f t="shared" si="20"/>
        <v>301</v>
      </c>
      <c r="E581" t="str">
        <f t="shared" si="21"/>
        <v>82085</v>
      </c>
    </row>
    <row r="582" spans="1:5" x14ac:dyDescent="0.25">
      <c r="A582" t="str">
        <f>"750300009"</f>
        <v>750300009</v>
      </c>
      <c r="B582" t="s">
        <v>580</v>
      </c>
      <c r="C582">
        <v>0.08</v>
      </c>
      <c r="D582" t="str">
        <f t="shared" si="20"/>
        <v>301</v>
      </c>
      <c r="E582" t="str">
        <f t="shared" si="21"/>
        <v>82085</v>
      </c>
    </row>
    <row r="583" spans="1:5" x14ac:dyDescent="0.25">
      <c r="A583" t="str">
        <f>"750300010"</f>
        <v>750300010</v>
      </c>
      <c r="B583" t="s">
        <v>581</v>
      </c>
      <c r="C583">
        <v>0.31</v>
      </c>
      <c r="D583" t="str">
        <f t="shared" si="20"/>
        <v>301</v>
      </c>
      <c r="E583" t="str">
        <f t="shared" si="21"/>
        <v>82085</v>
      </c>
    </row>
    <row r="584" spans="1:5" x14ac:dyDescent="0.25">
      <c r="A584" t="str">
        <f>"750300011"</f>
        <v>750300011</v>
      </c>
      <c r="B584" t="s">
        <v>582</v>
      </c>
      <c r="C584">
        <v>0.32</v>
      </c>
      <c r="D584" t="str">
        <f t="shared" si="20"/>
        <v>301</v>
      </c>
      <c r="E584" t="str">
        <f t="shared" si="21"/>
        <v>82085</v>
      </c>
    </row>
    <row r="585" spans="1:5" x14ac:dyDescent="0.25">
      <c r="A585" t="str">
        <f>"750300012"</f>
        <v>750300012</v>
      </c>
      <c r="B585" t="s">
        <v>583</v>
      </c>
      <c r="C585">
        <v>7.0000000000000007E-2</v>
      </c>
      <c r="D585" t="str">
        <f t="shared" si="20"/>
        <v>301</v>
      </c>
      <c r="E585" t="str">
        <f t="shared" si="21"/>
        <v>82085</v>
      </c>
    </row>
    <row r="586" spans="1:5" x14ac:dyDescent="0.25">
      <c r="A586" t="str">
        <f>"750300013"</f>
        <v>750300013</v>
      </c>
      <c r="B586" t="s">
        <v>584</v>
      </c>
      <c r="C586">
        <v>7.0000000000000007E-2</v>
      </c>
      <c r="D586" t="str">
        <f t="shared" si="20"/>
        <v>301</v>
      </c>
      <c r="E586" t="str">
        <f t="shared" si="21"/>
        <v>82085</v>
      </c>
    </row>
    <row r="587" spans="1:5" x14ac:dyDescent="0.25">
      <c r="A587" t="str">
        <f>"750300014"</f>
        <v>750300014</v>
      </c>
      <c r="B587" t="s">
        <v>585</v>
      </c>
      <c r="C587">
        <v>7.0000000000000007E-2</v>
      </c>
      <c r="D587" t="str">
        <f t="shared" si="20"/>
        <v>301</v>
      </c>
      <c r="E587" t="str">
        <f t="shared" si="21"/>
        <v>82085</v>
      </c>
    </row>
    <row r="588" spans="1:5" x14ac:dyDescent="0.25">
      <c r="A588" t="str">
        <f>"750300015"</f>
        <v>750300015</v>
      </c>
      <c r="B588" t="s">
        <v>586</v>
      </c>
      <c r="C588">
        <v>7.0000000000000007E-2</v>
      </c>
      <c r="D588" t="str">
        <f t="shared" si="20"/>
        <v>301</v>
      </c>
      <c r="E588" t="str">
        <f t="shared" si="21"/>
        <v>82085</v>
      </c>
    </row>
    <row r="589" spans="1:5" x14ac:dyDescent="0.25">
      <c r="A589" t="str">
        <f>"750300016"</f>
        <v>750300016</v>
      </c>
      <c r="B589" t="s">
        <v>587</v>
      </c>
      <c r="C589">
        <v>0.14000000000000001</v>
      </c>
      <c r="D589" t="str">
        <f t="shared" si="20"/>
        <v>301</v>
      </c>
      <c r="E589" t="str">
        <f t="shared" si="21"/>
        <v>82085</v>
      </c>
    </row>
    <row r="590" spans="1:5" x14ac:dyDescent="0.25">
      <c r="A590" t="str">
        <f>"750300017"</f>
        <v>750300017</v>
      </c>
      <c r="B590" t="s">
        <v>588</v>
      </c>
      <c r="C590">
        <v>7.0000000000000007E-2</v>
      </c>
      <c r="D590" t="str">
        <f t="shared" si="20"/>
        <v>301</v>
      </c>
      <c r="E590" t="str">
        <f t="shared" si="21"/>
        <v>82085</v>
      </c>
    </row>
    <row r="591" spans="1:5" x14ac:dyDescent="0.25">
      <c r="A591" t="str">
        <f>"750300019"</f>
        <v>750300019</v>
      </c>
      <c r="B591" t="s">
        <v>589</v>
      </c>
      <c r="C591">
        <v>0.12</v>
      </c>
      <c r="D591" t="str">
        <f t="shared" si="20"/>
        <v>301</v>
      </c>
      <c r="E591" t="str">
        <f t="shared" si="21"/>
        <v>82085</v>
      </c>
    </row>
    <row r="592" spans="1:5" x14ac:dyDescent="0.25">
      <c r="A592" t="str">
        <f>"750300020"</f>
        <v>750300020</v>
      </c>
      <c r="B592" t="s">
        <v>590</v>
      </c>
      <c r="C592">
        <v>7.0000000000000007E-2</v>
      </c>
      <c r="D592" t="str">
        <f t="shared" si="20"/>
        <v>301</v>
      </c>
      <c r="E592" t="str">
        <f t="shared" si="21"/>
        <v>82085</v>
      </c>
    </row>
    <row r="593" spans="1:5" x14ac:dyDescent="0.25">
      <c r="A593" t="str">
        <f>"750300021"</f>
        <v>750300021</v>
      </c>
      <c r="B593" t="s">
        <v>591</v>
      </c>
      <c r="C593">
        <v>1.1299999999999999</v>
      </c>
      <c r="D593" t="str">
        <f t="shared" si="20"/>
        <v>301</v>
      </c>
      <c r="E593" t="str">
        <f t="shared" si="21"/>
        <v>82085</v>
      </c>
    </row>
    <row r="594" spans="1:5" x14ac:dyDescent="0.25">
      <c r="A594" t="str">
        <f>"750300022"</f>
        <v>750300022</v>
      </c>
      <c r="B594" t="s">
        <v>592</v>
      </c>
      <c r="C594">
        <v>1.06</v>
      </c>
      <c r="D594" t="str">
        <f t="shared" si="20"/>
        <v>301</v>
      </c>
      <c r="E594" t="str">
        <f t="shared" si="21"/>
        <v>82085</v>
      </c>
    </row>
    <row r="595" spans="1:5" x14ac:dyDescent="0.25">
      <c r="A595" t="str">
        <f>"750300023"</f>
        <v>750300023</v>
      </c>
      <c r="B595" t="s">
        <v>593</v>
      </c>
      <c r="C595">
        <v>0.12</v>
      </c>
      <c r="D595" t="str">
        <f t="shared" si="20"/>
        <v>301</v>
      </c>
      <c r="E595" t="str">
        <f t="shared" si="21"/>
        <v>82085</v>
      </c>
    </row>
    <row r="596" spans="1:5" x14ac:dyDescent="0.25">
      <c r="A596" t="str">
        <f>"750300024"</f>
        <v>750300024</v>
      </c>
      <c r="B596" t="s">
        <v>594</v>
      </c>
      <c r="C596">
        <v>7.0000000000000007E-2</v>
      </c>
      <c r="D596" t="str">
        <f t="shared" si="20"/>
        <v>301</v>
      </c>
      <c r="E596" t="str">
        <f t="shared" si="21"/>
        <v>82085</v>
      </c>
    </row>
    <row r="597" spans="1:5" x14ac:dyDescent="0.25">
      <c r="A597" t="str">
        <f>"750300025"</f>
        <v>750300025</v>
      </c>
      <c r="B597" t="s">
        <v>595</v>
      </c>
      <c r="C597">
        <v>3</v>
      </c>
      <c r="D597" t="str">
        <f t="shared" si="20"/>
        <v>301</v>
      </c>
      <c r="E597" t="str">
        <f t="shared" si="21"/>
        <v>82085</v>
      </c>
    </row>
    <row r="598" spans="1:5" x14ac:dyDescent="0.25">
      <c r="A598" t="str">
        <f>"750300026"</f>
        <v>750300026</v>
      </c>
      <c r="B598" t="s">
        <v>596</v>
      </c>
      <c r="C598">
        <v>1.34</v>
      </c>
      <c r="D598" t="str">
        <f t="shared" si="20"/>
        <v>301</v>
      </c>
      <c r="E598" t="str">
        <f t="shared" si="21"/>
        <v>82085</v>
      </c>
    </row>
    <row r="599" spans="1:5" x14ac:dyDescent="0.25">
      <c r="A599" t="str">
        <f>"750300027"</f>
        <v>750300027</v>
      </c>
      <c r="B599" t="s">
        <v>597</v>
      </c>
      <c r="C599">
        <v>0.46</v>
      </c>
      <c r="D599" t="str">
        <f t="shared" si="20"/>
        <v>301</v>
      </c>
      <c r="E599" t="str">
        <f t="shared" si="21"/>
        <v>82085</v>
      </c>
    </row>
    <row r="600" spans="1:5" x14ac:dyDescent="0.25">
      <c r="A600" t="str">
        <f>"750300028"</f>
        <v>750300028</v>
      </c>
      <c r="B600" t="s">
        <v>598</v>
      </c>
      <c r="C600">
        <v>0.32</v>
      </c>
      <c r="D600" t="str">
        <f t="shared" si="20"/>
        <v>301</v>
      </c>
      <c r="E600" t="str">
        <f t="shared" si="21"/>
        <v>82085</v>
      </c>
    </row>
    <row r="601" spans="1:5" x14ac:dyDescent="0.25">
      <c r="A601" t="str">
        <f>"750300030"</f>
        <v>750300030</v>
      </c>
      <c r="B601" t="s">
        <v>599</v>
      </c>
      <c r="C601">
        <v>0.12</v>
      </c>
      <c r="D601" t="str">
        <f t="shared" si="20"/>
        <v>301</v>
      </c>
      <c r="E601" t="str">
        <f t="shared" si="21"/>
        <v>82085</v>
      </c>
    </row>
    <row r="602" spans="1:5" x14ac:dyDescent="0.25">
      <c r="A602" t="str">
        <f>"750300031"</f>
        <v>750300031</v>
      </c>
      <c r="B602" t="s">
        <v>600</v>
      </c>
      <c r="C602">
        <v>0.31</v>
      </c>
      <c r="D602" t="str">
        <f t="shared" si="20"/>
        <v>301</v>
      </c>
      <c r="E602" t="str">
        <f t="shared" si="21"/>
        <v>82085</v>
      </c>
    </row>
    <row r="603" spans="1:5" x14ac:dyDescent="0.25">
      <c r="A603" t="str">
        <f>"750300032"</f>
        <v>750300032</v>
      </c>
      <c r="B603" t="s">
        <v>601</v>
      </c>
      <c r="C603">
        <v>0.34</v>
      </c>
      <c r="D603" t="str">
        <f t="shared" si="20"/>
        <v>301</v>
      </c>
      <c r="E603" t="str">
        <f t="shared" si="21"/>
        <v>82085</v>
      </c>
    </row>
    <row r="604" spans="1:5" x14ac:dyDescent="0.25">
      <c r="A604" t="str">
        <f>"750300034"</f>
        <v>750300034</v>
      </c>
      <c r="B604" t="s">
        <v>602</v>
      </c>
      <c r="C604">
        <v>0.12</v>
      </c>
      <c r="D604" t="str">
        <f t="shared" si="20"/>
        <v>301</v>
      </c>
      <c r="E604" t="str">
        <f t="shared" si="21"/>
        <v>82085</v>
      </c>
    </row>
    <row r="605" spans="1:5" x14ac:dyDescent="0.25">
      <c r="A605" t="str">
        <f>"750300035"</f>
        <v>750300035</v>
      </c>
      <c r="B605" t="s">
        <v>603</v>
      </c>
      <c r="C605">
        <v>0.12</v>
      </c>
      <c r="D605" t="str">
        <f t="shared" si="20"/>
        <v>301</v>
      </c>
      <c r="E605" t="str">
        <f t="shared" si="21"/>
        <v>82085</v>
      </c>
    </row>
    <row r="606" spans="1:5" x14ac:dyDescent="0.25">
      <c r="A606" t="str">
        <f>"750300036"</f>
        <v>750300036</v>
      </c>
      <c r="B606" t="s">
        <v>604</v>
      </c>
      <c r="C606">
        <v>0.12</v>
      </c>
      <c r="D606" t="str">
        <f t="shared" si="20"/>
        <v>301</v>
      </c>
      <c r="E606" t="str">
        <f t="shared" si="21"/>
        <v>82085</v>
      </c>
    </row>
    <row r="607" spans="1:5" x14ac:dyDescent="0.25">
      <c r="A607" t="str">
        <f>"750300037"</f>
        <v>750300037</v>
      </c>
      <c r="B607" t="s">
        <v>605</v>
      </c>
      <c r="C607">
        <v>2.61</v>
      </c>
      <c r="D607" t="str">
        <f t="shared" si="20"/>
        <v>301</v>
      </c>
      <c r="E607" t="str">
        <f t="shared" si="21"/>
        <v>82085</v>
      </c>
    </row>
    <row r="608" spans="1:5" x14ac:dyDescent="0.25">
      <c r="A608" t="str">
        <f>"750300038"</f>
        <v>750300038</v>
      </c>
      <c r="B608" t="s">
        <v>606</v>
      </c>
      <c r="C608">
        <v>2.4900000000000002</v>
      </c>
      <c r="D608" t="str">
        <f t="shared" si="20"/>
        <v>301</v>
      </c>
      <c r="E608" t="str">
        <f t="shared" si="21"/>
        <v>82085</v>
      </c>
    </row>
    <row r="609" spans="1:5" x14ac:dyDescent="0.25">
      <c r="A609" t="str">
        <f>"750300039"</f>
        <v>750300039</v>
      </c>
      <c r="B609" t="s">
        <v>607</v>
      </c>
      <c r="C609">
        <v>1.1299999999999999</v>
      </c>
      <c r="D609" t="str">
        <f t="shared" si="20"/>
        <v>301</v>
      </c>
      <c r="E609" t="str">
        <f t="shared" si="21"/>
        <v>82085</v>
      </c>
    </row>
    <row r="610" spans="1:5" x14ac:dyDescent="0.25">
      <c r="A610" t="str">
        <f>"750300040"</f>
        <v>750300040</v>
      </c>
      <c r="B610" t="s">
        <v>608</v>
      </c>
      <c r="C610">
        <v>0.76</v>
      </c>
      <c r="D610" t="str">
        <f t="shared" si="20"/>
        <v>301</v>
      </c>
      <c r="E610" t="str">
        <f t="shared" si="21"/>
        <v>82085</v>
      </c>
    </row>
    <row r="611" spans="1:5" x14ac:dyDescent="0.25">
      <c r="A611" t="str">
        <f>"750300041"</f>
        <v>750300041</v>
      </c>
      <c r="B611" t="s">
        <v>609</v>
      </c>
      <c r="C611">
        <v>0.77</v>
      </c>
      <c r="D611" t="str">
        <f t="shared" si="20"/>
        <v>301</v>
      </c>
      <c r="E611" t="str">
        <f t="shared" si="21"/>
        <v>82085</v>
      </c>
    </row>
    <row r="612" spans="1:5" x14ac:dyDescent="0.25">
      <c r="A612" t="str">
        <f>"750300043"</f>
        <v>750300043</v>
      </c>
      <c r="B612" t="s">
        <v>610</v>
      </c>
      <c r="C612">
        <v>0.12</v>
      </c>
      <c r="D612" t="str">
        <f t="shared" si="20"/>
        <v>301</v>
      </c>
      <c r="E612" t="str">
        <f t="shared" si="21"/>
        <v>82085</v>
      </c>
    </row>
    <row r="613" spans="1:5" x14ac:dyDescent="0.25">
      <c r="A613" t="str">
        <f>"750300044"</f>
        <v>750300044</v>
      </c>
      <c r="B613" t="s">
        <v>611</v>
      </c>
      <c r="C613">
        <v>0.74</v>
      </c>
      <c r="D613" t="str">
        <f t="shared" si="20"/>
        <v>301</v>
      </c>
      <c r="E613" t="str">
        <f t="shared" si="21"/>
        <v>82085</v>
      </c>
    </row>
    <row r="614" spans="1:5" x14ac:dyDescent="0.25">
      <c r="A614" t="str">
        <f>"750300045"</f>
        <v>750300045</v>
      </c>
      <c r="B614" t="s">
        <v>612</v>
      </c>
      <c r="C614">
        <v>0.74</v>
      </c>
      <c r="D614" t="str">
        <f t="shared" si="20"/>
        <v>301</v>
      </c>
      <c r="E614" t="str">
        <f t="shared" si="21"/>
        <v>82085</v>
      </c>
    </row>
    <row r="615" spans="1:5" x14ac:dyDescent="0.25">
      <c r="A615" t="str">
        <f>"750300046"</f>
        <v>750300046</v>
      </c>
      <c r="B615" t="s">
        <v>613</v>
      </c>
      <c r="C615">
        <v>0.74</v>
      </c>
      <c r="D615" t="str">
        <f t="shared" si="20"/>
        <v>301</v>
      </c>
      <c r="E615" t="str">
        <f t="shared" si="21"/>
        <v>82085</v>
      </c>
    </row>
    <row r="616" spans="1:5" x14ac:dyDescent="0.25">
      <c r="A616" t="str">
        <f>"750300047"</f>
        <v>750300047</v>
      </c>
      <c r="B616" t="s">
        <v>614</v>
      </c>
      <c r="C616">
        <v>0.74</v>
      </c>
      <c r="D616" t="str">
        <f t="shared" si="20"/>
        <v>301</v>
      </c>
      <c r="E616" t="str">
        <f t="shared" si="21"/>
        <v>82085</v>
      </c>
    </row>
    <row r="617" spans="1:5" x14ac:dyDescent="0.25">
      <c r="A617" t="str">
        <f>"750300048"</f>
        <v>750300048</v>
      </c>
      <c r="B617" t="s">
        <v>615</v>
      </c>
      <c r="C617">
        <v>0.74</v>
      </c>
      <c r="D617" t="str">
        <f t="shared" si="20"/>
        <v>301</v>
      </c>
      <c r="E617" t="str">
        <f t="shared" si="21"/>
        <v>82085</v>
      </c>
    </row>
    <row r="618" spans="1:5" x14ac:dyDescent="0.25">
      <c r="A618" t="str">
        <f>"750300049"</f>
        <v>750300049</v>
      </c>
      <c r="B618" t="s">
        <v>616</v>
      </c>
      <c r="C618">
        <v>0.74</v>
      </c>
      <c r="D618" t="str">
        <f t="shared" si="20"/>
        <v>301</v>
      </c>
      <c r="E618" t="str">
        <f t="shared" si="21"/>
        <v>82085</v>
      </c>
    </row>
    <row r="619" spans="1:5" x14ac:dyDescent="0.25">
      <c r="A619" t="str">
        <f>"750300050"</f>
        <v>750300050</v>
      </c>
      <c r="B619" t="s">
        <v>617</v>
      </c>
      <c r="C619">
        <v>0.74</v>
      </c>
      <c r="D619" t="str">
        <f t="shared" si="20"/>
        <v>301</v>
      </c>
      <c r="E619" t="str">
        <f t="shared" si="21"/>
        <v>82085</v>
      </c>
    </row>
    <row r="620" spans="1:5" x14ac:dyDescent="0.25">
      <c r="A620" t="str">
        <f>"750300051"</f>
        <v>750300051</v>
      </c>
      <c r="B620" t="s">
        <v>618</v>
      </c>
      <c r="C620">
        <v>0.74</v>
      </c>
      <c r="D620" t="str">
        <f t="shared" si="20"/>
        <v>301</v>
      </c>
      <c r="E620" t="str">
        <f t="shared" si="21"/>
        <v>82085</v>
      </c>
    </row>
    <row r="621" spans="1:5" x14ac:dyDescent="0.25">
      <c r="A621" t="str">
        <f>"750300052"</f>
        <v>750300052</v>
      </c>
      <c r="B621" t="s">
        <v>619</v>
      </c>
      <c r="C621">
        <v>1.1599999999999999</v>
      </c>
      <c r="D621" t="str">
        <f t="shared" si="20"/>
        <v>301</v>
      </c>
      <c r="E621" t="str">
        <f t="shared" si="21"/>
        <v>82085</v>
      </c>
    </row>
    <row r="622" spans="1:5" x14ac:dyDescent="0.25">
      <c r="A622" t="str">
        <f>"750300053"</f>
        <v>750300053</v>
      </c>
      <c r="B622" t="s">
        <v>620</v>
      </c>
      <c r="C622">
        <v>1.61</v>
      </c>
      <c r="D622" t="str">
        <f t="shared" si="20"/>
        <v>301</v>
      </c>
      <c r="E622" t="str">
        <f t="shared" si="21"/>
        <v>82085</v>
      </c>
    </row>
    <row r="623" spans="1:5" x14ac:dyDescent="0.25">
      <c r="A623" t="str">
        <f>"750300054"</f>
        <v>750300054</v>
      </c>
      <c r="B623" t="s">
        <v>621</v>
      </c>
      <c r="C623">
        <v>1.23</v>
      </c>
      <c r="D623" t="str">
        <f t="shared" si="20"/>
        <v>301</v>
      </c>
      <c r="E623" t="str">
        <f t="shared" si="21"/>
        <v>82085</v>
      </c>
    </row>
    <row r="624" spans="1:5" x14ac:dyDescent="0.25">
      <c r="A624" t="str">
        <f>"750300055"</f>
        <v>750300055</v>
      </c>
      <c r="B624" t="s">
        <v>622</v>
      </c>
      <c r="C624">
        <v>1.61</v>
      </c>
      <c r="D624" t="str">
        <f t="shared" si="20"/>
        <v>301</v>
      </c>
      <c r="E624" t="str">
        <f t="shared" si="21"/>
        <v>82085</v>
      </c>
    </row>
    <row r="625" spans="1:5" x14ac:dyDescent="0.25">
      <c r="A625" t="str">
        <f>"750300056"</f>
        <v>750300056</v>
      </c>
      <c r="B625" t="s">
        <v>599</v>
      </c>
      <c r="C625">
        <v>0.12</v>
      </c>
      <c r="D625" t="str">
        <f t="shared" si="20"/>
        <v>301</v>
      </c>
      <c r="E625" t="str">
        <f t="shared" si="21"/>
        <v>82085</v>
      </c>
    </row>
    <row r="626" spans="1:5" x14ac:dyDescent="0.25">
      <c r="A626" t="str">
        <f>"750300057"</f>
        <v>750300057</v>
      </c>
      <c r="B626" t="s">
        <v>623</v>
      </c>
      <c r="C626">
        <v>1.64</v>
      </c>
      <c r="D626" t="str">
        <f t="shared" si="20"/>
        <v>301</v>
      </c>
      <c r="E626" t="str">
        <f t="shared" si="21"/>
        <v>82085</v>
      </c>
    </row>
    <row r="627" spans="1:5" x14ac:dyDescent="0.25">
      <c r="A627" t="str">
        <f>"750300058"</f>
        <v>750300058</v>
      </c>
      <c r="B627" t="s">
        <v>624</v>
      </c>
      <c r="C627">
        <v>1.64</v>
      </c>
      <c r="D627" t="str">
        <f t="shared" si="20"/>
        <v>301</v>
      </c>
      <c r="E627" t="str">
        <f t="shared" si="21"/>
        <v>82085</v>
      </c>
    </row>
    <row r="628" spans="1:5" x14ac:dyDescent="0.25">
      <c r="A628" t="str">
        <f>"750300059"</f>
        <v>750300059</v>
      </c>
      <c r="B628" t="s">
        <v>625</v>
      </c>
      <c r="C628">
        <v>1.64</v>
      </c>
      <c r="D628" t="str">
        <f t="shared" si="20"/>
        <v>301</v>
      </c>
      <c r="E628" t="str">
        <f t="shared" si="21"/>
        <v>82085</v>
      </c>
    </row>
    <row r="629" spans="1:5" x14ac:dyDescent="0.25">
      <c r="A629" t="str">
        <f>"750300060"</f>
        <v>750300060</v>
      </c>
      <c r="B629" t="s">
        <v>626</v>
      </c>
      <c r="C629">
        <v>1.61</v>
      </c>
      <c r="D629" t="str">
        <f t="shared" si="20"/>
        <v>301</v>
      </c>
      <c r="E629" t="str">
        <f t="shared" si="21"/>
        <v>82085</v>
      </c>
    </row>
    <row r="630" spans="1:5" x14ac:dyDescent="0.25">
      <c r="A630" t="str">
        <f>"750300061"</f>
        <v>750300061</v>
      </c>
      <c r="B630" t="s">
        <v>627</v>
      </c>
      <c r="C630">
        <v>1.61</v>
      </c>
      <c r="D630" t="str">
        <f t="shared" si="20"/>
        <v>301</v>
      </c>
      <c r="E630" t="str">
        <f t="shared" si="21"/>
        <v>82085</v>
      </c>
    </row>
    <row r="631" spans="1:5" x14ac:dyDescent="0.25">
      <c r="A631" t="str">
        <f>"750300062"</f>
        <v>750300062</v>
      </c>
      <c r="B631" t="s">
        <v>628</v>
      </c>
      <c r="C631">
        <v>1.61</v>
      </c>
      <c r="D631" t="str">
        <f t="shared" si="20"/>
        <v>301</v>
      </c>
      <c r="E631" t="str">
        <f t="shared" si="21"/>
        <v>82085</v>
      </c>
    </row>
    <row r="632" spans="1:5" x14ac:dyDescent="0.25">
      <c r="A632" t="str">
        <f>"750300510"</f>
        <v>750300510</v>
      </c>
      <c r="B632" t="s">
        <v>629</v>
      </c>
      <c r="C632">
        <v>287.02</v>
      </c>
      <c r="D632" t="str">
        <f t="shared" ref="D632:D643" si="22">"306"</f>
        <v>306</v>
      </c>
      <c r="E632" t="str">
        <f>"87641"</f>
        <v>87641</v>
      </c>
    </row>
    <row r="633" spans="1:5" x14ac:dyDescent="0.25">
      <c r="A633" t="str">
        <f>"750300511"</f>
        <v>750300511</v>
      </c>
      <c r="B633" t="s">
        <v>630</v>
      </c>
      <c r="C633">
        <v>266.23</v>
      </c>
      <c r="D633" t="str">
        <f t="shared" si="22"/>
        <v>306</v>
      </c>
      <c r="E633" t="str">
        <f>"87420"</f>
        <v>87420</v>
      </c>
    </row>
    <row r="634" spans="1:5" x14ac:dyDescent="0.25">
      <c r="A634" t="str">
        <f>"750300512"</f>
        <v>750300512</v>
      </c>
      <c r="B634" t="s">
        <v>631</v>
      </c>
      <c r="C634">
        <v>170.21</v>
      </c>
      <c r="D634" t="str">
        <f t="shared" si="22"/>
        <v>306</v>
      </c>
      <c r="E634" t="str">
        <f>"87400"</f>
        <v>87400</v>
      </c>
    </row>
    <row r="635" spans="1:5" x14ac:dyDescent="0.25">
      <c r="A635" t="str">
        <f>"750300513"</f>
        <v>750300513</v>
      </c>
      <c r="B635" t="s">
        <v>632</v>
      </c>
      <c r="C635">
        <v>170.21</v>
      </c>
      <c r="D635" t="str">
        <f t="shared" si="22"/>
        <v>306</v>
      </c>
      <c r="E635" t="str">
        <f>"87400"</f>
        <v>87400</v>
      </c>
    </row>
    <row r="636" spans="1:5" x14ac:dyDescent="0.25">
      <c r="A636" t="str">
        <f>"750300514"</f>
        <v>750300514</v>
      </c>
      <c r="B636" t="s">
        <v>633</v>
      </c>
      <c r="C636">
        <v>35.229999999999997</v>
      </c>
      <c r="D636" t="str">
        <f t="shared" si="22"/>
        <v>306</v>
      </c>
      <c r="E636" t="str">
        <f>"87188"</f>
        <v>87188</v>
      </c>
    </row>
    <row r="637" spans="1:5" x14ac:dyDescent="0.25">
      <c r="A637" t="str">
        <f>"750300515"</f>
        <v>750300515</v>
      </c>
      <c r="B637" t="s">
        <v>634</v>
      </c>
      <c r="C637">
        <v>59.07</v>
      </c>
      <c r="D637" t="str">
        <f t="shared" si="22"/>
        <v>306</v>
      </c>
      <c r="E637" t="str">
        <f>"87187"</f>
        <v>87187</v>
      </c>
    </row>
    <row r="638" spans="1:5" x14ac:dyDescent="0.25">
      <c r="A638" t="str">
        <f>"750300516"</f>
        <v>750300516</v>
      </c>
      <c r="B638" t="s">
        <v>635</v>
      </c>
      <c r="C638">
        <v>150.15</v>
      </c>
      <c r="D638" t="str">
        <f t="shared" si="22"/>
        <v>306</v>
      </c>
      <c r="E638" t="str">
        <f>"87181"</f>
        <v>87181</v>
      </c>
    </row>
    <row r="639" spans="1:5" x14ac:dyDescent="0.25">
      <c r="A639" t="str">
        <f>"750300517"</f>
        <v>750300517</v>
      </c>
      <c r="B639" t="s">
        <v>636</v>
      </c>
      <c r="C639">
        <v>51.98</v>
      </c>
      <c r="D639" t="str">
        <f t="shared" si="22"/>
        <v>306</v>
      </c>
      <c r="E639" t="str">
        <f>"87118"</f>
        <v>87118</v>
      </c>
    </row>
    <row r="640" spans="1:5" x14ac:dyDescent="0.25">
      <c r="A640" t="str">
        <f>"750300518"</f>
        <v>750300518</v>
      </c>
      <c r="B640" t="s">
        <v>637</v>
      </c>
      <c r="C640">
        <v>96.56</v>
      </c>
      <c r="D640" t="str">
        <f t="shared" si="22"/>
        <v>306</v>
      </c>
      <c r="E640" t="str">
        <f>"87077"</f>
        <v>87077</v>
      </c>
    </row>
    <row r="641" spans="1:5" x14ac:dyDescent="0.25">
      <c r="A641" t="str">
        <f>"750300519"</f>
        <v>750300519</v>
      </c>
      <c r="B641" t="s">
        <v>638</v>
      </c>
      <c r="C641">
        <v>415.76</v>
      </c>
      <c r="D641" t="str">
        <f t="shared" si="22"/>
        <v>306</v>
      </c>
      <c r="E641" t="str">
        <f>"87076"</f>
        <v>87076</v>
      </c>
    </row>
    <row r="642" spans="1:5" x14ac:dyDescent="0.25">
      <c r="A642" t="str">
        <f>"750300520"</f>
        <v>750300520</v>
      </c>
      <c r="B642" t="s">
        <v>639</v>
      </c>
      <c r="C642">
        <v>242.32</v>
      </c>
      <c r="D642" t="str">
        <f t="shared" si="22"/>
        <v>306</v>
      </c>
      <c r="E642" t="str">
        <f>"87070"</f>
        <v>87070</v>
      </c>
    </row>
    <row r="643" spans="1:5" x14ac:dyDescent="0.25">
      <c r="A643" t="str">
        <f>"750300521"</f>
        <v>750300521</v>
      </c>
      <c r="B643" t="s">
        <v>640</v>
      </c>
      <c r="C643">
        <v>56.6</v>
      </c>
      <c r="D643" t="str">
        <f t="shared" si="22"/>
        <v>306</v>
      </c>
      <c r="E643" t="str">
        <f>"87015"</f>
        <v>87015</v>
      </c>
    </row>
    <row r="644" spans="1:5" x14ac:dyDescent="0.25">
      <c r="A644" t="str">
        <f>"750300522"</f>
        <v>750300522</v>
      </c>
      <c r="B644" t="s">
        <v>641</v>
      </c>
      <c r="C644">
        <v>124.19</v>
      </c>
      <c r="D644" t="str">
        <f>"307"</f>
        <v>307</v>
      </c>
      <c r="E644" t="str">
        <f>"83150"</f>
        <v>83150</v>
      </c>
    </row>
    <row r="645" spans="1:5" x14ac:dyDescent="0.25">
      <c r="A645" t="str">
        <f>"750300523"</f>
        <v>750300523</v>
      </c>
      <c r="B645" t="s">
        <v>642</v>
      </c>
      <c r="C645">
        <v>28.35</v>
      </c>
      <c r="D645" t="str">
        <f>"302"</f>
        <v>302</v>
      </c>
      <c r="E645" t="str">
        <f>"85660"</f>
        <v>85660</v>
      </c>
    </row>
    <row r="646" spans="1:5" x14ac:dyDescent="0.25">
      <c r="A646" t="str">
        <f>"750300524"</f>
        <v>750300524</v>
      </c>
      <c r="B646" t="s">
        <v>643</v>
      </c>
      <c r="C646">
        <v>98.51</v>
      </c>
      <c r="D646" t="str">
        <f>"301"</f>
        <v>301</v>
      </c>
      <c r="E646" t="str">
        <f>"84590"</f>
        <v>84590</v>
      </c>
    </row>
    <row r="647" spans="1:5" x14ac:dyDescent="0.25">
      <c r="A647" t="str">
        <f>"750300525"</f>
        <v>750300525</v>
      </c>
      <c r="B647" t="s">
        <v>644</v>
      </c>
      <c r="C647">
        <v>156.59</v>
      </c>
      <c r="D647" t="str">
        <f>"301"</f>
        <v>301</v>
      </c>
      <c r="E647" t="str">
        <f>"80335"</f>
        <v>80335</v>
      </c>
    </row>
    <row r="648" spans="1:5" x14ac:dyDescent="0.25">
      <c r="A648" t="str">
        <f>"750300526"</f>
        <v>750300526</v>
      </c>
      <c r="B648" t="s">
        <v>645</v>
      </c>
      <c r="C648">
        <v>186.21</v>
      </c>
      <c r="D648" t="str">
        <f>"301"</f>
        <v>301</v>
      </c>
      <c r="E648" t="str">
        <f>"82175"</f>
        <v>82175</v>
      </c>
    </row>
    <row r="649" spans="1:5" x14ac:dyDescent="0.25">
      <c r="A649" t="str">
        <f>"750300527"</f>
        <v>750300527</v>
      </c>
      <c r="B649" t="s">
        <v>646</v>
      </c>
      <c r="C649">
        <v>108.77</v>
      </c>
      <c r="D649" t="str">
        <f>"305"</f>
        <v>305</v>
      </c>
      <c r="E649" t="str">
        <f>"89060"</f>
        <v>89060</v>
      </c>
    </row>
    <row r="650" spans="1:5" x14ac:dyDescent="0.25">
      <c r="A650" t="str">
        <f>"750300528"</f>
        <v>750300528</v>
      </c>
      <c r="B650" t="s">
        <v>647</v>
      </c>
      <c r="C650">
        <v>71.900000000000006</v>
      </c>
      <c r="D650" t="str">
        <f>"301"</f>
        <v>301</v>
      </c>
      <c r="E650" t="str">
        <f>"82941"</f>
        <v>82941</v>
      </c>
    </row>
    <row r="651" spans="1:5" x14ac:dyDescent="0.25">
      <c r="A651" t="str">
        <f>"750300529"</f>
        <v>750300529</v>
      </c>
      <c r="B651" t="s">
        <v>648</v>
      </c>
      <c r="C651">
        <v>116.36</v>
      </c>
      <c r="D651" t="str">
        <f>"305"</f>
        <v>305</v>
      </c>
      <c r="E651" t="str">
        <f>"85300"</f>
        <v>85300</v>
      </c>
    </row>
    <row r="652" spans="1:5" x14ac:dyDescent="0.25">
      <c r="A652" t="str">
        <f>"750300530"</f>
        <v>750300530</v>
      </c>
      <c r="B652" t="s">
        <v>649</v>
      </c>
      <c r="C652">
        <v>106.1</v>
      </c>
      <c r="D652" t="str">
        <f>"305"</f>
        <v>305</v>
      </c>
      <c r="E652" t="str">
        <f>"85301"</f>
        <v>85301</v>
      </c>
    </row>
    <row r="653" spans="1:5" x14ac:dyDescent="0.25">
      <c r="A653" t="str">
        <f>"750300531"</f>
        <v>750300531</v>
      </c>
      <c r="B653" t="s">
        <v>650</v>
      </c>
      <c r="C653">
        <v>134.93</v>
      </c>
      <c r="D653" t="str">
        <f>"301"</f>
        <v>301</v>
      </c>
      <c r="E653" t="str">
        <f>"82670"</f>
        <v>82670</v>
      </c>
    </row>
    <row r="654" spans="1:5" x14ac:dyDescent="0.25">
      <c r="A654" t="str">
        <f>"750300532"</f>
        <v>750300532</v>
      </c>
      <c r="B654" t="s">
        <v>651</v>
      </c>
      <c r="C654">
        <v>175.75</v>
      </c>
      <c r="D654" t="str">
        <f>"305"</f>
        <v>305</v>
      </c>
      <c r="E654" t="str">
        <f>"85240"</f>
        <v>85240</v>
      </c>
    </row>
    <row r="655" spans="1:5" x14ac:dyDescent="0.25">
      <c r="A655" t="str">
        <f>"750300533"</f>
        <v>750300533</v>
      </c>
      <c r="B655" t="s">
        <v>652</v>
      </c>
      <c r="C655">
        <v>110.88</v>
      </c>
      <c r="D655" t="str">
        <f>"300"</f>
        <v>300</v>
      </c>
      <c r="E655" t="str">
        <f>"83090"</f>
        <v>83090</v>
      </c>
    </row>
    <row r="656" spans="1:5" x14ac:dyDescent="0.25">
      <c r="A656" t="str">
        <f>"750300534"</f>
        <v>750300534</v>
      </c>
      <c r="B656" t="s">
        <v>653</v>
      </c>
      <c r="C656">
        <v>48.93</v>
      </c>
      <c r="D656" t="str">
        <f>"301"</f>
        <v>301</v>
      </c>
      <c r="E656" t="str">
        <f>"84066"</f>
        <v>84066</v>
      </c>
    </row>
    <row r="657" spans="1:5" x14ac:dyDescent="0.25">
      <c r="A657" t="str">
        <f>"750300535"</f>
        <v>750300535</v>
      </c>
      <c r="B657" t="s">
        <v>654</v>
      </c>
      <c r="C657">
        <v>641.03</v>
      </c>
      <c r="D657" t="str">
        <f>"300"</f>
        <v>300</v>
      </c>
      <c r="E657" t="str">
        <f>"86023"</f>
        <v>86023</v>
      </c>
    </row>
    <row r="658" spans="1:5" x14ac:dyDescent="0.25">
      <c r="A658" t="str">
        <f>"750300536"</f>
        <v>750300536</v>
      </c>
      <c r="B658" t="s">
        <v>655</v>
      </c>
      <c r="C658">
        <v>369.13</v>
      </c>
      <c r="D658" t="str">
        <f>"300"</f>
        <v>300</v>
      </c>
      <c r="E658" t="str">
        <f>"86022"</f>
        <v>86022</v>
      </c>
    </row>
    <row r="659" spans="1:5" x14ac:dyDescent="0.25">
      <c r="A659" t="str">
        <f>"750300537"</f>
        <v>750300537</v>
      </c>
      <c r="B659" t="s">
        <v>656</v>
      </c>
      <c r="C659">
        <v>145.66999999999999</v>
      </c>
      <c r="D659" t="str">
        <f>"300"</f>
        <v>300</v>
      </c>
      <c r="E659" t="str">
        <f>"85613"</f>
        <v>85613</v>
      </c>
    </row>
    <row r="660" spans="1:5" x14ac:dyDescent="0.25">
      <c r="A660" t="str">
        <f>"750300538"</f>
        <v>750300538</v>
      </c>
      <c r="B660" t="s">
        <v>657</v>
      </c>
      <c r="C660">
        <v>60.06</v>
      </c>
      <c r="D660" t="str">
        <f t="shared" ref="D660:D669" si="23">"301"</f>
        <v>301</v>
      </c>
      <c r="E660" t="str">
        <f>"80305"</f>
        <v>80305</v>
      </c>
    </row>
    <row r="661" spans="1:5" x14ac:dyDescent="0.25">
      <c r="A661" t="str">
        <f>"750300539"</f>
        <v>750300539</v>
      </c>
      <c r="B661" t="s">
        <v>658</v>
      </c>
      <c r="C661">
        <v>60.06</v>
      </c>
      <c r="D661" t="str">
        <f t="shared" si="23"/>
        <v>301</v>
      </c>
      <c r="E661" t="str">
        <f>"80321"</f>
        <v>80321</v>
      </c>
    </row>
    <row r="662" spans="1:5" x14ac:dyDescent="0.25">
      <c r="A662" t="str">
        <f>"750300540"</f>
        <v>750300540</v>
      </c>
      <c r="B662" t="s">
        <v>659</v>
      </c>
      <c r="C662">
        <v>60.06</v>
      </c>
      <c r="D662" t="str">
        <f t="shared" si="23"/>
        <v>301</v>
      </c>
      <c r="E662" t="str">
        <f>"80322"</f>
        <v>80322</v>
      </c>
    </row>
    <row r="663" spans="1:5" x14ac:dyDescent="0.25">
      <c r="A663" t="str">
        <f>"750300541"</f>
        <v>750300541</v>
      </c>
      <c r="B663" t="s">
        <v>660</v>
      </c>
      <c r="C663">
        <v>63.06</v>
      </c>
      <c r="D663" t="str">
        <f t="shared" si="23"/>
        <v>301</v>
      </c>
      <c r="E663" t="str">
        <f>"83921"</f>
        <v>83921</v>
      </c>
    </row>
    <row r="664" spans="1:5" x14ac:dyDescent="0.25">
      <c r="A664" t="str">
        <f>"750300542"</f>
        <v>750300542</v>
      </c>
      <c r="B664" t="s">
        <v>661</v>
      </c>
      <c r="C664">
        <v>448.76</v>
      </c>
      <c r="D664" t="str">
        <f t="shared" si="23"/>
        <v>301</v>
      </c>
      <c r="E664" t="str">
        <f>"85303"</f>
        <v>85303</v>
      </c>
    </row>
    <row r="665" spans="1:5" x14ac:dyDescent="0.25">
      <c r="A665" t="str">
        <f>"750300543"</f>
        <v>750300543</v>
      </c>
      <c r="B665" t="s">
        <v>662</v>
      </c>
      <c r="C665">
        <v>163.34</v>
      </c>
      <c r="D665" t="str">
        <f t="shared" si="23"/>
        <v>301</v>
      </c>
      <c r="E665" t="str">
        <f>"80177"</f>
        <v>80177</v>
      </c>
    </row>
    <row r="666" spans="1:5" x14ac:dyDescent="0.25">
      <c r="A666" t="str">
        <f>"750300544"</f>
        <v>750300544</v>
      </c>
      <c r="B666" t="s">
        <v>663</v>
      </c>
      <c r="C666">
        <v>151.59</v>
      </c>
      <c r="D666" t="str">
        <f t="shared" si="23"/>
        <v>301</v>
      </c>
      <c r="E666" t="str">
        <f>"82951"</f>
        <v>82951</v>
      </c>
    </row>
    <row r="667" spans="1:5" x14ac:dyDescent="0.25">
      <c r="A667" t="str">
        <f>"750300545"</f>
        <v>750300545</v>
      </c>
      <c r="B667" t="s">
        <v>664</v>
      </c>
      <c r="C667">
        <v>108.57</v>
      </c>
      <c r="D667" t="str">
        <f t="shared" si="23"/>
        <v>301</v>
      </c>
      <c r="E667" t="str">
        <f>"82947"</f>
        <v>82947</v>
      </c>
    </row>
    <row r="668" spans="1:5" x14ac:dyDescent="0.25">
      <c r="A668" t="str">
        <f>"750300546"</f>
        <v>750300546</v>
      </c>
      <c r="B668" t="s">
        <v>665</v>
      </c>
      <c r="C668">
        <v>238.39</v>
      </c>
      <c r="D668" t="str">
        <f t="shared" si="23"/>
        <v>301</v>
      </c>
      <c r="E668" t="str">
        <f>"82600"</f>
        <v>82600</v>
      </c>
    </row>
    <row r="669" spans="1:5" x14ac:dyDescent="0.25">
      <c r="A669" t="str">
        <f>"750300547"</f>
        <v>750300547</v>
      </c>
      <c r="B669" t="s">
        <v>666</v>
      </c>
      <c r="C669">
        <v>257.27999999999997</v>
      </c>
      <c r="D669" t="str">
        <f t="shared" si="23"/>
        <v>301</v>
      </c>
      <c r="E669" t="str">
        <f>"82107"</f>
        <v>82107</v>
      </c>
    </row>
    <row r="670" spans="1:5" x14ac:dyDescent="0.25">
      <c r="A670" t="str">
        <f>"750300548"</f>
        <v>750300548</v>
      </c>
      <c r="B670" t="s">
        <v>667</v>
      </c>
      <c r="C670">
        <v>433.33</v>
      </c>
      <c r="D670" t="str">
        <f>"302"</f>
        <v>302</v>
      </c>
      <c r="E670" t="str">
        <f>"81270"</f>
        <v>81270</v>
      </c>
    </row>
    <row r="671" spans="1:5" x14ac:dyDescent="0.25">
      <c r="A671" t="str">
        <f>"750300549"</f>
        <v>750300549</v>
      </c>
      <c r="B671" t="s">
        <v>668</v>
      </c>
      <c r="C671">
        <v>967.22</v>
      </c>
      <c r="D671" t="str">
        <f>"306"</f>
        <v>306</v>
      </c>
      <c r="E671" t="str">
        <f>"87631"</f>
        <v>87631</v>
      </c>
    </row>
    <row r="672" spans="1:5" x14ac:dyDescent="0.25">
      <c r="A672" t="str">
        <f>"750300550"</f>
        <v>750300550</v>
      </c>
      <c r="B672" t="s">
        <v>669</v>
      </c>
      <c r="C672">
        <v>426.2</v>
      </c>
      <c r="D672" t="str">
        <f>"306"</f>
        <v>306</v>
      </c>
      <c r="E672" t="str">
        <f>"86606"</f>
        <v>86606</v>
      </c>
    </row>
    <row r="673" spans="1:5" x14ac:dyDescent="0.25">
      <c r="A673" t="str">
        <f>"750300552"</f>
        <v>750300552</v>
      </c>
      <c r="B673" t="s">
        <v>670</v>
      </c>
      <c r="C673">
        <v>67.67</v>
      </c>
      <c r="D673" t="str">
        <f>"306"</f>
        <v>306</v>
      </c>
      <c r="E673" t="str">
        <f>"80159"</f>
        <v>80159</v>
      </c>
    </row>
    <row r="674" spans="1:5" x14ac:dyDescent="0.25">
      <c r="A674" t="str">
        <f>"750300553"</f>
        <v>750300553</v>
      </c>
      <c r="B674" t="s">
        <v>671</v>
      </c>
      <c r="C674">
        <v>207.9</v>
      </c>
      <c r="D674" t="str">
        <f>"305"</f>
        <v>305</v>
      </c>
      <c r="E674" t="str">
        <f>"81240"</f>
        <v>81240</v>
      </c>
    </row>
    <row r="675" spans="1:5" x14ac:dyDescent="0.25">
      <c r="A675" t="str">
        <f>"750300554"</f>
        <v>750300554</v>
      </c>
      <c r="B675" t="s">
        <v>672</v>
      </c>
      <c r="C675">
        <v>207.9</v>
      </c>
      <c r="D675" t="str">
        <f>"305"</f>
        <v>305</v>
      </c>
      <c r="E675" t="str">
        <f>"81241"</f>
        <v>81241</v>
      </c>
    </row>
    <row r="676" spans="1:5" x14ac:dyDescent="0.25">
      <c r="A676" t="str">
        <f>"750300555"</f>
        <v>750300555</v>
      </c>
      <c r="B676" t="s">
        <v>673</v>
      </c>
      <c r="C676">
        <v>434.27</v>
      </c>
      <c r="D676" t="str">
        <f>"305"</f>
        <v>305</v>
      </c>
      <c r="E676" t="str">
        <f>"85306"</f>
        <v>85306</v>
      </c>
    </row>
    <row r="677" spans="1:5" x14ac:dyDescent="0.25">
      <c r="A677" t="str">
        <f>"750300556"</f>
        <v>750300556</v>
      </c>
      <c r="B677" t="s">
        <v>674</v>
      </c>
      <c r="C677">
        <v>265.02999999999997</v>
      </c>
      <c r="D677" t="str">
        <f>"305"</f>
        <v>305</v>
      </c>
      <c r="E677" t="str">
        <f>"86340"</f>
        <v>86340</v>
      </c>
    </row>
    <row r="678" spans="1:5" x14ac:dyDescent="0.25">
      <c r="A678" t="str">
        <f>"750300557"</f>
        <v>750300557</v>
      </c>
      <c r="B678" t="s">
        <v>675</v>
      </c>
      <c r="C678" s="1">
        <v>1008.94</v>
      </c>
      <c r="D678" t="str">
        <f>"306"</f>
        <v>306</v>
      </c>
      <c r="E678" t="str">
        <f>"87632"</f>
        <v>87632</v>
      </c>
    </row>
    <row r="679" spans="1:5" x14ac:dyDescent="0.25">
      <c r="A679" t="str">
        <f>"750300558"</f>
        <v>750300558</v>
      </c>
      <c r="B679" t="s">
        <v>676</v>
      </c>
      <c r="C679" s="1">
        <v>1039.5</v>
      </c>
      <c r="D679" t="str">
        <f>"306"</f>
        <v>306</v>
      </c>
      <c r="E679" t="str">
        <f>"87798"</f>
        <v>87798</v>
      </c>
    </row>
    <row r="680" spans="1:5" x14ac:dyDescent="0.25">
      <c r="A680" t="str">
        <f>"750300559"</f>
        <v>750300559</v>
      </c>
      <c r="B680" t="s">
        <v>677</v>
      </c>
      <c r="C680">
        <v>51.98</v>
      </c>
      <c r="D680" t="str">
        <f>"306"</f>
        <v>306</v>
      </c>
      <c r="E680" t="str">
        <f>"86698"</f>
        <v>86698</v>
      </c>
    </row>
    <row r="681" spans="1:5" x14ac:dyDescent="0.25">
      <c r="A681" t="str">
        <f>"750300560"</f>
        <v>750300560</v>
      </c>
      <c r="B681" t="s">
        <v>678</v>
      </c>
      <c r="C681">
        <v>462</v>
      </c>
      <c r="D681" t="str">
        <f>"302"</f>
        <v>302</v>
      </c>
      <c r="E681" t="str">
        <f>"81207"</f>
        <v>81207</v>
      </c>
    </row>
    <row r="682" spans="1:5" x14ac:dyDescent="0.25">
      <c r="A682" t="str">
        <f>"750300561"</f>
        <v>750300561</v>
      </c>
      <c r="B682" t="s">
        <v>679</v>
      </c>
      <c r="C682">
        <v>57.75</v>
      </c>
      <c r="D682" t="str">
        <f>"301"</f>
        <v>301</v>
      </c>
      <c r="E682" t="str">
        <f>"82379"</f>
        <v>82379</v>
      </c>
    </row>
    <row r="683" spans="1:5" x14ac:dyDescent="0.25">
      <c r="A683" t="str">
        <f>"750300562"</f>
        <v>750300562</v>
      </c>
      <c r="B683" t="s">
        <v>680</v>
      </c>
      <c r="C683">
        <v>57.75</v>
      </c>
      <c r="D683" t="str">
        <f>"301"</f>
        <v>301</v>
      </c>
      <c r="E683" t="str">
        <f>"80201"</f>
        <v>80201</v>
      </c>
    </row>
    <row r="684" spans="1:5" x14ac:dyDescent="0.25">
      <c r="A684" t="str">
        <f>"750300563"</f>
        <v>750300563</v>
      </c>
      <c r="B684" t="s">
        <v>681</v>
      </c>
      <c r="C684">
        <v>55.44</v>
      </c>
      <c r="D684" t="str">
        <f>"306"</f>
        <v>306</v>
      </c>
      <c r="E684" t="str">
        <f>"87281"</f>
        <v>87281</v>
      </c>
    </row>
    <row r="685" spans="1:5" x14ac:dyDescent="0.25">
      <c r="A685" t="str">
        <f>"750300564"</f>
        <v>750300564</v>
      </c>
      <c r="B685" t="s">
        <v>682</v>
      </c>
      <c r="C685">
        <v>167.74</v>
      </c>
      <c r="D685" t="str">
        <f t="shared" ref="D685:D694" si="24">"301"</f>
        <v>301</v>
      </c>
      <c r="E685" t="str">
        <f t="shared" ref="E685:E692" si="25">"80306"</f>
        <v>80306</v>
      </c>
    </row>
    <row r="686" spans="1:5" x14ac:dyDescent="0.25">
      <c r="A686" t="str">
        <f>"750300565"</f>
        <v>750300565</v>
      </c>
      <c r="B686" t="s">
        <v>683</v>
      </c>
      <c r="C686">
        <v>294.52999999999997</v>
      </c>
      <c r="D686" t="str">
        <f t="shared" si="24"/>
        <v>301</v>
      </c>
      <c r="E686" t="str">
        <f t="shared" si="25"/>
        <v>80306</v>
      </c>
    </row>
    <row r="687" spans="1:5" x14ac:dyDescent="0.25">
      <c r="A687" t="str">
        <f>"750300566"</f>
        <v>750300566</v>
      </c>
      <c r="B687" t="s">
        <v>684</v>
      </c>
      <c r="C687">
        <v>294.52999999999997</v>
      </c>
      <c r="D687" t="str">
        <f t="shared" si="24"/>
        <v>301</v>
      </c>
      <c r="E687" t="str">
        <f t="shared" si="25"/>
        <v>80306</v>
      </c>
    </row>
    <row r="688" spans="1:5" x14ac:dyDescent="0.25">
      <c r="A688" t="str">
        <f>"750300567"</f>
        <v>750300567</v>
      </c>
      <c r="B688" t="s">
        <v>685</v>
      </c>
      <c r="C688">
        <v>294.52999999999997</v>
      </c>
      <c r="D688" t="str">
        <f t="shared" si="24"/>
        <v>301</v>
      </c>
      <c r="E688" t="str">
        <f t="shared" si="25"/>
        <v>80306</v>
      </c>
    </row>
    <row r="689" spans="1:5" x14ac:dyDescent="0.25">
      <c r="A689" t="str">
        <f>"750300568"</f>
        <v>750300568</v>
      </c>
      <c r="B689" t="s">
        <v>686</v>
      </c>
      <c r="C689">
        <v>294.52999999999997</v>
      </c>
      <c r="D689" t="str">
        <f t="shared" si="24"/>
        <v>301</v>
      </c>
      <c r="E689" t="str">
        <f t="shared" si="25"/>
        <v>80306</v>
      </c>
    </row>
    <row r="690" spans="1:5" x14ac:dyDescent="0.25">
      <c r="A690" t="str">
        <f>"750300569"</f>
        <v>750300569</v>
      </c>
      <c r="B690" t="s">
        <v>687</v>
      </c>
      <c r="C690">
        <v>294.52999999999997</v>
      </c>
      <c r="D690" t="str">
        <f t="shared" si="24"/>
        <v>301</v>
      </c>
      <c r="E690" t="str">
        <f t="shared" si="25"/>
        <v>80306</v>
      </c>
    </row>
    <row r="691" spans="1:5" x14ac:dyDescent="0.25">
      <c r="A691" t="str">
        <f>"750300570"</f>
        <v>750300570</v>
      </c>
      <c r="B691" t="s">
        <v>688</v>
      </c>
      <c r="C691">
        <v>167.74</v>
      </c>
      <c r="D691" t="str">
        <f t="shared" si="24"/>
        <v>301</v>
      </c>
      <c r="E691" t="str">
        <f t="shared" si="25"/>
        <v>80306</v>
      </c>
    </row>
    <row r="692" spans="1:5" x14ac:dyDescent="0.25">
      <c r="A692" t="str">
        <f>"750300571"</f>
        <v>750300571</v>
      </c>
      <c r="B692" t="s">
        <v>689</v>
      </c>
      <c r="C692">
        <v>294.52999999999997</v>
      </c>
      <c r="D692" t="str">
        <f t="shared" si="24"/>
        <v>301</v>
      </c>
      <c r="E692" t="str">
        <f t="shared" si="25"/>
        <v>80306</v>
      </c>
    </row>
    <row r="693" spans="1:5" x14ac:dyDescent="0.25">
      <c r="A693" t="str">
        <f>"750300572"</f>
        <v>750300572</v>
      </c>
      <c r="B693" t="s">
        <v>690</v>
      </c>
      <c r="C693">
        <v>107.17</v>
      </c>
      <c r="D693" t="str">
        <f t="shared" si="24"/>
        <v>301</v>
      </c>
      <c r="E693" t="str">
        <f>"84425"</f>
        <v>84425</v>
      </c>
    </row>
    <row r="694" spans="1:5" x14ac:dyDescent="0.25">
      <c r="A694" t="str">
        <f>"750300573"</f>
        <v>750300573</v>
      </c>
      <c r="B694" t="s">
        <v>691</v>
      </c>
      <c r="C694">
        <v>89.22</v>
      </c>
      <c r="D694" t="str">
        <f t="shared" si="24"/>
        <v>301</v>
      </c>
      <c r="E694" t="str">
        <f>"82232"</f>
        <v>82232</v>
      </c>
    </row>
    <row r="695" spans="1:5" x14ac:dyDescent="0.25">
      <c r="A695" t="str">
        <f>"750300574"</f>
        <v>750300574</v>
      </c>
      <c r="B695" t="s">
        <v>692</v>
      </c>
      <c r="C695">
        <v>606.38</v>
      </c>
      <c r="D695" t="str">
        <f>"306"</f>
        <v>306</v>
      </c>
      <c r="E695" t="str">
        <f>"86615"</f>
        <v>86615</v>
      </c>
    </row>
    <row r="696" spans="1:5" x14ac:dyDescent="0.25">
      <c r="A696" t="str">
        <f>"750300575"</f>
        <v>750300575</v>
      </c>
      <c r="B696" t="s">
        <v>693</v>
      </c>
      <c r="C696">
        <v>273.64</v>
      </c>
      <c r="D696" t="str">
        <f>"302"</f>
        <v>302</v>
      </c>
      <c r="E696" t="str">
        <f>"87522"</f>
        <v>87522</v>
      </c>
    </row>
    <row r="697" spans="1:5" x14ac:dyDescent="0.25">
      <c r="A697" t="str">
        <f>"750300576"</f>
        <v>750300576</v>
      </c>
      <c r="B697" t="s">
        <v>694</v>
      </c>
      <c r="C697">
        <v>781.7</v>
      </c>
      <c r="D697" t="str">
        <f>"302"</f>
        <v>302</v>
      </c>
      <c r="E697" t="str">
        <f>"87535"</f>
        <v>87535</v>
      </c>
    </row>
    <row r="698" spans="1:5" x14ac:dyDescent="0.25">
      <c r="A698" t="str">
        <f>"750300577"</f>
        <v>750300577</v>
      </c>
      <c r="B698" t="s">
        <v>695</v>
      </c>
      <c r="C698">
        <v>492.03</v>
      </c>
      <c r="D698" t="str">
        <f>"301"</f>
        <v>301</v>
      </c>
      <c r="E698" t="str">
        <f>"86337"</f>
        <v>86337</v>
      </c>
    </row>
    <row r="699" spans="1:5" x14ac:dyDescent="0.25">
      <c r="A699" t="str">
        <f>"750300578"</f>
        <v>750300578</v>
      </c>
      <c r="B699" t="s">
        <v>696</v>
      </c>
      <c r="C699">
        <v>224.19</v>
      </c>
      <c r="D699" t="str">
        <f>"306"</f>
        <v>306</v>
      </c>
      <c r="E699" t="str">
        <f>"87541"</f>
        <v>87541</v>
      </c>
    </row>
    <row r="700" spans="1:5" x14ac:dyDescent="0.25">
      <c r="A700" t="str">
        <f>"750300579"</f>
        <v>750300579</v>
      </c>
      <c r="B700" t="s">
        <v>697</v>
      </c>
      <c r="C700">
        <v>103.95</v>
      </c>
      <c r="D700" t="str">
        <f>"301"</f>
        <v>301</v>
      </c>
      <c r="E700" t="str">
        <f>"86431"</f>
        <v>86431</v>
      </c>
    </row>
    <row r="701" spans="1:5" x14ac:dyDescent="0.25">
      <c r="A701" t="str">
        <f>"750300580"</f>
        <v>750300580</v>
      </c>
      <c r="B701" t="s">
        <v>698</v>
      </c>
      <c r="C701">
        <v>538.46</v>
      </c>
      <c r="D701" t="str">
        <f>"301"</f>
        <v>301</v>
      </c>
      <c r="E701" t="str">
        <f>"84260"</f>
        <v>84260</v>
      </c>
    </row>
    <row r="702" spans="1:5" x14ac:dyDescent="0.25">
      <c r="A702" t="str">
        <f>"750300581"</f>
        <v>750300581</v>
      </c>
      <c r="B702" t="s">
        <v>699</v>
      </c>
      <c r="C702">
        <v>26.57</v>
      </c>
      <c r="D702" t="str">
        <f>"301"</f>
        <v>301</v>
      </c>
      <c r="E702" t="str">
        <f>"87077"</f>
        <v>87077</v>
      </c>
    </row>
    <row r="703" spans="1:5" x14ac:dyDescent="0.25">
      <c r="A703" t="str">
        <f>"750300582"</f>
        <v>750300582</v>
      </c>
      <c r="B703" t="s">
        <v>700</v>
      </c>
      <c r="C703">
        <v>23.1</v>
      </c>
      <c r="D703" t="str">
        <f>"306"</f>
        <v>306</v>
      </c>
      <c r="E703" t="str">
        <f>"87185"</f>
        <v>87185</v>
      </c>
    </row>
    <row r="704" spans="1:5" x14ac:dyDescent="0.25">
      <c r="A704" t="str">
        <f>"750300583"</f>
        <v>750300583</v>
      </c>
      <c r="B704" t="s">
        <v>701</v>
      </c>
      <c r="C704">
        <v>15.83</v>
      </c>
      <c r="D704" t="str">
        <f>"306"</f>
        <v>306</v>
      </c>
      <c r="E704" t="str">
        <f>"86753"</f>
        <v>86753</v>
      </c>
    </row>
    <row r="705" spans="1:5" x14ac:dyDescent="0.25">
      <c r="A705" t="str">
        <f>"750300584"</f>
        <v>750300584</v>
      </c>
      <c r="B705" t="s">
        <v>702</v>
      </c>
      <c r="C705">
        <v>21.75</v>
      </c>
      <c r="D705" t="str">
        <f>"306"</f>
        <v>306</v>
      </c>
      <c r="E705" t="str">
        <f>"86618"</f>
        <v>86618</v>
      </c>
    </row>
    <row r="706" spans="1:5" x14ac:dyDescent="0.25">
      <c r="A706" t="str">
        <f>"750300585"</f>
        <v>750300585</v>
      </c>
      <c r="B706" t="s">
        <v>703</v>
      </c>
      <c r="C706">
        <v>256.41000000000003</v>
      </c>
      <c r="D706" t="str">
        <f>"300"</f>
        <v>300</v>
      </c>
      <c r="E706" t="str">
        <f>"80197"</f>
        <v>80197</v>
      </c>
    </row>
    <row r="707" spans="1:5" x14ac:dyDescent="0.25">
      <c r="A707" t="str">
        <f>"750300586"</f>
        <v>750300586</v>
      </c>
      <c r="B707" t="s">
        <v>704</v>
      </c>
      <c r="C707">
        <v>69.3</v>
      </c>
      <c r="D707" t="str">
        <f>"300"</f>
        <v>300</v>
      </c>
      <c r="E707" t="str">
        <f>"36410"</f>
        <v>36410</v>
      </c>
    </row>
    <row r="708" spans="1:5" x14ac:dyDescent="0.25">
      <c r="A708" t="str">
        <f>"750300587"</f>
        <v>750300587</v>
      </c>
      <c r="B708" t="s">
        <v>705</v>
      </c>
      <c r="C708">
        <v>635.25</v>
      </c>
      <c r="D708" t="str">
        <f>"300"</f>
        <v>300</v>
      </c>
      <c r="E708" t="str">
        <f>"82805"</f>
        <v>82805</v>
      </c>
    </row>
    <row r="709" spans="1:5" x14ac:dyDescent="0.25">
      <c r="A709" t="str">
        <f>"750300588"</f>
        <v>750300588</v>
      </c>
      <c r="B709" t="s">
        <v>706</v>
      </c>
      <c r="C709">
        <v>125.37</v>
      </c>
      <c r="D709" t="str">
        <f>"300"</f>
        <v>300</v>
      </c>
      <c r="E709" t="str">
        <f>"82627"</f>
        <v>82627</v>
      </c>
    </row>
    <row r="710" spans="1:5" x14ac:dyDescent="0.25">
      <c r="A710" t="str">
        <f>"750300589"</f>
        <v>750300589</v>
      </c>
      <c r="B710" t="s">
        <v>707</v>
      </c>
      <c r="C710">
        <v>114.35</v>
      </c>
      <c r="D710" t="str">
        <f>"300"</f>
        <v>300</v>
      </c>
      <c r="E710" t="str">
        <f>"84681"</f>
        <v>84681</v>
      </c>
    </row>
    <row r="711" spans="1:5" x14ac:dyDescent="0.25">
      <c r="A711" t="str">
        <f>"750300590"</f>
        <v>750300590</v>
      </c>
      <c r="B711" t="s">
        <v>708</v>
      </c>
      <c r="C711">
        <v>79.7</v>
      </c>
      <c r="D711" t="str">
        <f>"306"</f>
        <v>306</v>
      </c>
      <c r="E711" t="str">
        <f>"87880"</f>
        <v>87880</v>
      </c>
    </row>
    <row r="712" spans="1:5" x14ac:dyDescent="0.25">
      <c r="A712" t="str">
        <f>"750300701"</f>
        <v>750300701</v>
      </c>
      <c r="B712" t="s">
        <v>709</v>
      </c>
      <c r="C712">
        <v>140.13999999999999</v>
      </c>
      <c r="D712" t="str">
        <f>"300"</f>
        <v>300</v>
      </c>
      <c r="E712" t="str">
        <f>"86612"</f>
        <v>86612</v>
      </c>
    </row>
    <row r="713" spans="1:5" x14ac:dyDescent="0.25">
      <c r="A713" t="str">
        <f>"750300702"</f>
        <v>750300702</v>
      </c>
      <c r="B713" t="s">
        <v>710</v>
      </c>
      <c r="C713">
        <v>111.1</v>
      </c>
      <c r="D713" t="str">
        <f>"306"</f>
        <v>306</v>
      </c>
      <c r="E713" t="str">
        <f>"87385"</f>
        <v>87385</v>
      </c>
    </row>
    <row r="714" spans="1:5" x14ac:dyDescent="0.25">
      <c r="A714" t="str">
        <f>"750300703"</f>
        <v>750300703</v>
      </c>
      <c r="B714" t="s">
        <v>711</v>
      </c>
      <c r="C714">
        <v>42.67</v>
      </c>
      <c r="D714" t="str">
        <f>"300"</f>
        <v>300</v>
      </c>
      <c r="E714" t="str">
        <f>"86376"</f>
        <v>86376</v>
      </c>
    </row>
    <row r="715" spans="1:5" x14ac:dyDescent="0.25">
      <c r="A715" t="str">
        <f>"750300704"</f>
        <v>750300704</v>
      </c>
      <c r="B715" t="s">
        <v>712</v>
      </c>
      <c r="C715">
        <v>377.3</v>
      </c>
      <c r="D715" t="str">
        <f>"301"</f>
        <v>301</v>
      </c>
      <c r="E715" t="str">
        <f>"84145"</f>
        <v>84145</v>
      </c>
    </row>
    <row r="716" spans="1:5" x14ac:dyDescent="0.25">
      <c r="A716" t="str">
        <f>"750300705"</f>
        <v>750300705</v>
      </c>
      <c r="B716" t="s">
        <v>713</v>
      </c>
      <c r="C716">
        <v>218.9</v>
      </c>
      <c r="D716" t="str">
        <f>"300"</f>
        <v>300</v>
      </c>
      <c r="E716" t="str">
        <f>"86328"</f>
        <v>86328</v>
      </c>
    </row>
    <row r="717" spans="1:5" x14ac:dyDescent="0.25">
      <c r="A717" t="str">
        <f>"750300706"</f>
        <v>750300706</v>
      </c>
      <c r="B717" t="s">
        <v>714</v>
      </c>
      <c r="C717">
        <v>218.9</v>
      </c>
      <c r="D717" t="str">
        <f>"301"</f>
        <v>301</v>
      </c>
      <c r="E717" t="str">
        <f>"83704"</f>
        <v>83704</v>
      </c>
    </row>
    <row r="718" spans="1:5" x14ac:dyDescent="0.25">
      <c r="A718" t="str">
        <f>"750301000"</f>
        <v>750301000</v>
      </c>
      <c r="B718" t="s">
        <v>715</v>
      </c>
      <c r="C718">
        <v>124.74</v>
      </c>
      <c r="D718" t="str">
        <f>"302"</f>
        <v>302</v>
      </c>
      <c r="E718" t="str">
        <f>"86709"</f>
        <v>86709</v>
      </c>
    </row>
    <row r="719" spans="1:5" x14ac:dyDescent="0.25">
      <c r="A719" t="str">
        <f>"750301001"</f>
        <v>750301001</v>
      </c>
      <c r="B719" t="s">
        <v>716</v>
      </c>
      <c r="C719">
        <v>124.74</v>
      </c>
      <c r="D719" t="str">
        <f>"302"</f>
        <v>302</v>
      </c>
      <c r="E719" t="str">
        <f>"86708"</f>
        <v>86708</v>
      </c>
    </row>
    <row r="720" spans="1:5" x14ac:dyDescent="0.25">
      <c r="A720" t="str">
        <f>"750301002"</f>
        <v>750301002</v>
      </c>
      <c r="B720" t="s">
        <v>717</v>
      </c>
      <c r="C720">
        <v>45.64</v>
      </c>
      <c r="D720" t="str">
        <f>"301"</f>
        <v>301</v>
      </c>
      <c r="E720" t="str">
        <f>"82085"</f>
        <v>82085</v>
      </c>
    </row>
    <row r="721" spans="1:5" x14ac:dyDescent="0.25">
      <c r="A721" t="str">
        <f>"750301003"</f>
        <v>750301003</v>
      </c>
      <c r="B721" t="s">
        <v>718</v>
      </c>
      <c r="C721">
        <v>124.74</v>
      </c>
      <c r="D721" t="str">
        <f>"302"</f>
        <v>302</v>
      </c>
      <c r="E721" t="str">
        <f>"86705"</f>
        <v>86705</v>
      </c>
    </row>
    <row r="722" spans="1:5" x14ac:dyDescent="0.25">
      <c r="A722" t="str">
        <f>"750301004"</f>
        <v>750301004</v>
      </c>
      <c r="B722" t="s">
        <v>719</v>
      </c>
      <c r="C722">
        <v>124.74</v>
      </c>
      <c r="D722" t="str">
        <f>"302"</f>
        <v>302</v>
      </c>
      <c r="E722" t="str">
        <f>"86704"</f>
        <v>86704</v>
      </c>
    </row>
    <row r="723" spans="1:5" x14ac:dyDescent="0.25">
      <c r="A723" t="str">
        <f>"750301005"</f>
        <v>750301005</v>
      </c>
      <c r="B723" t="s">
        <v>720</v>
      </c>
      <c r="C723">
        <v>420.44</v>
      </c>
      <c r="D723" t="str">
        <f>"302"</f>
        <v>302</v>
      </c>
      <c r="E723" t="str">
        <f>"87517"</f>
        <v>87517</v>
      </c>
    </row>
    <row r="724" spans="1:5" x14ac:dyDescent="0.25">
      <c r="A724" t="str">
        <f>"750301006"</f>
        <v>750301006</v>
      </c>
      <c r="B724" t="s">
        <v>721</v>
      </c>
      <c r="C724">
        <v>98.51</v>
      </c>
      <c r="D724" t="str">
        <f>"301"</f>
        <v>301</v>
      </c>
      <c r="E724" t="str">
        <f>"86300"</f>
        <v>86300</v>
      </c>
    </row>
    <row r="725" spans="1:5" x14ac:dyDescent="0.25">
      <c r="A725" t="str">
        <f>"750301007"</f>
        <v>750301007</v>
      </c>
      <c r="B725" t="s">
        <v>722</v>
      </c>
      <c r="C725">
        <v>98.51</v>
      </c>
      <c r="D725" t="str">
        <f>"301"</f>
        <v>301</v>
      </c>
      <c r="E725" t="str">
        <f>"86300"</f>
        <v>86300</v>
      </c>
    </row>
    <row r="726" spans="1:5" x14ac:dyDescent="0.25">
      <c r="A726" t="str">
        <f>"750301008"</f>
        <v>750301008</v>
      </c>
      <c r="B726" t="s">
        <v>723</v>
      </c>
      <c r="C726">
        <v>470.18</v>
      </c>
      <c r="D726" t="str">
        <f>"301"</f>
        <v>301</v>
      </c>
      <c r="E726" t="str">
        <f>"82308"</f>
        <v>82308</v>
      </c>
    </row>
    <row r="727" spans="1:5" x14ac:dyDescent="0.25">
      <c r="A727" t="str">
        <f>"750301009"</f>
        <v>750301009</v>
      </c>
      <c r="B727" t="s">
        <v>724</v>
      </c>
      <c r="C727">
        <v>106.26</v>
      </c>
      <c r="D727" t="str">
        <f>"250"</f>
        <v>250</v>
      </c>
      <c r="E727" t="str">
        <f>"86147"</f>
        <v>86147</v>
      </c>
    </row>
    <row r="728" spans="1:5" x14ac:dyDescent="0.25">
      <c r="A728" t="str">
        <f>"750301010"</f>
        <v>750301010</v>
      </c>
      <c r="B728" t="s">
        <v>725</v>
      </c>
      <c r="C728">
        <v>106.26</v>
      </c>
      <c r="D728" t="str">
        <f>"250"</f>
        <v>250</v>
      </c>
      <c r="E728" t="str">
        <f>"86147"</f>
        <v>86147</v>
      </c>
    </row>
    <row r="729" spans="1:5" x14ac:dyDescent="0.25">
      <c r="A729" t="str">
        <f>"750301011"</f>
        <v>750301011</v>
      </c>
      <c r="B729" t="s">
        <v>726</v>
      </c>
      <c r="C729">
        <v>106.26</v>
      </c>
      <c r="D729" t="str">
        <f>"250"</f>
        <v>250</v>
      </c>
      <c r="E729" t="str">
        <f>"86147"</f>
        <v>86147</v>
      </c>
    </row>
    <row r="730" spans="1:5" x14ac:dyDescent="0.25">
      <c r="A730" t="str">
        <f>"750301012"</f>
        <v>750301012</v>
      </c>
      <c r="B730" t="s">
        <v>727</v>
      </c>
      <c r="C730">
        <v>189.88</v>
      </c>
      <c r="D730" t="str">
        <f>"302"</f>
        <v>302</v>
      </c>
      <c r="E730" t="str">
        <f>"86804"</f>
        <v>86804</v>
      </c>
    </row>
    <row r="731" spans="1:5" x14ac:dyDescent="0.25">
      <c r="A731" t="str">
        <f>"750301013"</f>
        <v>750301013</v>
      </c>
      <c r="B731" t="s">
        <v>728</v>
      </c>
      <c r="C731">
        <v>124.74</v>
      </c>
      <c r="D731" t="str">
        <f>"302"</f>
        <v>302</v>
      </c>
      <c r="E731" t="str">
        <f>"86803"</f>
        <v>86803</v>
      </c>
    </row>
    <row r="732" spans="1:5" x14ac:dyDescent="0.25">
      <c r="A732" t="str">
        <f>"750301014"</f>
        <v>750301014</v>
      </c>
      <c r="B732" t="s">
        <v>729</v>
      </c>
      <c r="C732">
        <v>353.43</v>
      </c>
      <c r="D732" t="str">
        <f>"306"</f>
        <v>306</v>
      </c>
      <c r="E732" t="str">
        <f>"87521"</f>
        <v>87521</v>
      </c>
    </row>
    <row r="733" spans="1:5" x14ac:dyDescent="0.25">
      <c r="A733" t="str">
        <f>"750301015"</f>
        <v>750301015</v>
      </c>
      <c r="B733" t="s">
        <v>730</v>
      </c>
      <c r="C733">
        <v>420.44</v>
      </c>
      <c r="D733" t="str">
        <f>"306"</f>
        <v>306</v>
      </c>
      <c r="E733" t="str">
        <f>"87522"</f>
        <v>87522</v>
      </c>
    </row>
    <row r="734" spans="1:5" x14ac:dyDescent="0.25">
      <c r="A734" t="str">
        <f>"750301016"</f>
        <v>750301016</v>
      </c>
      <c r="B734" t="s">
        <v>731</v>
      </c>
      <c r="C734">
        <v>157.72999999999999</v>
      </c>
      <c r="D734" t="str">
        <f>"301"</f>
        <v>301</v>
      </c>
      <c r="E734" t="str">
        <f>"86148"</f>
        <v>86148</v>
      </c>
    </row>
    <row r="735" spans="1:5" x14ac:dyDescent="0.25">
      <c r="A735" t="str">
        <f>"750301017"</f>
        <v>750301017</v>
      </c>
      <c r="B735" t="s">
        <v>732</v>
      </c>
      <c r="C735">
        <v>166.32</v>
      </c>
      <c r="D735" t="str">
        <f>"301"</f>
        <v>301</v>
      </c>
      <c r="E735" t="str">
        <f>"86146"</f>
        <v>86146</v>
      </c>
    </row>
    <row r="736" spans="1:5" x14ac:dyDescent="0.25">
      <c r="A736" t="str">
        <f>"750301018"</f>
        <v>750301018</v>
      </c>
      <c r="B736" t="s">
        <v>732</v>
      </c>
      <c r="C736">
        <v>166.32</v>
      </c>
      <c r="D736" t="str">
        <f>"301"</f>
        <v>301</v>
      </c>
      <c r="E736" t="str">
        <f>"86146"</f>
        <v>86146</v>
      </c>
    </row>
    <row r="737" spans="1:5" x14ac:dyDescent="0.25">
      <c r="A737" t="str">
        <f>"750301019"</f>
        <v>750301019</v>
      </c>
      <c r="B737" t="s">
        <v>732</v>
      </c>
      <c r="C737">
        <v>166.32</v>
      </c>
      <c r="D737" t="str">
        <f>"301"</f>
        <v>301</v>
      </c>
      <c r="E737" t="str">
        <f>"86146"</f>
        <v>86146</v>
      </c>
    </row>
    <row r="738" spans="1:5" x14ac:dyDescent="0.25">
      <c r="A738" t="str">
        <f>"750301020"</f>
        <v>750301020</v>
      </c>
      <c r="B738" t="s">
        <v>733</v>
      </c>
      <c r="C738">
        <v>272.89999999999998</v>
      </c>
      <c r="D738" t="str">
        <f>"301"</f>
        <v>301</v>
      </c>
      <c r="E738" t="str">
        <f>"82507"</f>
        <v>82507</v>
      </c>
    </row>
    <row r="739" spans="1:5" x14ac:dyDescent="0.25">
      <c r="A739" t="str">
        <f>"750301021"</f>
        <v>750301021</v>
      </c>
      <c r="B739" t="s">
        <v>734</v>
      </c>
      <c r="C739">
        <v>437.98</v>
      </c>
      <c r="D739" t="str">
        <f>"306"</f>
        <v>306</v>
      </c>
      <c r="E739" t="str">
        <f>"87530"</f>
        <v>87530</v>
      </c>
    </row>
    <row r="740" spans="1:5" x14ac:dyDescent="0.25">
      <c r="A740" t="str">
        <f>"750301022"</f>
        <v>750301022</v>
      </c>
      <c r="B740" t="s">
        <v>735</v>
      </c>
      <c r="C740">
        <v>311.85000000000002</v>
      </c>
      <c r="D740" t="str">
        <f>"301"</f>
        <v>301</v>
      </c>
      <c r="E740" t="str">
        <f>"86200"</f>
        <v>86200</v>
      </c>
    </row>
    <row r="741" spans="1:5" x14ac:dyDescent="0.25">
      <c r="A741" t="str">
        <f>"750301023"</f>
        <v>750301023</v>
      </c>
      <c r="B741" t="s">
        <v>736</v>
      </c>
      <c r="C741">
        <v>89.54</v>
      </c>
      <c r="D741" t="str">
        <f>"301"</f>
        <v>301</v>
      </c>
      <c r="E741" t="str">
        <f>"86635"</f>
        <v>86635</v>
      </c>
    </row>
    <row r="742" spans="1:5" x14ac:dyDescent="0.25">
      <c r="A742" t="str">
        <f>"750301024"</f>
        <v>750301024</v>
      </c>
      <c r="B742" t="s">
        <v>737</v>
      </c>
      <c r="C742">
        <v>87.18</v>
      </c>
      <c r="D742" t="str">
        <f>"302"</f>
        <v>302</v>
      </c>
      <c r="E742" t="str">
        <f>"86701"</f>
        <v>86701</v>
      </c>
    </row>
    <row r="743" spans="1:5" x14ac:dyDescent="0.25">
      <c r="A743" t="str">
        <f>"750301025"</f>
        <v>750301025</v>
      </c>
      <c r="B743" t="s">
        <v>738</v>
      </c>
      <c r="C743">
        <v>96.47</v>
      </c>
      <c r="D743" t="str">
        <f>"301"</f>
        <v>301</v>
      </c>
      <c r="E743" t="str">
        <f>"86403"</f>
        <v>86403</v>
      </c>
    </row>
    <row r="744" spans="1:5" x14ac:dyDescent="0.25">
      <c r="A744" t="str">
        <f>"750301026"</f>
        <v>750301026</v>
      </c>
      <c r="B744" t="s">
        <v>739</v>
      </c>
      <c r="C744">
        <v>346.5</v>
      </c>
      <c r="D744" t="str">
        <f>"301"</f>
        <v>301</v>
      </c>
      <c r="E744" t="str">
        <f>"86790"</f>
        <v>86790</v>
      </c>
    </row>
    <row r="745" spans="1:5" x14ac:dyDescent="0.25">
      <c r="A745" t="str">
        <f>"750301027"</f>
        <v>750301027</v>
      </c>
      <c r="B745" t="s">
        <v>740</v>
      </c>
      <c r="C745">
        <v>164.76</v>
      </c>
      <c r="D745" t="str">
        <f>"250"</f>
        <v>250</v>
      </c>
      <c r="E745" t="str">
        <f>"82384"</f>
        <v>82384</v>
      </c>
    </row>
    <row r="746" spans="1:5" x14ac:dyDescent="0.25">
      <c r="A746" t="str">
        <f>"750301028"</f>
        <v>750301028</v>
      </c>
      <c r="B746" t="s">
        <v>740</v>
      </c>
      <c r="C746">
        <v>164.76</v>
      </c>
      <c r="D746" t="str">
        <f>"250"</f>
        <v>250</v>
      </c>
      <c r="E746" t="str">
        <f>"82384"</f>
        <v>82384</v>
      </c>
    </row>
    <row r="747" spans="1:5" x14ac:dyDescent="0.25">
      <c r="A747" t="str">
        <f>"750301029"</f>
        <v>750301029</v>
      </c>
      <c r="B747" t="s">
        <v>741</v>
      </c>
      <c r="C747">
        <v>353.43</v>
      </c>
      <c r="D747" t="str">
        <f t="shared" ref="D747:D752" si="26">"301"</f>
        <v>301</v>
      </c>
      <c r="E747" t="str">
        <f>"86316"</f>
        <v>86316</v>
      </c>
    </row>
    <row r="748" spans="1:5" x14ac:dyDescent="0.25">
      <c r="A748" t="str">
        <f>"750301030"</f>
        <v>750301030</v>
      </c>
      <c r="B748" t="s">
        <v>742</v>
      </c>
      <c r="C748">
        <v>138.6</v>
      </c>
      <c r="D748" t="str">
        <f t="shared" si="26"/>
        <v>301</v>
      </c>
      <c r="E748" t="str">
        <f>"85362"</f>
        <v>85362</v>
      </c>
    </row>
    <row r="749" spans="1:5" x14ac:dyDescent="0.25">
      <c r="A749" t="str">
        <f>"750301031"</f>
        <v>750301031</v>
      </c>
      <c r="B749" t="s">
        <v>743</v>
      </c>
      <c r="C749">
        <v>164.52</v>
      </c>
      <c r="D749" t="str">
        <f t="shared" si="26"/>
        <v>301</v>
      </c>
      <c r="E749" t="str">
        <f>"83904"</f>
        <v>83904</v>
      </c>
    </row>
    <row r="750" spans="1:5" x14ac:dyDescent="0.25">
      <c r="A750" t="str">
        <f>"750301032"</f>
        <v>750301032</v>
      </c>
      <c r="B750" t="s">
        <v>744</v>
      </c>
      <c r="C750">
        <v>132.63999999999999</v>
      </c>
      <c r="D750" t="str">
        <f t="shared" si="26"/>
        <v>301</v>
      </c>
      <c r="E750" t="str">
        <f>"83519"</f>
        <v>83519</v>
      </c>
    </row>
    <row r="751" spans="1:5" x14ac:dyDescent="0.25">
      <c r="A751" t="str">
        <f>"750301033"</f>
        <v>750301033</v>
      </c>
      <c r="B751" t="s">
        <v>745</v>
      </c>
      <c r="C751">
        <v>119.99</v>
      </c>
      <c r="D751" t="str">
        <f t="shared" si="26"/>
        <v>301</v>
      </c>
      <c r="E751" t="str">
        <f>"84244"</f>
        <v>84244</v>
      </c>
    </row>
    <row r="752" spans="1:5" x14ac:dyDescent="0.25">
      <c r="A752" t="str">
        <f>"750301034"</f>
        <v>750301034</v>
      </c>
      <c r="B752" t="s">
        <v>746</v>
      </c>
      <c r="C752">
        <v>39.36</v>
      </c>
      <c r="D752" t="str">
        <f t="shared" si="26"/>
        <v>301</v>
      </c>
      <c r="E752" t="str">
        <f>"83891"</f>
        <v>83891</v>
      </c>
    </row>
    <row r="753" spans="1:5" x14ac:dyDescent="0.25">
      <c r="A753" t="str">
        <f>"750301037"</f>
        <v>750301037</v>
      </c>
      <c r="B753" t="s">
        <v>747</v>
      </c>
      <c r="C753">
        <v>84.55</v>
      </c>
      <c r="D753" t="str">
        <f>"302"</f>
        <v>302</v>
      </c>
      <c r="E753" t="str">
        <f>"86787"</f>
        <v>86787</v>
      </c>
    </row>
    <row r="754" spans="1:5" x14ac:dyDescent="0.25">
      <c r="A754" t="str">
        <f>"750301039"</f>
        <v>750301039</v>
      </c>
      <c r="B754" t="s">
        <v>748</v>
      </c>
      <c r="C754">
        <v>138.6</v>
      </c>
      <c r="D754" t="str">
        <f>"302"</f>
        <v>302</v>
      </c>
      <c r="E754" t="str">
        <f>"86592"</f>
        <v>86592</v>
      </c>
    </row>
    <row r="755" spans="1:5" x14ac:dyDescent="0.25">
      <c r="A755" t="str">
        <f>"750301062"</f>
        <v>750301062</v>
      </c>
      <c r="B755" t="s">
        <v>749</v>
      </c>
      <c r="C755">
        <v>135.83000000000001</v>
      </c>
      <c r="D755" t="str">
        <f>"306"</f>
        <v>306</v>
      </c>
      <c r="E755" t="str">
        <f>"87491"</f>
        <v>87491</v>
      </c>
    </row>
    <row r="756" spans="1:5" x14ac:dyDescent="0.25">
      <c r="A756" t="str">
        <f>"750301070"</f>
        <v>750301070</v>
      </c>
      <c r="B756" t="s">
        <v>750</v>
      </c>
      <c r="C756">
        <v>277.2</v>
      </c>
      <c r="D756" t="str">
        <f>"302"</f>
        <v>302</v>
      </c>
      <c r="E756" t="str">
        <f>"86644"</f>
        <v>86644</v>
      </c>
    </row>
    <row r="757" spans="1:5" x14ac:dyDescent="0.25">
      <c r="A757" t="str">
        <f>"750301080"</f>
        <v>750301080</v>
      </c>
      <c r="B757" t="s">
        <v>751</v>
      </c>
      <c r="C757">
        <v>67.91</v>
      </c>
      <c r="D757" t="str">
        <f>"302"</f>
        <v>302</v>
      </c>
      <c r="E757" t="str">
        <f>"86665"</f>
        <v>86665</v>
      </c>
    </row>
    <row r="758" spans="1:5" x14ac:dyDescent="0.25">
      <c r="A758" t="str">
        <f>"750301083"</f>
        <v>750301083</v>
      </c>
      <c r="B758" t="s">
        <v>752</v>
      </c>
      <c r="C758">
        <v>135.83000000000001</v>
      </c>
      <c r="D758" t="str">
        <f>"302"</f>
        <v>302</v>
      </c>
      <c r="E758" t="str">
        <f>"86677"</f>
        <v>86677</v>
      </c>
    </row>
    <row r="759" spans="1:5" x14ac:dyDescent="0.25">
      <c r="A759" t="str">
        <f>"750301084"</f>
        <v>750301084</v>
      </c>
      <c r="B759" t="s">
        <v>753</v>
      </c>
      <c r="C759">
        <v>135.83000000000001</v>
      </c>
      <c r="D759" t="str">
        <f>"302"</f>
        <v>302</v>
      </c>
      <c r="E759" t="str">
        <f>"86677"</f>
        <v>86677</v>
      </c>
    </row>
    <row r="760" spans="1:5" x14ac:dyDescent="0.25">
      <c r="A760" t="str">
        <f>"750301096"</f>
        <v>750301096</v>
      </c>
      <c r="B760" t="s">
        <v>754</v>
      </c>
      <c r="C760">
        <v>138.6</v>
      </c>
      <c r="D760" t="str">
        <f>"302"</f>
        <v>302</v>
      </c>
      <c r="E760" t="str">
        <f>"86780"</f>
        <v>86780</v>
      </c>
    </row>
    <row r="761" spans="1:5" x14ac:dyDescent="0.25">
      <c r="A761" t="str">
        <f>"750301119"</f>
        <v>750301119</v>
      </c>
      <c r="B761" t="s">
        <v>755</v>
      </c>
      <c r="C761">
        <v>72.069999999999993</v>
      </c>
      <c r="D761" t="str">
        <f>"271"</f>
        <v>271</v>
      </c>
      <c r="E761" t="str">
        <f>"80329"</f>
        <v>80329</v>
      </c>
    </row>
    <row r="762" spans="1:5" x14ac:dyDescent="0.25">
      <c r="A762" t="str">
        <f>"750301120"</f>
        <v>750301120</v>
      </c>
      <c r="B762" t="s">
        <v>756</v>
      </c>
      <c r="C762">
        <v>60.06</v>
      </c>
      <c r="D762" t="str">
        <f>"301"</f>
        <v>301</v>
      </c>
      <c r="E762" t="str">
        <f>"80320"</f>
        <v>80320</v>
      </c>
    </row>
    <row r="763" spans="1:5" x14ac:dyDescent="0.25">
      <c r="A763" t="str">
        <f>"750301121"</f>
        <v>750301121</v>
      </c>
      <c r="B763" t="s">
        <v>757</v>
      </c>
      <c r="C763">
        <v>339.04</v>
      </c>
      <c r="D763" t="str">
        <f t="shared" ref="D763:D774" si="27">"300"</f>
        <v>300</v>
      </c>
      <c r="E763" t="str">
        <f>"80150"</f>
        <v>80150</v>
      </c>
    </row>
    <row r="764" spans="1:5" x14ac:dyDescent="0.25">
      <c r="A764" t="str">
        <f>"750301123"</f>
        <v>750301123</v>
      </c>
      <c r="B764" t="s">
        <v>758</v>
      </c>
      <c r="C764">
        <v>92.86</v>
      </c>
      <c r="D764" t="str">
        <f t="shared" si="27"/>
        <v>300</v>
      </c>
      <c r="E764" t="str">
        <f>"80301"</f>
        <v>80301</v>
      </c>
    </row>
    <row r="765" spans="1:5" x14ac:dyDescent="0.25">
      <c r="A765" t="str">
        <f>"750301124"</f>
        <v>750301124</v>
      </c>
      <c r="B765" t="s">
        <v>759</v>
      </c>
      <c r="C765">
        <v>81.77</v>
      </c>
      <c r="D765" t="str">
        <f t="shared" si="27"/>
        <v>300</v>
      </c>
      <c r="E765" t="str">
        <f>"80301"</f>
        <v>80301</v>
      </c>
    </row>
    <row r="766" spans="1:5" x14ac:dyDescent="0.25">
      <c r="A766" t="str">
        <f>"750301125"</f>
        <v>750301125</v>
      </c>
      <c r="B766" t="s">
        <v>760</v>
      </c>
      <c r="C766">
        <v>155.93</v>
      </c>
      <c r="D766" t="str">
        <f t="shared" si="27"/>
        <v>300</v>
      </c>
      <c r="E766" t="str">
        <f>"80156"</f>
        <v>80156</v>
      </c>
    </row>
    <row r="767" spans="1:5" x14ac:dyDescent="0.25">
      <c r="A767" t="str">
        <f>"750301130"</f>
        <v>750301130</v>
      </c>
      <c r="B767" t="s">
        <v>761</v>
      </c>
      <c r="C767">
        <v>196.35</v>
      </c>
      <c r="D767" t="str">
        <f t="shared" si="27"/>
        <v>300</v>
      </c>
      <c r="E767" t="str">
        <f>"80162"</f>
        <v>80162</v>
      </c>
    </row>
    <row r="768" spans="1:5" x14ac:dyDescent="0.25">
      <c r="A768" t="str">
        <f>"750301132"</f>
        <v>750301132</v>
      </c>
      <c r="B768" t="s">
        <v>762</v>
      </c>
      <c r="C768">
        <v>269.12</v>
      </c>
      <c r="D768" t="str">
        <f t="shared" si="27"/>
        <v>300</v>
      </c>
      <c r="E768" t="str">
        <f>"80301"</f>
        <v>80301</v>
      </c>
    </row>
    <row r="769" spans="1:5" x14ac:dyDescent="0.25">
      <c r="A769" t="str">
        <f>"750301136"</f>
        <v>750301136</v>
      </c>
      <c r="B769" t="s">
        <v>763</v>
      </c>
      <c r="C769">
        <v>196.35</v>
      </c>
      <c r="D769" t="str">
        <f t="shared" si="27"/>
        <v>300</v>
      </c>
      <c r="E769" t="str">
        <f>"80170"</f>
        <v>80170</v>
      </c>
    </row>
    <row r="770" spans="1:5" x14ac:dyDescent="0.25">
      <c r="A770" t="str">
        <f>"750301140"</f>
        <v>750301140</v>
      </c>
      <c r="B770" t="s">
        <v>764</v>
      </c>
      <c r="C770">
        <v>155.93</v>
      </c>
      <c r="D770" t="str">
        <f t="shared" si="27"/>
        <v>300</v>
      </c>
      <c r="E770" t="str">
        <f>"80184"</f>
        <v>80184</v>
      </c>
    </row>
    <row r="771" spans="1:5" x14ac:dyDescent="0.25">
      <c r="A771" t="str">
        <f>"750301142"</f>
        <v>750301142</v>
      </c>
      <c r="B771" t="s">
        <v>765</v>
      </c>
      <c r="C771">
        <v>155.93</v>
      </c>
      <c r="D771" t="str">
        <f t="shared" si="27"/>
        <v>300</v>
      </c>
      <c r="E771" t="str">
        <f>"80185"</f>
        <v>80185</v>
      </c>
    </row>
    <row r="772" spans="1:5" x14ac:dyDescent="0.25">
      <c r="A772" t="str">
        <f>"750301147"</f>
        <v>750301147</v>
      </c>
      <c r="B772" t="s">
        <v>766</v>
      </c>
      <c r="C772">
        <v>196.35</v>
      </c>
      <c r="D772" t="str">
        <f t="shared" si="27"/>
        <v>300</v>
      </c>
      <c r="E772" t="str">
        <f>"80198"</f>
        <v>80198</v>
      </c>
    </row>
    <row r="773" spans="1:5" x14ac:dyDescent="0.25">
      <c r="A773" t="str">
        <f>"750301149"</f>
        <v>750301149</v>
      </c>
      <c r="B773" t="s">
        <v>767</v>
      </c>
      <c r="C773">
        <v>103.95</v>
      </c>
      <c r="D773" t="str">
        <f t="shared" si="27"/>
        <v>300</v>
      </c>
      <c r="E773" t="str">
        <f>"80329"</f>
        <v>80329</v>
      </c>
    </row>
    <row r="774" spans="1:5" x14ac:dyDescent="0.25">
      <c r="A774" t="str">
        <f>"750301150"</f>
        <v>750301150</v>
      </c>
      <c r="B774" t="s">
        <v>768</v>
      </c>
      <c r="C774">
        <v>196.35</v>
      </c>
      <c r="D774" t="str">
        <f t="shared" si="27"/>
        <v>300</v>
      </c>
      <c r="E774" t="str">
        <f>"80164"</f>
        <v>80164</v>
      </c>
    </row>
    <row r="775" spans="1:5" x14ac:dyDescent="0.25">
      <c r="A775" t="str">
        <f>"750301158"</f>
        <v>750301158</v>
      </c>
      <c r="B775" t="s">
        <v>769</v>
      </c>
      <c r="C775">
        <v>217.6</v>
      </c>
      <c r="D775" t="str">
        <f>"272"</f>
        <v>272</v>
      </c>
      <c r="E775" t="str">
        <f>"82024"</f>
        <v>82024</v>
      </c>
    </row>
    <row r="776" spans="1:5" x14ac:dyDescent="0.25">
      <c r="A776" t="str">
        <f>"750301159"</f>
        <v>750301159</v>
      </c>
      <c r="B776" t="s">
        <v>770</v>
      </c>
      <c r="C776">
        <v>205.13</v>
      </c>
      <c r="D776" t="str">
        <f t="shared" ref="D776:D799" si="28">"301"</f>
        <v>301</v>
      </c>
      <c r="E776" t="str">
        <f>"82088"</f>
        <v>82088</v>
      </c>
    </row>
    <row r="777" spans="1:5" x14ac:dyDescent="0.25">
      <c r="A777" t="str">
        <f>"750301164"</f>
        <v>750301164</v>
      </c>
      <c r="B777" t="s">
        <v>771</v>
      </c>
      <c r="C777">
        <v>114.35</v>
      </c>
      <c r="D777" t="str">
        <f t="shared" si="28"/>
        <v>301</v>
      </c>
      <c r="E777" t="str">
        <f>"82507"</f>
        <v>82507</v>
      </c>
    </row>
    <row r="778" spans="1:5" x14ac:dyDescent="0.25">
      <c r="A778" t="str">
        <f>"750301165"</f>
        <v>750301165</v>
      </c>
      <c r="B778" t="s">
        <v>772</v>
      </c>
      <c r="C778">
        <v>187.11</v>
      </c>
      <c r="D778" t="str">
        <f t="shared" si="28"/>
        <v>301</v>
      </c>
      <c r="E778" t="str">
        <f>"82570"</f>
        <v>82570</v>
      </c>
    </row>
    <row r="779" spans="1:5" x14ac:dyDescent="0.25">
      <c r="A779" t="str">
        <f>"750301167"</f>
        <v>750301167</v>
      </c>
      <c r="B779" t="s">
        <v>773</v>
      </c>
      <c r="C779">
        <v>196.35</v>
      </c>
      <c r="D779" t="str">
        <f t="shared" si="28"/>
        <v>301</v>
      </c>
      <c r="E779" t="str">
        <f>"82533"</f>
        <v>82533</v>
      </c>
    </row>
    <row r="780" spans="1:5" x14ac:dyDescent="0.25">
      <c r="A780" t="str">
        <f>"750301173"</f>
        <v>750301173</v>
      </c>
      <c r="B780" t="s">
        <v>774</v>
      </c>
      <c r="C780">
        <v>145.53</v>
      </c>
      <c r="D780" t="str">
        <f t="shared" si="28"/>
        <v>301</v>
      </c>
      <c r="E780" t="str">
        <f>"82668"</f>
        <v>82668</v>
      </c>
    </row>
    <row r="781" spans="1:5" x14ac:dyDescent="0.25">
      <c r="A781" t="str">
        <f>"750301178"</f>
        <v>750301178</v>
      </c>
      <c r="B781" t="s">
        <v>775</v>
      </c>
      <c r="C781">
        <v>155.93</v>
      </c>
      <c r="D781" t="str">
        <f t="shared" si="28"/>
        <v>301</v>
      </c>
      <c r="E781" t="str">
        <f>"82728"</f>
        <v>82728</v>
      </c>
    </row>
    <row r="782" spans="1:5" x14ac:dyDescent="0.25">
      <c r="A782" t="str">
        <f>"750301179"</f>
        <v>750301179</v>
      </c>
      <c r="B782" t="s">
        <v>776</v>
      </c>
      <c r="C782">
        <v>196.35</v>
      </c>
      <c r="D782" t="str">
        <f t="shared" si="28"/>
        <v>301</v>
      </c>
      <c r="E782" t="str">
        <f>"82746"</f>
        <v>82746</v>
      </c>
    </row>
    <row r="783" spans="1:5" x14ac:dyDescent="0.25">
      <c r="A783" t="str">
        <f>"750301180"</f>
        <v>750301180</v>
      </c>
      <c r="B783" t="s">
        <v>777</v>
      </c>
      <c r="C783">
        <v>196.35</v>
      </c>
      <c r="D783" t="str">
        <f t="shared" si="28"/>
        <v>301</v>
      </c>
      <c r="E783" t="str">
        <f>"82607"</f>
        <v>82607</v>
      </c>
    </row>
    <row r="784" spans="1:5" x14ac:dyDescent="0.25">
      <c r="A784" t="str">
        <f>"750301182"</f>
        <v>750301182</v>
      </c>
      <c r="B784" t="s">
        <v>778</v>
      </c>
      <c r="C784">
        <v>81.77</v>
      </c>
      <c r="D784" t="str">
        <f t="shared" si="28"/>
        <v>301</v>
      </c>
      <c r="E784" t="str">
        <f>"83001"</f>
        <v>83001</v>
      </c>
    </row>
    <row r="785" spans="1:5" x14ac:dyDescent="0.25">
      <c r="A785" t="str">
        <f>"750301184"</f>
        <v>750301184</v>
      </c>
      <c r="B785" t="s">
        <v>779</v>
      </c>
      <c r="C785">
        <v>126.13</v>
      </c>
      <c r="D785" t="str">
        <f t="shared" si="28"/>
        <v>301</v>
      </c>
      <c r="E785" t="str">
        <f>"82943"</f>
        <v>82943</v>
      </c>
    </row>
    <row r="786" spans="1:5" x14ac:dyDescent="0.25">
      <c r="A786" t="str">
        <f>"750301185"</f>
        <v>750301185</v>
      </c>
      <c r="B786" t="s">
        <v>780</v>
      </c>
      <c r="C786">
        <v>363.83</v>
      </c>
      <c r="D786" t="str">
        <f t="shared" si="28"/>
        <v>301</v>
      </c>
      <c r="E786" t="str">
        <f>"82955"</f>
        <v>82955</v>
      </c>
    </row>
    <row r="787" spans="1:5" x14ac:dyDescent="0.25">
      <c r="A787" t="str">
        <f>"750301193"</f>
        <v>750301193</v>
      </c>
      <c r="B787" t="s">
        <v>781</v>
      </c>
      <c r="C787">
        <v>99.79</v>
      </c>
      <c r="D787" t="str">
        <f t="shared" si="28"/>
        <v>301</v>
      </c>
      <c r="E787" t="str">
        <f>"83525"</f>
        <v>83525</v>
      </c>
    </row>
    <row r="788" spans="1:5" x14ac:dyDescent="0.25">
      <c r="A788" t="str">
        <f>"750301202"</f>
        <v>750301202</v>
      </c>
      <c r="B788" t="s">
        <v>782</v>
      </c>
      <c r="C788">
        <v>81.77</v>
      </c>
      <c r="D788" t="str">
        <f t="shared" si="28"/>
        <v>301</v>
      </c>
      <c r="E788" t="str">
        <f>"83002"</f>
        <v>83002</v>
      </c>
    </row>
    <row r="789" spans="1:5" x14ac:dyDescent="0.25">
      <c r="A789" t="str">
        <f>"750301208"</f>
        <v>750301208</v>
      </c>
      <c r="B789" t="s">
        <v>783</v>
      </c>
      <c r="C789">
        <v>99.79</v>
      </c>
      <c r="D789" t="str">
        <f t="shared" si="28"/>
        <v>301</v>
      </c>
      <c r="E789" t="str">
        <f>"84146"</f>
        <v>84146</v>
      </c>
    </row>
    <row r="790" spans="1:5" x14ac:dyDescent="0.25">
      <c r="A790" t="str">
        <f>"750301215"</f>
        <v>750301215</v>
      </c>
      <c r="B790" t="s">
        <v>784</v>
      </c>
      <c r="C790">
        <v>135.83000000000001</v>
      </c>
      <c r="D790" t="str">
        <f t="shared" si="28"/>
        <v>301</v>
      </c>
      <c r="E790" t="str">
        <f>"84403"</f>
        <v>84403</v>
      </c>
    </row>
    <row r="791" spans="1:5" x14ac:dyDescent="0.25">
      <c r="A791" t="str">
        <f>"750301216"</f>
        <v>750301216</v>
      </c>
      <c r="B791" t="s">
        <v>785</v>
      </c>
      <c r="C791">
        <v>145.53</v>
      </c>
      <c r="D791" t="str">
        <f t="shared" si="28"/>
        <v>301</v>
      </c>
      <c r="E791" t="str">
        <f>"84402"</f>
        <v>84402</v>
      </c>
    </row>
    <row r="792" spans="1:5" x14ac:dyDescent="0.25">
      <c r="A792" t="str">
        <f>"750301220"</f>
        <v>750301220</v>
      </c>
      <c r="B792" t="s">
        <v>786</v>
      </c>
      <c r="C792">
        <v>155.93</v>
      </c>
      <c r="D792" t="str">
        <f t="shared" si="28"/>
        <v>301</v>
      </c>
      <c r="E792" t="str">
        <f>"84443"</f>
        <v>84443</v>
      </c>
    </row>
    <row r="793" spans="1:5" x14ac:dyDescent="0.25">
      <c r="A793" t="str">
        <f>"750301221"</f>
        <v>750301221</v>
      </c>
      <c r="B793" t="s">
        <v>787</v>
      </c>
      <c r="C793">
        <v>124.74</v>
      </c>
      <c r="D793" t="str">
        <f t="shared" si="28"/>
        <v>301</v>
      </c>
      <c r="E793" t="str">
        <f>"84436"</f>
        <v>84436</v>
      </c>
    </row>
    <row r="794" spans="1:5" x14ac:dyDescent="0.25">
      <c r="A794" t="str">
        <f>"750301222"</f>
        <v>750301222</v>
      </c>
      <c r="B794" t="s">
        <v>788</v>
      </c>
      <c r="C794">
        <v>155.93</v>
      </c>
      <c r="D794" t="str">
        <f t="shared" si="28"/>
        <v>301</v>
      </c>
      <c r="E794" t="str">
        <f>"84439"</f>
        <v>84439</v>
      </c>
    </row>
    <row r="795" spans="1:5" x14ac:dyDescent="0.25">
      <c r="A795" t="str">
        <f>"750301223"</f>
        <v>750301223</v>
      </c>
      <c r="B795" t="s">
        <v>789</v>
      </c>
      <c r="C795">
        <v>155.93</v>
      </c>
      <c r="D795" t="str">
        <f t="shared" si="28"/>
        <v>301</v>
      </c>
      <c r="E795" t="str">
        <f>"84480"</f>
        <v>84480</v>
      </c>
    </row>
    <row r="796" spans="1:5" x14ac:dyDescent="0.25">
      <c r="A796" t="str">
        <f>"750301224"</f>
        <v>750301224</v>
      </c>
      <c r="B796" t="s">
        <v>790</v>
      </c>
      <c r="C796">
        <v>155.93</v>
      </c>
      <c r="D796" t="str">
        <f t="shared" si="28"/>
        <v>301</v>
      </c>
      <c r="E796" t="str">
        <f>"84481"</f>
        <v>84481</v>
      </c>
    </row>
    <row r="797" spans="1:5" x14ac:dyDescent="0.25">
      <c r="A797" t="str">
        <f>"750301227"</f>
        <v>750301227</v>
      </c>
      <c r="B797" t="s">
        <v>791</v>
      </c>
      <c r="C797">
        <v>145.53</v>
      </c>
      <c r="D797" t="str">
        <f t="shared" si="28"/>
        <v>301</v>
      </c>
      <c r="E797" t="str">
        <f>"84585"</f>
        <v>84585</v>
      </c>
    </row>
    <row r="798" spans="1:5" x14ac:dyDescent="0.25">
      <c r="A798" t="str">
        <f>"750301229"</f>
        <v>750301229</v>
      </c>
      <c r="B798" t="s">
        <v>792</v>
      </c>
      <c r="C798">
        <v>180.18</v>
      </c>
      <c r="D798" t="str">
        <f t="shared" si="28"/>
        <v>301</v>
      </c>
      <c r="E798" t="str">
        <f>"83835"</f>
        <v>83835</v>
      </c>
    </row>
    <row r="799" spans="1:5" x14ac:dyDescent="0.25">
      <c r="A799" t="str">
        <f>"750301239"</f>
        <v>750301239</v>
      </c>
      <c r="B799" t="s">
        <v>793</v>
      </c>
      <c r="C799">
        <v>124.74</v>
      </c>
      <c r="D799" t="str">
        <f t="shared" si="28"/>
        <v>301</v>
      </c>
      <c r="E799" t="str">
        <f>"82550"</f>
        <v>82550</v>
      </c>
    </row>
    <row r="800" spans="1:5" x14ac:dyDescent="0.25">
      <c r="A800" t="str">
        <f>"750301240"</f>
        <v>750301240</v>
      </c>
      <c r="B800" t="s">
        <v>794</v>
      </c>
      <c r="C800">
        <v>103.95</v>
      </c>
      <c r="D800" t="str">
        <f t="shared" ref="D800:D805" si="29">"305"</f>
        <v>305</v>
      </c>
      <c r="E800" t="str">
        <f>"85378"</f>
        <v>85378</v>
      </c>
    </row>
    <row r="801" spans="1:5" x14ac:dyDescent="0.25">
      <c r="A801" t="str">
        <f>"750301241"</f>
        <v>750301241</v>
      </c>
      <c r="B801" t="s">
        <v>795</v>
      </c>
      <c r="C801">
        <v>124.74</v>
      </c>
      <c r="D801" t="str">
        <f t="shared" si="29"/>
        <v>305</v>
      </c>
      <c r="E801" t="str">
        <f>"85379"</f>
        <v>85379</v>
      </c>
    </row>
    <row r="802" spans="1:5" x14ac:dyDescent="0.25">
      <c r="A802" t="str">
        <f>"750301242"</f>
        <v>750301242</v>
      </c>
      <c r="B802" t="s">
        <v>796</v>
      </c>
      <c r="C802">
        <v>223.15</v>
      </c>
      <c r="D802" t="str">
        <f t="shared" si="29"/>
        <v>305</v>
      </c>
      <c r="E802" t="str">
        <f>"85210"</f>
        <v>85210</v>
      </c>
    </row>
    <row r="803" spans="1:5" x14ac:dyDescent="0.25">
      <c r="A803" t="str">
        <f>"750301243"</f>
        <v>750301243</v>
      </c>
      <c r="B803" t="s">
        <v>797</v>
      </c>
      <c r="C803">
        <v>223.15</v>
      </c>
      <c r="D803" t="str">
        <f t="shared" si="29"/>
        <v>305</v>
      </c>
      <c r="E803" t="str">
        <f>"85220"</f>
        <v>85220</v>
      </c>
    </row>
    <row r="804" spans="1:5" x14ac:dyDescent="0.25">
      <c r="A804" t="str">
        <f>"750301256"</f>
        <v>750301256</v>
      </c>
      <c r="B804" t="s">
        <v>798</v>
      </c>
      <c r="C804">
        <v>223.15</v>
      </c>
      <c r="D804" t="str">
        <f t="shared" si="29"/>
        <v>305</v>
      </c>
      <c r="E804" t="str">
        <f>"85260"</f>
        <v>85260</v>
      </c>
    </row>
    <row r="805" spans="1:5" x14ac:dyDescent="0.25">
      <c r="A805" t="str">
        <f>"750301266"</f>
        <v>750301266</v>
      </c>
      <c r="B805" t="s">
        <v>799</v>
      </c>
      <c r="C805">
        <v>54.05</v>
      </c>
      <c r="D805" t="str">
        <f t="shared" si="29"/>
        <v>305</v>
      </c>
      <c r="E805" t="str">
        <f>"85384"</f>
        <v>85384</v>
      </c>
    </row>
    <row r="806" spans="1:5" x14ac:dyDescent="0.25">
      <c r="A806" t="str">
        <f>"750301270"</f>
        <v>750301270</v>
      </c>
      <c r="B806" t="s">
        <v>800</v>
      </c>
      <c r="C806">
        <v>177.41</v>
      </c>
      <c r="D806" t="str">
        <f>"301"</f>
        <v>301</v>
      </c>
      <c r="E806" t="str">
        <f>"82131"</f>
        <v>82131</v>
      </c>
    </row>
    <row r="807" spans="1:5" x14ac:dyDescent="0.25">
      <c r="A807" t="str">
        <f>"750301278"</f>
        <v>750301278</v>
      </c>
      <c r="B807" t="s">
        <v>801</v>
      </c>
      <c r="C807">
        <v>144.38</v>
      </c>
      <c r="D807" t="str">
        <f>"305"</f>
        <v>305</v>
      </c>
      <c r="E807" t="str">
        <f>"85730"</f>
        <v>85730</v>
      </c>
    </row>
    <row r="808" spans="1:5" x14ac:dyDescent="0.25">
      <c r="A808" t="str">
        <f>"750301279"</f>
        <v>750301279</v>
      </c>
      <c r="B808" t="s">
        <v>802</v>
      </c>
      <c r="C808">
        <v>144.38</v>
      </c>
      <c r="D808" t="str">
        <f>"305"</f>
        <v>305</v>
      </c>
      <c r="E808" t="str">
        <f>"85610"</f>
        <v>85610</v>
      </c>
    </row>
    <row r="809" spans="1:5" x14ac:dyDescent="0.25">
      <c r="A809" t="str">
        <f>"750301302"</f>
        <v>750301302</v>
      </c>
      <c r="B809" t="s">
        <v>803</v>
      </c>
      <c r="C809">
        <v>271.43</v>
      </c>
      <c r="D809" t="str">
        <f>"301"</f>
        <v>301</v>
      </c>
      <c r="E809" t="str">
        <f>"84484"</f>
        <v>84484</v>
      </c>
    </row>
    <row r="810" spans="1:5" x14ac:dyDescent="0.25">
      <c r="A810" t="str">
        <f>"750301305"</f>
        <v>750301305</v>
      </c>
      <c r="B810" t="s">
        <v>804</v>
      </c>
      <c r="C810">
        <v>152.46</v>
      </c>
      <c r="D810" t="str">
        <f t="shared" ref="D810:D817" si="30">"302"</f>
        <v>302</v>
      </c>
      <c r="E810" t="str">
        <f>"86021"</f>
        <v>86021</v>
      </c>
    </row>
    <row r="811" spans="1:5" x14ac:dyDescent="0.25">
      <c r="A811" t="str">
        <f>"750301306"</f>
        <v>750301306</v>
      </c>
      <c r="B811" t="s">
        <v>805</v>
      </c>
      <c r="C811">
        <v>56.83</v>
      </c>
      <c r="D811" t="str">
        <f t="shared" si="30"/>
        <v>302</v>
      </c>
      <c r="E811" t="str">
        <f>"86038"</f>
        <v>86038</v>
      </c>
    </row>
    <row r="812" spans="1:5" x14ac:dyDescent="0.25">
      <c r="A812" t="str">
        <f>"750301318"</f>
        <v>750301318</v>
      </c>
      <c r="B812" t="s">
        <v>806</v>
      </c>
      <c r="C812">
        <v>138.6</v>
      </c>
      <c r="D812" t="str">
        <f t="shared" si="30"/>
        <v>302</v>
      </c>
      <c r="E812" t="str">
        <f>"86162"</f>
        <v>86162</v>
      </c>
    </row>
    <row r="813" spans="1:5" x14ac:dyDescent="0.25">
      <c r="A813" t="str">
        <f>"750301338"</f>
        <v>750301338</v>
      </c>
      <c r="B813" t="s">
        <v>807</v>
      </c>
      <c r="C813">
        <v>145.53</v>
      </c>
      <c r="D813" t="str">
        <f t="shared" si="30"/>
        <v>302</v>
      </c>
      <c r="E813" t="str">
        <f>"86160"</f>
        <v>86160</v>
      </c>
    </row>
    <row r="814" spans="1:5" x14ac:dyDescent="0.25">
      <c r="A814" t="str">
        <f>"750301339"</f>
        <v>750301339</v>
      </c>
      <c r="B814" t="s">
        <v>808</v>
      </c>
      <c r="C814">
        <v>145.53</v>
      </c>
      <c r="D814" t="str">
        <f t="shared" si="30"/>
        <v>302</v>
      </c>
      <c r="E814" t="str">
        <f>"86160"</f>
        <v>86160</v>
      </c>
    </row>
    <row r="815" spans="1:5" x14ac:dyDescent="0.25">
      <c r="A815" t="str">
        <f>"750301365"</f>
        <v>750301365</v>
      </c>
      <c r="B815" t="s">
        <v>809</v>
      </c>
      <c r="C815">
        <v>311.85000000000002</v>
      </c>
      <c r="D815" t="str">
        <f t="shared" si="30"/>
        <v>302</v>
      </c>
      <c r="E815" t="str">
        <f>"86256"</f>
        <v>86256</v>
      </c>
    </row>
    <row r="816" spans="1:5" x14ac:dyDescent="0.25">
      <c r="A816" t="str">
        <f>"750301375"</f>
        <v>750301375</v>
      </c>
      <c r="B816" t="s">
        <v>810</v>
      </c>
      <c r="C816">
        <v>103.95</v>
      </c>
      <c r="D816" t="str">
        <f t="shared" si="30"/>
        <v>302</v>
      </c>
      <c r="E816" t="str">
        <f>"86430"</f>
        <v>86430</v>
      </c>
    </row>
    <row r="817" spans="1:5" x14ac:dyDescent="0.25">
      <c r="A817" t="str">
        <f>"750301378"</f>
        <v>750301378</v>
      </c>
      <c r="B817" t="s">
        <v>811</v>
      </c>
      <c r="C817">
        <v>99.79</v>
      </c>
      <c r="D817" t="str">
        <f t="shared" si="30"/>
        <v>302</v>
      </c>
      <c r="E817" t="str">
        <f>"86235"</f>
        <v>86235</v>
      </c>
    </row>
    <row r="818" spans="1:5" x14ac:dyDescent="0.25">
      <c r="A818" t="str">
        <f>"750301388"</f>
        <v>750301388</v>
      </c>
      <c r="B818" t="s">
        <v>812</v>
      </c>
      <c r="C818">
        <v>187.11</v>
      </c>
      <c r="D818" t="str">
        <f>"301"</f>
        <v>301</v>
      </c>
      <c r="E818" t="str">
        <f>"83520"</f>
        <v>83520</v>
      </c>
    </row>
    <row r="819" spans="1:5" x14ac:dyDescent="0.25">
      <c r="A819" t="str">
        <f>"750301392"</f>
        <v>750301392</v>
      </c>
      <c r="B819" t="s">
        <v>813</v>
      </c>
      <c r="C819">
        <v>124.74</v>
      </c>
      <c r="D819" t="str">
        <f>"301"</f>
        <v>301</v>
      </c>
      <c r="E819" t="str">
        <f>"84153"</f>
        <v>84153</v>
      </c>
    </row>
    <row r="820" spans="1:5" x14ac:dyDescent="0.25">
      <c r="A820" t="str">
        <f>"750301396"</f>
        <v>750301396</v>
      </c>
      <c r="B820" t="s">
        <v>814</v>
      </c>
      <c r="C820">
        <v>124.74</v>
      </c>
      <c r="D820" t="str">
        <f>"301"</f>
        <v>301</v>
      </c>
      <c r="E820" t="str">
        <f>"82043"</f>
        <v>82043</v>
      </c>
    </row>
    <row r="821" spans="1:5" x14ac:dyDescent="0.25">
      <c r="A821" t="str">
        <f>"750301404"</f>
        <v>750301404</v>
      </c>
      <c r="B821" t="s">
        <v>815</v>
      </c>
      <c r="C821">
        <v>69.3</v>
      </c>
      <c r="D821" t="str">
        <f>"301"</f>
        <v>301</v>
      </c>
      <c r="E821" t="str">
        <f>"86215"</f>
        <v>86215</v>
      </c>
    </row>
    <row r="822" spans="1:5" x14ac:dyDescent="0.25">
      <c r="A822" t="str">
        <f>"750301405"</f>
        <v>750301405</v>
      </c>
      <c r="B822" t="s">
        <v>816</v>
      </c>
      <c r="C822">
        <v>55.44</v>
      </c>
      <c r="D822" t="str">
        <f>"306"</f>
        <v>306</v>
      </c>
      <c r="E822" t="str">
        <f>"86060"</f>
        <v>86060</v>
      </c>
    </row>
    <row r="823" spans="1:5" x14ac:dyDescent="0.25">
      <c r="A823" t="str">
        <f>"750301409"</f>
        <v>750301409</v>
      </c>
      <c r="B823" t="s">
        <v>817</v>
      </c>
      <c r="C823">
        <v>176.72</v>
      </c>
      <c r="D823" t="str">
        <f>"302"</f>
        <v>302</v>
      </c>
      <c r="E823" t="str">
        <f>"86360"</f>
        <v>86360</v>
      </c>
    </row>
    <row r="824" spans="1:5" x14ac:dyDescent="0.25">
      <c r="A824" t="str">
        <f>"750301416"</f>
        <v>750301416</v>
      </c>
      <c r="B824" t="s">
        <v>818</v>
      </c>
      <c r="C824">
        <v>103.95</v>
      </c>
      <c r="D824" t="str">
        <f>"301"</f>
        <v>301</v>
      </c>
      <c r="E824" t="str">
        <f>"82390"</f>
        <v>82390</v>
      </c>
    </row>
    <row r="825" spans="1:5" x14ac:dyDescent="0.25">
      <c r="A825" t="str">
        <f>"750301417"</f>
        <v>750301417</v>
      </c>
      <c r="B825" t="s">
        <v>819</v>
      </c>
      <c r="C825">
        <v>212.3</v>
      </c>
      <c r="D825" t="str">
        <f>"302"</f>
        <v>302</v>
      </c>
      <c r="E825" t="str">
        <f>"86157"</f>
        <v>86157</v>
      </c>
    </row>
    <row r="826" spans="1:5" x14ac:dyDescent="0.25">
      <c r="A826" t="str">
        <f>"750301418"</f>
        <v>750301418</v>
      </c>
      <c r="B826" t="s">
        <v>820</v>
      </c>
      <c r="C826">
        <v>103.95</v>
      </c>
      <c r="D826" t="str">
        <f>"302"</f>
        <v>302</v>
      </c>
      <c r="E826" t="str">
        <f>"86140"</f>
        <v>86140</v>
      </c>
    </row>
    <row r="827" spans="1:5" x14ac:dyDescent="0.25">
      <c r="A827" t="str">
        <f>"750301423"</f>
        <v>750301423</v>
      </c>
      <c r="B827" t="s">
        <v>821</v>
      </c>
      <c r="C827">
        <v>207.9</v>
      </c>
      <c r="D827" t="str">
        <f t="shared" ref="D827:D833" si="31">"301"</f>
        <v>301</v>
      </c>
      <c r="E827" t="str">
        <f>"83010"</f>
        <v>83010</v>
      </c>
    </row>
    <row r="828" spans="1:5" x14ac:dyDescent="0.25">
      <c r="A828" t="str">
        <f>"750301440"</f>
        <v>750301440</v>
      </c>
      <c r="B828" t="s">
        <v>822</v>
      </c>
      <c r="C828">
        <v>110.88</v>
      </c>
      <c r="D828" t="str">
        <f t="shared" si="31"/>
        <v>301</v>
      </c>
      <c r="E828" t="str">
        <f>"82785"</f>
        <v>82785</v>
      </c>
    </row>
    <row r="829" spans="1:5" x14ac:dyDescent="0.25">
      <c r="A829" t="str">
        <f>"750301446"</f>
        <v>750301446</v>
      </c>
      <c r="B829" t="s">
        <v>823</v>
      </c>
      <c r="C829">
        <v>124.74</v>
      </c>
      <c r="D829" t="str">
        <f t="shared" si="31"/>
        <v>301</v>
      </c>
      <c r="E829" t="str">
        <f>"83625"</f>
        <v>83625</v>
      </c>
    </row>
    <row r="830" spans="1:5" x14ac:dyDescent="0.25">
      <c r="A830" t="str">
        <f>"750301453"</f>
        <v>750301453</v>
      </c>
      <c r="B830" t="s">
        <v>824</v>
      </c>
      <c r="C830">
        <v>124.74</v>
      </c>
      <c r="D830" t="str">
        <f t="shared" si="31"/>
        <v>301</v>
      </c>
      <c r="E830" t="str">
        <f>"84165"</f>
        <v>84165</v>
      </c>
    </row>
    <row r="831" spans="1:5" x14ac:dyDescent="0.25">
      <c r="A831" t="str">
        <f>"750301479"</f>
        <v>750301479</v>
      </c>
      <c r="B831" t="s">
        <v>825</v>
      </c>
      <c r="C831">
        <v>97.02</v>
      </c>
      <c r="D831" t="str">
        <f t="shared" si="31"/>
        <v>301</v>
      </c>
      <c r="E831" t="str">
        <f>"84134"</f>
        <v>84134</v>
      </c>
    </row>
    <row r="832" spans="1:5" x14ac:dyDescent="0.25">
      <c r="A832" t="str">
        <f>"750301482"</f>
        <v>750301482</v>
      </c>
      <c r="B832" t="s">
        <v>826</v>
      </c>
      <c r="C832">
        <v>90.09</v>
      </c>
      <c r="D832" t="str">
        <f t="shared" si="31"/>
        <v>301</v>
      </c>
      <c r="E832" t="str">
        <f>"84466"</f>
        <v>84466</v>
      </c>
    </row>
    <row r="833" spans="1:5" x14ac:dyDescent="0.25">
      <c r="A833" t="str">
        <f>"750301484"</f>
        <v>750301484</v>
      </c>
      <c r="B833" t="s">
        <v>827</v>
      </c>
      <c r="C833">
        <v>155.93</v>
      </c>
      <c r="D833" t="str">
        <f t="shared" si="31"/>
        <v>301</v>
      </c>
      <c r="E833" t="str">
        <f>"82105"</f>
        <v>82105</v>
      </c>
    </row>
    <row r="834" spans="1:5" x14ac:dyDescent="0.25">
      <c r="A834" t="str">
        <f>"750301487"</f>
        <v>750301487</v>
      </c>
      <c r="B834" t="s">
        <v>828</v>
      </c>
      <c r="C834">
        <v>155.93</v>
      </c>
      <c r="D834" t="str">
        <f>"302"</f>
        <v>302</v>
      </c>
      <c r="E834" t="str">
        <f>"86316"</f>
        <v>86316</v>
      </c>
    </row>
    <row r="835" spans="1:5" x14ac:dyDescent="0.25">
      <c r="A835" t="str">
        <f>"750301488"</f>
        <v>750301488</v>
      </c>
      <c r="B835" t="s">
        <v>829</v>
      </c>
      <c r="C835">
        <v>155.93</v>
      </c>
      <c r="D835" t="str">
        <f>"302"</f>
        <v>302</v>
      </c>
      <c r="E835" t="str">
        <f>"86304"</f>
        <v>86304</v>
      </c>
    </row>
    <row r="836" spans="1:5" x14ac:dyDescent="0.25">
      <c r="A836" t="str">
        <f>"750301489"</f>
        <v>750301489</v>
      </c>
      <c r="B836" t="s">
        <v>830</v>
      </c>
      <c r="C836">
        <v>196.35</v>
      </c>
      <c r="D836" t="str">
        <f>"301"</f>
        <v>301</v>
      </c>
      <c r="E836" t="str">
        <f>"82378"</f>
        <v>82378</v>
      </c>
    </row>
    <row r="837" spans="1:5" x14ac:dyDescent="0.25">
      <c r="A837" t="str">
        <f>"750301504"</f>
        <v>750301504</v>
      </c>
      <c r="B837" t="s">
        <v>831</v>
      </c>
      <c r="C837">
        <v>121</v>
      </c>
      <c r="D837" t="str">
        <f>"306"</f>
        <v>306</v>
      </c>
      <c r="E837" t="str">
        <f>"87205"</f>
        <v>87205</v>
      </c>
    </row>
    <row r="838" spans="1:5" x14ac:dyDescent="0.25">
      <c r="A838" t="str">
        <f>"750301505"</f>
        <v>750301505</v>
      </c>
      <c r="B838" t="s">
        <v>832</v>
      </c>
      <c r="C838">
        <v>124.74</v>
      </c>
      <c r="D838" t="str">
        <f>"306"</f>
        <v>306</v>
      </c>
      <c r="E838" t="str">
        <f>"Q0111"</f>
        <v>Q0111</v>
      </c>
    </row>
    <row r="839" spans="1:5" x14ac:dyDescent="0.25">
      <c r="A839" t="str">
        <f>"750301506"</f>
        <v>750301506</v>
      </c>
      <c r="B839" t="s">
        <v>833</v>
      </c>
      <c r="C839">
        <v>103.95</v>
      </c>
      <c r="D839" t="str">
        <f>"301"</f>
        <v>301</v>
      </c>
      <c r="E839" t="str">
        <f>"82040"</f>
        <v>82040</v>
      </c>
    </row>
    <row r="840" spans="1:5" x14ac:dyDescent="0.25">
      <c r="A840" t="str">
        <f>"750301507"</f>
        <v>750301507</v>
      </c>
      <c r="B840" t="s">
        <v>834</v>
      </c>
      <c r="C840">
        <v>124.74</v>
      </c>
      <c r="D840" t="str">
        <f>"301"</f>
        <v>301</v>
      </c>
      <c r="E840" t="str">
        <f>"84075"</f>
        <v>84075</v>
      </c>
    </row>
    <row r="841" spans="1:5" x14ac:dyDescent="0.25">
      <c r="A841" t="str">
        <f>"750301508"</f>
        <v>750301508</v>
      </c>
      <c r="B841" t="s">
        <v>835</v>
      </c>
      <c r="C841">
        <v>196.35</v>
      </c>
      <c r="D841" t="str">
        <f>"301"</f>
        <v>301</v>
      </c>
      <c r="E841" t="str">
        <f>"82150"</f>
        <v>82150</v>
      </c>
    </row>
    <row r="842" spans="1:5" x14ac:dyDescent="0.25">
      <c r="A842" t="str">
        <f>"750301509"</f>
        <v>750301509</v>
      </c>
      <c r="B842" t="s">
        <v>836</v>
      </c>
      <c r="C842">
        <v>124.74</v>
      </c>
      <c r="D842" t="str">
        <f>"301"</f>
        <v>301</v>
      </c>
      <c r="E842" t="str">
        <f>"84460"</f>
        <v>84460</v>
      </c>
    </row>
    <row r="843" spans="1:5" x14ac:dyDescent="0.25">
      <c r="A843" t="str">
        <f>"750301510"</f>
        <v>750301510</v>
      </c>
      <c r="B843" t="s">
        <v>837</v>
      </c>
      <c r="C843">
        <v>124.74</v>
      </c>
      <c r="D843" t="str">
        <f>"278"</f>
        <v>278</v>
      </c>
      <c r="E843" t="str">
        <f>"84450"</f>
        <v>84450</v>
      </c>
    </row>
    <row r="844" spans="1:5" x14ac:dyDescent="0.25">
      <c r="A844" t="str">
        <f>"750301511"</f>
        <v>750301511</v>
      </c>
      <c r="B844" t="s">
        <v>838</v>
      </c>
      <c r="C844">
        <v>103.95</v>
      </c>
      <c r="D844" t="str">
        <f t="shared" ref="D844:D862" si="32">"301"</f>
        <v>301</v>
      </c>
      <c r="E844" t="str">
        <f>"82247"</f>
        <v>82247</v>
      </c>
    </row>
    <row r="845" spans="1:5" x14ac:dyDescent="0.25">
      <c r="A845" t="str">
        <f>"750301512"</f>
        <v>750301512</v>
      </c>
      <c r="B845" t="s">
        <v>839</v>
      </c>
      <c r="C845">
        <v>103.95</v>
      </c>
      <c r="D845" t="str">
        <f t="shared" si="32"/>
        <v>301</v>
      </c>
      <c r="E845" t="str">
        <f>"82310"</f>
        <v>82310</v>
      </c>
    </row>
    <row r="846" spans="1:5" x14ac:dyDescent="0.25">
      <c r="A846" t="str">
        <f>"750301513"</f>
        <v>750301513</v>
      </c>
      <c r="B846" t="s">
        <v>840</v>
      </c>
      <c r="C846">
        <v>124.74</v>
      </c>
      <c r="D846" t="str">
        <f t="shared" si="32"/>
        <v>301</v>
      </c>
      <c r="E846" t="str">
        <f>"82374"</f>
        <v>82374</v>
      </c>
    </row>
    <row r="847" spans="1:5" x14ac:dyDescent="0.25">
      <c r="A847" t="str">
        <f>"750301514"</f>
        <v>750301514</v>
      </c>
      <c r="B847" t="s">
        <v>841</v>
      </c>
      <c r="C847">
        <v>103.95</v>
      </c>
      <c r="D847" t="str">
        <f t="shared" si="32"/>
        <v>301</v>
      </c>
      <c r="E847" t="str">
        <f>"82435"</f>
        <v>82435</v>
      </c>
    </row>
    <row r="848" spans="1:5" x14ac:dyDescent="0.25">
      <c r="A848" t="str">
        <f>"750301515"</f>
        <v>750301515</v>
      </c>
      <c r="B848" t="s">
        <v>842</v>
      </c>
      <c r="C848">
        <v>124.74</v>
      </c>
      <c r="D848" t="str">
        <f t="shared" si="32"/>
        <v>301</v>
      </c>
      <c r="E848" t="str">
        <f>"82553"</f>
        <v>82553</v>
      </c>
    </row>
    <row r="849" spans="1:5" x14ac:dyDescent="0.25">
      <c r="A849" t="str">
        <f>"750301516"</f>
        <v>750301516</v>
      </c>
      <c r="B849" t="s">
        <v>843</v>
      </c>
      <c r="C849">
        <v>103.95</v>
      </c>
      <c r="D849" t="str">
        <f t="shared" si="32"/>
        <v>301</v>
      </c>
      <c r="E849" t="str">
        <f>"82565"</f>
        <v>82565</v>
      </c>
    </row>
    <row r="850" spans="1:5" x14ac:dyDescent="0.25">
      <c r="A850" t="str">
        <f>"750301517"</f>
        <v>750301517</v>
      </c>
      <c r="B850" t="s">
        <v>844</v>
      </c>
      <c r="C850">
        <v>103.95</v>
      </c>
      <c r="D850" t="str">
        <f t="shared" si="32"/>
        <v>301</v>
      </c>
      <c r="E850" t="str">
        <f>"82465"</f>
        <v>82465</v>
      </c>
    </row>
    <row r="851" spans="1:5" x14ac:dyDescent="0.25">
      <c r="A851" t="str">
        <f>"750301519"</f>
        <v>750301519</v>
      </c>
      <c r="B851" t="s">
        <v>845</v>
      </c>
      <c r="C851">
        <v>103.95</v>
      </c>
      <c r="D851" t="str">
        <f t="shared" si="32"/>
        <v>301</v>
      </c>
      <c r="E851" t="str">
        <f>"82948"</f>
        <v>82948</v>
      </c>
    </row>
    <row r="852" spans="1:5" x14ac:dyDescent="0.25">
      <c r="A852" t="str">
        <f>"750301520"</f>
        <v>750301520</v>
      </c>
      <c r="B852" t="s">
        <v>846</v>
      </c>
      <c r="C852">
        <v>124.74</v>
      </c>
      <c r="D852" t="str">
        <f t="shared" si="32"/>
        <v>301</v>
      </c>
      <c r="E852" t="str">
        <f>"82977"</f>
        <v>82977</v>
      </c>
    </row>
    <row r="853" spans="1:5" x14ac:dyDescent="0.25">
      <c r="A853" t="str">
        <f>"750301521"</f>
        <v>750301521</v>
      </c>
      <c r="B853" t="s">
        <v>847</v>
      </c>
      <c r="C853">
        <v>103.95</v>
      </c>
      <c r="D853" t="str">
        <f t="shared" si="32"/>
        <v>301</v>
      </c>
      <c r="E853" t="str">
        <f>"83718"</f>
        <v>83718</v>
      </c>
    </row>
    <row r="854" spans="1:5" x14ac:dyDescent="0.25">
      <c r="A854" t="str">
        <f>"750301522"</f>
        <v>750301522</v>
      </c>
      <c r="B854" t="s">
        <v>848</v>
      </c>
      <c r="C854">
        <v>69.3</v>
      </c>
      <c r="D854" t="str">
        <f t="shared" si="32"/>
        <v>301</v>
      </c>
      <c r="E854" t="str">
        <f>"83605"</f>
        <v>83605</v>
      </c>
    </row>
    <row r="855" spans="1:5" x14ac:dyDescent="0.25">
      <c r="A855" t="str">
        <f>"750301523"</f>
        <v>750301523</v>
      </c>
      <c r="B855" t="s">
        <v>849</v>
      </c>
      <c r="C855">
        <v>124.74</v>
      </c>
      <c r="D855" t="str">
        <f t="shared" si="32"/>
        <v>301</v>
      </c>
      <c r="E855" t="str">
        <f>"83735"</f>
        <v>83735</v>
      </c>
    </row>
    <row r="856" spans="1:5" x14ac:dyDescent="0.25">
      <c r="A856" t="str">
        <f>"750301524"</f>
        <v>750301524</v>
      </c>
      <c r="B856" t="s">
        <v>850</v>
      </c>
      <c r="C856">
        <v>103.95</v>
      </c>
      <c r="D856" t="str">
        <f t="shared" si="32"/>
        <v>301</v>
      </c>
      <c r="E856" t="str">
        <f>"84100"</f>
        <v>84100</v>
      </c>
    </row>
    <row r="857" spans="1:5" x14ac:dyDescent="0.25">
      <c r="A857" t="str">
        <f>"750301525"</f>
        <v>750301525</v>
      </c>
      <c r="B857" t="s">
        <v>851</v>
      </c>
      <c r="C857">
        <v>124.74</v>
      </c>
      <c r="D857" t="str">
        <f t="shared" si="32"/>
        <v>301</v>
      </c>
      <c r="E857" t="str">
        <f>"84132"</f>
        <v>84132</v>
      </c>
    </row>
    <row r="858" spans="1:5" x14ac:dyDescent="0.25">
      <c r="A858" t="str">
        <f>"750301526"</f>
        <v>750301526</v>
      </c>
      <c r="B858" t="s">
        <v>852</v>
      </c>
      <c r="C858">
        <v>103.95</v>
      </c>
      <c r="D858" t="str">
        <f t="shared" si="32"/>
        <v>301</v>
      </c>
      <c r="E858" t="str">
        <f>"84295"</f>
        <v>84295</v>
      </c>
    </row>
    <row r="859" spans="1:5" x14ac:dyDescent="0.25">
      <c r="A859" t="str">
        <f>"750301527"</f>
        <v>750301527</v>
      </c>
      <c r="B859" t="s">
        <v>853</v>
      </c>
      <c r="C859">
        <v>124.74</v>
      </c>
      <c r="D859" t="str">
        <f t="shared" si="32"/>
        <v>301</v>
      </c>
      <c r="E859" t="str">
        <f>"84155"</f>
        <v>84155</v>
      </c>
    </row>
    <row r="860" spans="1:5" x14ac:dyDescent="0.25">
      <c r="A860" t="str">
        <f>"750301528"</f>
        <v>750301528</v>
      </c>
      <c r="B860" t="s">
        <v>854</v>
      </c>
      <c r="C860">
        <v>124.74</v>
      </c>
      <c r="D860" t="str">
        <f t="shared" si="32"/>
        <v>301</v>
      </c>
      <c r="E860" t="str">
        <f>"84478"</f>
        <v>84478</v>
      </c>
    </row>
    <row r="861" spans="1:5" x14ac:dyDescent="0.25">
      <c r="A861" t="str">
        <f>"750301529"</f>
        <v>750301529</v>
      </c>
      <c r="B861" t="s">
        <v>855</v>
      </c>
      <c r="C861">
        <v>103.95</v>
      </c>
      <c r="D861" t="str">
        <f t="shared" si="32"/>
        <v>301</v>
      </c>
      <c r="E861" t="str">
        <f>"84520"</f>
        <v>84520</v>
      </c>
    </row>
    <row r="862" spans="1:5" x14ac:dyDescent="0.25">
      <c r="A862" t="str">
        <f>"750301530"</f>
        <v>750301530</v>
      </c>
      <c r="B862" t="s">
        <v>856</v>
      </c>
      <c r="C862">
        <v>103.95</v>
      </c>
      <c r="D862" t="str">
        <f t="shared" si="32"/>
        <v>301</v>
      </c>
      <c r="E862" t="str">
        <f>"84550"</f>
        <v>84550</v>
      </c>
    </row>
    <row r="863" spans="1:5" x14ac:dyDescent="0.25">
      <c r="A863" t="str">
        <f>"750301531"</f>
        <v>750301531</v>
      </c>
      <c r="B863" t="s">
        <v>857</v>
      </c>
      <c r="C863">
        <v>103.95</v>
      </c>
      <c r="D863" t="str">
        <f>"307"</f>
        <v>307</v>
      </c>
      <c r="E863" t="str">
        <f>"81001"</f>
        <v>81001</v>
      </c>
    </row>
    <row r="864" spans="1:5" x14ac:dyDescent="0.25">
      <c r="A864" t="str">
        <f>"750301532"</f>
        <v>750301532</v>
      </c>
      <c r="B864" t="s">
        <v>858</v>
      </c>
      <c r="C864">
        <v>124.74</v>
      </c>
      <c r="D864" t="str">
        <f>"301"</f>
        <v>301</v>
      </c>
      <c r="E864" t="str">
        <f>"84157"</f>
        <v>84157</v>
      </c>
    </row>
    <row r="865" spans="1:5" x14ac:dyDescent="0.25">
      <c r="A865" t="str">
        <f>"750301533"</f>
        <v>750301533</v>
      </c>
      <c r="B865" t="s">
        <v>859</v>
      </c>
      <c r="C865">
        <v>155.93</v>
      </c>
      <c r="D865" t="str">
        <f>"301"</f>
        <v>301</v>
      </c>
      <c r="E865" t="str">
        <f>"84702"</f>
        <v>84702</v>
      </c>
    </row>
    <row r="866" spans="1:5" x14ac:dyDescent="0.25">
      <c r="A866" t="str">
        <f>"750301534"</f>
        <v>750301534</v>
      </c>
      <c r="B866" t="s">
        <v>860</v>
      </c>
      <c r="C866">
        <v>144.38</v>
      </c>
      <c r="D866" t="str">
        <f>"301"</f>
        <v>301</v>
      </c>
      <c r="E866" t="str">
        <f>"84703"</f>
        <v>84703</v>
      </c>
    </row>
    <row r="867" spans="1:5" x14ac:dyDescent="0.25">
      <c r="A867" t="str">
        <f>"750301535"</f>
        <v>750301535</v>
      </c>
      <c r="B867" t="s">
        <v>861</v>
      </c>
      <c r="C867">
        <v>155.93</v>
      </c>
      <c r="D867" t="str">
        <f>"305"</f>
        <v>305</v>
      </c>
      <c r="E867" t="str">
        <f>"85025"</f>
        <v>85025</v>
      </c>
    </row>
    <row r="868" spans="1:5" x14ac:dyDescent="0.25">
      <c r="A868" t="str">
        <f>"750301537"</f>
        <v>750301537</v>
      </c>
      <c r="B868" t="s">
        <v>862</v>
      </c>
      <c r="C868">
        <v>51.98</v>
      </c>
      <c r="D868" t="str">
        <f>"270"</f>
        <v>270</v>
      </c>
      <c r="E868" t="str">
        <f>"86900"</f>
        <v>86900</v>
      </c>
    </row>
    <row r="869" spans="1:5" x14ac:dyDescent="0.25">
      <c r="A869" t="str">
        <f>"750301538"</f>
        <v>750301538</v>
      </c>
      <c r="B869" t="s">
        <v>863</v>
      </c>
      <c r="C869">
        <v>86.63</v>
      </c>
      <c r="D869" t="str">
        <f>"300"</f>
        <v>300</v>
      </c>
      <c r="E869" t="str">
        <f>"86901"</f>
        <v>86901</v>
      </c>
    </row>
    <row r="870" spans="1:5" x14ac:dyDescent="0.25">
      <c r="A870" t="str">
        <f>"750301539"</f>
        <v>750301539</v>
      </c>
      <c r="B870" t="s">
        <v>864</v>
      </c>
      <c r="C870">
        <v>72.069999999999993</v>
      </c>
      <c r="D870" t="str">
        <f>"301"</f>
        <v>301</v>
      </c>
      <c r="E870" t="str">
        <f>"83020"</f>
        <v>83020</v>
      </c>
    </row>
    <row r="871" spans="1:5" x14ac:dyDescent="0.25">
      <c r="A871" t="str">
        <f>"750301540"</f>
        <v>750301540</v>
      </c>
      <c r="B871" t="s">
        <v>865</v>
      </c>
      <c r="C871">
        <v>155.93</v>
      </c>
      <c r="D871" t="str">
        <f>"300"</f>
        <v>300</v>
      </c>
      <c r="E871" t="str">
        <f>"80178"</f>
        <v>80178</v>
      </c>
    </row>
    <row r="872" spans="1:5" x14ac:dyDescent="0.25">
      <c r="A872" t="str">
        <f>"750301543"</f>
        <v>750301543</v>
      </c>
      <c r="B872" t="s">
        <v>866</v>
      </c>
      <c r="C872">
        <v>155.93</v>
      </c>
      <c r="D872" t="str">
        <f>"301"</f>
        <v>301</v>
      </c>
      <c r="E872" t="str">
        <f>"83036"</f>
        <v>83036</v>
      </c>
    </row>
    <row r="873" spans="1:5" x14ac:dyDescent="0.25">
      <c r="A873" t="str">
        <f>"750301545"</f>
        <v>750301545</v>
      </c>
      <c r="B873" t="s">
        <v>867</v>
      </c>
      <c r="C873">
        <v>518.6</v>
      </c>
      <c r="D873" t="str">
        <f>"300"</f>
        <v>300</v>
      </c>
      <c r="E873" t="str">
        <f>"80048"</f>
        <v>80048</v>
      </c>
    </row>
    <row r="874" spans="1:5" x14ac:dyDescent="0.25">
      <c r="A874" t="str">
        <f>"750301546"</f>
        <v>750301546</v>
      </c>
      <c r="B874" t="s">
        <v>868</v>
      </c>
      <c r="C874">
        <v>619.08000000000004</v>
      </c>
      <c r="D874" t="str">
        <f>"300"</f>
        <v>300</v>
      </c>
      <c r="E874" t="str">
        <f>"80053"</f>
        <v>80053</v>
      </c>
    </row>
    <row r="875" spans="1:5" x14ac:dyDescent="0.25">
      <c r="A875" t="str">
        <f>"750301547"</f>
        <v>750301547</v>
      </c>
      <c r="B875" t="s">
        <v>869</v>
      </c>
      <c r="C875">
        <v>280.67</v>
      </c>
      <c r="D875" t="str">
        <f>"300"</f>
        <v>300</v>
      </c>
      <c r="E875" t="str">
        <f>"80051"</f>
        <v>80051</v>
      </c>
    </row>
    <row r="876" spans="1:5" x14ac:dyDescent="0.25">
      <c r="A876" t="str">
        <f>"750301548"</f>
        <v>750301548</v>
      </c>
      <c r="B876" t="s">
        <v>870</v>
      </c>
      <c r="C876">
        <v>438.77</v>
      </c>
      <c r="D876" t="str">
        <f>"300"</f>
        <v>300</v>
      </c>
      <c r="E876" t="str">
        <f>"80074"</f>
        <v>80074</v>
      </c>
    </row>
    <row r="877" spans="1:5" x14ac:dyDescent="0.25">
      <c r="A877" t="str">
        <f>"750301549"</f>
        <v>750301549</v>
      </c>
      <c r="B877" t="s">
        <v>871</v>
      </c>
      <c r="C877">
        <v>197.51</v>
      </c>
      <c r="D877" t="str">
        <f>"300"</f>
        <v>300</v>
      </c>
      <c r="E877" t="str">
        <f>"80061"</f>
        <v>80061</v>
      </c>
    </row>
    <row r="878" spans="1:5" x14ac:dyDescent="0.25">
      <c r="A878" t="str">
        <f>"750301551"</f>
        <v>750301551</v>
      </c>
      <c r="B878" t="s">
        <v>872</v>
      </c>
      <c r="C878">
        <v>103.95</v>
      </c>
      <c r="D878" t="str">
        <f>"301"</f>
        <v>301</v>
      </c>
      <c r="E878" t="str">
        <f>"82248"</f>
        <v>82248</v>
      </c>
    </row>
    <row r="879" spans="1:5" x14ac:dyDescent="0.25">
      <c r="A879" t="str">
        <f>"750301556"</f>
        <v>750301556</v>
      </c>
      <c r="B879" t="s">
        <v>873</v>
      </c>
      <c r="C879">
        <v>89.1</v>
      </c>
      <c r="D879" t="str">
        <f>"300"</f>
        <v>300</v>
      </c>
      <c r="E879" t="str">
        <f>"36415"</f>
        <v>36415</v>
      </c>
    </row>
    <row r="880" spans="1:5" x14ac:dyDescent="0.25">
      <c r="A880" t="str">
        <f>"750301573"</f>
        <v>750301573</v>
      </c>
      <c r="B880" t="s">
        <v>874</v>
      </c>
      <c r="C880">
        <v>103.95</v>
      </c>
      <c r="D880" t="str">
        <f>"307"</f>
        <v>307</v>
      </c>
      <c r="E880" t="str">
        <f>"81015"</f>
        <v>81015</v>
      </c>
    </row>
    <row r="881" spans="1:5" x14ac:dyDescent="0.25">
      <c r="A881" t="str">
        <f>"750301576"</f>
        <v>750301576</v>
      </c>
      <c r="B881" t="s">
        <v>875</v>
      </c>
      <c r="C881">
        <v>144.38</v>
      </c>
      <c r="D881" t="str">
        <f>"300"</f>
        <v>300</v>
      </c>
      <c r="E881" t="str">
        <f>"82009"</f>
        <v>82009</v>
      </c>
    </row>
    <row r="882" spans="1:5" x14ac:dyDescent="0.25">
      <c r="A882" t="str">
        <f>"750301579"</f>
        <v>750301579</v>
      </c>
      <c r="B882" t="s">
        <v>876</v>
      </c>
      <c r="C882">
        <v>75.680000000000007</v>
      </c>
      <c r="D882" t="str">
        <f t="shared" ref="D882:D889" si="33">"301"</f>
        <v>301</v>
      </c>
      <c r="E882" t="str">
        <f>"82042"</f>
        <v>82042</v>
      </c>
    </row>
    <row r="883" spans="1:5" x14ac:dyDescent="0.25">
      <c r="A883" t="str">
        <f>"750301585"</f>
        <v>750301585</v>
      </c>
      <c r="B883" t="s">
        <v>877</v>
      </c>
      <c r="C883">
        <v>155.93</v>
      </c>
      <c r="D883" t="str">
        <f t="shared" si="33"/>
        <v>301</v>
      </c>
      <c r="E883" t="str">
        <f>"82140"</f>
        <v>82140</v>
      </c>
    </row>
    <row r="884" spans="1:5" x14ac:dyDescent="0.25">
      <c r="A884" t="str">
        <f>"750301588"</f>
        <v>750301588</v>
      </c>
      <c r="B884" t="s">
        <v>878</v>
      </c>
      <c r="C884">
        <v>86.63</v>
      </c>
      <c r="D884" t="str">
        <f t="shared" si="33"/>
        <v>301</v>
      </c>
      <c r="E884" t="str">
        <f>"82270"</f>
        <v>82270</v>
      </c>
    </row>
    <row r="885" spans="1:5" x14ac:dyDescent="0.25">
      <c r="A885" t="str">
        <f>"750301591"</f>
        <v>750301591</v>
      </c>
      <c r="B885" t="s">
        <v>879</v>
      </c>
      <c r="C885">
        <v>277.2</v>
      </c>
      <c r="D885" t="str">
        <f t="shared" si="33"/>
        <v>301</v>
      </c>
      <c r="E885" t="str">
        <f>"82306"</f>
        <v>82306</v>
      </c>
    </row>
    <row r="886" spans="1:5" x14ac:dyDescent="0.25">
      <c r="A886" t="str">
        <f>"750301592"</f>
        <v>750301592</v>
      </c>
      <c r="B886" t="s">
        <v>880</v>
      </c>
      <c r="C886">
        <v>103.95</v>
      </c>
      <c r="D886" t="str">
        <f t="shared" si="33"/>
        <v>301</v>
      </c>
      <c r="E886" t="str">
        <f>"82330"</f>
        <v>82330</v>
      </c>
    </row>
    <row r="887" spans="1:5" x14ac:dyDescent="0.25">
      <c r="A887" t="str">
        <f>"750301593"</f>
        <v>750301593</v>
      </c>
      <c r="B887" t="s">
        <v>881</v>
      </c>
      <c r="C887">
        <v>51.98</v>
      </c>
      <c r="D887" t="str">
        <f t="shared" si="33"/>
        <v>301</v>
      </c>
      <c r="E887" t="str">
        <f>"82340"</f>
        <v>82340</v>
      </c>
    </row>
    <row r="888" spans="1:5" x14ac:dyDescent="0.25">
      <c r="A888" t="str">
        <f>"750301595"</f>
        <v>750301595</v>
      </c>
      <c r="B888" t="s">
        <v>882</v>
      </c>
      <c r="C888">
        <v>103.95</v>
      </c>
      <c r="D888" t="str">
        <f t="shared" si="33"/>
        <v>301</v>
      </c>
      <c r="E888" t="str">
        <f>"82436"</f>
        <v>82436</v>
      </c>
    </row>
    <row r="889" spans="1:5" x14ac:dyDescent="0.25">
      <c r="A889" t="str">
        <f>"750301599"</f>
        <v>750301599</v>
      </c>
      <c r="B889" t="s">
        <v>883</v>
      </c>
      <c r="C889">
        <v>121.28</v>
      </c>
      <c r="D889" t="str">
        <f t="shared" si="33"/>
        <v>301</v>
      </c>
      <c r="E889" t="str">
        <f>"82491"</f>
        <v>82491</v>
      </c>
    </row>
    <row r="890" spans="1:5" x14ac:dyDescent="0.25">
      <c r="A890" t="str">
        <f>"750301607"</f>
        <v>750301607</v>
      </c>
      <c r="B890" t="s">
        <v>884</v>
      </c>
      <c r="C890">
        <v>95.87</v>
      </c>
      <c r="D890" t="str">
        <f>"272"</f>
        <v>272</v>
      </c>
      <c r="E890" t="str">
        <f>"82530"</f>
        <v>82530</v>
      </c>
    </row>
    <row r="891" spans="1:5" x14ac:dyDescent="0.25">
      <c r="A891" t="str">
        <f>"750301637"</f>
        <v>750301637</v>
      </c>
      <c r="B891" t="s">
        <v>885</v>
      </c>
      <c r="C891">
        <v>103.95</v>
      </c>
      <c r="D891" t="str">
        <f>"301"</f>
        <v>301</v>
      </c>
      <c r="E891" t="str">
        <f>"83540"</f>
        <v>83540</v>
      </c>
    </row>
    <row r="892" spans="1:5" x14ac:dyDescent="0.25">
      <c r="A892" t="str">
        <f>"750301640"</f>
        <v>750301640</v>
      </c>
      <c r="B892" t="s">
        <v>886</v>
      </c>
      <c r="C892">
        <v>124.74</v>
      </c>
      <c r="D892" t="str">
        <f>"301"</f>
        <v>301</v>
      </c>
      <c r="E892" t="str">
        <f>"83615"</f>
        <v>83615</v>
      </c>
    </row>
    <row r="893" spans="1:5" x14ac:dyDescent="0.25">
      <c r="A893" t="str">
        <f>"750301644"</f>
        <v>750301644</v>
      </c>
      <c r="B893" t="s">
        <v>887</v>
      </c>
      <c r="C893">
        <v>124.74</v>
      </c>
      <c r="D893" t="str">
        <f>"301"</f>
        <v>301</v>
      </c>
      <c r="E893" t="str">
        <f>"83690"</f>
        <v>83690</v>
      </c>
    </row>
    <row r="894" spans="1:5" x14ac:dyDescent="0.25">
      <c r="A894" t="str">
        <f>"750301645"</f>
        <v>750301645</v>
      </c>
      <c r="B894" t="s">
        <v>888</v>
      </c>
      <c r="C894">
        <v>103.95</v>
      </c>
      <c r="D894" t="str">
        <f>"300"</f>
        <v>300</v>
      </c>
      <c r="E894" t="str">
        <f>"83721"</f>
        <v>83721</v>
      </c>
    </row>
    <row r="895" spans="1:5" x14ac:dyDescent="0.25">
      <c r="A895" t="str">
        <f>"750301685"</f>
        <v>750301685</v>
      </c>
      <c r="B895" t="s">
        <v>889</v>
      </c>
      <c r="C895">
        <v>86.63</v>
      </c>
      <c r="D895" t="str">
        <f>"301"</f>
        <v>301</v>
      </c>
      <c r="E895" t="str">
        <f>"83930"</f>
        <v>83930</v>
      </c>
    </row>
    <row r="896" spans="1:5" x14ac:dyDescent="0.25">
      <c r="A896" t="str">
        <f>"750301686"</f>
        <v>750301686</v>
      </c>
      <c r="B896" t="s">
        <v>890</v>
      </c>
      <c r="C896">
        <v>86.63</v>
      </c>
      <c r="D896" t="str">
        <f>"301"</f>
        <v>301</v>
      </c>
      <c r="E896" t="str">
        <f>"83935"</f>
        <v>83935</v>
      </c>
    </row>
    <row r="897" spans="1:5" x14ac:dyDescent="0.25">
      <c r="A897" t="str">
        <f>"750301706"</f>
        <v>750301706</v>
      </c>
      <c r="B897" t="s">
        <v>891</v>
      </c>
      <c r="C897">
        <v>155.93</v>
      </c>
      <c r="D897" t="str">
        <f>"301"</f>
        <v>301</v>
      </c>
      <c r="E897" t="str">
        <f>"84479"</f>
        <v>84479</v>
      </c>
    </row>
    <row r="898" spans="1:5" x14ac:dyDescent="0.25">
      <c r="A898" t="str">
        <f>"750301718"</f>
        <v>750301718</v>
      </c>
      <c r="B898" t="s">
        <v>892</v>
      </c>
      <c r="C898">
        <v>133.41</v>
      </c>
      <c r="D898" t="str">
        <f>"301"</f>
        <v>301</v>
      </c>
      <c r="E898" t="str">
        <f>"83883"</f>
        <v>83883</v>
      </c>
    </row>
    <row r="899" spans="1:5" x14ac:dyDescent="0.25">
      <c r="A899" t="str">
        <f>"750301722"</f>
        <v>750301722</v>
      </c>
      <c r="B899" t="s">
        <v>893</v>
      </c>
      <c r="C899">
        <v>103.95</v>
      </c>
      <c r="D899" t="str">
        <f t="shared" ref="D899:D904" si="34">"305"</f>
        <v>305</v>
      </c>
      <c r="E899" t="str">
        <f>"85002"</f>
        <v>85002</v>
      </c>
    </row>
    <row r="900" spans="1:5" x14ac:dyDescent="0.25">
      <c r="A900" t="str">
        <f>"750301723"</f>
        <v>750301723</v>
      </c>
      <c r="B900" t="s">
        <v>894</v>
      </c>
      <c r="C900">
        <v>83.16</v>
      </c>
      <c r="D900" t="str">
        <f t="shared" si="34"/>
        <v>305</v>
      </c>
      <c r="E900" t="str">
        <f>"85007"</f>
        <v>85007</v>
      </c>
    </row>
    <row r="901" spans="1:5" x14ac:dyDescent="0.25">
      <c r="A901" t="str">
        <f>"750301725"</f>
        <v>750301725</v>
      </c>
      <c r="B901" t="s">
        <v>895</v>
      </c>
      <c r="C901">
        <v>83.16</v>
      </c>
      <c r="D901" t="str">
        <f t="shared" si="34"/>
        <v>305</v>
      </c>
      <c r="E901" t="str">
        <f>"85014"</f>
        <v>85014</v>
      </c>
    </row>
    <row r="902" spans="1:5" x14ac:dyDescent="0.25">
      <c r="A902" t="str">
        <f>"750301727"</f>
        <v>750301727</v>
      </c>
      <c r="B902" t="s">
        <v>896</v>
      </c>
      <c r="C902">
        <v>83.16</v>
      </c>
      <c r="D902" t="str">
        <f t="shared" si="34"/>
        <v>305</v>
      </c>
      <c r="E902" t="str">
        <f>"85018"</f>
        <v>85018</v>
      </c>
    </row>
    <row r="903" spans="1:5" x14ac:dyDescent="0.25">
      <c r="A903" t="str">
        <f>"750301728"</f>
        <v>750301728</v>
      </c>
      <c r="B903" t="s">
        <v>897</v>
      </c>
      <c r="C903">
        <v>155.93</v>
      </c>
      <c r="D903" t="str">
        <f t="shared" si="34"/>
        <v>305</v>
      </c>
      <c r="E903" t="str">
        <f>"85027"</f>
        <v>85027</v>
      </c>
    </row>
    <row r="904" spans="1:5" x14ac:dyDescent="0.25">
      <c r="A904" t="str">
        <f>"750301735"</f>
        <v>750301735</v>
      </c>
      <c r="B904" t="s">
        <v>898</v>
      </c>
      <c r="C904">
        <v>103.95</v>
      </c>
      <c r="D904" t="str">
        <f t="shared" si="34"/>
        <v>305</v>
      </c>
      <c r="E904" t="str">
        <f>"85044"</f>
        <v>85044</v>
      </c>
    </row>
    <row r="905" spans="1:5" x14ac:dyDescent="0.25">
      <c r="A905" t="str">
        <f>"750301742"</f>
        <v>750301742</v>
      </c>
      <c r="B905" t="s">
        <v>899</v>
      </c>
      <c r="C905">
        <v>295.12</v>
      </c>
      <c r="D905" t="str">
        <f>"270"</f>
        <v>270</v>
      </c>
      <c r="E905" t="str">
        <f>"85475"</f>
        <v>85475</v>
      </c>
    </row>
    <row r="906" spans="1:5" x14ac:dyDescent="0.25">
      <c r="A906" t="str">
        <f>"750301747"</f>
        <v>750301747</v>
      </c>
      <c r="B906" t="s">
        <v>900</v>
      </c>
      <c r="C906">
        <v>86.63</v>
      </c>
      <c r="D906" t="str">
        <f>"306"</f>
        <v>306</v>
      </c>
      <c r="E906" t="str">
        <f>"85049"</f>
        <v>85049</v>
      </c>
    </row>
    <row r="907" spans="1:5" x14ac:dyDescent="0.25">
      <c r="A907" t="str">
        <f>"750301749"</f>
        <v>750301749</v>
      </c>
      <c r="B907" t="s">
        <v>901</v>
      </c>
      <c r="C907">
        <v>83.16</v>
      </c>
      <c r="D907" t="str">
        <f>"305"</f>
        <v>305</v>
      </c>
      <c r="E907" t="str">
        <f>"85651"</f>
        <v>85651</v>
      </c>
    </row>
    <row r="908" spans="1:5" x14ac:dyDescent="0.25">
      <c r="A908" t="str">
        <f>"750301774"</f>
        <v>750301774</v>
      </c>
      <c r="B908" t="s">
        <v>902</v>
      </c>
      <c r="C908">
        <v>124.74</v>
      </c>
      <c r="D908" t="str">
        <f t="shared" ref="D908:D917" si="35">"302"</f>
        <v>302</v>
      </c>
      <c r="E908" t="str">
        <f>"86706"</f>
        <v>86706</v>
      </c>
    </row>
    <row r="909" spans="1:5" x14ac:dyDescent="0.25">
      <c r="A909" t="str">
        <f>"750301775"</f>
        <v>750301775</v>
      </c>
      <c r="B909" t="s">
        <v>903</v>
      </c>
      <c r="C909">
        <v>54.6</v>
      </c>
      <c r="D909" t="str">
        <f t="shared" si="35"/>
        <v>302</v>
      </c>
      <c r="E909" t="str">
        <f>"86707"</f>
        <v>86707</v>
      </c>
    </row>
    <row r="910" spans="1:5" x14ac:dyDescent="0.25">
      <c r="A910" t="str">
        <f>"750301780"</f>
        <v>750301780</v>
      </c>
      <c r="B910" t="s">
        <v>904</v>
      </c>
      <c r="C910">
        <v>158.84</v>
      </c>
      <c r="D910" t="str">
        <f t="shared" si="35"/>
        <v>302</v>
      </c>
      <c r="E910" t="str">
        <f>"86308"</f>
        <v>86308</v>
      </c>
    </row>
    <row r="911" spans="1:5" x14ac:dyDescent="0.25">
      <c r="A911" t="str">
        <f>"750301785"</f>
        <v>750301785</v>
      </c>
      <c r="B911" t="s">
        <v>905</v>
      </c>
      <c r="C911">
        <v>141.37</v>
      </c>
      <c r="D911" t="str">
        <f t="shared" si="35"/>
        <v>302</v>
      </c>
      <c r="E911" t="str">
        <f>"86329"</f>
        <v>86329</v>
      </c>
    </row>
    <row r="912" spans="1:5" x14ac:dyDescent="0.25">
      <c r="A912" t="str">
        <f>"750301797"</f>
        <v>750301797</v>
      </c>
      <c r="B912" t="s">
        <v>906</v>
      </c>
      <c r="C912">
        <v>222.31</v>
      </c>
      <c r="D912" t="str">
        <f t="shared" si="35"/>
        <v>302</v>
      </c>
      <c r="E912" t="str">
        <f>"86376"</f>
        <v>86376</v>
      </c>
    </row>
    <row r="913" spans="1:5" x14ac:dyDescent="0.25">
      <c r="A913" t="str">
        <f>"750301811"</f>
        <v>750301811</v>
      </c>
      <c r="B913" t="s">
        <v>907</v>
      </c>
      <c r="C913">
        <v>103.95</v>
      </c>
      <c r="D913" t="str">
        <f t="shared" si="35"/>
        <v>302</v>
      </c>
      <c r="E913" t="str">
        <f>"86592"</f>
        <v>86592</v>
      </c>
    </row>
    <row r="914" spans="1:5" x14ac:dyDescent="0.25">
      <c r="A914" t="str">
        <f>"750301819"</f>
        <v>750301819</v>
      </c>
      <c r="B914" t="s">
        <v>908</v>
      </c>
      <c r="C914">
        <v>189.74</v>
      </c>
      <c r="D914" t="str">
        <f t="shared" si="35"/>
        <v>302</v>
      </c>
      <c r="E914" t="str">
        <f>"86641"</f>
        <v>86641</v>
      </c>
    </row>
    <row r="915" spans="1:5" x14ac:dyDescent="0.25">
      <c r="A915" t="str">
        <f>"750301834"</f>
        <v>750301834</v>
      </c>
      <c r="B915" t="s">
        <v>909</v>
      </c>
      <c r="C915">
        <v>102.84</v>
      </c>
      <c r="D915" t="str">
        <f t="shared" si="35"/>
        <v>302</v>
      </c>
      <c r="E915" t="str">
        <f>"86703"</f>
        <v>86703</v>
      </c>
    </row>
    <row r="916" spans="1:5" x14ac:dyDescent="0.25">
      <c r="A916" t="str">
        <f>"750301842"</f>
        <v>750301842</v>
      </c>
      <c r="B916" t="s">
        <v>910</v>
      </c>
      <c r="C916">
        <v>130.01</v>
      </c>
      <c r="D916" t="str">
        <f t="shared" si="35"/>
        <v>302</v>
      </c>
      <c r="E916" t="str">
        <f>"86738"</f>
        <v>86738</v>
      </c>
    </row>
    <row r="917" spans="1:5" x14ac:dyDescent="0.25">
      <c r="A917" t="str">
        <f>"750301843"</f>
        <v>750301843</v>
      </c>
      <c r="B917" t="s">
        <v>911</v>
      </c>
      <c r="C917">
        <v>130.01</v>
      </c>
      <c r="D917" t="str">
        <f t="shared" si="35"/>
        <v>302</v>
      </c>
      <c r="E917" t="str">
        <f>"86738"</f>
        <v>86738</v>
      </c>
    </row>
    <row r="918" spans="1:5" x14ac:dyDescent="0.25">
      <c r="A918" t="str">
        <f>"750301856"</f>
        <v>750301856</v>
      </c>
      <c r="B918" t="s">
        <v>912</v>
      </c>
      <c r="C918">
        <v>86.63</v>
      </c>
      <c r="D918" t="str">
        <f>"301"</f>
        <v>301</v>
      </c>
      <c r="E918" t="str">
        <f>"86850"</f>
        <v>86850</v>
      </c>
    </row>
    <row r="919" spans="1:5" x14ac:dyDescent="0.25">
      <c r="A919" t="str">
        <f>"750301857"</f>
        <v>750301857</v>
      </c>
      <c r="B919" t="s">
        <v>913</v>
      </c>
      <c r="C919">
        <v>52.67</v>
      </c>
      <c r="D919" t="str">
        <f>"302"</f>
        <v>302</v>
      </c>
      <c r="E919" t="str">
        <f>"86880"</f>
        <v>86880</v>
      </c>
    </row>
    <row r="920" spans="1:5" x14ac:dyDescent="0.25">
      <c r="A920" t="str">
        <f>"750301859"</f>
        <v>750301859</v>
      </c>
      <c r="B920" t="s">
        <v>914</v>
      </c>
      <c r="C920">
        <v>86.63</v>
      </c>
      <c r="D920" t="str">
        <f>"300"</f>
        <v>300</v>
      </c>
      <c r="E920" t="str">
        <f>"86920"</f>
        <v>86920</v>
      </c>
    </row>
    <row r="921" spans="1:5" x14ac:dyDescent="0.25">
      <c r="A921" t="str">
        <f>"750301862"</f>
        <v>750301862</v>
      </c>
      <c r="B921" t="s">
        <v>915</v>
      </c>
      <c r="C921">
        <v>57.24</v>
      </c>
      <c r="D921" t="str">
        <f t="shared" ref="D921:D929" si="36">"306"</f>
        <v>306</v>
      </c>
      <c r="E921" t="str">
        <f>"87040"</f>
        <v>87040</v>
      </c>
    </row>
    <row r="922" spans="1:5" x14ac:dyDescent="0.25">
      <c r="A922" t="str">
        <f>"750301864"</f>
        <v>750301864</v>
      </c>
      <c r="B922" t="s">
        <v>916</v>
      </c>
      <c r="C922">
        <v>105.39</v>
      </c>
      <c r="D922" t="str">
        <f t="shared" si="36"/>
        <v>306</v>
      </c>
      <c r="E922" t="str">
        <f>"87045"</f>
        <v>87045</v>
      </c>
    </row>
    <row r="923" spans="1:5" x14ac:dyDescent="0.25">
      <c r="A923" t="str">
        <f>"750301868"</f>
        <v>750301868</v>
      </c>
      <c r="B923" t="s">
        <v>917</v>
      </c>
      <c r="C923">
        <v>55.44</v>
      </c>
      <c r="D923" t="str">
        <f t="shared" si="36"/>
        <v>306</v>
      </c>
      <c r="E923" t="str">
        <f>"87070"</f>
        <v>87070</v>
      </c>
    </row>
    <row r="924" spans="1:5" x14ac:dyDescent="0.25">
      <c r="A924" t="str">
        <f>"750301869"</f>
        <v>750301869</v>
      </c>
      <c r="B924" t="s">
        <v>918</v>
      </c>
      <c r="C924">
        <v>140.82</v>
      </c>
      <c r="D924" t="str">
        <f t="shared" si="36"/>
        <v>306</v>
      </c>
      <c r="E924" t="str">
        <f>"87070"</f>
        <v>87070</v>
      </c>
    </row>
    <row r="925" spans="1:5" x14ac:dyDescent="0.25">
      <c r="A925" t="str">
        <f>"750301872"</f>
        <v>750301872</v>
      </c>
      <c r="B925" t="s">
        <v>919</v>
      </c>
      <c r="C925">
        <v>37.700000000000003</v>
      </c>
      <c r="D925" t="str">
        <f t="shared" si="36"/>
        <v>306</v>
      </c>
      <c r="E925" t="str">
        <f>"87075"</f>
        <v>87075</v>
      </c>
    </row>
    <row r="926" spans="1:5" x14ac:dyDescent="0.25">
      <c r="A926" t="str">
        <f>"750301873"</f>
        <v>750301873</v>
      </c>
      <c r="B926" t="s">
        <v>920</v>
      </c>
      <c r="C926">
        <v>91.75</v>
      </c>
      <c r="D926" t="str">
        <f t="shared" si="36"/>
        <v>306</v>
      </c>
      <c r="E926" t="str">
        <f>"87081"</f>
        <v>87081</v>
      </c>
    </row>
    <row r="927" spans="1:5" x14ac:dyDescent="0.25">
      <c r="A927" t="str">
        <f>"750301875"</f>
        <v>750301875</v>
      </c>
      <c r="B927" t="s">
        <v>921</v>
      </c>
      <c r="C927">
        <v>122.66</v>
      </c>
      <c r="D927" t="str">
        <f t="shared" si="36"/>
        <v>306</v>
      </c>
      <c r="E927" t="str">
        <f>"87081"</f>
        <v>87081</v>
      </c>
    </row>
    <row r="928" spans="1:5" x14ac:dyDescent="0.25">
      <c r="A928" t="str">
        <f>"750301876"</f>
        <v>750301876</v>
      </c>
      <c r="B928" t="s">
        <v>922</v>
      </c>
      <c r="C928">
        <v>85.66</v>
      </c>
      <c r="D928" t="str">
        <f t="shared" si="36"/>
        <v>306</v>
      </c>
      <c r="E928" t="str">
        <f>"87081"</f>
        <v>87081</v>
      </c>
    </row>
    <row r="929" spans="1:5" x14ac:dyDescent="0.25">
      <c r="A929" t="str">
        <f>"750301879"</f>
        <v>750301879</v>
      </c>
      <c r="B929" t="s">
        <v>923</v>
      </c>
      <c r="C929">
        <v>161.19</v>
      </c>
      <c r="D929" t="str">
        <f t="shared" si="36"/>
        <v>306</v>
      </c>
      <c r="E929" t="str">
        <f>"87116"</f>
        <v>87116</v>
      </c>
    </row>
    <row r="930" spans="1:5" x14ac:dyDescent="0.25">
      <c r="A930" t="str">
        <f>"750301882"</f>
        <v>750301882</v>
      </c>
      <c r="B930" t="s">
        <v>924</v>
      </c>
      <c r="C930">
        <v>86.63</v>
      </c>
      <c r="D930" t="str">
        <f>"309"</f>
        <v>309</v>
      </c>
      <c r="E930" t="str">
        <f>"87110"</f>
        <v>87110</v>
      </c>
    </row>
    <row r="931" spans="1:5" x14ac:dyDescent="0.25">
      <c r="A931" t="str">
        <f>"750301885"</f>
        <v>750301885</v>
      </c>
      <c r="B931" t="s">
        <v>925</v>
      </c>
      <c r="C931">
        <v>159.38999999999999</v>
      </c>
      <c r="D931" t="str">
        <f t="shared" ref="D931:D942" si="37">"306"</f>
        <v>306</v>
      </c>
      <c r="E931" t="str">
        <f>"87177"</f>
        <v>87177</v>
      </c>
    </row>
    <row r="932" spans="1:5" x14ac:dyDescent="0.25">
      <c r="A932" t="str">
        <f>"750301886"</f>
        <v>750301886</v>
      </c>
      <c r="B932" t="s">
        <v>926</v>
      </c>
      <c r="C932">
        <v>159.38999999999999</v>
      </c>
      <c r="D932" t="str">
        <f t="shared" si="37"/>
        <v>306</v>
      </c>
      <c r="E932" t="str">
        <f>"87177"</f>
        <v>87177</v>
      </c>
    </row>
    <row r="933" spans="1:5" x14ac:dyDescent="0.25">
      <c r="A933" t="str">
        <f>"750301888"</f>
        <v>750301888</v>
      </c>
      <c r="B933" t="s">
        <v>927</v>
      </c>
      <c r="C933">
        <v>96.18</v>
      </c>
      <c r="D933" t="str">
        <f t="shared" si="37"/>
        <v>306</v>
      </c>
      <c r="E933" t="str">
        <f>"87184"</f>
        <v>87184</v>
      </c>
    </row>
    <row r="934" spans="1:5" x14ac:dyDescent="0.25">
      <c r="A934" t="str">
        <f>"750301889"</f>
        <v>750301889</v>
      </c>
      <c r="B934" t="s">
        <v>928</v>
      </c>
      <c r="C934">
        <v>59.6</v>
      </c>
      <c r="D934" t="str">
        <f t="shared" si="37"/>
        <v>306</v>
      </c>
      <c r="E934" t="str">
        <f>"87186"</f>
        <v>87186</v>
      </c>
    </row>
    <row r="935" spans="1:5" x14ac:dyDescent="0.25">
      <c r="A935" t="str">
        <f>"750301892"</f>
        <v>750301892</v>
      </c>
      <c r="B935" t="s">
        <v>929</v>
      </c>
      <c r="C935">
        <v>59.6</v>
      </c>
      <c r="D935" t="str">
        <f t="shared" si="37"/>
        <v>306</v>
      </c>
      <c r="E935" t="str">
        <f>"87190"</f>
        <v>87190</v>
      </c>
    </row>
    <row r="936" spans="1:5" x14ac:dyDescent="0.25">
      <c r="A936" t="str">
        <f>"750301893"</f>
        <v>750301893</v>
      </c>
      <c r="B936" t="s">
        <v>930</v>
      </c>
      <c r="C936">
        <v>67.08</v>
      </c>
      <c r="D936" t="str">
        <f t="shared" si="37"/>
        <v>306</v>
      </c>
      <c r="E936" t="str">
        <f>"87205"</f>
        <v>87205</v>
      </c>
    </row>
    <row r="937" spans="1:5" x14ac:dyDescent="0.25">
      <c r="A937" t="str">
        <f>"750301896"</f>
        <v>750301896</v>
      </c>
      <c r="B937" t="s">
        <v>931</v>
      </c>
      <c r="C937">
        <v>81.5</v>
      </c>
      <c r="D937" t="str">
        <f t="shared" si="37"/>
        <v>306</v>
      </c>
      <c r="E937" t="str">
        <f>"87206"</f>
        <v>87206</v>
      </c>
    </row>
    <row r="938" spans="1:5" x14ac:dyDescent="0.25">
      <c r="A938" t="str">
        <f>"750301898"</f>
        <v>750301898</v>
      </c>
      <c r="B938" t="s">
        <v>932</v>
      </c>
      <c r="C938">
        <v>96.05</v>
      </c>
      <c r="D938" t="str">
        <f t="shared" si="37"/>
        <v>306</v>
      </c>
      <c r="E938" t="str">
        <f>"87207"</f>
        <v>87207</v>
      </c>
    </row>
    <row r="939" spans="1:5" x14ac:dyDescent="0.25">
      <c r="A939" t="str">
        <f>"750301905"</f>
        <v>750301905</v>
      </c>
      <c r="B939" t="s">
        <v>933</v>
      </c>
      <c r="C939">
        <v>290.37</v>
      </c>
      <c r="D939" t="str">
        <f t="shared" si="37"/>
        <v>306</v>
      </c>
      <c r="E939" t="str">
        <f>"87252"</f>
        <v>87252</v>
      </c>
    </row>
    <row r="940" spans="1:5" x14ac:dyDescent="0.25">
      <c r="A940" t="str">
        <f>"750301906"</f>
        <v>750301906</v>
      </c>
      <c r="B940" t="s">
        <v>934</v>
      </c>
      <c r="C940">
        <v>255.86</v>
      </c>
      <c r="D940" t="str">
        <f t="shared" si="37"/>
        <v>306</v>
      </c>
      <c r="E940" t="str">
        <f>"87252"</f>
        <v>87252</v>
      </c>
    </row>
    <row r="941" spans="1:5" x14ac:dyDescent="0.25">
      <c r="A941" t="str">
        <f>"750301907"</f>
        <v>750301907</v>
      </c>
      <c r="B941" t="s">
        <v>935</v>
      </c>
      <c r="C941">
        <v>261.68</v>
      </c>
      <c r="D941" t="str">
        <f t="shared" si="37"/>
        <v>306</v>
      </c>
      <c r="E941" t="str">
        <f>"87252"</f>
        <v>87252</v>
      </c>
    </row>
    <row r="942" spans="1:5" x14ac:dyDescent="0.25">
      <c r="A942" t="str">
        <f>"750301908"</f>
        <v>750301908</v>
      </c>
      <c r="B942" t="s">
        <v>936</v>
      </c>
      <c r="C942">
        <v>232.01</v>
      </c>
      <c r="D942" t="str">
        <f t="shared" si="37"/>
        <v>306</v>
      </c>
      <c r="E942" t="str">
        <f>"87253"</f>
        <v>87253</v>
      </c>
    </row>
    <row r="943" spans="1:5" x14ac:dyDescent="0.25">
      <c r="A943" t="str">
        <f>"750301923"</f>
        <v>750301923</v>
      </c>
      <c r="B943" t="s">
        <v>937</v>
      </c>
      <c r="C943">
        <v>393.48</v>
      </c>
      <c r="D943" t="str">
        <f>"311"</f>
        <v>311</v>
      </c>
      <c r="E943" t="str">
        <f>"88108"</f>
        <v>88108</v>
      </c>
    </row>
    <row r="944" spans="1:5" x14ac:dyDescent="0.25">
      <c r="A944" t="str">
        <f>"750301924"</f>
        <v>750301924</v>
      </c>
      <c r="B944" t="s">
        <v>938</v>
      </c>
      <c r="C944">
        <v>393.48</v>
      </c>
      <c r="D944" t="str">
        <f>"311"</f>
        <v>311</v>
      </c>
      <c r="E944" t="str">
        <f>"88108"</f>
        <v>88108</v>
      </c>
    </row>
    <row r="945" spans="1:5" x14ac:dyDescent="0.25">
      <c r="A945" t="str">
        <f>"750301925"</f>
        <v>750301925</v>
      </c>
      <c r="B945" t="s">
        <v>939</v>
      </c>
      <c r="C945">
        <v>124.74</v>
      </c>
      <c r="D945" t="str">
        <f>"271"</f>
        <v>271</v>
      </c>
      <c r="E945" t="str">
        <f>"88180"</f>
        <v>88180</v>
      </c>
    </row>
    <row r="946" spans="1:5" x14ac:dyDescent="0.25">
      <c r="A946" t="str">
        <f>"750301926"</f>
        <v>750301926</v>
      </c>
      <c r="B946" t="s">
        <v>940</v>
      </c>
      <c r="C946">
        <v>101.18</v>
      </c>
      <c r="D946" t="str">
        <f>"312"</f>
        <v>312</v>
      </c>
      <c r="E946" t="str">
        <f>"88347"</f>
        <v>88347</v>
      </c>
    </row>
    <row r="947" spans="1:5" x14ac:dyDescent="0.25">
      <c r="A947" t="str">
        <f>"750301927"</f>
        <v>750301927</v>
      </c>
      <c r="B947" t="s">
        <v>941</v>
      </c>
      <c r="C947">
        <v>141.1</v>
      </c>
      <c r="D947" t="str">
        <f t="shared" ref="D947:D953" si="38">"309"</f>
        <v>309</v>
      </c>
      <c r="E947" t="str">
        <f>"89050"</f>
        <v>89050</v>
      </c>
    </row>
    <row r="948" spans="1:5" x14ac:dyDescent="0.25">
      <c r="A948" t="str">
        <f>"750301928"</f>
        <v>750301928</v>
      </c>
      <c r="B948" t="s">
        <v>942</v>
      </c>
      <c r="C948">
        <v>142.07</v>
      </c>
      <c r="D948" t="str">
        <f t="shared" si="38"/>
        <v>309</v>
      </c>
      <c r="E948" t="str">
        <f>"89051"</f>
        <v>89051</v>
      </c>
    </row>
    <row r="949" spans="1:5" x14ac:dyDescent="0.25">
      <c r="A949" t="str">
        <f>"750301929"</f>
        <v>750301929</v>
      </c>
      <c r="B949" t="s">
        <v>943</v>
      </c>
      <c r="C949">
        <v>66.39</v>
      </c>
      <c r="D949" t="str">
        <f t="shared" si="38"/>
        <v>309</v>
      </c>
      <c r="E949" t="str">
        <f>"89160"</f>
        <v>89160</v>
      </c>
    </row>
    <row r="950" spans="1:5" x14ac:dyDescent="0.25">
      <c r="A950" t="str">
        <f>"750301930"</f>
        <v>750301930</v>
      </c>
      <c r="B950" t="s">
        <v>944</v>
      </c>
      <c r="C950">
        <v>69.72</v>
      </c>
      <c r="D950" t="str">
        <f t="shared" si="38"/>
        <v>309</v>
      </c>
      <c r="E950" t="str">
        <f>"89190"</f>
        <v>89190</v>
      </c>
    </row>
    <row r="951" spans="1:5" x14ac:dyDescent="0.25">
      <c r="A951" t="str">
        <f>"750301931"</f>
        <v>750301931</v>
      </c>
      <c r="B951" t="s">
        <v>945</v>
      </c>
      <c r="C951">
        <v>87.53</v>
      </c>
      <c r="D951" t="str">
        <f t="shared" si="38"/>
        <v>309</v>
      </c>
      <c r="E951" t="str">
        <f>"89300"</f>
        <v>89300</v>
      </c>
    </row>
    <row r="952" spans="1:5" x14ac:dyDescent="0.25">
      <c r="A952" t="str">
        <f>"750301932"</f>
        <v>750301932</v>
      </c>
      <c r="B952" t="s">
        <v>946</v>
      </c>
      <c r="C952">
        <v>287.74</v>
      </c>
      <c r="D952" t="str">
        <f t="shared" si="38"/>
        <v>309</v>
      </c>
      <c r="E952" t="str">
        <f>"89310"</f>
        <v>89310</v>
      </c>
    </row>
    <row r="953" spans="1:5" x14ac:dyDescent="0.25">
      <c r="A953" t="str">
        <f>"750301933"</f>
        <v>750301933</v>
      </c>
      <c r="B953" t="s">
        <v>947</v>
      </c>
      <c r="C953">
        <v>84.55</v>
      </c>
      <c r="D953" t="str">
        <f t="shared" si="38"/>
        <v>309</v>
      </c>
      <c r="E953" t="str">
        <f>"89310"</f>
        <v>89310</v>
      </c>
    </row>
    <row r="954" spans="1:5" x14ac:dyDescent="0.25">
      <c r="A954" t="str">
        <f>"750301935"</f>
        <v>750301935</v>
      </c>
      <c r="B954" t="s">
        <v>948</v>
      </c>
      <c r="C954">
        <v>101.64</v>
      </c>
      <c r="D954" t="str">
        <f>"300"</f>
        <v>300</v>
      </c>
      <c r="E954" t="str">
        <f>"99001"</f>
        <v>99001</v>
      </c>
    </row>
    <row r="955" spans="1:5" x14ac:dyDescent="0.25">
      <c r="A955" t="str">
        <f>"750301936"</f>
        <v>750301936</v>
      </c>
      <c r="B955" t="s">
        <v>949</v>
      </c>
      <c r="C955">
        <v>83.16</v>
      </c>
      <c r="D955" t="str">
        <f t="shared" ref="D955:D960" si="39">"306"</f>
        <v>306</v>
      </c>
      <c r="E955" t="str">
        <f>"87076"</f>
        <v>87076</v>
      </c>
    </row>
    <row r="956" spans="1:5" x14ac:dyDescent="0.25">
      <c r="A956" t="str">
        <f>"750301937"</f>
        <v>750301937</v>
      </c>
      <c r="B956" t="s">
        <v>950</v>
      </c>
      <c r="C956">
        <v>58.21</v>
      </c>
      <c r="D956" t="str">
        <f t="shared" si="39"/>
        <v>306</v>
      </c>
      <c r="E956" t="str">
        <f>"87070"</f>
        <v>87070</v>
      </c>
    </row>
    <row r="957" spans="1:5" x14ac:dyDescent="0.25">
      <c r="A957" t="str">
        <f>"750301940"</f>
        <v>750301940</v>
      </c>
      <c r="B957" t="s">
        <v>951</v>
      </c>
      <c r="C957">
        <v>108.57</v>
      </c>
      <c r="D957" t="str">
        <f t="shared" si="39"/>
        <v>306</v>
      </c>
      <c r="E957" t="str">
        <f>"87230"</f>
        <v>87230</v>
      </c>
    </row>
    <row r="958" spans="1:5" x14ac:dyDescent="0.25">
      <c r="A958" t="str">
        <f>"750301942"</f>
        <v>750301942</v>
      </c>
      <c r="B958" t="s">
        <v>952</v>
      </c>
      <c r="C958">
        <v>455.33</v>
      </c>
      <c r="D958" t="str">
        <f t="shared" si="39"/>
        <v>306</v>
      </c>
      <c r="E958" t="str">
        <f>"87491"</f>
        <v>87491</v>
      </c>
    </row>
    <row r="959" spans="1:5" x14ac:dyDescent="0.25">
      <c r="A959" t="str">
        <f>"750301944"</f>
        <v>750301944</v>
      </c>
      <c r="B959" t="s">
        <v>953</v>
      </c>
      <c r="C959">
        <v>58.21</v>
      </c>
      <c r="D959" t="str">
        <f t="shared" si="39"/>
        <v>306</v>
      </c>
      <c r="E959" t="str">
        <f>"87103"</f>
        <v>87103</v>
      </c>
    </row>
    <row r="960" spans="1:5" x14ac:dyDescent="0.25">
      <c r="A960" t="str">
        <f>"750301945"</f>
        <v>750301945</v>
      </c>
      <c r="B960" t="s">
        <v>954</v>
      </c>
      <c r="C960">
        <v>383.59</v>
      </c>
      <c r="D960" t="str">
        <f t="shared" si="39"/>
        <v>306</v>
      </c>
      <c r="E960" t="str">
        <f>"87102"</f>
        <v>87102</v>
      </c>
    </row>
    <row r="961" spans="1:5" x14ac:dyDescent="0.25">
      <c r="A961" t="str">
        <f>"750301952"</f>
        <v>750301952</v>
      </c>
      <c r="B961" t="s">
        <v>955</v>
      </c>
      <c r="C961">
        <v>58.21</v>
      </c>
      <c r="D961" t="str">
        <f>"302"</f>
        <v>302</v>
      </c>
      <c r="E961" t="str">
        <f t="shared" ref="E961:E966" si="40">"87070"</f>
        <v>87070</v>
      </c>
    </row>
    <row r="962" spans="1:5" x14ac:dyDescent="0.25">
      <c r="A962" t="str">
        <f>"750301954"</f>
        <v>750301954</v>
      </c>
      <c r="B962" t="s">
        <v>956</v>
      </c>
      <c r="C962">
        <v>58.21</v>
      </c>
      <c r="D962" t="str">
        <f t="shared" ref="D962:D967" si="41">"306"</f>
        <v>306</v>
      </c>
      <c r="E962" t="str">
        <f t="shared" si="40"/>
        <v>87070</v>
      </c>
    </row>
    <row r="963" spans="1:5" x14ac:dyDescent="0.25">
      <c r="A963" t="str">
        <f>"750301955"</f>
        <v>750301955</v>
      </c>
      <c r="B963" t="s">
        <v>957</v>
      </c>
      <c r="C963">
        <v>58.21</v>
      </c>
      <c r="D963" t="str">
        <f t="shared" si="41"/>
        <v>306</v>
      </c>
      <c r="E963" t="str">
        <f t="shared" si="40"/>
        <v>87070</v>
      </c>
    </row>
    <row r="964" spans="1:5" x14ac:dyDescent="0.25">
      <c r="A964" t="str">
        <f>"750301956"</f>
        <v>750301956</v>
      </c>
      <c r="B964" t="s">
        <v>958</v>
      </c>
      <c r="C964">
        <v>58.21</v>
      </c>
      <c r="D964" t="str">
        <f t="shared" si="41"/>
        <v>306</v>
      </c>
      <c r="E964" t="str">
        <f t="shared" si="40"/>
        <v>87070</v>
      </c>
    </row>
    <row r="965" spans="1:5" x14ac:dyDescent="0.25">
      <c r="A965" t="str">
        <f>"750301957"</f>
        <v>750301957</v>
      </c>
      <c r="B965" t="s">
        <v>959</v>
      </c>
      <c r="C965">
        <v>58.21</v>
      </c>
      <c r="D965" t="str">
        <f t="shared" si="41"/>
        <v>306</v>
      </c>
      <c r="E965" t="str">
        <f t="shared" si="40"/>
        <v>87070</v>
      </c>
    </row>
    <row r="966" spans="1:5" x14ac:dyDescent="0.25">
      <c r="A966" t="str">
        <f>"750301958"</f>
        <v>750301958</v>
      </c>
      <c r="B966" t="s">
        <v>960</v>
      </c>
      <c r="C966">
        <v>58.21</v>
      </c>
      <c r="D966" t="str">
        <f t="shared" si="41"/>
        <v>306</v>
      </c>
      <c r="E966" t="str">
        <f t="shared" si="40"/>
        <v>87070</v>
      </c>
    </row>
    <row r="967" spans="1:5" x14ac:dyDescent="0.25">
      <c r="A967" t="str">
        <f>"750301962"</f>
        <v>750301962</v>
      </c>
      <c r="B967" t="s">
        <v>961</v>
      </c>
      <c r="C967">
        <v>58.21</v>
      </c>
      <c r="D967" t="str">
        <f t="shared" si="41"/>
        <v>306</v>
      </c>
      <c r="E967" t="str">
        <f>"87081"</f>
        <v>87081</v>
      </c>
    </row>
    <row r="968" spans="1:5" x14ac:dyDescent="0.25">
      <c r="A968" t="str">
        <f>"750301963"</f>
        <v>750301963</v>
      </c>
      <c r="B968" t="s">
        <v>962</v>
      </c>
      <c r="C968">
        <v>58.21</v>
      </c>
      <c r="D968" t="str">
        <f>"309"</f>
        <v>309</v>
      </c>
      <c r="E968" t="str">
        <f>"87070"</f>
        <v>87070</v>
      </c>
    </row>
    <row r="969" spans="1:5" x14ac:dyDescent="0.25">
      <c r="A969" t="str">
        <f>"750301964"</f>
        <v>750301964</v>
      </c>
      <c r="B969" t="s">
        <v>963</v>
      </c>
      <c r="C969">
        <v>214.5</v>
      </c>
      <c r="D969" t="str">
        <f>"306"</f>
        <v>306</v>
      </c>
      <c r="E969" t="str">
        <f>"87086"</f>
        <v>87086</v>
      </c>
    </row>
    <row r="970" spans="1:5" x14ac:dyDescent="0.25">
      <c r="A970" t="str">
        <f>"750301970"</f>
        <v>750301970</v>
      </c>
      <c r="B970" t="s">
        <v>964</v>
      </c>
      <c r="C970">
        <v>143.31</v>
      </c>
      <c r="D970" t="str">
        <f>"306"</f>
        <v>306</v>
      </c>
      <c r="E970" t="str">
        <f>"87070"</f>
        <v>87070</v>
      </c>
    </row>
    <row r="971" spans="1:5" x14ac:dyDescent="0.25">
      <c r="A971" t="str">
        <f>"750301975"</f>
        <v>750301975</v>
      </c>
      <c r="B971" t="s">
        <v>965</v>
      </c>
      <c r="C971">
        <v>124.74</v>
      </c>
      <c r="D971" t="str">
        <f>"301"</f>
        <v>301</v>
      </c>
      <c r="E971" t="str">
        <f>"82947"</f>
        <v>82947</v>
      </c>
    </row>
    <row r="972" spans="1:5" x14ac:dyDescent="0.25">
      <c r="A972" t="str">
        <f>"750301976"</f>
        <v>750301976</v>
      </c>
      <c r="B972" t="s">
        <v>966</v>
      </c>
      <c r="C972">
        <v>20.79</v>
      </c>
      <c r="D972" t="str">
        <f>"301"</f>
        <v>301</v>
      </c>
      <c r="E972" t="str">
        <f>"82950"</f>
        <v>82950</v>
      </c>
    </row>
    <row r="973" spans="1:5" x14ac:dyDescent="0.25">
      <c r="A973" t="str">
        <f>"750301978"</f>
        <v>750301978</v>
      </c>
      <c r="B973" t="s">
        <v>967</v>
      </c>
      <c r="C973">
        <v>124.74</v>
      </c>
      <c r="D973" t="str">
        <f>"301"</f>
        <v>301</v>
      </c>
      <c r="E973" t="str">
        <f>"82952"</f>
        <v>82952</v>
      </c>
    </row>
    <row r="974" spans="1:5" x14ac:dyDescent="0.25">
      <c r="A974" t="str">
        <f>"750301979"</f>
        <v>750301979</v>
      </c>
      <c r="B974" t="s">
        <v>968</v>
      </c>
      <c r="C974">
        <v>187.11</v>
      </c>
      <c r="D974" t="str">
        <f>"301"</f>
        <v>301</v>
      </c>
      <c r="E974" t="str">
        <f>"82575"</f>
        <v>82575</v>
      </c>
    </row>
    <row r="975" spans="1:5" x14ac:dyDescent="0.25">
      <c r="A975" t="str">
        <f>"750301981"</f>
        <v>750301981</v>
      </c>
      <c r="B975" t="s">
        <v>969</v>
      </c>
      <c r="C975">
        <v>105.62</v>
      </c>
      <c r="D975" t="str">
        <f>"300"</f>
        <v>300</v>
      </c>
      <c r="E975" t="str">
        <f>"80076"</f>
        <v>80076</v>
      </c>
    </row>
    <row r="976" spans="1:5" x14ac:dyDescent="0.25">
      <c r="A976" t="str">
        <f>"750301987"</f>
        <v>750301987</v>
      </c>
      <c r="B976" t="s">
        <v>970</v>
      </c>
      <c r="C976">
        <v>155.93</v>
      </c>
      <c r="D976" t="str">
        <f>"301"</f>
        <v>301</v>
      </c>
      <c r="E976" t="str">
        <f>"82747"</f>
        <v>82747</v>
      </c>
    </row>
    <row r="977" spans="1:5" x14ac:dyDescent="0.25">
      <c r="A977" t="str">
        <f>"750301991"</f>
        <v>750301991</v>
      </c>
      <c r="B977" t="s">
        <v>971</v>
      </c>
      <c r="C977">
        <v>129.94</v>
      </c>
      <c r="D977" t="str">
        <f>"301"</f>
        <v>301</v>
      </c>
      <c r="E977" t="str">
        <f>"83550"</f>
        <v>83550</v>
      </c>
    </row>
    <row r="978" spans="1:5" x14ac:dyDescent="0.25">
      <c r="A978" t="str">
        <f>"750301993"</f>
        <v>750301993</v>
      </c>
      <c r="B978" t="s">
        <v>972</v>
      </c>
      <c r="C978">
        <v>124.74</v>
      </c>
      <c r="D978" t="str">
        <f>"306"</f>
        <v>306</v>
      </c>
      <c r="E978" t="str">
        <f>"87340"</f>
        <v>87340</v>
      </c>
    </row>
    <row r="979" spans="1:5" x14ac:dyDescent="0.25">
      <c r="A979" t="str">
        <f>"750301994"</f>
        <v>750301994</v>
      </c>
      <c r="B979" t="s">
        <v>973</v>
      </c>
      <c r="C979">
        <v>231</v>
      </c>
      <c r="D979" t="str">
        <f>"301"</f>
        <v>301</v>
      </c>
      <c r="E979" t="str">
        <f>"83880"</f>
        <v>83880</v>
      </c>
    </row>
    <row r="980" spans="1:5" x14ac:dyDescent="0.25">
      <c r="A980" t="str">
        <f>"750301995"</f>
        <v>750301995</v>
      </c>
      <c r="B980" t="s">
        <v>974</v>
      </c>
      <c r="C980">
        <v>231</v>
      </c>
      <c r="D980" t="str">
        <f>"302"</f>
        <v>302</v>
      </c>
      <c r="E980" t="str">
        <f>"86703"</f>
        <v>86703</v>
      </c>
    </row>
    <row r="981" spans="1:5" x14ac:dyDescent="0.25">
      <c r="A981" t="str">
        <f>"750301996"</f>
        <v>750301996</v>
      </c>
      <c r="B981" t="s">
        <v>975</v>
      </c>
      <c r="C981">
        <v>196.35</v>
      </c>
      <c r="D981" t="str">
        <f>"301"</f>
        <v>301</v>
      </c>
      <c r="E981" t="str">
        <f>"83970"</f>
        <v>83970</v>
      </c>
    </row>
    <row r="982" spans="1:5" x14ac:dyDescent="0.25">
      <c r="A982" t="str">
        <f>"750302010"</f>
        <v>750302010</v>
      </c>
      <c r="B982" t="s">
        <v>976</v>
      </c>
      <c r="C982">
        <v>70.41</v>
      </c>
      <c r="D982" t="str">
        <f>"302"</f>
        <v>302</v>
      </c>
      <c r="E982" t="str">
        <f>"86800"</f>
        <v>86800</v>
      </c>
    </row>
    <row r="983" spans="1:5" x14ac:dyDescent="0.25">
      <c r="A983" t="str">
        <f>"750302011"</f>
        <v>750302011</v>
      </c>
      <c r="B983" t="s">
        <v>977</v>
      </c>
      <c r="C983">
        <v>75.2</v>
      </c>
      <c r="D983" t="str">
        <f>"302"</f>
        <v>302</v>
      </c>
      <c r="E983" t="str">
        <f>"86777"</f>
        <v>86777</v>
      </c>
    </row>
    <row r="984" spans="1:5" x14ac:dyDescent="0.25">
      <c r="A984" t="str">
        <f>"750302012"</f>
        <v>750302012</v>
      </c>
      <c r="B984" t="s">
        <v>978</v>
      </c>
      <c r="C984">
        <v>155.93</v>
      </c>
      <c r="D984" t="str">
        <f>"307"</f>
        <v>307</v>
      </c>
      <c r="E984" t="str">
        <f>"81025"</f>
        <v>81025</v>
      </c>
    </row>
    <row r="985" spans="1:5" x14ac:dyDescent="0.25">
      <c r="A985" t="str">
        <f>"750302013"</f>
        <v>750302013</v>
      </c>
      <c r="B985" t="s">
        <v>979</v>
      </c>
      <c r="C985">
        <v>116.08</v>
      </c>
      <c r="D985" t="str">
        <f>"302"</f>
        <v>302</v>
      </c>
      <c r="E985" t="str">
        <f>"86631"</f>
        <v>86631</v>
      </c>
    </row>
    <row r="986" spans="1:5" x14ac:dyDescent="0.25">
      <c r="A986" t="str">
        <f>"750302014"</f>
        <v>750302014</v>
      </c>
      <c r="B986" t="s">
        <v>980</v>
      </c>
      <c r="C986">
        <v>180.32</v>
      </c>
      <c r="D986" t="str">
        <f>"302"</f>
        <v>302</v>
      </c>
      <c r="E986" t="str">
        <f>"86022"</f>
        <v>86022</v>
      </c>
    </row>
    <row r="987" spans="1:5" x14ac:dyDescent="0.25">
      <c r="A987" t="str">
        <f>"750302025"</f>
        <v>750302025</v>
      </c>
      <c r="B987" t="s">
        <v>981</v>
      </c>
      <c r="C987">
        <v>58.21</v>
      </c>
      <c r="D987" t="str">
        <f>"306"</f>
        <v>306</v>
      </c>
      <c r="E987" t="str">
        <f>"87070"</f>
        <v>87070</v>
      </c>
    </row>
    <row r="988" spans="1:5" x14ac:dyDescent="0.25">
      <c r="A988" t="str">
        <f>"750302026"</f>
        <v>750302026</v>
      </c>
      <c r="B988" t="s">
        <v>982</v>
      </c>
      <c r="C988">
        <v>83.16</v>
      </c>
      <c r="D988" t="str">
        <f>"309"</f>
        <v>309</v>
      </c>
      <c r="E988" t="str">
        <f>"89051"</f>
        <v>89051</v>
      </c>
    </row>
    <row r="989" spans="1:5" x14ac:dyDescent="0.25">
      <c r="A989" t="str">
        <f>"750302027"</f>
        <v>750302027</v>
      </c>
      <c r="B989" t="s">
        <v>983</v>
      </c>
      <c r="C989">
        <v>83.16</v>
      </c>
      <c r="D989" t="str">
        <f>"309"</f>
        <v>309</v>
      </c>
      <c r="E989" t="str">
        <f>"89051"</f>
        <v>89051</v>
      </c>
    </row>
    <row r="990" spans="1:5" x14ac:dyDescent="0.25">
      <c r="A990" t="str">
        <f>"750302029"</f>
        <v>750302029</v>
      </c>
      <c r="B990" t="s">
        <v>984</v>
      </c>
      <c r="C990">
        <v>58.21</v>
      </c>
      <c r="D990" t="str">
        <f>"306"</f>
        <v>306</v>
      </c>
      <c r="E990" t="str">
        <f>"87081"</f>
        <v>87081</v>
      </c>
    </row>
    <row r="991" spans="1:5" x14ac:dyDescent="0.25">
      <c r="A991" t="str">
        <f>"750302030"</f>
        <v>750302030</v>
      </c>
      <c r="B991" t="s">
        <v>985</v>
      </c>
      <c r="C991">
        <v>17.600000000000001</v>
      </c>
      <c r="D991" t="str">
        <f>"309"</f>
        <v>309</v>
      </c>
      <c r="E991" t="str">
        <f>"89050"</f>
        <v>89050</v>
      </c>
    </row>
    <row r="992" spans="1:5" x14ac:dyDescent="0.25">
      <c r="A992" t="str">
        <f>"750302031"</f>
        <v>750302031</v>
      </c>
      <c r="B992" t="s">
        <v>986</v>
      </c>
      <c r="C992">
        <v>83.16</v>
      </c>
      <c r="D992" t="str">
        <f>"309"</f>
        <v>309</v>
      </c>
      <c r="E992" t="str">
        <f>"89051"</f>
        <v>89051</v>
      </c>
    </row>
    <row r="993" spans="1:5" x14ac:dyDescent="0.25">
      <c r="A993" t="str">
        <f>"750302032"</f>
        <v>750302032</v>
      </c>
      <c r="B993" t="s">
        <v>987</v>
      </c>
      <c r="C993">
        <v>58.21</v>
      </c>
      <c r="D993" t="str">
        <f>"306"</f>
        <v>306</v>
      </c>
      <c r="E993" t="str">
        <f>"87070"</f>
        <v>87070</v>
      </c>
    </row>
    <row r="994" spans="1:5" x14ac:dyDescent="0.25">
      <c r="A994" t="str">
        <f>"750302033"</f>
        <v>750302033</v>
      </c>
      <c r="B994" t="s">
        <v>988</v>
      </c>
      <c r="C994">
        <v>58.21</v>
      </c>
      <c r="D994" t="str">
        <f>"306"</f>
        <v>306</v>
      </c>
      <c r="E994" t="str">
        <f>"87101"</f>
        <v>87101</v>
      </c>
    </row>
    <row r="995" spans="1:5" x14ac:dyDescent="0.25">
      <c r="A995" t="str">
        <f>"750302034"</f>
        <v>750302034</v>
      </c>
      <c r="B995" t="s">
        <v>989</v>
      </c>
      <c r="C995">
        <v>51.28</v>
      </c>
      <c r="D995" t="str">
        <f>"306"</f>
        <v>306</v>
      </c>
      <c r="E995" t="str">
        <f>"87106"</f>
        <v>87106</v>
      </c>
    </row>
    <row r="996" spans="1:5" x14ac:dyDescent="0.25">
      <c r="A996" t="str">
        <f>"750302043"</f>
        <v>750302043</v>
      </c>
      <c r="B996" t="s">
        <v>990</v>
      </c>
      <c r="C996">
        <v>155.93</v>
      </c>
      <c r="D996" t="str">
        <f>"301"</f>
        <v>301</v>
      </c>
      <c r="E996" t="str">
        <f>"80320"</f>
        <v>80320</v>
      </c>
    </row>
    <row r="997" spans="1:5" x14ac:dyDescent="0.25">
      <c r="A997" t="str">
        <f>"750302054"</f>
        <v>750302054</v>
      </c>
      <c r="B997" t="s">
        <v>991</v>
      </c>
      <c r="C997">
        <v>473.55</v>
      </c>
      <c r="D997" t="str">
        <f>"390"</f>
        <v>390</v>
      </c>
      <c r="E997" t="str">
        <f>"P9016"</f>
        <v>P9016</v>
      </c>
    </row>
    <row r="998" spans="1:5" x14ac:dyDescent="0.25">
      <c r="A998" t="str">
        <f>"750302068"</f>
        <v>750302068</v>
      </c>
      <c r="B998" t="s">
        <v>992</v>
      </c>
      <c r="C998">
        <v>124.74</v>
      </c>
      <c r="D998" t="str">
        <f>"301"</f>
        <v>301</v>
      </c>
      <c r="E998" t="str">
        <f>"82945"</f>
        <v>82945</v>
      </c>
    </row>
    <row r="999" spans="1:5" x14ac:dyDescent="0.25">
      <c r="A999" t="str">
        <f>"750302083"</f>
        <v>750302083</v>
      </c>
      <c r="B999" t="s">
        <v>993</v>
      </c>
      <c r="C999">
        <v>139.76</v>
      </c>
      <c r="D999" t="str">
        <f>"390"</f>
        <v>390</v>
      </c>
      <c r="E999" t="str">
        <f>"P9012"</f>
        <v>P9012</v>
      </c>
    </row>
    <row r="1000" spans="1:5" x14ac:dyDescent="0.25">
      <c r="A1000" t="str">
        <f>"750302084"</f>
        <v>750302084</v>
      </c>
      <c r="B1000" t="s">
        <v>994</v>
      </c>
      <c r="C1000">
        <v>280.5</v>
      </c>
      <c r="D1000" t="str">
        <f>"390"</f>
        <v>390</v>
      </c>
      <c r="E1000" t="str">
        <f>"P9059"</f>
        <v>P9059</v>
      </c>
    </row>
    <row r="1001" spans="1:5" x14ac:dyDescent="0.25">
      <c r="A1001" t="str">
        <f>"750302089"</f>
        <v>750302089</v>
      </c>
      <c r="B1001" t="s">
        <v>995</v>
      </c>
      <c r="C1001" s="1">
        <v>1082.24</v>
      </c>
      <c r="D1001" t="str">
        <f>"390"</f>
        <v>390</v>
      </c>
      <c r="E1001" t="str">
        <f>"P9034"</f>
        <v>P9034</v>
      </c>
    </row>
    <row r="1002" spans="1:5" x14ac:dyDescent="0.25">
      <c r="A1002" t="str">
        <f>"750302098"</f>
        <v>750302098</v>
      </c>
      <c r="B1002" t="s">
        <v>996</v>
      </c>
      <c r="C1002">
        <v>82.64</v>
      </c>
      <c r="D1002" t="str">
        <f>"250"</f>
        <v>250</v>
      </c>
      <c r="E1002" t="str">
        <f>"83516"</f>
        <v>83516</v>
      </c>
    </row>
    <row r="1003" spans="1:5" x14ac:dyDescent="0.25">
      <c r="A1003" t="str">
        <f>"750302099"</f>
        <v>750302099</v>
      </c>
      <c r="B1003" t="s">
        <v>997</v>
      </c>
      <c r="C1003">
        <v>64.31</v>
      </c>
      <c r="D1003" t="str">
        <f>"301"</f>
        <v>301</v>
      </c>
      <c r="E1003" t="str">
        <f>"82784"</f>
        <v>82784</v>
      </c>
    </row>
    <row r="1004" spans="1:5" x14ac:dyDescent="0.25">
      <c r="A1004" t="str">
        <f>"750302100"</f>
        <v>750302100</v>
      </c>
      <c r="B1004" t="s">
        <v>998</v>
      </c>
      <c r="C1004">
        <v>60.64</v>
      </c>
      <c r="D1004" t="str">
        <f>"302"</f>
        <v>302</v>
      </c>
      <c r="E1004" t="str">
        <f>"86039"</f>
        <v>86039</v>
      </c>
    </row>
    <row r="1005" spans="1:5" x14ac:dyDescent="0.25">
      <c r="A1005" t="str">
        <f>"750302101"</f>
        <v>750302101</v>
      </c>
      <c r="B1005" t="s">
        <v>999</v>
      </c>
      <c r="C1005">
        <v>320.89</v>
      </c>
      <c r="D1005" t="str">
        <f>"302"</f>
        <v>302</v>
      </c>
      <c r="E1005" t="str">
        <f>"86355"</f>
        <v>86355</v>
      </c>
    </row>
    <row r="1006" spans="1:5" x14ac:dyDescent="0.25">
      <c r="A1006" t="str">
        <f>"750302102"</f>
        <v>750302102</v>
      </c>
      <c r="B1006" t="s">
        <v>1000</v>
      </c>
      <c r="C1006">
        <v>12.75</v>
      </c>
      <c r="D1006" t="str">
        <f>"305"</f>
        <v>305</v>
      </c>
      <c r="E1006" t="str">
        <f>"85041"</f>
        <v>85041</v>
      </c>
    </row>
    <row r="1007" spans="1:5" x14ac:dyDescent="0.25">
      <c r="A1007" t="str">
        <f>"750302103"</f>
        <v>750302103</v>
      </c>
      <c r="B1007" t="s">
        <v>1001</v>
      </c>
      <c r="C1007">
        <v>195.39</v>
      </c>
      <c r="D1007" t="str">
        <f>"301"</f>
        <v>301</v>
      </c>
      <c r="E1007" t="str">
        <f>"82365"</f>
        <v>82365</v>
      </c>
    </row>
    <row r="1008" spans="1:5" x14ac:dyDescent="0.25">
      <c r="A1008" t="str">
        <f>"750302104"</f>
        <v>750302104</v>
      </c>
      <c r="B1008" t="s">
        <v>1002</v>
      </c>
      <c r="C1008">
        <v>155.93</v>
      </c>
      <c r="D1008" t="str">
        <f>"302"</f>
        <v>302</v>
      </c>
      <c r="E1008" t="str">
        <f>"86141"</f>
        <v>86141</v>
      </c>
    </row>
    <row r="1009" spans="1:5" x14ac:dyDescent="0.25">
      <c r="A1009" t="str">
        <f>"750302105"</f>
        <v>750302105</v>
      </c>
      <c r="B1009" t="s">
        <v>1003</v>
      </c>
      <c r="C1009">
        <v>82.01</v>
      </c>
      <c r="D1009" t="str">
        <f>"301"</f>
        <v>301</v>
      </c>
      <c r="E1009" t="str">
        <f>"83021"</f>
        <v>83021</v>
      </c>
    </row>
    <row r="1010" spans="1:5" x14ac:dyDescent="0.25">
      <c r="A1010" t="str">
        <f>"750302106"</f>
        <v>750302106</v>
      </c>
      <c r="B1010" t="s">
        <v>1004</v>
      </c>
      <c r="C1010">
        <v>54.6</v>
      </c>
      <c r="D1010" t="str">
        <f>"306"</f>
        <v>306</v>
      </c>
      <c r="E1010" t="str">
        <f>"87449"</f>
        <v>87449</v>
      </c>
    </row>
    <row r="1011" spans="1:5" x14ac:dyDescent="0.25">
      <c r="A1011" t="str">
        <f>"750302107"</f>
        <v>750302107</v>
      </c>
      <c r="B1011" t="s">
        <v>1005</v>
      </c>
      <c r="C1011">
        <v>835.21</v>
      </c>
      <c r="D1011" t="str">
        <f>"306"</f>
        <v>306</v>
      </c>
      <c r="E1011" t="str">
        <f>"87536"</f>
        <v>87536</v>
      </c>
    </row>
    <row r="1012" spans="1:5" x14ac:dyDescent="0.25">
      <c r="A1012" t="str">
        <f>"750302108"</f>
        <v>750302108</v>
      </c>
      <c r="B1012" t="s">
        <v>1006</v>
      </c>
      <c r="C1012">
        <v>344.49</v>
      </c>
      <c r="D1012" t="str">
        <f>"306"</f>
        <v>306</v>
      </c>
      <c r="E1012" t="str">
        <f>"87538"</f>
        <v>87538</v>
      </c>
    </row>
    <row r="1013" spans="1:5" x14ac:dyDescent="0.25">
      <c r="A1013" t="str">
        <f>"750302109"</f>
        <v>750302109</v>
      </c>
      <c r="B1013" t="s">
        <v>1007</v>
      </c>
      <c r="C1013">
        <v>284.58999999999997</v>
      </c>
      <c r="D1013" t="str">
        <f>"302"</f>
        <v>302</v>
      </c>
      <c r="E1013" t="str">
        <f>"86255"</f>
        <v>86255</v>
      </c>
    </row>
    <row r="1014" spans="1:5" x14ac:dyDescent="0.25">
      <c r="A1014" t="str">
        <f>"750302110"</f>
        <v>750302110</v>
      </c>
      <c r="B1014" t="s">
        <v>1008</v>
      </c>
      <c r="C1014">
        <v>320.89</v>
      </c>
      <c r="D1014" t="str">
        <f>"302"</f>
        <v>302</v>
      </c>
      <c r="E1014" t="str">
        <f>"86357"</f>
        <v>86357</v>
      </c>
    </row>
    <row r="1015" spans="1:5" x14ac:dyDescent="0.25">
      <c r="A1015" t="str">
        <f>"750302111"</f>
        <v>750302111</v>
      </c>
      <c r="B1015" t="s">
        <v>1009</v>
      </c>
      <c r="C1015">
        <v>312.54000000000002</v>
      </c>
      <c r="D1015" t="str">
        <f>"306"</f>
        <v>306</v>
      </c>
      <c r="E1015" t="str">
        <f>"87591"</f>
        <v>87591</v>
      </c>
    </row>
    <row r="1016" spans="1:5" x14ac:dyDescent="0.25">
      <c r="A1016" t="str">
        <f>"750302112"</f>
        <v>750302112</v>
      </c>
      <c r="B1016" t="s">
        <v>1010</v>
      </c>
      <c r="C1016">
        <v>23.5</v>
      </c>
      <c r="D1016" t="str">
        <f>"301"</f>
        <v>301</v>
      </c>
      <c r="E1016" t="str">
        <f>"84157"</f>
        <v>84157</v>
      </c>
    </row>
    <row r="1017" spans="1:5" x14ac:dyDescent="0.25">
      <c r="A1017" t="str">
        <f>"750302113"</f>
        <v>750302113</v>
      </c>
      <c r="B1017" t="s">
        <v>1011</v>
      </c>
      <c r="C1017">
        <v>46.2</v>
      </c>
      <c r="D1017" t="str">
        <f>"301"</f>
        <v>301</v>
      </c>
      <c r="E1017" t="str">
        <f>"84311"</f>
        <v>84311</v>
      </c>
    </row>
    <row r="1018" spans="1:5" x14ac:dyDescent="0.25">
      <c r="A1018" t="str">
        <f>"750302114"</f>
        <v>750302114</v>
      </c>
      <c r="B1018" t="s">
        <v>1012</v>
      </c>
      <c r="C1018">
        <v>256.72000000000003</v>
      </c>
      <c r="D1018" t="str">
        <f>"302"</f>
        <v>302</v>
      </c>
      <c r="E1018" t="str">
        <f>"86361"</f>
        <v>86361</v>
      </c>
    </row>
    <row r="1019" spans="1:5" x14ac:dyDescent="0.25">
      <c r="A1019" t="str">
        <f>"750302115"</f>
        <v>750302115</v>
      </c>
      <c r="B1019" t="s">
        <v>1013</v>
      </c>
      <c r="C1019">
        <v>320.89</v>
      </c>
      <c r="D1019" t="str">
        <f>"302"</f>
        <v>302</v>
      </c>
      <c r="E1019" t="str">
        <f>"86359"</f>
        <v>86359</v>
      </c>
    </row>
    <row r="1020" spans="1:5" x14ac:dyDescent="0.25">
      <c r="A1020" t="str">
        <f>"750302177"</f>
        <v>750302177</v>
      </c>
      <c r="B1020" t="s">
        <v>1014</v>
      </c>
      <c r="C1020">
        <v>196.35</v>
      </c>
      <c r="D1020" t="str">
        <f>"300"</f>
        <v>300</v>
      </c>
      <c r="E1020" t="str">
        <f>"80200"</f>
        <v>80200</v>
      </c>
    </row>
    <row r="1021" spans="1:5" x14ac:dyDescent="0.25">
      <c r="A1021" t="str">
        <f>"750302179"</f>
        <v>750302179</v>
      </c>
      <c r="B1021" t="s">
        <v>1015</v>
      </c>
      <c r="C1021">
        <v>196.35</v>
      </c>
      <c r="D1021" t="str">
        <f>"300"</f>
        <v>300</v>
      </c>
      <c r="E1021" t="str">
        <f>"80202"</f>
        <v>80202</v>
      </c>
    </row>
    <row r="1022" spans="1:5" x14ac:dyDescent="0.25">
      <c r="A1022" t="str">
        <f>"750302187"</f>
        <v>750302187</v>
      </c>
      <c r="B1022" t="s">
        <v>1016</v>
      </c>
      <c r="C1022">
        <v>47.82</v>
      </c>
      <c r="D1022" t="str">
        <f>"306"</f>
        <v>306</v>
      </c>
      <c r="E1022" t="str">
        <f>"87186"</f>
        <v>87186</v>
      </c>
    </row>
    <row r="1023" spans="1:5" x14ac:dyDescent="0.25">
      <c r="A1023" t="str">
        <f>"750302188"</f>
        <v>750302188</v>
      </c>
      <c r="B1023" t="s">
        <v>1017</v>
      </c>
      <c r="C1023">
        <v>218.9</v>
      </c>
      <c r="D1023" t="str">
        <f>"300"</f>
        <v>300</v>
      </c>
      <c r="E1023" t="str">
        <f>"99001"</f>
        <v>99001</v>
      </c>
    </row>
    <row r="1024" spans="1:5" x14ac:dyDescent="0.25">
      <c r="A1024" t="str">
        <f>"750302239"</f>
        <v>750302239</v>
      </c>
      <c r="B1024" t="s">
        <v>1018</v>
      </c>
      <c r="C1024">
        <v>105.34</v>
      </c>
      <c r="D1024" t="str">
        <f>"311"</f>
        <v>311</v>
      </c>
      <c r="E1024" t="str">
        <f>"88180"</f>
        <v>88180</v>
      </c>
    </row>
    <row r="1025" spans="1:5" x14ac:dyDescent="0.25">
      <c r="A1025" t="str">
        <f>"750302249"</f>
        <v>750302249</v>
      </c>
      <c r="B1025" t="s">
        <v>1019</v>
      </c>
      <c r="C1025">
        <v>133.72999999999999</v>
      </c>
      <c r="D1025" t="str">
        <f>"300"</f>
        <v>300</v>
      </c>
      <c r="E1025" t="str">
        <f>"80299"</f>
        <v>80299</v>
      </c>
    </row>
    <row r="1026" spans="1:5" x14ac:dyDescent="0.25">
      <c r="A1026" t="str">
        <f>"750302252"</f>
        <v>750302252</v>
      </c>
      <c r="B1026" t="s">
        <v>1020</v>
      </c>
      <c r="C1026">
        <v>138.6</v>
      </c>
      <c r="D1026" t="str">
        <f>"271"</f>
        <v>271</v>
      </c>
      <c r="E1026" t="str">
        <f>"83945"</f>
        <v>83945</v>
      </c>
    </row>
    <row r="1027" spans="1:5" x14ac:dyDescent="0.25">
      <c r="A1027" t="str">
        <f>"750302253"</f>
        <v>750302253</v>
      </c>
      <c r="B1027" t="s">
        <v>1021</v>
      </c>
      <c r="C1027">
        <v>420.44</v>
      </c>
      <c r="D1027" t="str">
        <f>"312"</f>
        <v>312</v>
      </c>
      <c r="E1027" t="str">
        <f>"87497"</f>
        <v>87497</v>
      </c>
    </row>
    <row r="1028" spans="1:5" x14ac:dyDescent="0.25">
      <c r="A1028" t="str">
        <f>"750302254"</f>
        <v>750302254</v>
      </c>
      <c r="B1028" t="s">
        <v>1022</v>
      </c>
      <c r="C1028">
        <v>91.14</v>
      </c>
      <c r="D1028" t="str">
        <f>"306"</f>
        <v>306</v>
      </c>
      <c r="E1028" t="str">
        <f>"87328"</f>
        <v>87328</v>
      </c>
    </row>
    <row r="1029" spans="1:5" x14ac:dyDescent="0.25">
      <c r="A1029" t="str">
        <f>"750302255"</f>
        <v>750302255</v>
      </c>
      <c r="B1029" t="s">
        <v>1023</v>
      </c>
      <c r="C1029">
        <v>311.85000000000002</v>
      </c>
      <c r="D1029" t="str">
        <f>"301"</f>
        <v>301</v>
      </c>
      <c r="E1029" t="str">
        <f>"80305"</f>
        <v>80305</v>
      </c>
    </row>
    <row r="1030" spans="1:5" x14ac:dyDescent="0.25">
      <c r="A1030" t="str">
        <f>"750302256"</f>
        <v>750302256</v>
      </c>
      <c r="B1030" t="s">
        <v>1024</v>
      </c>
      <c r="C1030">
        <v>138.6</v>
      </c>
      <c r="D1030" t="str">
        <f>"305"</f>
        <v>305</v>
      </c>
      <c r="E1030" t="str">
        <f>"85370"</f>
        <v>85370</v>
      </c>
    </row>
    <row r="1031" spans="1:5" x14ac:dyDescent="0.25">
      <c r="A1031" t="str">
        <f>"750302257"</f>
        <v>750302257</v>
      </c>
      <c r="B1031" t="s">
        <v>1025</v>
      </c>
      <c r="C1031">
        <v>346.5</v>
      </c>
      <c r="D1031" t="str">
        <f>"300"</f>
        <v>300</v>
      </c>
    </row>
    <row r="1032" spans="1:5" x14ac:dyDescent="0.25">
      <c r="A1032" t="str">
        <f>"750302258"</f>
        <v>750302258</v>
      </c>
      <c r="B1032" t="s">
        <v>1026</v>
      </c>
      <c r="C1032" s="1">
        <v>1386</v>
      </c>
      <c r="D1032" t="str">
        <f>"306"</f>
        <v>306</v>
      </c>
      <c r="E1032" t="str">
        <f>"87902"</f>
        <v>87902</v>
      </c>
    </row>
    <row r="1033" spans="1:5" x14ac:dyDescent="0.25">
      <c r="A1033" t="str">
        <f>"750302259"</f>
        <v>750302259</v>
      </c>
      <c r="B1033" t="s">
        <v>1027</v>
      </c>
      <c r="C1033">
        <v>433.13</v>
      </c>
      <c r="D1033" t="str">
        <f>"300"</f>
        <v>300</v>
      </c>
    </row>
    <row r="1034" spans="1:5" x14ac:dyDescent="0.25">
      <c r="A1034" t="str">
        <f>"750302260"</f>
        <v>750302260</v>
      </c>
      <c r="B1034" t="s">
        <v>1028</v>
      </c>
      <c r="C1034">
        <v>349.97</v>
      </c>
      <c r="D1034" t="str">
        <f>"302"</f>
        <v>302</v>
      </c>
      <c r="E1034" t="str">
        <f>"86696"</f>
        <v>86696</v>
      </c>
    </row>
    <row r="1035" spans="1:5" x14ac:dyDescent="0.25">
      <c r="A1035" t="str">
        <f>"750302261"</f>
        <v>750302261</v>
      </c>
      <c r="B1035" t="s">
        <v>1029</v>
      </c>
      <c r="C1035">
        <v>693</v>
      </c>
      <c r="D1035" t="str">
        <f>"306"</f>
        <v>306</v>
      </c>
      <c r="E1035" t="str">
        <f>"87536"</f>
        <v>87536</v>
      </c>
    </row>
    <row r="1036" spans="1:5" x14ac:dyDescent="0.25">
      <c r="A1036" t="str">
        <f>"750302262"</f>
        <v>750302262</v>
      </c>
      <c r="B1036" t="s">
        <v>1030</v>
      </c>
      <c r="C1036">
        <v>173.25</v>
      </c>
      <c r="D1036" t="str">
        <f>"302"</f>
        <v>302</v>
      </c>
      <c r="E1036" t="str">
        <f>"86334"</f>
        <v>86334</v>
      </c>
    </row>
    <row r="1037" spans="1:5" x14ac:dyDescent="0.25">
      <c r="A1037" t="str">
        <f>"750302263"</f>
        <v>750302263</v>
      </c>
      <c r="B1037" t="s">
        <v>1031</v>
      </c>
      <c r="C1037">
        <v>346.5</v>
      </c>
      <c r="D1037" t="str">
        <f>"300"</f>
        <v>300</v>
      </c>
      <c r="E1037" t="str">
        <f>"80299"</f>
        <v>80299</v>
      </c>
    </row>
    <row r="1038" spans="1:5" x14ac:dyDescent="0.25">
      <c r="A1038" t="str">
        <f>"750302264"</f>
        <v>750302264</v>
      </c>
      <c r="B1038" t="s">
        <v>1032</v>
      </c>
      <c r="C1038">
        <v>138.6</v>
      </c>
      <c r="D1038" t="str">
        <f>"301"</f>
        <v>301</v>
      </c>
      <c r="E1038" t="str">
        <f>"82491"</f>
        <v>82491</v>
      </c>
    </row>
    <row r="1039" spans="1:5" x14ac:dyDescent="0.25">
      <c r="A1039" t="str">
        <f>"750302265"</f>
        <v>750302265</v>
      </c>
      <c r="B1039" t="s">
        <v>1033</v>
      </c>
      <c r="C1039">
        <v>86.63</v>
      </c>
      <c r="D1039" t="str">
        <f>"301"</f>
        <v>301</v>
      </c>
      <c r="E1039" t="str">
        <f>"83935"</f>
        <v>83935</v>
      </c>
    </row>
    <row r="1040" spans="1:5" x14ac:dyDescent="0.25">
      <c r="A1040" t="str">
        <f>"750302266"</f>
        <v>750302266</v>
      </c>
      <c r="B1040" t="s">
        <v>1034</v>
      </c>
      <c r="C1040">
        <v>242.55</v>
      </c>
      <c r="D1040" t="str">
        <f>"301"</f>
        <v>301</v>
      </c>
      <c r="E1040" t="str">
        <f>"82491"</f>
        <v>82491</v>
      </c>
    </row>
    <row r="1041" spans="1:5" x14ac:dyDescent="0.25">
      <c r="A1041" t="str">
        <f>"750302267"</f>
        <v>750302267</v>
      </c>
      <c r="B1041" t="s">
        <v>1035</v>
      </c>
      <c r="C1041">
        <v>78.58</v>
      </c>
      <c r="D1041" t="str">
        <f>"301"</f>
        <v>301</v>
      </c>
      <c r="E1041" t="str">
        <f>"84105"</f>
        <v>84105</v>
      </c>
    </row>
    <row r="1042" spans="1:5" x14ac:dyDescent="0.25">
      <c r="A1042" t="str">
        <f>"750302268"</f>
        <v>750302268</v>
      </c>
      <c r="B1042" t="s">
        <v>1036</v>
      </c>
      <c r="C1042">
        <v>51.22</v>
      </c>
      <c r="D1042" t="str">
        <f>"302"</f>
        <v>302</v>
      </c>
      <c r="E1042" t="str">
        <f>"86003"</f>
        <v>86003</v>
      </c>
    </row>
    <row r="1043" spans="1:5" x14ac:dyDescent="0.25">
      <c r="A1043" t="str">
        <f>"750302269"</f>
        <v>750302269</v>
      </c>
      <c r="B1043" t="s">
        <v>1037</v>
      </c>
      <c r="C1043">
        <v>173.25</v>
      </c>
      <c r="D1043" t="str">
        <f>"302"</f>
        <v>302</v>
      </c>
      <c r="E1043" t="str">
        <f>"86335"</f>
        <v>86335</v>
      </c>
    </row>
    <row r="1044" spans="1:5" x14ac:dyDescent="0.25">
      <c r="A1044" t="str">
        <f>"750302270"</f>
        <v>750302270</v>
      </c>
      <c r="B1044" t="s">
        <v>1038</v>
      </c>
      <c r="C1044">
        <v>103.95</v>
      </c>
      <c r="D1044" t="str">
        <f>"301"</f>
        <v>301</v>
      </c>
      <c r="E1044" t="str">
        <f>"84166"</f>
        <v>84166</v>
      </c>
    </row>
    <row r="1045" spans="1:5" x14ac:dyDescent="0.25">
      <c r="A1045" t="str">
        <f>"750302271"</f>
        <v>750302271</v>
      </c>
      <c r="B1045" t="s">
        <v>1039</v>
      </c>
      <c r="C1045">
        <v>346.5</v>
      </c>
      <c r="D1045" t="str">
        <f>"301"</f>
        <v>301</v>
      </c>
      <c r="E1045" t="str">
        <f>"82652"</f>
        <v>82652</v>
      </c>
    </row>
    <row r="1046" spans="1:5" x14ac:dyDescent="0.25">
      <c r="A1046" t="str">
        <f>"750302272"</f>
        <v>750302272</v>
      </c>
      <c r="B1046" t="s">
        <v>1040</v>
      </c>
      <c r="C1046">
        <v>134.44</v>
      </c>
      <c r="D1046" t="str">
        <f>"300"</f>
        <v>300</v>
      </c>
      <c r="E1046" t="str">
        <f>"80299"</f>
        <v>80299</v>
      </c>
    </row>
    <row r="1047" spans="1:5" x14ac:dyDescent="0.25">
      <c r="A1047" t="str">
        <f>"750302273"</f>
        <v>750302273</v>
      </c>
      <c r="B1047" t="s">
        <v>902</v>
      </c>
      <c r="C1047">
        <v>96.5</v>
      </c>
      <c r="D1047" t="str">
        <f>"302"</f>
        <v>302</v>
      </c>
      <c r="E1047" t="str">
        <f>"86706"</f>
        <v>86706</v>
      </c>
    </row>
    <row r="1048" spans="1:5" x14ac:dyDescent="0.25">
      <c r="A1048" t="str">
        <f>"750302274"</f>
        <v>750302274</v>
      </c>
      <c r="B1048" t="s">
        <v>1041</v>
      </c>
      <c r="C1048">
        <v>106.28</v>
      </c>
      <c r="D1048" t="str">
        <f>"302"</f>
        <v>302</v>
      </c>
      <c r="E1048" t="str">
        <f>"86704"</f>
        <v>86704</v>
      </c>
    </row>
    <row r="1049" spans="1:5" x14ac:dyDescent="0.25">
      <c r="A1049" t="str">
        <f>"750302275"</f>
        <v>750302275</v>
      </c>
      <c r="B1049" t="s">
        <v>1042</v>
      </c>
      <c r="C1049">
        <v>299.5</v>
      </c>
      <c r="D1049" t="str">
        <f>"302"</f>
        <v>302</v>
      </c>
      <c r="E1049" t="str">
        <f>"86765"</f>
        <v>86765</v>
      </c>
    </row>
    <row r="1050" spans="1:5" x14ac:dyDescent="0.25">
      <c r="A1050" t="str">
        <f>"750305001"</f>
        <v>750305001</v>
      </c>
      <c r="B1050" t="s">
        <v>1043</v>
      </c>
      <c r="C1050">
        <v>192.57</v>
      </c>
      <c r="D1050" t="str">
        <f t="shared" ref="D1050:D1082" si="42">"305"</f>
        <v>305</v>
      </c>
      <c r="E1050" t="str">
        <f t="shared" ref="E1050:E1054" si="43">"85610"</f>
        <v>85610</v>
      </c>
    </row>
    <row r="1051" spans="1:5" x14ac:dyDescent="0.25">
      <c r="A1051" t="str">
        <f>"750305003"</f>
        <v>750305003</v>
      </c>
      <c r="B1051" t="s">
        <v>1044</v>
      </c>
      <c r="C1051">
        <v>385.98</v>
      </c>
      <c r="D1051" t="str">
        <f t="shared" si="42"/>
        <v>305</v>
      </c>
      <c r="E1051" t="str">
        <f t="shared" si="43"/>
        <v>85610</v>
      </c>
    </row>
    <row r="1052" spans="1:5" x14ac:dyDescent="0.25">
      <c r="A1052" t="str">
        <f>"750305005"</f>
        <v>750305005</v>
      </c>
      <c r="B1052" t="s">
        <v>1045</v>
      </c>
      <c r="C1052">
        <v>275.98</v>
      </c>
      <c r="D1052" t="str">
        <f t="shared" si="42"/>
        <v>305</v>
      </c>
      <c r="E1052" t="str">
        <f t="shared" si="43"/>
        <v>85610</v>
      </c>
    </row>
    <row r="1053" spans="1:5" x14ac:dyDescent="0.25">
      <c r="A1053" t="str">
        <f>"750305006"</f>
        <v>750305006</v>
      </c>
      <c r="B1053" t="s">
        <v>1046</v>
      </c>
      <c r="C1053">
        <v>79.290000000000006</v>
      </c>
      <c r="D1053" t="str">
        <f t="shared" si="42"/>
        <v>305</v>
      </c>
      <c r="E1053" t="str">
        <f t="shared" si="43"/>
        <v>85610</v>
      </c>
    </row>
    <row r="1054" spans="1:5" x14ac:dyDescent="0.25">
      <c r="A1054" t="str">
        <f>"750305007"</f>
        <v>750305007</v>
      </c>
      <c r="B1054" t="s">
        <v>1047</v>
      </c>
      <c r="C1054">
        <v>328.8</v>
      </c>
      <c r="D1054" t="str">
        <f t="shared" si="42"/>
        <v>305</v>
      </c>
      <c r="E1054" t="str">
        <f t="shared" si="43"/>
        <v>85610</v>
      </c>
    </row>
    <row r="1055" spans="1:5" x14ac:dyDescent="0.25">
      <c r="A1055" t="str">
        <f>"750305008"</f>
        <v>750305008</v>
      </c>
      <c r="B1055" t="s">
        <v>1048</v>
      </c>
      <c r="C1055">
        <v>24.53</v>
      </c>
      <c r="D1055" t="str">
        <f t="shared" si="42"/>
        <v>305</v>
      </c>
      <c r="E1055" t="str">
        <f t="shared" ref="E1055:E1068" si="44">"85025"</f>
        <v>85025</v>
      </c>
    </row>
    <row r="1056" spans="1:5" x14ac:dyDescent="0.25">
      <c r="A1056" t="str">
        <f>"750305009"</f>
        <v>750305009</v>
      </c>
      <c r="B1056" t="s">
        <v>1049</v>
      </c>
      <c r="C1056">
        <v>412.5</v>
      </c>
      <c r="D1056" t="str">
        <f t="shared" si="42"/>
        <v>305</v>
      </c>
      <c r="E1056" t="str">
        <f t="shared" si="44"/>
        <v>85025</v>
      </c>
    </row>
    <row r="1057" spans="1:5" x14ac:dyDescent="0.25">
      <c r="A1057" t="str">
        <f>"750305010"</f>
        <v>750305010</v>
      </c>
      <c r="B1057" t="s">
        <v>1050</v>
      </c>
      <c r="C1057">
        <v>298.82</v>
      </c>
      <c r="D1057" t="str">
        <f t="shared" si="42"/>
        <v>305</v>
      </c>
      <c r="E1057" t="str">
        <f t="shared" si="44"/>
        <v>85025</v>
      </c>
    </row>
    <row r="1058" spans="1:5" x14ac:dyDescent="0.25">
      <c r="A1058" t="str">
        <f>"750305011"</f>
        <v>750305011</v>
      </c>
      <c r="B1058" t="s">
        <v>1051</v>
      </c>
      <c r="C1058">
        <v>27.69</v>
      </c>
      <c r="D1058" t="str">
        <f t="shared" si="42"/>
        <v>305</v>
      </c>
      <c r="E1058" t="str">
        <f t="shared" si="44"/>
        <v>85025</v>
      </c>
    </row>
    <row r="1059" spans="1:5" x14ac:dyDescent="0.25">
      <c r="A1059" t="str">
        <f>"750305012"</f>
        <v>750305012</v>
      </c>
      <c r="B1059" t="s">
        <v>1052</v>
      </c>
      <c r="C1059">
        <v>460.65</v>
      </c>
      <c r="D1059" t="str">
        <f t="shared" si="42"/>
        <v>305</v>
      </c>
      <c r="E1059" t="str">
        <f t="shared" si="44"/>
        <v>85025</v>
      </c>
    </row>
    <row r="1060" spans="1:5" x14ac:dyDescent="0.25">
      <c r="A1060" t="str">
        <f>"750305013"</f>
        <v>750305013</v>
      </c>
      <c r="B1060" t="s">
        <v>1053</v>
      </c>
      <c r="C1060">
        <v>27.06</v>
      </c>
      <c r="D1060" t="str">
        <f t="shared" si="42"/>
        <v>305</v>
      </c>
      <c r="E1060" t="str">
        <f t="shared" si="44"/>
        <v>85025</v>
      </c>
    </row>
    <row r="1061" spans="1:5" x14ac:dyDescent="0.25">
      <c r="A1061" t="str">
        <f>"750305014"</f>
        <v>750305014</v>
      </c>
      <c r="B1061" t="s">
        <v>1054</v>
      </c>
      <c r="C1061">
        <v>131.94999999999999</v>
      </c>
      <c r="D1061" t="str">
        <f t="shared" si="42"/>
        <v>305</v>
      </c>
      <c r="E1061" t="str">
        <f t="shared" si="44"/>
        <v>85025</v>
      </c>
    </row>
    <row r="1062" spans="1:5" x14ac:dyDescent="0.25">
      <c r="A1062" t="str">
        <f>"750305015"</f>
        <v>750305015</v>
      </c>
      <c r="B1062" t="s">
        <v>1055</v>
      </c>
      <c r="C1062">
        <v>25.98</v>
      </c>
      <c r="D1062" t="str">
        <f t="shared" si="42"/>
        <v>305</v>
      </c>
      <c r="E1062" t="str">
        <f t="shared" si="44"/>
        <v>85025</v>
      </c>
    </row>
    <row r="1063" spans="1:5" x14ac:dyDescent="0.25">
      <c r="A1063" t="str">
        <f>"750305016"</f>
        <v>750305016</v>
      </c>
      <c r="B1063" t="s">
        <v>1056</v>
      </c>
      <c r="C1063">
        <v>412.5</v>
      </c>
      <c r="D1063" t="str">
        <f t="shared" si="42"/>
        <v>305</v>
      </c>
      <c r="E1063" t="str">
        <f t="shared" si="44"/>
        <v>85025</v>
      </c>
    </row>
    <row r="1064" spans="1:5" x14ac:dyDescent="0.25">
      <c r="A1064" t="str">
        <f>"750305017"</f>
        <v>750305017</v>
      </c>
      <c r="B1064" t="s">
        <v>1057</v>
      </c>
      <c r="C1064">
        <v>24.56</v>
      </c>
      <c r="D1064" t="str">
        <f t="shared" si="42"/>
        <v>305</v>
      </c>
      <c r="E1064" t="str">
        <f t="shared" si="44"/>
        <v>85025</v>
      </c>
    </row>
    <row r="1065" spans="1:5" x14ac:dyDescent="0.25">
      <c r="A1065" t="str">
        <f>"750305018"</f>
        <v>750305018</v>
      </c>
      <c r="B1065" t="s">
        <v>1052</v>
      </c>
      <c r="C1065">
        <v>460.65</v>
      </c>
      <c r="D1065" t="str">
        <f t="shared" si="42"/>
        <v>305</v>
      </c>
      <c r="E1065" t="str">
        <f t="shared" si="44"/>
        <v>85025</v>
      </c>
    </row>
    <row r="1066" spans="1:5" x14ac:dyDescent="0.25">
      <c r="A1066" t="str">
        <f>"750305019"</f>
        <v>750305019</v>
      </c>
      <c r="B1066" t="s">
        <v>1053</v>
      </c>
      <c r="C1066">
        <v>27.06</v>
      </c>
      <c r="D1066" t="str">
        <f t="shared" si="42"/>
        <v>305</v>
      </c>
      <c r="E1066" t="str">
        <f t="shared" si="44"/>
        <v>85025</v>
      </c>
    </row>
    <row r="1067" spans="1:5" x14ac:dyDescent="0.25">
      <c r="A1067" t="str">
        <f>"750305020"</f>
        <v>750305020</v>
      </c>
      <c r="B1067" t="s">
        <v>1054</v>
      </c>
      <c r="C1067">
        <v>131.97999999999999</v>
      </c>
      <c r="D1067" t="str">
        <f t="shared" si="42"/>
        <v>305</v>
      </c>
      <c r="E1067" t="str">
        <f t="shared" si="44"/>
        <v>85025</v>
      </c>
    </row>
    <row r="1068" spans="1:5" x14ac:dyDescent="0.25">
      <c r="A1068" t="str">
        <f>"750305021"</f>
        <v>750305021</v>
      </c>
      <c r="B1068" t="s">
        <v>1058</v>
      </c>
      <c r="C1068">
        <v>32.24</v>
      </c>
      <c r="D1068" t="str">
        <f t="shared" si="42"/>
        <v>305</v>
      </c>
      <c r="E1068" t="str">
        <f t="shared" si="44"/>
        <v>85025</v>
      </c>
    </row>
    <row r="1069" spans="1:5" x14ac:dyDescent="0.25">
      <c r="A1069" t="str">
        <f>"750305025"</f>
        <v>750305025</v>
      </c>
      <c r="B1069" t="s">
        <v>1059</v>
      </c>
      <c r="C1069">
        <v>45.98</v>
      </c>
      <c r="D1069" t="str">
        <f t="shared" si="42"/>
        <v>305</v>
      </c>
      <c r="E1069" t="str">
        <f t="shared" ref="E1069:E1082" si="45">"85025"</f>
        <v>85025</v>
      </c>
    </row>
    <row r="1070" spans="1:5" x14ac:dyDescent="0.25">
      <c r="A1070" t="str">
        <f>"750305026"</f>
        <v>750305026</v>
      </c>
      <c r="B1070" t="s">
        <v>1060</v>
      </c>
      <c r="C1070">
        <v>299.2</v>
      </c>
      <c r="D1070" t="str">
        <f t="shared" si="42"/>
        <v>305</v>
      </c>
      <c r="E1070" t="str">
        <f t="shared" si="45"/>
        <v>85025</v>
      </c>
    </row>
    <row r="1071" spans="1:5" x14ac:dyDescent="0.25">
      <c r="A1071" t="str">
        <f>"750305027"</f>
        <v>750305027</v>
      </c>
      <c r="B1071" t="s">
        <v>1061</v>
      </c>
      <c r="C1071">
        <v>158.85</v>
      </c>
      <c r="D1071" t="str">
        <f t="shared" si="42"/>
        <v>305</v>
      </c>
      <c r="E1071" t="str">
        <f t="shared" si="45"/>
        <v>85025</v>
      </c>
    </row>
    <row r="1072" spans="1:5" x14ac:dyDescent="0.25">
      <c r="A1072" t="str">
        <f>"750305028"</f>
        <v>750305028</v>
      </c>
      <c r="B1072" t="s">
        <v>1062</v>
      </c>
      <c r="C1072">
        <v>158.88</v>
      </c>
      <c r="D1072" t="str">
        <f t="shared" si="42"/>
        <v>305</v>
      </c>
      <c r="E1072" t="str">
        <f t="shared" si="45"/>
        <v>85025</v>
      </c>
    </row>
    <row r="1073" spans="1:5" x14ac:dyDescent="0.25">
      <c r="A1073" t="str">
        <f>"750305030"</f>
        <v>750305030</v>
      </c>
      <c r="B1073" t="s">
        <v>1063</v>
      </c>
      <c r="C1073">
        <v>69.41</v>
      </c>
      <c r="D1073" t="str">
        <f t="shared" si="42"/>
        <v>305</v>
      </c>
      <c r="E1073" t="str">
        <f t="shared" si="45"/>
        <v>85025</v>
      </c>
    </row>
    <row r="1074" spans="1:5" x14ac:dyDescent="0.25">
      <c r="A1074" t="str">
        <f>"750305031"</f>
        <v>750305031</v>
      </c>
      <c r="B1074" t="s">
        <v>1064</v>
      </c>
      <c r="C1074">
        <v>14.6</v>
      </c>
      <c r="D1074" t="str">
        <f t="shared" si="42"/>
        <v>305</v>
      </c>
      <c r="E1074" t="str">
        <f t="shared" si="45"/>
        <v>85025</v>
      </c>
    </row>
    <row r="1075" spans="1:5" x14ac:dyDescent="0.25">
      <c r="A1075" t="str">
        <f>"750305032"</f>
        <v>750305032</v>
      </c>
      <c r="B1075" t="s">
        <v>1065</v>
      </c>
      <c r="C1075">
        <v>91.52</v>
      </c>
      <c r="D1075" t="str">
        <f t="shared" si="42"/>
        <v>305</v>
      </c>
      <c r="E1075" t="str">
        <f t="shared" si="45"/>
        <v>85025</v>
      </c>
    </row>
    <row r="1076" spans="1:5" x14ac:dyDescent="0.25">
      <c r="A1076" t="str">
        <f>"750305033"</f>
        <v>750305033</v>
      </c>
      <c r="B1076" t="s">
        <v>1066</v>
      </c>
      <c r="C1076">
        <v>190.08</v>
      </c>
      <c r="D1076" t="str">
        <f t="shared" si="42"/>
        <v>305</v>
      </c>
      <c r="E1076" t="str">
        <f t="shared" si="45"/>
        <v>85025</v>
      </c>
    </row>
    <row r="1077" spans="1:5" x14ac:dyDescent="0.25">
      <c r="A1077" t="str">
        <f>"750305034"</f>
        <v>750305034</v>
      </c>
      <c r="B1077" t="s">
        <v>1067</v>
      </c>
      <c r="C1077">
        <v>243.65</v>
      </c>
      <c r="D1077" t="str">
        <f t="shared" si="42"/>
        <v>305</v>
      </c>
      <c r="E1077" t="str">
        <f t="shared" si="45"/>
        <v>85025</v>
      </c>
    </row>
    <row r="1078" spans="1:5" x14ac:dyDescent="0.25">
      <c r="A1078" t="str">
        <f>"750305035"</f>
        <v>750305035</v>
      </c>
      <c r="B1078" t="s">
        <v>1068</v>
      </c>
      <c r="C1078">
        <v>292.60000000000002</v>
      </c>
      <c r="D1078" t="str">
        <f t="shared" si="42"/>
        <v>305</v>
      </c>
      <c r="E1078" t="str">
        <f t="shared" si="45"/>
        <v>85025</v>
      </c>
    </row>
    <row r="1079" spans="1:5" x14ac:dyDescent="0.25">
      <c r="A1079" t="str">
        <f>"750305036"</f>
        <v>750305036</v>
      </c>
      <c r="B1079" t="s">
        <v>1069</v>
      </c>
      <c r="C1079" s="1">
        <v>2750</v>
      </c>
      <c r="D1079" t="str">
        <f t="shared" si="42"/>
        <v>305</v>
      </c>
      <c r="E1079" t="str">
        <f t="shared" si="45"/>
        <v>85025</v>
      </c>
    </row>
    <row r="1080" spans="1:5" x14ac:dyDescent="0.25">
      <c r="A1080" t="str">
        <f>"750305037"</f>
        <v>750305037</v>
      </c>
      <c r="B1080" t="s">
        <v>1070</v>
      </c>
      <c r="C1080">
        <v>55</v>
      </c>
      <c r="D1080" t="str">
        <f t="shared" si="42"/>
        <v>305</v>
      </c>
      <c r="E1080" t="str">
        <f t="shared" si="45"/>
        <v>85025</v>
      </c>
    </row>
    <row r="1081" spans="1:5" x14ac:dyDescent="0.25">
      <c r="A1081" t="str">
        <f>"750305038"</f>
        <v>750305038</v>
      </c>
      <c r="B1081" t="s">
        <v>1071</v>
      </c>
      <c r="C1081">
        <v>550</v>
      </c>
      <c r="D1081" t="str">
        <f t="shared" si="42"/>
        <v>305</v>
      </c>
      <c r="E1081" t="str">
        <f t="shared" si="45"/>
        <v>85025</v>
      </c>
    </row>
    <row r="1082" spans="1:5" x14ac:dyDescent="0.25">
      <c r="A1082" t="str">
        <f>"750305039"</f>
        <v>750305039</v>
      </c>
      <c r="B1082" t="s">
        <v>1072</v>
      </c>
      <c r="C1082">
        <v>462</v>
      </c>
      <c r="D1082" t="str">
        <f t="shared" si="42"/>
        <v>305</v>
      </c>
      <c r="E1082" t="str">
        <f t="shared" si="45"/>
        <v>85025</v>
      </c>
    </row>
    <row r="1083" spans="1:5" x14ac:dyDescent="0.25">
      <c r="A1083" t="str">
        <f>"750306001"</f>
        <v>750306001</v>
      </c>
      <c r="B1083" t="s">
        <v>1073</v>
      </c>
      <c r="C1083">
        <v>955.9</v>
      </c>
      <c r="D1083" t="str">
        <f t="shared" ref="D1083:D1130" si="46">"306"</f>
        <v>306</v>
      </c>
      <c r="E1083" t="str">
        <f>"87900"</f>
        <v>87900</v>
      </c>
    </row>
    <row r="1084" spans="1:5" x14ac:dyDescent="0.25">
      <c r="A1084" t="str">
        <f>"750306002"</f>
        <v>750306002</v>
      </c>
      <c r="B1084" t="s">
        <v>1074</v>
      </c>
      <c r="C1084">
        <v>628.1</v>
      </c>
      <c r="D1084" t="str">
        <f t="shared" si="46"/>
        <v>306</v>
      </c>
      <c r="E1084" t="str">
        <f>"87522"</f>
        <v>87522</v>
      </c>
    </row>
    <row r="1085" spans="1:5" x14ac:dyDescent="0.25">
      <c r="A1085" t="str">
        <f>"750306003"</f>
        <v>750306003</v>
      </c>
      <c r="B1085" t="s">
        <v>1075</v>
      </c>
      <c r="C1085">
        <v>955.9</v>
      </c>
      <c r="D1085" t="str">
        <f t="shared" si="46"/>
        <v>306</v>
      </c>
      <c r="E1085" t="str">
        <f>"87906"</f>
        <v>87906</v>
      </c>
    </row>
    <row r="1086" spans="1:5" x14ac:dyDescent="0.25">
      <c r="A1086" t="str">
        <f>"750306004"</f>
        <v>750306004</v>
      </c>
      <c r="B1086" t="s">
        <v>972</v>
      </c>
      <c r="C1086">
        <v>92.8</v>
      </c>
      <c r="D1086" t="str">
        <f t="shared" si="46"/>
        <v>306</v>
      </c>
      <c r="E1086" t="str">
        <f>"87340"</f>
        <v>87340</v>
      </c>
    </row>
    <row r="1087" spans="1:5" x14ac:dyDescent="0.25">
      <c r="A1087" t="str">
        <f>"750306005"</f>
        <v>750306005</v>
      </c>
      <c r="B1087" t="s">
        <v>1076</v>
      </c>
      <c r="C1087">
        <v>119.24</v>
      </c>
      <c r="D1087" t="str">
        <f t="shared" si="46"/>
        <v>306</v>
      </c>
      <c r="E1087" t="str">
        <f t="shared" ref="E1087:E1130" si="47">"87070"</f>
        <v>87070</v>
      </c>
    </row>
    <row r="1088" spans="1:5" x14ac:dyDescent="0.25">
      <c r="A1088" t="str">
        <f>"750306006"</f>
        <v>750306006</v>
      </c>
      <c r="B1088" t="s">
        <v>1077</v>
      </c>
      <c r="C1088">
        <v>119.22</v>
      </c>
      <c r="D1088" t="str">
        <f t="shared" si="46"/>
        <v>306</v>
      </c>
      <c r="E1088" t="str">
        <f t="shared" si="47"/>
        <v>87070</v>
      </c>
    </row>
    <row r="1089" spans="1:5" x14ac:dyDescent="0.25">
      <c r="A1089" t="str">
        <f>"750306007"</f>
        <v>750306007</v>
      </c>
      <c r="B1089" t="s">
        <v>1078</v>
      </c>
      <c r="C1089">
        <v>137.01</v>
      </c>
      <c r="D1089" t="str">
        <f t="shared" si="46"/>
        <v>306</v>
      </c>
      <c r="E1089" t="str">
        <f t="shared" si="47"/>
        <v>87070</v>
      </c>
    </row>
    <row r="1090" spans="1:5" x14ac:dyDescent="0.25">
      <c r="A1090" t="str">
        <f>"750306008"</f>
        <v>750306008</v>
      </c>
      <c r="B1090" t="s">
        <v>1079</v>
      </c>
      <c r="C1090">
        <v>536.79999999999995</v>
      </c>
      <c r="D1090" t="str">
        <f t="shared" si="46"/>
        <v>306</v>
      </c>
      <c r="E1090" t="str">
        <f t="shared" si="47"/>
        <v>87070</v>
      </c>
    </row>
    <row r="1091" spans="1:5" x14ac:dyDescent="0.25">
      <c r="A1091" t="str">
        <f>"750306009"</f>
        <v>750306009</v>
      </c>
      <c r="B1091" t="s">
        <v>1080</v>
      </c>
      <c r="C1091">
        <v>536.79999999999995</v>
      </c>
      <c r="D1091" t="str">
        <f t="shared" si="46"/>
        <v>306</v>
      </c>
      <c r="E1091" t="str">
        <f t="shared" si="47"/>
        <v>87070</v>
      </c>
    </row>
    <row r="1092" spans="1:5" x14ac:dyDescent="0.25">
      <c r="A1092" t="str">
        <f>"750306010"</f>
        <v>750306010</v>
      </c>
      <c r="B1092" t="s">
        <v>1081</v>
      </c>
      <c r="C1092">
        <v>262.45999999999998</v>
      </c>
      <c r="D1092" t="str">
        <f t="shared" si="46"/>
        <v>306</v>
      </c>
      <c r="E1092" t="str">
        <f t="shared" si="47"/>
        <v>87070</v>
      </c>
    </row>
    <row r="1093" spans="1:5" x14ac:dyDescent="0.25">
      <c r="A1093" t="str">
        <f>"750306011"</f>
        <v>750306011</v>
      </c>
      <c r="B1093" t="s">
        <v>1082</v>
      </c>
      <c r="C1093">
        <v>134.44</v>
      </c>
      <c r="D1093" t="str">
        <f t="shared" si="46"/>
        <v>306</v>
      </c>
      <c r="E1093" t="str">
        <f t="shared" si="47"/>
        <v>87070</v>
      </c>
    </row>
    <row r="1094" spans="1:5" x14ac:dyDescent="0.25">
      <c r="A1094" t="str">
        <f>"750306015"</f>
        <v>750306015</v>
      </c>
      <c r="B1094" t="s">
        <v>1083</v>
      </c>
      <c r="C1094">
        <v>44</v>
      </c>
      <c r="D1094" t="str">
        <f t="shared" si="46"/>
        <v>306</v>
      </c>
      <c r="E1094" t="str">
        <f t="shared" si="47"/>
        <v>87070</v>
      </c>
    </row>
    <row r="1095" spans="1:5" x14ac:dyDescent="0.25">
      <c r="A1095" t="str">
        <f>"750306019"</f>
        <v>750306019</v>
      </c>
      <c r="B1095" t="s">
        <v>1084</v>
      </c>
      <c r="C1095">
        <v>423.5</v>
      </c>
      <c r="D1095" t="str">
        <f t="shared" si="46"/>
        <v>306</v>
      </c>
      <c r="E1095" t="str">
        <f t="shared" si="47"/>
        <v>87070</v>
      </c>
    </row>
    <row r="1096" spans="1:5" x14ac:dyDescent="0.25">
      <c r="A1096" t="str">
        <f>"750306021"</f>
        <v>750306021</v>
      </c>
      <c r="B1096" t="s">
        <v>1085</v>
      </c>
      <c r="C1096">
        <v>105.6</v>
      </c>
      <c r="D1096" t="str">
        <f t="shared" si="46"/>
        <v>306</v>
      </c>
      <c r="E1096" t="str">
        <f t="shared" si="47"/>
        <v>87070</v>
      </c>
    </row>
    <row r="1097" spans="1:5" x14ac:dyDescent="0.25">
      <c r="A1097" t="str">
        <f>"750306023"</f>
        <v>750306023</v>
      </c>
      <c r="B1097" t="s">
        <v>1086</v>
      </c>
      <c r="C1097">
        <v>247.5</v>
      </c>
      <c r="D1097" t="str">
        <f t="shared" si="46"/>
        <v>306</v>
      </c>
      <c r="E1097" t="str">
        <f t="shared" si="47"/>
        <v>87070</v>
      </c>
    </row>
    <row r="1098" spans="1:5" x14ac:dyDescent="0.25">
      <c r="A1098" t="str">
        <f>"750306025"</f>
        <v>750306025</v>
      </c>
      <c r="B1098" t="s">
        <v>1087</v>
      </c>
      <c r="C1098">
        <v>367.95</v>
      </c>
      <c r="D1098" t="str">
        <f t="shared" si="46"/>
        <v>306</v>
      </c>
      <c r="E1098" t="str">
        <f t="shared" si="47"/>
        <v>87070</v>
      </c>
    </row>
    <row r="1099" spans="1:5" x14ac:dyDescent="0.25">
      <c r="A1099" t="str">
        <f>"750306026"</f>
        <v>750306026</v>
      </c>
      <c r="B1099" t="s">
        <v>1088</v>
      </c>
      <c r="C1099">
        <v>50.27</v>
      </c>
      <c r="D1099" t="str">
        <f t="shared" si="46"/>
        <v>306</v>
      </c>
      <c r="E1099" t="str">
        <f t="shared" si="47"/>
        <v>87070</v>
      </c>
    </row>
    <row r="1100" spans="1:5" x14ac:dyDescent="0.25">
      <c r="A1100" t="str">
        <f>"750306027"</f>
        <v>750306027</v>
      </c>
      <c r="B1100" t="s">
        <v>1089</v>
      </c>
      <c r="C1100">
        <v>297.55</v>
      </c>
      <c r="D1100" t="str">
        <f t="shared" si="46"/>
        <v>306</v>
      </c>
      <c r="E1100" t="str">
        <f t="shared" si="47"/>
        <v>87070</v>
      </c>
    </row>
    <row r="1101" spans="1:5" x14ac:dyDescent="0.25">
      <c r="A1101" t="str">
        <f>"750306028"</f>
        <v>750306028</v>
      </c>
      <c r="B1101" t="s">
        <v>1090</v>
      </c>
      <c r="C1101">
        <v>970.2</v>
      </c>
      <c r="D1101" t="str">
        <f t="shared" si="46"/>
        <v>306</v>
      </c>
      <c r="E1101" t="str">
        <f t="shared" si="47"/>
        <v>87070</v>
      </c>
    </row>
    <row r="1102" spans="1:5" x14ac:dyDescent="0.25">
      <c r="A1102" t="str">
        <f>"750306029"</f>
        <v>750306029</v>
      </c>
      <c r="B1102" t="s">
        <v>1091</v>
      </c>
      <c r="C1102">
        <v>55.77</v>
      </c>
      <c r="D1102" t="str">
        <f t="shared" si="46"/>
        <v>306</v>
      </c>
      <c r="E1102" t="str">
        <f t="shared" si="47"/>
        <v>87070</v>
      </c>
    </row>
    <row r="1103" spans="1:5" x14ac:dyDescent="0.25">
      <c r="A1103" t="str">
        <f>"750306030"</f>
        <v>750306030</v>
      </c>
      <c r="B1103" t="s">
        <v>1092</v>
      </c>
      <c r="C1103">
        <v>105.16</v>
      </c>
      <c r="D1103" t="str">
        <f t="shared" si="46"/>
        <v>306</v>
      </c>
      <c r="E1103" t="str">
        <f t="shared" si="47"/>
        <v>87070</v>
      </c>
    </row>
    <row r="1104" spans="1:5" x14ac:dyDescent="0.25">
      <c r="A1104" t="str">
        <f>"750306031"</f>
        <v>750306031</v>
      </c>
      <c r="B1104" t="s">
        <v>518</v>
      </c>
      <c r="C1104">
        <v>119.9</v>
      </c>
      <c r="D1104" t="str">
        <f t="shared" si="46"/>
        <v>306</v>
      </c>
      <c r="E1104" t="str">
        <f t="shared" si="47"/>
        <v>87070</v>
      </c>
    </row>
    <row r="1105" spans="1:5" x14ac:dyDescent="0.25">
      <c r="A1105" t="str">
        <f>"750306032"</f>
        <v>750306032</v>
      </c>
      <c r="B1105" t="s">
        <v>518</v>
      </c>
      <c r="C1105">
        <v>832.15</v>
      </c>
      <c r="D1105" t="str">
        <f t="shared" si="46"/>
        <v>306</v>
      </c>
      <c r="E1105" t="str">
        <f t="shared" si="47"/>
        <v>87070</v>
      </c>
    </row>
    <row r="1106" spans="1:5" x14ac:dyDescent="0.25">
      <c r="A1106" t="str">
        <f>"750306033"</f>
        <v>750306033</v>
      </c>
      <c r="B1106" t="s">
        <v>1093</v>
      </c>
      <c r="C1106">
        <v>827.2</v>
      </c>
      <c r="D1106" t="str">
        <f t="shared" si="46"/>
        <v>306</v>
      </c>
      <c r="E1106" t="str">
        <f t="shared" si="47"/>
        <v>87070</v>
      </c>
    </row>
    <row r="1107" spans="1:5" x14ac:dyDescent="0.25">
      <c r="A1107" t="str">
        <f>"750306034"</f>
        <v>750306034</v>
      </c>
      <c r="B1107" t="s">
        <v>1094</v>
      </c>
      <c r="C1107">
        <v>117.59</v>
      </c>
      <c r="D1107" t="str">
        <f t="shared" si="46"/>
        <v>306</v>
      </c>
      <c r="E1107" t="str">
        <f t="shared" si="47"/>
        <v>87070</v>
      </c>
    </row>
    <row r="1108" spans="1:5" x14ac:dyDescent="0.25">
      <c r="A1108" t="str">
        <f>"750306035"</f>
        <v>750306035</v>
      </c>
      <c r="B1108" t="s">
        <v>1094</v>
      </c>
      <c r="C1108">
        <v>148.61000000000001</v>
      </c>
      <c r="D1108" t="str">
        <f t="shared" si="46"/>
        <v>306</v>
      </c>
      <c r="E1108" t="str">
        <f t="shared" si="47"/>
        <v>87070</v>
      </c>
    </row>
    <row r="1109" spans="1:5" x14ac:dyDescent="0.25">
      <c r="A1109" t="str">
        <f>"750306036"</f>
        <v>750306036</v>
      </c>
      <c r="B1109" t="s">
        <v>1095</v>
      </c>
      <c r="C1109">
        <v>367.95</v>
      </c>
      <c r="D1109" t="str">
        <f t="shared" si="46"/>
        <v>306</v>
      </c>
      <c r="E1109" t="str">
        <f t="shared" si="47"/>
        <v>87070</v>
      </c>
    </row>
    <row r="1110" spans="1:5" x14ac:dyDescent="0.25">
      <c r="A1110" t="str">
        <f>"750306037"</f>
        <v>750306037</v>
      </c>
      <c r="B1110" t="s">
        <v>1096</v>
      </c>
      <c r="C1110">
        <v>103.73</v>
      </c>
      <c r="D1110" t="str">
        <f t="shared" si="46"/>
        <v>306</v>
      </c>
      <c r="E1110" t="str">
        <f t="shared" si="47"/>
        <v>87070</v>
      </c>
    </row>
    <row r="1111" spans="1:5" x14ac:dyDescent="0.25">
      <c r="A1111" t="str">
        <f>"750306038"</f>
        <v>750306038</v>
      </c>
      <c r="B1111" t="s">
        <v>1097</v>
      </c>
      <c r="C1111" s="1">
        <v>1113.2</v>
      </c>
      <c r="D1111" t="str">
        <f t="shared" si="46"/>
        <v>306</v>
      </c>
      <c r="E1111" t="str">
        <f t="shared" si="47"/>
        <v>87070</v>
      </c>
    </row>
    <row r="1112" spans="1:5" x14ac:dyDescent="0.25">
      <c r="A1112" t="str">
        <f>"750306039"</f>
        <v>750306039</v>
      </c>
      <c r="B1112" t="s">
        <v>1098</v>
      </c>
      <c r="C1112">
        <v>972.95</v>
      </c>
      <c r="D1112" t="str">
        <f t="shared" si="46"/>
        <v>306</v>
      </c>
      <c r="E1112" t="str">
        <f t="shared" si="47"/>
        <v>87070</v>
      </c>
    </row>
    <row r="1113" spans="1:5" x14ac:dyDescent="0.25">
      <c r="A1113" t="str">
        <f>"750306040"</f>
        <v>750306040</v>
      </c>
      <c r="B1113" t="s">
        <v>1099</v>
      </c>
      <c r="C1113">
        <v>974.6</v>
      </c>
      <c r="D1113" t="str">
        <f t="shared" si="46"/>
        <v>306</v>
      </c>
      <c r="E1113" t="str">
        <f t="shared" si="47"/>
        <v>87070</v>
      </c>
    </row>
    <row r="1114" spans="1:5" x14ac:dyDescent="0.25">
      <c r="A1114" t="str">
        <f>"750306041"</f>
        <v>750306041</v>
      </c>
      <c r="B1114" t="s">
        <v>1100</v>
      </c>
      <c r="C1114">
        <v>972.95</v>
      </c>
      <c r="D1114" t="str">
        <f t="shared" si="46"/>
        <v>306</v>
      </c>
      <c r="E1114" t="str">
        <f t="shared" si="47"/>
        <v>87070</v>
      </c>
    </row>
    <row r="1115" spans="1:5" x14ac:dyDescent="0.25">
      <c r="A1115" t="str">
        <f>"750306042"</f>
        <v>750306042</v>
      </c>
      <c r="B1115" t="s">
        <v>1090</v>
      </c>
      <c r="C1115" s="1">
        <v>1026.3</v>
      </c>
      <c r="D1115" t="str">
        <f t="shared" si="46"/>
        <v>306</v>
      </c>
      <c r="E1115" t="str">
        <f t="shared" si="47"/>
        <v>87070</v>
      </c>
    </row>
    <row r="1116" spans="1:5" x14ac:dyDescent="0.25">
      <c r="A1116" t="str">
        <f>"750306043"</f>
        <v>750306043</v>
      </c>
      <c r="B1116" t="s">
        <v>1101</v>
      </c>
      <c r="C1116">
        <v>213.4</v>
      </c>
      <c r="D1116" t="str">
        <f t="shared" si="46"/>
        <v>306</v>
      </c>
      <c r="E1116" t="str">
        <f t="shared" si="47"/>
        <v>87070</v>
      </c>
    </row>
    <row r="1117" spans="1:5" x14ac:dyDescent="0.25">
      <c r="A1117" t="str">
        <f>"750306044"</f>
        <v>750306044</v>
      </c>
      <c r="B1117" t="s">
        <v>1092</v>
      </c>
      <c r="C1117">
        <v>105.16</v>
      </c>
      <c r="D1117" t="str">
        <f t="shared" si="46"/>
        <v>306</v>
      </c>
      <c r="E1117" t="str">
        <f t="shared" si="47"/>
        <v>87070</v>
      </c>
    </row>
    <row r="1118" spans="1:5" x14ac:dyDescent="0.25">
      <c r="A1118" t="str">
        <f>"750306046"</f>
        <v>750306046</v>
      </c>
      <c r="B1118" t="s">
        <v>1102</v>
      </c>
      <c r="C1118" s="1">
        <v>2046</v>
      </c>
      <c r="D1118" t="str">
        <f t="shared" si="46"/>
        <v>306</v>
      </c>
      <c r="E1118" t="str">
        <f t="shared" si="47"/>
        <v>87070</v>
      </c>
    </row>
    <row r="1119" spans="1:5" x14ac:dyDescent="0.25">
      <c r="A1119" t="str">
        <f>"750306051"</f>
        <v>750306051</v>
      </c>
      <c r="B1119" t="s">
        <v>1103</v>
      </c>
      <c r="C1119">
        <v>812.35</v>
      </c>
      <c r="D1119" t="str">
        <f t="shared" si="46"/>
        <v>306</v>
      </c>
      <c r="E1119" t="str">
        <f t="shared" si="47"/>
        <v>87070</v>
      </c>
    </row>
    <row r="1120" spans="1:5" x14ac:dyDescent="0.25">
      <c r="A1120" t="str">
        <f>"750306052"</f>
        <v>750306052</v>
      </c>
      <c r="B1120" t="s">
        <v>1104</v>
      </c>
      <c r="C1120">
        <v>106.15</v>
      </c>
      <c r="D1120" t="str">
        <f t="shared" si="46"/>
        <v>306</v>
      </c>
      <c r="E1120" t="str">
        <f t="shared" si="47"/>
        <v>87070</v>
      </c>
    </row>
    <row r="1121" spans="1:5" x14ac:dyDescent="0.25">
      <c r="A1121" t="str">
        <f>"750306053"</f>
        <v>750306053</v>
      </c>
      <c r="B1121" t="s">
        <v>1105</v>
      </c>
      <c r="C1121">
        <v>330</v>
      </c>
      <c r="D1121" t="str">
        <f t="shared" si="46"/>
        <v>306</v>
      </c>
      <c r="E1121" t="str">
        <f t="shared" si="47"/>
        <v>87070</v>
      </c>
    </row>
    <row r="1122" spans="1:5" x14ac:dyDescent="0.25">
      <c r="A1122" t="str">
        <f>"750306054"</f>
        <v>750306054</v>
      </c>
      <c r="B1122" t="s">
        <v>1106</v>
      </c>
      <c r="C1122">
        <v>289.3</v>
      </c>
      <c r="D1122" t="str">
        <f t="shared" si="46"/>
        <v>306</v>
      </c>
      <c r="E1122" t="str">
        <f t="shared" si="47"/>
        <v>87070</v>
      </c>
    </row>
    <row r="1123" spans="1:5" x14ac:dyDescent="0.25">
      <c r="A1123" t="str">
        <f>"750306055"</f>
        <v>750306055</v>
      </c>
      <c r="B1123" t="s">
        <v>1107</v>
      </c>
      <c r="C1123">
        <v>271.7</v>
      </c>
      <c r="D1123" t="str">
        <f t="shared" si="46"/>
        <v>306</v>
      </c>
      <c r="E1123" t="str">
        <f t="shared" si="47"/>
        <v>87070</v>
      </c>
    </row>
    <row r="1124" spans="1:5" x14ac:dyDescent="0.25">
      <c r="A1124" t="str">
        <f>"750306056"</f>
        <v>750306056</v>
      </c>
      <c r="B1124" t="s">
        <v>1089</v>
      </c>
      <c r="C1124">
        <v>297.55</v>
      </c>
      <c r="D1124" t="str">
        <f t="shared" si="46"/>
        <v>306</v>
      </c>
      <c r="E1124" t="str">
        <f t="shared" si="47"/>
        <v>87070</v>
      </c>
    </row>
    <row r="1125" spans="1:5" x14ac:dyDescent="0.25">
      <c r="A1125" t="str">
        <f>"750306057"</f>
        <v>750306057</v>
      </c>
      <c r="B1125" t="s">
        <v>1108</v>
      </c>
      <c r="C1125">
        <v>51.32</v>
      </c>
      <c r="D1125" t="str">
        <f t="shared" si="46"/>
        <v>306</v>
      </c>
      <c r="E1125" t="str">
        <f t="shared" si="47"/>
        <v>87070</v>
      </c>
    </row>
    <row r="1126" spans="1:5" x14ac:dyDescent="0.25">
      <c r="A1126" t="str">
        <f>"750306058"</f>
        <v>750306058</v>
      </c>
      <c r="B1126" t="s">
        <v>1109</v>
      </c>
      <c r="C1126">
        <v>52.2</v>
      </c>
      <c r="D1126" t="str">
        <f t="shared" si="46"/>
        <v>306</v>
      </c>
      <c r="E1126" t="str">
        <f t="shared" si="47"/>
        <v>87070</v>
      </c>
    </row>
    <row r="1127" spans="1:5" x14ac:dyDescent="0.25">
      <c r="A1127" t="str">
        <f>"750306059"</f>
        <v>750306059</v>
      </c>
      <c r="B1127" t="s">
        <v>1109</v>
      </c>
      <c r="C1127">
        <v>52.2</v>
      </c>
      <c r="D1127" t="str">
        <f t="shared" si="46"/>
        <v>306</v>
      </c>
      <c r="E1127" t="str">
        <f t="shared" si="47"/>
        <v>87070</v>
      </c>
    </row>
    <row r="1128" spans="1:5" x14ac:dyDescent="0.25">
      <c r="A1128" t="str">
        <f>"750306062"</f>
        <v>750306062</v>
      </c>
      <c r="B1128" t="s">
        <v>1110</v>
      </c>
      <c r="C1128">
        <v>49.67</v>
      </c>
      <c r="D1128" t="str">
        <f t="shared" si="46"/>
        <v>306</v>
      </c>
      <c r="E1128" t="str">
        <f t="shared" si="47"/>
        <v>87070</v>
      </c>
    </row>
    <row r="1129" spans="1:5" x14ac:dyDescent="0.25">
      <c r="A1129" t="str">
        <f>"750306063"</f>
        <v>750306063</v>
      </c>
      <c r="B1129" t="s">
        <v>1111</v>
      </c>
      <c r="C1129">
        <v>52.75</v>
      </c>
      <c r="D1129" t="str">
        <f t="shared" si="46"/>
        <v>306</v>
      </c>
      <c r="E1129" t="str">
        <f t="shared" si="47"/>
        <v>87070</v>
      </c>
    </row>
    <row r="1130" spans="1:5" x14ac:dyDescent="0.25">
      <c r="A1130" t="str">
        <f>"750306064"</f>
        <v>750306064</v>
      </c>
      <c r="B1130" t="s">
        <v>1111</v>
      </c>
      <c r="C1130">
        <v>49.67</v>
      </c>
      <c r="D1130" t="str">
        <f t="shared" si="46"/>
        <v>306</v>
      </c>
      <c r="E1130" t="str">
        <f t="shared" si="47"/>
        <v>87070</v>
      </c>
    </row>
    <row r="1131" spans="1:5" x14ac:dyDescent="0.25">
      <c r="A1131" t="str">
        <f>"750306076"</f>
        <v>750306076</v>
      </c>
      <c r="B1131" t="s">
        <v>1112</v>
      </c>
      <c r="C1131">
        <v>973.28</v>
      </c>
      <c r="D1131" t="str">
        <f t="shared" ref="D1131" si="48">"306"</f>
        <v>306</v>
      </c>
      <c r="E1131" t="str">
        <f t="shared" ref="E1131" si="49">"87070"</f>
        <v>87070</v>
      </c>
    </row>
    <row r="1132" spans="1:5" x14ac:dyDescent="0.25">
      <c r="A1132" t="str">
        <f>"750307001"</f>
        <v>750307001</v>
      </c>
      <c r="B1132" t="s">
        <v>1113</v>
      </c>
      <c r="C1132">
        <v>122.1</v>
      </c>
      <c r="D1132" t="str">
        <f t="shared" ref="D1132:D1140" si="50">"307"</f>
        <v>307</v>
      </c>
      <c r="E1132" t="str">
        <f t="shared" ref="E1132:E1140" si="51">"81001"</f>
        <v>81001</v>
      </c>
    </row>
    <row r="1133" spans="1:5" x14ac:dyDescent="0.25">
      <c r="A1133" t="str">
        <f>"750307002"</f>
        <v>750307002</v>
      </c>
      <c r="B1133" t="s">
        <v>1114</v>
      </c>
      <c r="C1133">
        <v>154.99</v>
      </c>
      <c r="D1133" t="str">
        <f t="shared" si="50"/>
        <v>307</v>
      </c>
      <c r="E1133" t="str">
        <f t="shared" si="51"/>
        <v>81001</v>
      </c>
    </row>
    <row r="1134" spans="1:5" x14ac:dyDescent="0.25">
      <c r="A1134" t="str">
        <f>"750307004"</f>
        <v>750307004</v>
      </c>
      <c r="B1134" t="s">
        <v>1115</v>
      </c>
      <c r="C1134" s="1">
        <v>3223</v>
      </c>
      <c r="D1134" t="str">
        <f t="shared" si="50"/>
        <v>307</v>
      </c>
      <c r="E1134" t="str">
        <f t="shared" si="51"/>
        <v>81001</v>
      </c>
    </row>
    <row r="1135" spans="1:5" x14ac:dyDescent="0.25">
      <c r="A1135" t="str">
        <f>"750307005"</f>
        <v>750307005</v>
      </c>
      <c r="B1135" t="s">
        <v>1116</v>
      </c>
      <c r="C1135" s="1">
        <v>2783</v>
      </c>
      <c r="D1135" t="str">
        <f t="shared" si="50"/>
        <v>307</v>
      </c>
      <c r="E1135" t="str">
        <f t="shared" si="51"/>
        <v>81001</v>
      </c>
    </row>
    <row r="1136" spans="1:5" x14ac:dyDescent="0.25">
      <c r="A1136" t="str">
        <f>"750307006"</f>
        <v>750307006</v>
      </c>
      <c r="B1136" t="s">
        <v>1117</v>
      </c>
      <c r="C1136">
        <v>53.08</v>
      </c>
      <c r="D1136" t="str">
        <f t="shared" si="50"/>
        <v>307</v>
      </c>
      <c r="E1136" t="str">
        <f t="shared" si="51"/>
        <v>81001</v>
      </c>
    </row>
    <row r="1137" spans="1:5" x14ac:dyDescent="0.25">
      <c r="A1137" t="str">
        <f>"750307007"</f>
        <v>750307007</v>
      </c>
      <c r="B1137" t="s">
        <v>1118</v>
      </c>
      <c r="C1137">
        <v>86.13</v>
      </c>
      <c r="D1137" t="str">
        <f t="shared" si="50"/>
        <v>307</v>
      </c>
      <c r="E1137" t="str">
        <f t="shared" si="51"/>
        <v>81001</v>
      </c>
    </row>
    <row r="1138" spans="1:5" x14ac:dyDescent="0.25">
      <c r="A1138" t="str">
        <f>"750307008"</f>
        <v>750307008</v>
      </c>
      <c r="B1138" t="s">
        <v>1119</v>
      </c>
      <c r="C1138">
        <v>156.63999999999999</v>
      </c>
      <c r="D1138" t="str">
        <f t="shared" si="50"/>
        <v>307</v>
      </c>
      <c r="E1138" t="str">
        <f t="shared" si="51"/>
        <v>81001</v>
      </c>
    </row>
    <row r="1139" spans="1:5" x14ac:dyDescent="0.25">
      <c r="A1139" t="str">
        <f>"750307009"</f>
        <v>750307009</v>
      </c>
      <c r="B1139" t="s">
        <v>1120</v>
      </c>
      <c r="C1139" s="1">
        <v>3223</v>
      </c>
      <c r="D1139" t="str">
        <f t="shared" si="50"/>
        <v>307</v>
      </c>
      <c r="E1139" t="str">
        <f t="shared" si="51"/>
        <v>81001</v>
      </c>
    </row>
    <row r="1140" spans="1:5" x14ac:dyDescent="0.25">
      <c r="A1140" t="str">
        <f>"750307011"</f>
        <v>750307011</v>
      </c>
      <c r="B1140" t="s">
        <v>1121</v>
      </c>
      <c r="C1140">
        <v>77.77</v>
      </c>
      <c r="D1140" t="str">
        <f t="shared" si="50"/>
        <v>307</v>
      </c>
      <c r="E1140" t="str">
        <f t="shared" si="51"/>
        <v>81001</v>
      </c>
    </row>
    <row r="1141" spans="1:5" x14ac:dyDescent="0.25">
      <c r="A1141" t="str">
        <f>"750308001"</f>
        <v>750308001</v>
      </c>
      <c r="B1141" t="s">
        <v>1122</v>
      </c>
      <c r="C1141">
        <v>154</v>
      </c>
      <c r="D1141" t="str">
        <f>"300"</f>
        <v>300</v>
      </c>
    </row>
    <row r="1142" spans="1:5" x14ac:dyDescent="0.25">
      <c r="A1142" t="str">
        <f>"750308002"</f>
        <v>750308002</v>
      </c>
      <c r="B1142" t="s">
        <v>1123</v>
      </c>
      <c r="C1142">
        <v>154</v>
      </c>
      <c r="D1142" t="str">
        <f>"300"</f>
        <v>300</v>
      </c>
    </row>
    <row r="1143" spans="1:5" x14ac:dyDescent="0.25">
      <c r="A1143" t="str">
        <f>"750308003"</f>
        <v>750308003</v>
      </c>
      <c r="B1143" t="s">
        <v>1124</v>
      </c>
      <c r="C1143">
        <v>730.38</v>
      </c>
      <c r="D1143" t="str">
        <f>"300"</f>
        <v>300</v>
      </c>
    </row>
    <row r="1144" spans="1:5" x14ac:dyDescent="0.25">
      <c r="A1144" t="str">
        <f>"750310010"</f>
        <v>750310010</v>
      </c>
      <c r="B1144" t="s">
        <v>1125</v>
      </c>
      <c r="C1144" s="1">
        <v>1883.78</v>
      </c>
      <c r="D1144" t="str">
        <f>"271"</f>
        <v>271</v>
      </c>
      <c r="E1144" t="str">
        <f>"81219"</f>
        <v>81219</v>
      </c>
    </row>
    <row r="1145" spans="1:5" x14ac:dyDescent="0.25">
      <c r="A1145" t="str">
        <f>"750310015"</f>
        <v>750310015</v>
      </c>
      <c r="B1145" t="s">
        <v>1126</v>
      </c>
      <c r="C1145" s="1">
        <v>2544.73</v>
      </c>
      <c r="D1145" t="str">
        <f>"310"</f>
        <v>310</v>
      </c>
      <c r="E1145" t="str">
        <f>"81402"</f>
        <v>81402</v>
      </c>
    </row>
    <row r="1146" spans="1:5" x14ac:dyDescent="0.25">
      <c r="A1146" t="str">
        <f>"750312030"</f>
        <v>750312030</v>
      </c>
      <c r="B1146" t="s">
        <v>1127</v>
      </c>
      <c r="C1146">
        <v>113.42</v>
      </c>
      <c r="D1146" t="str">
        <f>"311"</f>
        <v>311</v>
      </c>
      <c r="E1146" t="str">
        <f>"88104"</f>
        <v>88104</v>
      </c>
    </row>
    <row r="1147" spans="1:5" x14ac:dyDescent="0.25">
      <c r="A1147" t="str">
        <f>"750312040"</f>
        <v>750312040</v>
      </c>
      <c r="B1147" t="s">
        <v>1128</v>
      </c>
      <c r="C1147">
        <v>153.66999999999999</v>
      </c>
      <c r="D1147" t="str">
        <f>"311"</f>
        <v>311</v>
      </c>
      <c r="E1147" t="str">
        <f>"88106"</f>
        <v>88106</v>
      </c>
    </row>
    <row r="1148" spans="1:5" x14ac:dyDescent="0.25">
      <c r="A1148" t="str">
        <f>"750312050"</f>
        <v>750312050</v>
      </c>
      <c r="B1148" t="s">
        <v>1129</v>
      </c>
      <c r="C1148">
        <v>70.73</v>
      </c>
      <c r="D1148" t="str">
        <f>"311"</f>
        <v>311</v>
      </c>
      <c r="E1148" t="str">
        <f>"88155"</f>
        <v>88155</v>
      </c>
    </row>
    <row r="1149" spans="1:5" x14ac:dyDescent="0.25">
      <c r="A1149" t="str">
        <f>"750312060"</f>
        <v>750312060</v>
      </c>
      <c r="B1149" t="s">
        <v>1129</v>
      </c>
      <c r="C1149">
        <v>42.74</v>
      </c>
      <c r="D1149" t="str">
        <f>"311"</f>
        <v>311</v>
      </c>
      <c r="E1149" t="str">
        <f>"88155"</f>
        <v>88155</v>
      </c>
    </row>
    <row r="1150" spans="1:5" x14ac:dyDescent="0.25">
      <c r="A1150" t="str">
        <f>"750312070"</f>
        <v>750312070</v>
      </c>
      <c r="B1150" t="s">
        <v>1130</v>
      </c>
      <c r="C1150">
        <v>86.63</v>
      </c>
      <c r="D1150" t="str">
        <f t="shared" ref="D1150:D1165" si="52">"312"</f>
        <v>312</v>
      </c>
      <c r="E1150" t="str">
        <f>"88300"</f>
        <v>88300</v>
      </c>
    </row>
    <row r="1151" spans="1:5" x14ac:dyDescent="0.25">
      <c r="A1151" t="str">
        <f>"750312080"</f>
        <v>750312080</v>
      </c>
      <c r="B1151" t="s">
        <v>1131</v>
      </c>
      <c r="C1151">
        <v>393.48</v>
      </c>
      <c r="D1151" t="str">
        <f t="shared" si="52"/>
        <v>312</v>
      </c>
      <c r="E1151" t="str">
        <f>"88302"</f>
        <v>88302</v>
      </c>
    </row>
    <row r="1152" spans="1:5" x14ac:dyDescent="0.25">
      <c r="A1152" t="str">
        <f>"750312090"</f>
        <v>750312090</v>
      </c>
      <c r="B1152" t="s">
        <v>1132</v>
      </c>
      <c r="C1152">
        <v>189.05</v>
      </c>
      <c r="D1152" t="str">
        <f t="shared" si="52"/>
        <v>312</v>
      </c>
      <c r="E1152" t="str">
        <f>"88304"</f>
        <v>88304</v>
      </c>
    </row>
    <row r="1153" spans="1:5" x14ac:dyDescent="0.25">
      <c r="A1153" t="str">
        <f>"750312100"</f>
        <v>750312100</v>
      </c>
      <c r="B1153" t="s">
        <v>1133</v>
      </c>
      <c r="C1153">
        <v>215.89</v>
      </c>
      <c r="D1153" t="str">
        <f t="shared" si="52"/>
        <v>312</v>
      </c>
      <c r="E1153" t="str">
        <f>"88305"</f>
        <v>88305</v>
      </c>
    </row>
    <row r="1154" spans="1:5" x14ac:dyDescent="0.25">
      <c r="A1154" t="str">
        <f>"750312110"</f>
        <v>750312110</v>
      </c>
      <c r="B1154" t="s">
        <v>1134</v>
      </c>
      <c r="C1154" s="1">
        <v>1242.76</v>
      </c>
      <c r="D1154" t="str">
        <f t="shared" si="52"/>
        <v>312</v>
      </c>
      <c r="E1154" t="str">
        <f>"88307"</f>
        <v>88307</v>
      </c>
    </row>
    <row r="1155" spans="1:5" x14ac:dyDescent="0.25">
      <c r="A1155" t="str">
        <f>"750312120"</f>
        <v>750312120</v>
      </c>
      <c r="B1155" t="s">
        <v>1135</v>
      </c>
      <c r="C1155" s="1">
        <v>1727.58</v>
      </c>
      <c r="D1155" t="str">
        <f t="shared" si="52"/>
        <v>312</v>
      </c>
      <c r="E1155" t="str">
        <f>"88309"</f>
        <v>88309</v>
      </c>
    </row>
    <row r="1156" spans="1:5" x14ac:dyDescent="0.25">
      <c r="A1156" t="str">
        <f>"750312130"</f>
        <v>750312130</v>
      </c>
      <c r="B1156" t="s">
        <v>1136</v>
      </c>
      <c r="C1156">
        <v>122.57</v>
      </c>
      <c r="D1156" t="str">
        <f t="shared" si="52"/>
        <v>312</v>
      </c>
      <c r="E1156" t="str">
        <f>"88311"</f>
        <v>88311</v>
      </c>
    </row>
    <row r="1157" spans="1:5" x14ac:dyDescent="0.25">
      <c r="A1157" t="str">
        <f>"750312140"</f>
        <v>750312140</v>
      </c>
      <c r="B1157" t="s">
        <v>1137</v>
      </c>
      <c r="C1157">
        <v>203.28</v>
      </c>
      <c r="D1157" t="str">
        <f t="shared" si="52"/>
        <v>312</v>
      </c>
      <c r="E1157" t="str">
        <f>"88312"</f>
        <v>88312</v>
      </c>
    </row>
    <row r="1158" spans="1:5" x14ac:dyDescent="0.25">
      <c r="A1158" t="str">
        <f>"750312141"</f>
        <v>750312141</v>
      </c>
      <c r="B1158" t="s">
        <v>1138</v>
      </c>
      <c r="C1158">
        <v>243.71</v>
      </c>
      <c r="D1158" t="str">
        <f t="shared" si="52"/>
        <v>312</v>
      </c>
      <c r="E1158" t="str">
        <f>"88184"</f>
        <v>88184</v>
      </c>
    </row>
    <row r="1159" spans="1:5" x14ac:dyDescent="0.25">
      <c r="A1159" t="str">
        <f>"750312142"</f>
        <v>750312142</v>
      </c>
      <c r="B1159" t="s">
        <v>1139</v>
      </c>
      <c r="C1159">
        <v>398.48</v>
      </c>
      <c r="D1159" t="str">
        <f t="shared" si="52"/>
        <v>312</v>
      </c>
      <c r="E1159" t="str">
        <f>"88185"</f>
        <v>88185</v>
      </c>
    </row>
    <row r="1160" spans="1:5" x14ac:dyDescent="0.25">
      <c r="A1160" t="str">
        <f>"750312143"</f>
        <v>750312143</v>
      </c>
      <c r="B1160" t="s">
        <v>1140</v>
      </c>
      <c r="C1160">
        <v>242.55</v>
      </c>
      <c r="D1160" t="str">
        <f t="shared" si="52"/>
        <v>312</v>
      </c>
      <c r="E1160" t="str">
        <f>"88188"</f>
        <v>88188</v>
      </c>
    </row>
    <row r="1161" spans="1:5" x14ac:dyDescent="0.25">
      <c r="A1161" t="str">
        <f>"750312144"</f>
        <v>750312144</v>
      </c>
      <c r="B1161" t="s">
        <v>1141</v>
      </c>
      <c r="C1161">
        <v>322.25</v>
      </c>
      <c r="D1161" t="str">
        <f t="shared" si="52"/>
        <v>312</v>
      </c>
      <c r="E1161" t="str">
        <f>"88189"</f>
        <v>88189</v>
      </c>
    </row>
    <row r="1162" spans="1:5" x14ac:dyDescent="0.25">
      <c r="A1162" t="str">
        <f>"750312145"</f>
        <v>750312145</v>
      </c>
      <c r="B1162" t="s">
        <v>1142</v>
      </c>
      <c r="C1162">
        <v>207.9</v>
      </c>
      <c r="D1162" t="str">
        <f t="shared" si="52"/>
        <v>312</v>
      </c>
      <c r="E1162" t="str">
        <f>"88360"</f>
        <v>88360</v>
      </c>
    </row>
    <row r="1163" spans="1:5" x14ac:dyDescent="0.25">
      <c r="A1163" t="str">
        <f>"750312146"</f>
        <v>750312146</v>
      </c>
      <c r="B1163" t="s">
        <v>1143</v>
      </c>
      <c r="C1163">
        <v>311.85000000000002</v>
      </c>
      <c r="D1163" t="str">
        <f t="shared" si="52"/>
        <v>312</v>
      </c>
      <c r="E1163" t="str">
        <f>"88361"</f>
        <v>88361</v>
      </c>
    </row>
    <row r="1164" spans="1:5" x14ac:dyDescent="0.25">
      <c r="A1164" t="str">
        <f>"750312147"</f>
        <v>750312147</v>
      </c>
      <c r="B1164" t="s">
        <v>1144</v>
      </c>
      <c r="C1164">
        <v>433.13</v>
      </c>
      <c r="D1164" t="str">
        <f t="shared" si="52"/>
        <v>312</v>
      </c>
      <c r="E1164" t="str">
        <f>"88364"</f>
        <v>88364</v>
      </c>
    </row>
    <row r="1165" spans="1:5" x14ac:dyDescent="0.25">
      <c r="A1165" t="str">
        <f>"750312148"</f>
        <v>750312148</v>
      </c>
      <c r="B1165" t="s">
        <v>1145</v>
      </c>
      <c r="C1165">
        <v>485.1</v>
      </c>
      <c r="D1165" t="str">
        <f t="shared" si="52"/>
        <v>312</v>
      </c>
      <c r="E1165" t="str">
        <f>"88368"</f>
        <v>88368</v>
      </c>
    </row>
    <row r="1166" spans="1:5" x14ac:dyDescent="0.25">
      <c r="A1166" t="str">
        <f>"750312149"</f>
        <v>750312149</v>
      </c>
      <c r="B1166" t="s">
        <v>1146</v>
      </c>
      <c r="C1166">
        <v>154.77000000000001</v>
      </c>
      <c r="D1166" t="str">
        <f>"311"</f>
        <v>311</v>
      </c>
      <c r="E1166" t="str">
        <f>"88108"</f>
        <v>88108</v>
      </c>
    </row>
    <row r="1167" spans="1:5" x14ac:dyDescent="0.25">
      <c r="A1167" t="str">
        <f>"750312150"</f>
        <v>750312150</v>
      </c>
      <c r="B1167" t="s">
        <v>1147</v>
      </c>
      <c r="C1167">
        <v>113.42</v>
      </c>
      <c r="D1167" t="str">
        <f>"312"</f>
        <v>312</v>
      </c>
      <c r="E1167" t="str">
        <f>"88329"</f>
        <v>88329</v>
      </c>
    </row>
    <row r="1168" spans="1:5" x14ac:dyDescent="0.25">
      <c r="A1168" t="str">
        <f>"750312151"</f>
        <v>750312151</v>
      </c>
      <c r="B1168" t="s">
        <v>1148</v>
      </c>
      <c r="C1168">
        <v>107.42</v>
      </c>
      <c r="D1168" t="str">
        <f>"301"</f>
        <v>301</v>
      </c>
      <c r="E1168" t="str">
        <f>"88160"</f>
        <v>88160</v>
      </c>
    </row>
    <row r="1169" spans="1:5" x14ac:dyDescent="0.25">
      <c r="A1169" t="str">
        <f>"750312152"</f>
        <v>750312152</v>
      </c>
      <c r="B1169" t="s">
        <v>1149</v>
      </c>
      <c r="C1169">
        <v>150.15</v>
      </c>
      <c r="D1169" t="str">
        <f>"311"</f>
        <v>311</v>
      </c>
      <c r="E1169" t="str">
        <f>"88162"</f>
        <v>88162</v>
      </c>
    </row>
    <row r="1170" spans="1:5" x14ac:dyDescent="0.25">
      <c r="A1170" t="str">
        <f>"750312153"</f>
        <v>750312153</v>
      </c>
      <c r="B1170" t="s">
        <v>1150</v>
      </c>
      <c r="C1170">
        <v>69.3</v>
      </c>
      <c r="D1170" t="str">
        <f>"311"</f>
        <v>311</v>
      </c>
      <c r="E1170" t="str">
        <f>"88164"</f>
        <v>88164</v>
      </c>
    </row>
    <row r="1171" spans="1:5" x14ac:dyDescent="0.25">
      <c r="A1171" t="str">
        <f>"750312154"</f>
        <v>750312154</v>
      </c>
      <c r="B1171" t="s">
        <v>1151</v>
      </c>
      <c r="C1171">
        <v>55.44</v>
      </c>
      <c r="D1171" t="str">
        <f>"311"</f>
        <v>311</v>
      </c>
      <c r="E1171" t="str">
        <f>"88172"</f>
        <v>88172</v>
      </c>
    </row>
    <row r="1172" spans="1:5" x14ac:dyDescent="0.25">
      <c r="A1172" t="str">
        <f>"750312155"</f>
        <v>750312155</v>
      </c>
      <c r="B1172" t="s">
        <v>1152</v>
      </c>
      <c r="C1172">
        <v>567.71</v>
      </c>
      <c r="D1172" t="str">
        <f>"311"</f>
        <v>311</v>
      </c>
      <c r="E1172" t="str">
        <f>"88173"</f>
        <v>88173</v>
      </c>
    </row>
    <row r="1173" spans="1:5" x14ac:dyDescent="0.25">
      <c r="A1173" t="str">
        <f>"750312156"</f>
        <v>750312156</v>
      </c>
      <c r="B1173" t="s">
        <v>1153</v>
      </c>
      <c r="C1173">
        <v>189.33</v>
      </c>
      <c r="D1173" t="str">
        <f t="shared" ref="D1173:D1182" si="53">"312"</f>
        <v>312</v>
      </c>
      <c r="E1173" t="str">
        <f>"88300"</f>
        <v>88300</v>
      </c>
    </row>
    <row r="1174" spans="1:5" x14ac:dyDescent="0.25">
      <c r="A1174" t="str">
        <f>"750312157"</f>
        <v>750312157</v>
      </c>
      <c r="B1174" t="s">
        <v>1154</v>
      </c>
      <c r="C1174">
        <v>393.48</v>
      </c>
      <c r="D1174" t="str">
        <f t="shared" si="53"/>
        <v>312</v>
      </c>
      <c r="E1174" t="str">
        <f>"88302"</f>
        <v>88302</v>
      </c>
    </row>
    <row r="1175" spans="1:5" x14ac:dyDescent="0.25">
      <c r="A1175" t="str">
        <f>"750312158"</f>
        <v>750312158</v>
      </c>
      <c r="B1175" t="s">
        <v>1155</v>
      </c>
      <c r="C1175">
        <v>407.07</v>
      </c>
      <c r="D1175" t="str">
        <f t="shared" si="53"/>
        <v>312</v>
      </c>
      <c r="E1175" t="str">
        <f>"88304"</f>
        <v>88304</v>
      </c>
    </row>
    <row r="1176" spans="1:5" x14ac:dyDescent="0.25">
      <c r="A1176" t="str">
        <f>"750312159"</f>
        <v>750312159</v>
      </c>
      <c r="B1176" t="s">
        <v>1156</v>
      </c>
      <c r="C1176">
        <v>556.83000000000004</v>
      </c>
      <c r="D1176" t="str">
        <f t="shared" si="53"/>
        <v>312</v>
      </c>
      <c r="E1176" t="str">
        <f>"88305"</f>
        <v>88305</v>
      </c>
    </row>
    <row r="1177" spans="1:5" x14ac:dyDescent="0.25">
      <c r="A1177" t="str">
        <f>"750312160"</f>
        <v>750312160</v>
      </c>
      <c r="B1177" t="s">
        <v>1157</v>
      </c>
      <c r="C1177">
        <v>187.83</v>
      </c>
      <c r="D1177" t="str">
        <f t="shared" si="53"/>
        <v>312</v>
      </c>
      <c r="E1177" t="str">
        <f>"88331"</f>
        <v>88331</v>
      </c>
    </row>
    <row r="1178" spans="1:5" x14ac:dyDescent="0.25">
      <c r="A1178" t="str">
        <f>"750312162"</f>
        <v>750312162</v>
      </c>
      <c r="B1178" t="s">
        <v>1158</v>
      </c>
      <c r="C1178">
        <v>138.6</v>
      </c>
      <c r="D1178" t="str">
        <f t="shared" si="53"/>
        <v>312</v>
      </c>
      <c r="E1178" t="str">
        <f>"88311"</f>
        <v>88311</v>
      </c>
    </row>
    <row r="1179" spans="1:5" x14ac:dyDescent="0.25">
      <c r="A1179" t="str">
        <f>"750312163"</f>
        <v>750312163</v>
      </c>
      <c r="B1179" t="s">
        <v>1159</v>
      </c>
      <c r="C1179">
        <v>540.47</v>
      </c>
      <c r="D1179" t="str">
        <f t="shared" si="53"/>
        <v>312</v>
      </c>
      <c r="E1179" t="str">
        <f>"88312"</f>
        <v>88312</v>
      </c>
    </row>
    <row r="1180" spans="1:5" x14ac:dyDescent="0.25">
      <c r="A1180" t="str">
        <f>"750312165"</f>
        <v>750312165</v>
      </c>
      <c r="B1180" t="s">
        <v>1160</v>
      </c>
      <c r="C1180">
        <v>69.3</v>
      </c>
      <c r="D1180" t="str">
        <f t="shared" si="53"/>
        <v>312</v>
      </c>
      <c r="E1180" t="str">
        <f>"88331"</f>
        <v>88331</v>
      </c>
    </row>
    <row r="1181" spans="1:5" x14ac:dyDescent="0.25">
      <c r="A1181" t="str">
        <f>"750312166"</f>
        <v>750312166</v>
      </c>
      <c r="B1181" t="s">
        <v>1161</v>
      </c>
      <c r="C1181">
        <v>34.65</v>
      </c>
      <c r="D1181" t="str">
        <f t="shared" si="53"/>
        <v>312</v>
      </c>
      <c r="E1181" t="str">
        <f>"88332"</f>
        <v>88332</v>
      </c>
    </row>
    <row r="1182" spans="1:5" x14ac:dyDescent="0.25">
      <c r="A1182" t="str">
        <f>"750312167"</f>
        <v>750312167</v>
      </c>
      <c r="B1182" t="s">
        <v>1162</v>
      </c>
      <c r="C1182">
        <v>195.2</v>
      </c>
      <c r="D1182" t="str">
        <f t="shared" si="53"/>
        <v>312</v>
      </c>
      <c r="E1182" t="str">
        <f>"88342"</f>
        <v>88342</v>
      </c>
    </row>
    <row r="1183" spans="1:5" x14ac:dyDescent="0.25">
      <c r="A1183" t="str">
        <f>"750312170"</f>
        <v>750312170</v>
      </c>
      <c r="B1183" t="s">
        <v>1163</v>
      </c>
      <c r="C1183">
        <v>100.01</v>
      </c>
      <c r="D1183" t="str">
        <f>"250"</f>
        <v>250</v>
      </c>
      <c r="E1183" t="str">
        <f>"88332"</f>
        <v>88332</v>
      </c>
    </row>
    <row r="1184" spans="1:5" x14ac:dyDescent="0.25">
      <c r="A1184" t="str">
        <f>"750312174"</f>
        <v>750312174</v>
      </c>
      <c r="B1184" t="s">
        <v>1164</v>
      </c>
      <c r="C1184">
        <v>322.73</v>
      </c>
      <c r="D1184" t="str">
        <f>"272"</f>
        <v>272</v>
      </c>
      <c r="E1184" t="str">
        <f>"88104"</f>
        <v>88104</v>
      </c>
    </row>
    <row r="1185" spans="1:5" x14ac:dyDescent="0.25">
      <c r="A1185" t="str">
        <f>"750312180"</f>
        <v>750312180</v>
      </c>
      <c r="B1185" t="s">
        <v>1165</v>
      </c>
      <c r="C1185">
        <v>116.6</v>
      </c>
      <c r="D1185" t="str">
        <f>"309"</f>
        <v>309</v>
      </c>
      <c r="E1185" t="str">
        <f>"89051"</f>
        <v>89051</v>
      </c>
    </row>
    <row r="1186" spans="1:5" x14ac:dyDescent="0.25">
      <c r="A1186" t="str">
        <f>"750312190"</f>
        <v>750312190</v>
      </c>
      <c r="B1186" t="s">
        <v>1166</v>
      </c>
      <c r="C1186">
        <v>70.489999999999995</v>
      </c>
      <c r="D1186" t="str">
        <f>"306"</f>
        <v>306</v>
      </c>
      <c r="E1186" t="str">
        <f>"89051"</f>
        <v>89051</v>
      </c>
    </row>
    <row r="1187" spans="1:5" x14ac:dyDescent="0.25">
      <c r="A1187" t="str">
        <f>"750312200"</f>
        <v>750312200</v>
      </c>
      <c r="B1187" t="s">
        <v>1167</v>
      </c>
      <c r="C1187">
        <v>231</v>
      </c>
      <c r="D1187" t="str">
        <f t="shared" ref="D1187:D1200" si="54">"309"</f>
        <v>309</v>
      </c>
      <c r="E1187" t="str">
        <f>"86850"</f>
        <v>86850</v>
      </c>
    </row>
    <row r="1188" spans="1:5" x14ac:dyDescent="0.25">
      <c r="A1188" t="str">
        <f>"750312201"</f>
        <v>750312201</v>
      </c>
      <c r="B1188" t="s">
        <v>1168</v>
      </c>
      <c r="C1188">
        <v>127.6</v>
      </c>
      <c r="D1188" t="str">
        <f t="shared" si="54"/>
        <v>309</v>
      </c>
      <c r="E1188" t="str">
        <f>"86870"</f>
        <v>86870</v>
      </c>
    </row>
    <row r="1189" spans="1:5" x14ac:dyDescent="0.25">
      <c r="A1189" t="str">
        <f>"750312202"</f>
        <v>750312202</v>
      </c>
      <c r="B1189" t="s">
        <v>1169</v>
      </c>
      <c r="C1189">
        <v>61.6</v>
      </c>
      <c r="D1189" t="str">
        <f t="shared" si="54"/>
        <v>309</v>
      </c>
      <c r="E1189" t="str">
        <f>"86880"</f>
        <v>86880</v>
      </c>
    </row>
    <row r="1190" spans="1:5" x14ac:dyDescent="0.25">
      <c r="A1190" t="str">
        <f>"750312203"</f>
        <v>750312203</v>
      </c>
      <c r="B1190" t="s">
        <v>1170</v>
      </c>
      <c r="C1190">
        <v>16.170000000000002</v>
      </c>
      <c r="D1190" t="str">
        <f t="shared" si="54"/>
        <v>309</v>
      </c>
      <c r="E1190" t="str">
        <f>"86885"</f>
        <v>86885</v>
      </c>
    </row>
    <row r="1191" spans="1:5" x14ac:dyDescent="0.25">
      <c r="A1191" t="str">
        <f>"750312204"</f>
        <v>750312204</v>
      </c>
      <c r="B1191" t="s">
        <v>1171</v>
      </c>
      <c r="C1191">
        <v>150.15</v>
      </c>
      <c r="D1191" t="str">
        <f t="shared" si="54"/>
        <v>309</v>
      </c>
      <c r="E1191" t="str">
        <f>"86886"</f>
        <v>86886</v>
      </c>
    </row>
    <row r="1192" spans="1:5" x14ac:dyDescent="0.25">
      <c r="A1192" t="str">
        <f>"750312205"</f>
        <v>750312205</v>
      </c>
      <c r="B1192" t="s">
        <v>1172</v>
      </c>
      <c r="C1192">
        <v>63.8</v>
      </c>
      <c r="D1192" t="str">
        <f t="shared" si="54"/>
        <v>309</v>
      </c>
      <c r="E1192" t="str">
        <f>"86900"</f>
        <v>86900</v>
      </c>
    </row>
    <row r="1193" spans="1:5" x14ac:dyDescent="0.25">
      <c r="A1193" t="str">
        <f>"750312206"</f>
        <v>750312206</v>
      </c>
      <c r="B1193" t="s">
        <v>1173</v>
      </c>
      <c r="C1193">
        <v>57.2</v>
      </c>
      <c r="D1193" t="str">
        <f t="shared" si="54"/>
        <v>309</v>
      </c>
      <c r="E1193" t="str">
        <f>"86901"</f>
        <v>86901</v>
      </c>
    </row>
    <row r="1194" spans="1:5" x14ac:dyDescent="0.25">
      <c r="A1194" t="str">
        <f>"750312207"</f>
        <v>750312207</v>
      </c>
      <c r="B1194" t="s">
        <v>1174</v>
      </c>
      <c r="C1194">
        <v>139.69999999999999</v>
      </c>
      <c r="D1194" t="str">
        <f t="shared" si="54"/>
        <v>309</v>
      </c>
      <c r="E1194" t="str">
        <f>"86902"</f>
        <v>86902</v>
      </c>
    </row>
    <row r="1195" spans="1:5" x14ac:dyDescent="0.25">
      <c r="A1195" t="str">
        <f>"750312208"</f>
        <v>750312208</v>
      </c>
      <c r="B1195" t="s">
        <v>1175</v>
      </c>
      <c r="C1195">
        <v>90.09</v>
      </c>
      <c r="D1195" t="str">
        <f t="shared" si="54"/>
        <v>309</v>
      </c>
      <c r="E1195" t="str">
        <f>"86970"</f>
        <v>86970</v>
      </c>
    </row>
    <row r="1196" spans="1:5" x14ac:dyDescent="0.25">
      <c r="A1196" t="str">
        <f>"750312209"</f>
        <v>750312209</v>
      </c>
      <c r="B1196" t="s">
        <v>1176</v>
      </c>
      <c r="C1196">
        <v>92.4</v>
      </c>
      <c r="D1196" t="str">
        <f t="shared" si="54"/>
        <v>309</v>
      </c>
      <c r="E1196" t="str">
        <f>"86905"</f>
        <v>86905</v>
      </c>
    </row>
    <row r="1197" spans="1:5" x14ac:dyDescent="0.25">
      <c r="A1197" t="str">
        <f>"750312210"</f>
        <v>750312210</v>
      </c>
      <c r="B1197" t="s">
        <v>1177</v>
      </c>
      <c r="C1197">
        <v>60.06</v>
      </c>
      <c r="D1197" t="str">
        <f t="shared" si="54"/>
        <v>309</v>
      </c>
      <c r="E1197" t="str">
        <f>"86906"</f>
        <v>86906</v>
      </c>
    </row>
    <row r="1198" spans="1:5" x14ac:dyDescent="0.25">
      <c r="A1198" t="str">
        <f>"750312211"</f>
        <v>750312211</v>
      </c>
      <c r="B1198" t="s">
        <v>1178</v>
      </c>
      <c r="C1198">
        <v>44</v>
      </c>
      <c r="D1198" t="str">
        <f t="shared" si="54"/>
        <v>309</v>
      </c>
      <c r="E1198" t="str">
        <f>"86901"</f>
        <v>86901</v>
      </c>
    </row>
    <row r="1199" spans="1:5" x14ac:dyDescent="0.25">
      <c r="A1199" t="str">
        <f>"750312212"</f>
        <v>750312212</v>
      </c>
      <c r="B1199" t="s">
        <v>1179</v>
      </c>
      <c r="C1199">
        <v>86.24</v>
      </c>
      <c r="D1199" t="str">
        <f t="shared" si="54"/>
        <v>309</v>
      </c>
    </row>
    <row r="1200" spans="1:5" x14ac:dyDescent="0.25">
      <c r="A1200" t="str">
        <f>"750312213"</f>
        <v>750312213</v>
      </c>
      <c r="B1200" t="s">
        <v>1180</v>
      </c>
      <c r="C1200">
        <v>364.98</v>
      </c>
      <c r="D1200" t="str">
        <f t="shared" si="54"/>
        <v>309</v>
      </c>
    </row>
    <row r="1201" spans="1:5" x14ac:dyDescent="0.25">
      <c r="A1201" t="str">
        <f>"750383050"</f>
        <v>750383050</v>
      </c>
      <c r="B1201" t="s">
        <v>1181</v>
      </c>
      <c r="C1201">
        <v>683.76</v>
      </c>
      <c r="D1201" t="str">
        <f t="shared" ref="D1201:D1231" si="55">"390"</f>
        <v>390</v>
      </c>
      <c r="E1201" t="str">
        <f>"P9022"</f>
        <v>P9022</v>
      </c>
    </row>
    <row r="1202" spans="1:5" x14ac:dyDescent="0.25">
      <c r="A1202" t="str">
        <f>"750390002"</f>
        <v>750390002</v>
      </c>
      <c r="B1202" t="s">
        <v>1182</v>
      </c>
      <c r="C1202">
        <v>88</v>
      </c>
      <c r="D1202" t="str">
        <f t="shared" si="55"/>
        <v>390</v>
      </c>
    </row>
    <row r="1203" spans="1:5" x14ac:dyDescent="0.25">
      <c r="A1203" t="str">
        <f>"750390003"</f>
        <v>750390003</v>
      </c>
      <c r="B1203" t="s">
        <v>1183</v>
      </c>
      <c r="C1203">
        <v>662.63</v>
      </c>
      <c r="D1203" t="str">
        <f t="shared" si="55"/>
        <v>390</v>
      </c>
    </row>
    <row r="1204" spans="1:5" x14ac:dyDescent="0.25">
      <c r="A1204" t="str">
        <f>"750390004"</f>
        <v>750390004</v>
      </c>
      <c r="B1204" t="s">
        <v>1184</v>
      </c>
      <c r="C1204">
        <v>819.93</v>
      </c>
      <c r="D1204" t="str">
        <f t="shared" si="55"/>
        <v>390</v>
      </c>
    </row>
    <row r="1205" spans="1:5" x14ac:dyDescent="0.25">
      <c r="A1205" t="str">
        <f>"750390006"</f>
        <v>750390006</v>
      </c>
      <c r="B1205" t="s">
        <v>1185</v>
      </c>
      <c r="C1205">
        <v>70.95</v>
      </c>
      <c r="D1205" t="str">
        <f t="shared" si="55"/>
        <v>390</v>
      </c>
    </row>
    <row r="1206" spans="1:5" x14ac:dyDescent="0.25">
      <c r="A1206" t="str">
        <f>"750390007"</f>
        <v>750390007</v>
      </c>
      <c r="B1206" t="s">
        <v>1186</v>
      </c>
      <c r="C1206">
        <v>22</v>
      </c>
      <c r="D1206" t="str">
        <f t="shared" si="55"/>
        <v>390</v>
      </c>
    </row>
    <row r="1207" spans="1:5" x14ac:dyDescent="0.25">
      <c r="A1207" t="str">
        <f>"750390008"</f>
        <v>750390008</v>
      </c>
      <c r="B1207" t="s">
        <v>1187</v>
      </c>
      <c r="C1207">
        <v>70.95</v>
      </c>
      <c r="D1207" t="str">
        <f t="shared" si="55"/>
        <v>390</v>
      </c>
    </row>
    <row r="1208" spans="1:5" x14ac:dyDescent="0.25">
      <c r="A1208" t="str">
        <f>"750390009"</f>
        <v>750390009</v>
      </c>
      <c r="B1208" t="s">
        <v>1188</v>
      </c>
      <c r="C1208">
        <v>165</v>
      </c>
      <c r="D1208" t="str">
        <f t="shared" si="55"/>
        <v>390</v>
      </c>
    </row>
    <row r="1209" spans="1:5" x14ac:dyDescent="0.25">
      <c r="A1209" t="str">
        <f>"750390010"</f>
        <v>750390010</v>
      </c>
      <c r="B1209" t="s">
        <v>1189</v>
      </c>
      <c r="C1209">
        <v>356.9</v>
      </c>
      <c r="D1209" t="str">
        <f t="shared" si="55"/>
        <v>390</v>
      </c>
      <c r="E1209" t="str">
        <f>"P9032"</f>
        <v>P9032</v>
      </c>
    </row>
    <row r="1210" spans="1:5" x14ac:dyDescent="0.25">
      <c r="A1210" t="str">
        <f>"750390011"</f>
        <v>750390011</v>
      </c>
      <c r="B1210" t="s">
        <v>1190</v>
      </c>
      <c r="C1210">
        <v>165</v>
      </c>
      <c r="D1210" t="str">
        <f t="shared" si="55"/>
        <v>390</v>
      </c>
    </row>
    <row r="1211" spans="1:5" x14ac:dyDescent="0.25">
      <c r="A1211" t="str">
        <f>"750390012"</f>
        <v>750390012</v>
      </c>
      <c r="B1211" t="s">
        <v>1191</v>
      </c>
      <c r="C1211">
        <v>49.5</v>
      </c>
      <c r="D1211" t="str">
        <f t="shared" si="55"/>
        <v>390</v>
      </c>
    </row>
    <row r="1212" spans="1:5" x14ac:dyDescent="0.25">
      <c r="A1212" t="str">
        <f>"750390013"</f>
        <v>750390013</v>
      </c>
      <c r="B1212" t="s">
        <v>1192</v>
      </c>
      <c r="C1212">
        <v>264</v>
      </c>
      <c r="D1212" t="str">
        <f t="shared" si="55"/>
        <v>390</v>
      </c>
    </row>
    <row r="1213" spans="1:5" x14ac:dyDescent="0.25">
      <c r="A1213" t="str">
        <f>"750390014"</f>
        <v>750390014</v>
      </c>
      <c r="B1213" t="s">
        <v>1193</v>
      </c>
      <c r="C1213">
        <v>418</v>
      </c>
      <c r="D1213" t="str">
        <f t="shared" si="55"/>
        <v>390</v>
      </c>
    </row>
    <row r="1214" spans="1:5" x14ac:dyDescent="0.25">
      <c r="A1214" t="str">
        <f>"750390016"</f>
        <v>750390016</v>
      </c>
      <c r="B1214" t="s">
        <v>1194</v>
      </c>
      <c r="C1214">
        <v>330</v>
      </c>
      <c r="D1214" t="str">
        <f t="shared" si="55"/>
        <v>390</v>
      </c>
    </row>
    <row r="1215" spans="1:5" x14ac:dyDescent="0.25">
      <c r="A1215" t="str">
        <f>"750390017"</f>
        <v>750390017</v>
      </c>
      <c r="B1215" t="s">
        <v>1195</v>
      </c>
      <c r="C1215">
        <v>330</v>
      </c>
      <c r="D1215" t="str">
        <f t="shared" si="55"/>
        <v>390</v>
      </c>
    </row>
    <row r="1216" spans="1:5" x14ac:dyDescent="0.25">
      <c r="A1216" t="str">
        <f>"750390018"</f>
        <v>750390018</v>
      </c>
      <c r="B1216" t="s">
        <v>1196</v>
      </c>
      <c r="C1216">
        <v>55</v>
      </c>
      <c r="D1216" t="str">
        <f t="shared" si="55"/>
        <v>390</v>
      </c>
    </row>
    <row r="1217" spans="1:5" x14ac:dyDescent="0.25">
      <c r="A1217" t="str">
        <f>"750390019"</f>
        <v>750390019</v>
      </c>
      <c r="B1217" t="s">
        <v>1197</v>
      </c>
      <c r="C1217">
        <v>110</v>
      </c>
      <c r="D1217" t="str">
        <f t="shared" si="55"/>
        <v>390</v>
      </c>
    </row>
    <row r="1218" spans="1:5" x14ac:dyDescent="0.25">
      <c r="A1218" t="str">
        <f>"750390020"</f>
        <v>750390020</v>
      </c>
      <c r="B1218" t="s">
        <v>1198</v>
      </c>
      <c r="C1218" s="1">
        <v>1267.04</v>
      </c>
      <c r="D1218" t="str">
        <f t="shared" si="55"/>
        <v>390</v>
      </c>
      <c r="E1218" t="str">
        <f>"P9035"</f>
        <v>P9035</v>
      </c>
    </row>
    <row r="1219" spans="1:5" x14ac:dyDescent="0.25">
      <c r="A1219" t="str">
        <f>"750390024"</f>
        <v>750390024</v>
      </c>
      <c r="B1219" t="s">
        <v>1199</v>
      </c>
      <c r="C1219">
        <v>257.95</v>
      </c>
      <c r="D1219" t="str">
        <f t="shared" si="55"/>
        <v>390</v>
      </c>
    </row>
    <row r="1220" spans="1:5" x14ac:dyDescent="0.25">
      <c r="A1220" t="str">
        <f>"750390025"</f>
        <v>750390025</v>
      </c>
      <c r="B1220" t="s">
        <v>1200</v>
      </c>
      <c r="C1220">
        <v>356.95</v>
      </c>
      <c r="D1220" t="str">
        <f t="shared" si="55"/>
        <v>390</v>
      </c>
    </row>
    <row r="1221" spans="1:5" x14ac:dyDescent="0.25">
      <c r="A1221" t="str">
        <f>"750390026"</f>
        <v>750390026</v>
      </c>
      <c r="B1221" t="s">
        <v>1201</v>
      </c>
      <c r="C1221">
        <v>888.8</v>
      </c>
      <c r="D1221" t="str">
        <f t="shared" si="55"/>
        <v>390</v>
      </c>
    </row>
    <row r="1222" spans="1:5" x14ac:dyDescent="0.25">
      <c r="A1222" t="str">
        <f>"750390027"</f>
        <v>750390027</v>
      </c>
      <c r="B1222" t="s">
        <v>1202</v>
      </c>
      <c r="C1222">
        <v>391.6</v>
      </c>
      <c r="D1222" t="str">
        <f t="shared" si="55"/>
        <v>390</v>
      </c>
    </row>
    <row r="1223" spans="1:5" x14ac:dyDescent="0.25">
      <c r="A1223" t="str">
        <f>"750390028"</f>
        <v>750390028</v>
      </c>
      <c r="B1223" t="s">
        <v>1203</v>
      </c>
      <c r="C1223">
        <v>474.1</v>
      </c>
      <c r="D1223" t="str">
        <f t="shared" si="55"/>
        <v>390</v>
      </c>
    </row>
    <row r="1224" spans="1:5" x14ac:dyDescent="0.25">
      <c r="A1224" t="str">
        <f>"750390029"</f>
        <v>750390029</v>
      </c>
      <c r="B1224" t="s">
        <v>1204</v>
      </c>
      <c r="C1224">
        <v>157.30000000000001</v>
      </c>
      <c r="D1224" t="str">
        <f t="shared" si="55"/>
        <v>390</v>
      </c>
    </row>
    <row r="1225" spans="1:5" x14ac:dyDescent="0.25">
      <c r="A1225" t="str">
        <f>"750390030"</f>
        <v>750390030</v>
      </c>
      <c r="B1225" t="s">
        <v>1205</v>
      </c>
      <c r="C1225">
        <v>345.95</v>
      </c>
      <c r="D1225" t="str">
        <f t="shared" si="55"/>
        <v>390</v>
      </c>
    </row>
    <row r="1226" spans="1:5" x14ac:dyDescent="0.25">
      <c r="A1226" t="str">
        <f>"750390031"</f>
        <v>750390031</v>
      </c>
      <c r="B1226" t="s">
        <v>1206</v>
      </c>
      <c r="C1226">
        <v>171.05</v>
      </c>
      <c r="D1226" t="str">
        <f t="shared" si="55"/>
        <v>390</v>
      </c>
    </row>
    <row r="1227" spans="1:5" x14ac:dyDescent="0.25">
      <c r="A1227" t="str">
        <f>"750390032"</f>
        <v>750390032</v>
      </c>
      <c r="B1227" t="s">
        <v>1207</v>
      </c>
      <c r="C1227">
        <v>492.25</v>
      </c>
      <c r="D1227" t="str">
        <f t="shared" si="55"/>
        <v>390</v>
      </c>
    </row>
    <row r="1228" spans="1:5" x14ac:dyDescent="0.25">
      <c r="A1228" t="str">
        <f>"750390033"</f>
        <v>750390033</v>
      </c>
      <c r="B1228" t="s">
        <v>1208</v>
      </c>
      <c r="C1228">
        <v>713.9</v>
      </c>
      <c r="D1228" t="str">
        <f t="shared" si="55"/>
        <v>390</v>
      </c>
    </row>
    <row r="1229" spans="1:5" x14ac:dyDescent="0.25">
      <c r="A1229" t="str">
        <f>"750390034"</f>
        <v>750390034</v>
      </c>
      <c r="B1229" t="s">
        <v>1209</v>
      </c>
      <c r="C1229">
        <v>279.39999999999998</v>
      </c>
      <c r="D1229" t="str">
        <f t="shared" si="55"/>
        <v>390</v>
      </c>
    </row>
    <row r="1230" spans="1:5" x14ac:dyDescent="0.25">
      <c r="A1230" t="str">
        <f>"750390040"</f>
        <v>750390040</v>
      </c>
      <c r="B1230" t="s">
        <v>1210</v>
      </c>
      <c r="C1230" s="1">
        <v>1097.25</v>
      </c>
      <c r="D1230" t="str">
        <f t="shared" si="55"/>
        <v>390</v>
      </c>
      <c r="E1230" t="str">
        <f>"P9039"</f>
        <v>P9039</v>
      </c>
    </row>
    <row r="1231" spans="1:5" x14ac:dyDescent="0.25">
      <c r="A1231" t="str">
        <f>"750390060"</f>
        <v>750390060</v>
      </c>
      <c r="B1231" t="s">
        <v>1211</v>
      </c>
      <c r="C1231" s="1">
        <v>1465.7</v>
      </c>
      <c r="D1231" t="str">
        <f t="shared" si="55"/>
        <v>390</v>
      </c>
      <c r="E1231" t="str">
        <f>"P9053"</f>
        <v>P9053</v>
      </c>
    </row>
    <row r="1232" spans="1:5" x14ac:dyDescent="0.25">
      <c r="A1232" t="str">
        <f>"750390075"</f>
        <v>750390075</v>
      </c>
      <c r="B1232" t="s">
        <v>1212</v>
      </c>
      <c r="C1232" s="1">
        <v>1269.3499999999999</v>
      </c>
      <c r="D1232" t="str">
        <f>"391"</f>
        <v>391</v>
      </c>
      <c r="E1232" t="str">
        <f>"36430"</f>
        <v>36430</v>
      </c>
    </row>
    <row r="1233" spans="1:5" x14ac:dyDescent="0.25">
      <c r="A1233" t="str">
        <f>"750390081"</f>
        <v>750390081</v>
      </c>
      <c r="B1233" t="s">
        <v>1213</v>
      </c>
      <c r="C1233">
        <v>225.23</v>
      </c>
      <c r="D1233" t="str">
        <f>"301"</f>
        <v>301</v>
      </c>
      <c r="E1233" t="str">
        <f>"86850"</f>
        <v>86850</v>
      </c>
    </row>
    <row r="1234" spans="1:5" x14ac:dyDescent="0.25">
      <c r="A1234" t="str">
        <f>"750390115"</f>
        <v>750390115</v>
      </c>
      <c r="B1234" t="s">
        <v>1214</v>
      </c>
      <c r="C1234">
        <v>313.5</v>
      </c>
      <c r="D1234" t="str">
        <f>"306"</f>
        <v>306</v>
      </c>
      <c r="E1234" t="str">
        <f>"87070"</f>
        <v>87070</v>
      </c>
    </row>
    <row r="1235" spans="1:5" x14ac:dyDescent="0.25">
      <c r="A1235" t="str">
        <f>"750390118"</f>
        <v>750390118</v>
      </c>
      <c r="B1235" t="s">
        <v>1215</v>
      </c>
      <c r="C1235">
        <v>79.7</v>
      </c>
      <c r="D1235" t="str">
        <f>"306"</f>
        <v>306</v>
      </c>
      <c r="E1235" t="str">
        <f>"87880"</f>
        <v>87880</v>
      </c>
    </row>
    <row r="1236" spans="1:5" x14ac:dyDescent="0.25">
      <c r="A1236" t="str">
        <f>"750390119"</f>
        <v>750390119</v>
      </c>
      <c r="B1236" t="s">
        <v>1216</v>
      </c>
      <c r="C1236">
        <v>91.76</v>
      </c>
      <c r="D1236" t="str">
        <f>"306"</f>
        <v>306</v>
      </c>
      <c r="E1236" t="str">
        <f>"87081"</f>
        <v>87081</v>
      </c>
    </row>
    <row r="1237" spans="1:5" x14ac:dyDescent="0.25">
      <c r="A1237" t="str">
        <f>"750390131"</f>
        <v>750390131</v>
      </c>
      <c r="B1237" t="s">
        <v>1217</v>
      </c>
      <c r="C1237">
        <v>529</v>
      </c>
      <c r="D1237" t="str">
        <f>"306"</f>
        <v>306</v>
      </c>
      <c r="E1237" t="str">
        <f>"87070"</f>
        <v>87070</v>
      </c>
    </row>
    <row r="1238" spans="1:5" x14ac:dyDescent="0.25">
      <c r="A1238" t="str">
        <f>"750390133"</f>
        <v>750390133</v>
      </c>
      <c r="B1238" t="s">
        <v>1218</v>
      </c>
      <c r="C1238">
        <v>96.8</v>
      </c>
      <c r="D1238" t="str">
        <f>"300"</f>
        <v>300</v>
      </c>
      <c r="E1238" t="str">
        <f>"86901"</f>
        <v>86901</v>
      </c>
    </row>
    <row r="1239" spans="1:5" x14ac:dyDescent="0.25">
      <c r="A1239" t="str">
        <f>"750390135"</f>
        <v>750390135</v>
      </c>
      <c r="B1239" t="s">
        <v>1219</v>
      </c>
      <c r="C1239">
        <v>192.5</v>
      </c>
      <c r="D1239" t="str">
        <f>"300"</f>
        <v>300</v>
      </c>
    </row>
    <row r="1240" spans="1:5" x14ac:dyDescent="0.25">
      <c r="A1240" t="str">
        <f>"750390136"</f>
        <v>750390136</v>
      </c>
      <c r="B1240" t="s">
        <v>1220</v>
      </c>
      <c r="C1240">
        <v>192.5</v>
      </c>
      <c r="D1240" t="str">
        <f>"300"</f>
        <v>300</v>
      </c>
      <c r="E1240" t="str">
        <f>"87070"</f>
        <v>87070</v>
      </c>
    </row>
    <row r="1241" spans="1:5" x14ac:dyDescent="0.25">
      <c r="A1241" t="str">
        <f>"750390137"</f>
        <v>750390137</v>
      </c>
      <c r="B1241" t="s">
        <v>1221</v>
      </c>
      <c r="C1241">
        <v>192.5</v>
      </c>
      <c r="D1241" t="str">
        <f>"300"</f>
        <v>300</v>
      </c>
      <c r="E1241" t="str">
        <f>"86480"</f>
        <v>86480</v>
      </c>
    </row>
    <row r="1242" spans="1:5" x14ac:dyDescent="0.25">
      <c r="A1242" t="str">
        <f>"750390138"</f>
        <v>750390138</v>
      </c>
      <c r="B1242" t="s">
        <v>1222</v>
      </c>
      <c r="C1242">
        <v>192.5</v>
      </c>
      <c r="D1242" t="str">
        <f>"300"</f>
        <v>300</v>
      </c>
    </row>
    <row r="1243" spans="1:5" x14ac:dyDescent="0.25">
      <c r="A1243" t="str">
        <f>"750390139"</f>
        <v>750390139</v>
      </c>
      <c r="B1243" t="s">
        <v>1223</v>
      </c>
      <c r="C1243">
        <v>192.5</v>
      </c>
      <c r="D1243" t="str">
        <f>"306"</f>
        <v>306</v>
      </c>
    </row>
    <row r="1244" spans="1:5" x14ac:dyDescent="0.25">
      <c r="A1244" t="str">
        <f>"750390140"</f>
        <v>750390140</v>
      </c>
      <c r="B1244" t="s">
        <v>1224</v>
      </c>
      <c r="C1244">
        <v>192.5</v>
      </c>
      <c r="D1244" t="str">
        <f>"306"</f>
        <v>306</v>
      </c>
    </row>
    <row r="1245" spans="1:5" x14ac:dyDescent="0.25">
      <c r="A1245" t="str">
        <f>"750390141"</f>
        <v>750390141</v>
      </c>
      <c r="B1245" t="s">
        <v>1225</v>
      </c>
      <c r="C1245">
        <v>192.5</v>
      </c>
      <c r="D1245" t="str">
        <f>"300"</f>
        <v>300</v>
      </c>
      <c r="E1245" t="str">
        <f>"87220"</f>
        <v>87220</v>
      </c>
    </row>
    <row r="1246" spans="1:5" x14ac:dyDescent="0.25">
      <c r="A1246" t="str">
        <f>"750801000"</f>
        <v>750801000</v>
      </c>
      <c r="B1246" t="s">
        <v>1226</v>
      </c>
      <c r="C1246">
        <v>112.88</v>
      </c>
      <c r="D1246" t="str">
        <f>"301"</f>
        <v>301</v>
      </c>
      <c r="E1246" t="str">
        <f>"87635"</f>
        <v>87635</v>
      </c>
    </row>
    <row r="1247" spans="1:5" x14ac:dyDescent="0.25">
      <c r="A1247" t="str">
        <f>"750801001"</f>
        <v>750801001</v>
      </c>
      <c r="B1247" t="s">
        <v>1227</v>
      </c>
      <c r="C1247">
        <v>99.51</v>
      </c>
      <c r="D1247" t="str">
        <f>"301"</f>
        <v>301</v>
      </c>
      <c r="E1247" t="str">
        <f>"86769"</f>
        <v>86769</v>
      </c>
    </row>
    <row r="1248" spans="1:5" x14ac:dyDescent="0.25">
      <c r="A1248" t="str">
        <f>"750801002"</f>
        <v>750801002</v>
      </c>
      <c r="B1248" t="s">
        <v>1228</v>
      </c>
      <c r="C1248">
        <v>398.43</v>
      </c>
      <c r="D1248" t="str">
        <f>"309"</f>
        <v>309</v>
      </c>
      <c r="E1248" t="str">
        <f>"86022"</f>
        <v>86022</v>
      </c>
    </row>
    <row r="1249" spans="1:5" x14ac:dyDescent="0.25">
      <c r="A1249" t="str">
        <f>"750801004"</f>
        <v>750801004</v>
      </c>
      <c r="B1249" t="s">
        <v>1229</v>
      </c>
      <c r="C1249">
        <v>79.2</v>
      </c>
      <c r="D1249" t="str">
        <f>"301"</f>
        <v>301</v>
      </c>
      <c r="E1249" t="str">
        <f>"87426"</f>
        <v>87426</v>
      </c>
    </row>
    <row r="1250" spans="1:5" x14ac:dyDescent="0.25">
      <c r="A1250" t="str">
        <f>"750801005"</f>
        <v>750801005</v>
      </c>
      <c r="B1250" t="s">
        <v>1230</v>
      </c>
      <c r="C1250">
        <v>106.15</v>
      </c>
      <c r="D1250" t="str">
        <f>"306"</f>
        <v>306</v>
      </c>
      <c r="E1250" t="str">
        <f>"87081"</f>
        <v>87081</v>
      </c>
    </row>
    <row r="1251" spans="1:5" x14ac:dyDescent="0.25">
      <c r="A1251" t="str">
        <f>"750801006"</f>
        <v>750801006</v>
      </c>
      <c r="B1251" t="s">
        <v>1231</v>
      </c>
      <c r="C1251">
        <v>106.15</v>
      </c>
      <c r="D1251" t="str">
        <f>"306"</f>
        <v>306</v>
      </c>
      <c r="E1251" t="str">
        <f>"87081"</f>
        <v>87081</v>
      </c>
    </row>
    <row r="1252" spans="1:5" x14ac:dyDescent="0.25">
      <c r="A1252" t="str">
        <f>"750801007"</f>
        <v>750801007</v>
      </c>
      <c r="B1252" t="s">
        <v>1232</v>
      </c>
      <c r="C1252">
        <v>136.71</v>
      </c>
      <c r="D1252" t="str">
        <f>"301"</f>
        <v>301</v>
      </c>
      <c r="E1252" t="str">
        <f>"80354"</f>
        <v>80354</v>
      </c>
    </row>
    <row r="1253" spans="1:5" x14ac:dyDescent="0.25">
      <c r="A1253" t="str">
        <f>"750801008"</f>
        <v>750801008</v>
      </c>
      <c r="B1253" t="s">
        <v>973</v>
      </c>
      <c r="C1253">
        <v>231</v>
      </c>
      <c r="D1253" t="str">
        <f>"301"</f>
        <v>301</v>
      </c>
      <c r="E1253" t="str">
        <f>"83880"</f>
        <v>83880</v>
      </c>
    </row>
    <row r="1254" spans="1:5" x14ac:dyDescent="0.25">
      <c r="A1254" t="str">
        <f>"750801009"</f>
        <v>750801009</v>
      </c>
      <c r="B1254" t="s">
        <v>1233</v>
      </c>
      <c r="C1254" s="1">
        <v>1873.3</v>
      </c>
      <c r="D1254" t="str">
        <f>"307"</f>
        <v>307</v>
      </c>
      <c r="E1254" t="str">
        <f>"81001"</f>
        <v>81001</v>
      </c>
    </row>
    <row r="1255" spans="1:5" x14ac:dyDescent="0.25">
      <c r="A1255" t="str">
        <f>"750801010"</f>
        <v>750801010</v>
      </c>
      <c r="B1255" t="s">
        <v>1234</v>
      </c>
      <c r="C1255">
        <v>91.56</v>
      </c>
      <c r="D1255" t="str">
        <f>"305"</f>
        <v>305</v>
      </c>
      <c r="E1255" t="str">
        <f>"83986"</f>
        <v>83986</v>
      </c>
    </row>
    <row r="1256" spans="1:5" x14ac:dyDescent="0.25">
      <c r="A1256" t="str">
        <f>"750801011"</f>
        <v>750801011</v>
      </c>
      <c r="B1256" t="s">
        <v>1235</v>
      </c>
      <c r="C1256">
        <v>217.77</v>
      </c>
      <c r="D1256" t="str">
        <f>"300"</f>
        <v>300</v>
      </c>
    </row>
    <row r="1257" spans="1:5" x14ac:dyDescent="0.25">
      <c r="A1257" t="str">
        <f>"750801012"</f>
        <v>750801012</v>
      </c>
      <c r="B1257" t="s">
        <v>1236</v>
      </c>
      <c r="C1257">
        <v>96.05</v>
      </c>
      <c r="D1257" t="str">
        <f>"306"</f>
        <v>306</v>
      </c>
    </row>
    <row r="1258" spans="1:5" x14ac:dyDescent="0.25">
      <c r="A1258" t="str">
        <f>"750801013"</f>
        <v>750801013</v>
      </c>
      <c r="B1258" t="s">
        <v>1237</v>
      </c>
      <c r="C1258">
        <v>290.33</v>
      </c>
      <c r="D1258" t="str">
        <f>"300"</f>
        <v>300</v>
      </c>
      <c r="E1258" t="str">
        <f>"82010"</f>
        <v>82010</v>
      </c>
    </row>
    <row r="1259" spans="1:5" x14ac:dyDescent="0.25">
      <c r="A1259" t="str">
        <f>"750801014"</f>
        <v>750801014</v>
      </c>
      <c r="B1259" t="s">
        <v>1238</v>
      </c>
      <c r="C1259">
        <v>169.4</v>
      </c>
      <c r="D1259" t="str">
        <f>"300"</f>
        <v>300</v>
      </c>
      <c r="E1259" t="str">
        <f>"86860"</f>
        <v>86860</v>
      </c>
    </row>
    <row r="1260" spans="1:5" x14ac:dyDescent="0.25">
      <c r="A1260" t="str">
        <f>"750801015"</f>
        <v>750801015</v>
      </c>
      <c r="B1260" t="s">
        <v>1239</v>
      </c>
      <c r="C1260">
        <v>232.1</v>
      </c>
      <c r="D1260" t="str">
        <f>"309"</f>
        <v>309</v>
      </c>
    </row>
    <row r="1261" spans="1:5" x14ac:dyDescent="0.25">
      <c r="A1261" t="str">
        <f>"750801016"</f>
        <v>750801016</v>
      </c>
      <c r="B1261" t="s">
        <v>1240</v>
      </c>
      <c r="C1261">
        <v>92.4</v>
      </c>
      <c r="D1261" t="str">
        <f>"309"</f>
        <v>309</v>
      </c>
      <c r="E1261" t="str">
        <f>"86906"</f>
        <v>86906</v>
      </c>
    </row>
    <row r="1262" spans="1:5" x14ac:dyDescent="0.25">
      <c r="A1262" t="str">
        <f>"750801017"</f>
        <v>750801017</v>
      </c>
      <c r="B1262" t="s">
        <v>1241</v>
      </c>
      <c r="C1262">
        <v>146.30000000000001</v>
      </c>
      <c r="D1262" t="str">
        <f>"309"</f>
        <v>309</v>
      </c>
      <c r="E1262" t="str">
        <f>"86902"</f>
        <v>86902</v>
      </c>
    </row>
    <row r="1263" spans="1:5" x14ac:dyDescent="0.25">
      <c r="A1263" t="str">
        <f>"750801018"</f>
        <v>750801018</v>
      </c>
      <c r="B1263" t="s">
        <v>1242</v>
      </c>
      <c r="C1263">
        <v>170.5</v>
      </c>
      <c r="D1263" t="str">
        <f>"309"</f>
        <v>309</v>
      </c>
    </row>
    <row r="1264" spans="1:5" x14ac:dyDescent="0.25">
      <c r="A1264" t="str">
        <f>"750801019"</f>
        <v>750801019</v>
      </c>
      <c r="B1264" t="s">
        <v>1243</v>
      </c>
      <c r="C1264">
        <v>36.299999999999997</v>
      </c>
      <c r="D1264" t="str">
        <f>"309"</f>
        <v>309</v>
      </c>
    </row>
    <row r="1265" spans="1:5" x14ac:dyDescent="0.25">
      <c r="A1265" t="str">
        <f>"750801020"</f>
        <v>750801020</v>
      </c>
      <c r="B1265" t="s">
        <v>1244</v>
      </c>
      <c r="C1265">
        <v>243.54</v>
      </c>
      <c r="D1265" t="str">
        <f>"300"</f>
        <v>300</v>
      </c>
      <c r="E1265" t="str">
        <f>"86225"</f>
        <v>86225</v>
      </c>
    </row>
    <row r="1266" spans="1:5" x14ac:dyDescent="0.25">
      <c r="A1266" t="str">
        <f>"750801021"</f>
        <v>750801021</v>
      </c>
      <c r="B1266" t="s">
        <v>1245</v>
      </c>
      <c r="C1266" s="1">
        <v>1018.6</v>
      </c>
      <c r="D1266" t="str">
        <f>"306"</f>
        <v>306</v>
      </c>
    </row>
    <row r="1267" spans="1:5" x14ac:dyDescent="0.25">
      <c r="A1267" t="str">
        <f>"750801022"</f>
        <v>750801022</v>
      </c>
      <c r="B1267" t="s">
        <v>1246</v>
      </c>
      <c r="C1267">
        <v>514.66999999999996</v>
      </c>
      <c r="D1267" t="str">
        <f>"306"</f>
        <v>306</v>
      </c>
      <c r="E1267" t="str">
        <f>"87150"</f>
        <v>87150</v>
      </c>
    </row>
    <row r="1268" spans="1:5" x14ac:dyDescent="0.25">
      <c r="A1268" t="str">
        <f>"750801023"</f>
        <v>750801023</v>
      </c>
      <c r="B1268" t="s">
        <v>1247</v>
      </c>
      <c r="C1268">
        <v>284.58999999999997</v>
      </c>
      <c r="D1268" t="str">
        <f>"301"</f>
        <v>301</v>
      </c>
      <c r="E1268" t="str">
        <f>"86255"</f>
        <v>86255</v>
      </c>
    </row>
    <row r="1269" spans="1:5" x14ac:dyDescent="0.25">
      <c r="A1269" t="str">
        <f>"750801024"</f>
        <v>750801024</v>
      </c>
      <c r="B1269" t="s">
        <v>1248</v>
      </c>
      <c r="C1269">
        <v>313.04000000000002</v>
      </c>
      <c r="D1269" t="str">
        <f>"301"</f>
        <v>301</v>
      </c>
      <c r="E1269" t="str">
        <f>"G6040"</f>
        <v>G6040</v>
      </c>
    </row>
    <row r="1270" spans="1:5" x14ac:dyDescent="0.25">
      <c r="A1270" t="str">
        <f>"750801025"</f>
        <v>750801025</v>
      </c>
      <c r="B1270" t="s">
        <v>1249</v>
      </c>
      <c r="C1270">
        <v>262.33</v>
      </c>
      <c r="D1270" t="str">
        <f>"307"</f>
        <v>307</v>
      </c>
      <c r="E1270" t="str">
        <f>"83874"</f>
        <v>83874</v>
      </c>
    </row>
    <row r="1271" spans="1:5" x14ac:dyDescent="0.25">
      <c r="A1271" t="str">
        <f>"750801026"</f>
        <v>750801026</v>
      </c>
      <c r="B1271" t="s">
        <v>1250</v>
      </c>
      <c r="C1271">
        <v>355.26</v>
      </c>
      <c r="D1271" t="str">
        <f>"307"</f>
        <v>307</v>
      </c>
      <c r="E1271" t="str">
        <f>"82570"</f>
        <v>82570</v>
      </c>
    </row>
    <row r="1272" spans="1:5" x14ac:dyDescent="0.25">
      <c r="A1272" t="str">
        <f>"750801027"</f>
        <v>750801027</v>
      </c>
      <c r="B1272" t="s">
        <v>1251</v>
      </c>
      <c r="C1272">
        <v>537.02</v>
      </c>
      <c r="D1272" t="str">
        <f>"300"</f>
        <v>300</v>
      </c>
      <c r="E1272" t="str">
        <f>"84206"</f>
        <v>84206</v>
      </c>
    </row>
    <row r="1273" spans="1:5" x14ac:dyDescent="0.25">
      <c r="A1273" t="str">
        <f>"750801028"</f>
        <v>750801028</v>
      </c>
      <c r="B1273" t="s">
        <v>1252</v>
      </c>
      <c r="C1273">
        <v>631.04999999999995</v>
      </c>
      <c r="D1273" t="str">
        <f>"306"</f>
        <v>306</v>
      </c>
      <c r="E1273" t="str">
        <f>"87109"</f>
        <v>87109</v>
      </c>
    </row>
    <row r="1274" spans="1:5" x14ac:dyDescent="0.25">
      <c r="A1274" t="str">
        <f>"750801029"</f>
        <v>750801029</v>
      </c>
      <c r="B1274" t="s">
        <v>1253</v>
      </c>
      <c r="C1274">
        <v>554.33000000000004</v>
      </c>
      <c r="D1274" t="str">
        <f>"300"</f>
        <v>300</v>
      </c>
    </row>
    <row r="1275" spans="1:5" x14ac:dyDescent="0.25">
      <c r="A1275" t="str">
        <f>"750801030"</f>
        <v>750801030</v>
      </c>
      <c r="B1275" t="s">
        <v>1254</v>
      </c>
      <c r="C1275">
        <v>584.03</v>
      </c>
      <c r="D1275" t="str">
        <f>"301"</f>
        <v>301</v>
      </c>
      <c r="E1275" t="str">
        <f>"85305"</f>
        <v>85305</v>
      </c>
    </row>
    <row r="1276" spans="1:5" x14ac:dyDescent="0.25">
      <c r="A1276" t="str">
        <f>"750801031"</f>
        <v>750801031</v>
      </c>
      <c r="B1276" t="s">
        <v>1255</v>
      </c>
      <c r="C1276">
        <v>457.82</v>
      </c>
      <c r="D1276" t="str">
        <f t="shared" ref="D1276:D1289" si="56">"309"</f>
        <v>309</v>
      </c>
      <c r="E1276" t="str">
        <f>"85730"</f>
        <v>85730</v>
      </c>
    </row>
    <row r="1277" spans="1:5" x14ac:dyDescent="0.25">
      <c r="A1277" t="str">
        <f>"750801032"</f>
        <v>750801032</v>
      </c>
      <c r="B1277" t="s">
        <v>1256</v>
      </c>
      <c r="C1277" s="1">
        <v>1017.1</v>
      </c>
      <c r="D1277" t="str">
        <f t="shared" si="56"/>
        <v>309</v>
      </c>
      <c r="E1277" t="str">
        <f>"86359"</f>
        <v>86359</v>
      </c>
    </row>
    <row r="1278" spans="1:5" x14ac:dyDescent="0.25">
      <c r="A1278" t="str">
        <f>"750801033"</f>
        <v>750801033</v>
      </c>
      <c r="B1278" t="s">
        <v>1257</v>
      </c>
      <c r="C1278">
        <v>873.55</v>
      </c>
      <c r="D1278" t="str">
        <f t="shared" si="56"/>
        <v>309</v>
      </c>
      <c r="E1278" t="str">
        <f>"86360"</f>
        <v>86360</v>
      </c>
    </row>
    <row r="1279" spans="1:5" x14ac:dyDescent="0.25">
      <c r="A1279" t="str">
        <f>"750801034"</f>
        <v>750801034</v>
      </c>
      <c r="B1279" t="s">
        <v>1258</v>
      </c>
      <c r="C1279">
        <v>386.06</v>
      </c>
      <c r="D1279" t="str">
        <f t="shared" si="56"/>
        <v>309</v>
      </c>
    </row>
    <row r="1280" spans="1:5" x14ac:dyDescent="0.25">
      <c r="A1280" t="str">
        <f>"750801035"</f>
        <v>750801035</v>
      </c>
      <c r="B1280" t="s">
        <v>902</v>
      </c>
      <c r="C1280">
        <v>215.29</v>
      </c>
      <c r="D1280" t="str">
        <f t="shared" si="56"/>
        <v>309</v>
      </c>
      <c r="E1280" t="str">
        <f>"86317"</f>
        <v>86317</v>
      </c>
    </row>
    <row r="1281" spans="1:5" x14ac:dyDescent="0.25">
      <c r="A1281" t="str">
        <f>"750801036"</f>
        <v>750801036</v>
      </c>
      <c r="B1281" t="s">
        <v>1259</v>
      </c>
      <c r="C1281">
        <v>277.18</v>
      </c>
      <c r="D1281" t="str">
        <f t="shared" si="56"/>
        <v>309</v>
      </c>
      <c r="E1281" t="str">
        <f>"86645"</f>
        <v>86645</v>
      </c>
    </row>
    <row r="1282" spans="1:5" x14ac:dyDescent="0.25">
      <c r="A1282" t="str">
        <f>"750801037"</f>
        <v>750801037</v>
      </c>
      <c r="B1282" t="s">
        <v>1260</v>
      </c>
      <c r="C1282">
        <v>314.27</v>
      </c>
      <c r="D1282" t="str">
        <f t="shared" si="56"/>
        <v>309</v>
      </c>
      <c r="E1282" t="str">
        <f>"86021"</f>
        <v>86021</v>
      </c>
    </row>
    <row r="1283" spans="1:5" x14ac:dyDescent="0.25">
      <c r="A1283" t="str">
        <f>"750801038"</f>
        <v>750801038</v>
      </c>
      <c r="B1283" t="s">
        <v>1261</v>
      </c>
      <c r="C1283">
        <v>541.95000000000005</v>
      </c>
      <c r="D1283" t="str">
        <f t="shared" si="56"/>
        <v>309</v>
      </c>
    </row>
    <row r="1284" spans="1:5" x14ac:dyDescent="0.25">
      <c r="A1284" t="str">
        <f>"750801039"</f>
        <v>750801039</v>
      </c>
      <c r="B1284" t="s">
        <v>1262</v>
      </c>
      <c r="C1284">
        <v>744.88</v>
      </c>
      <c r="D1284" t="str">
        <f t="shared" si="56"/>
        <v>309</v>
      </c>
    </row>
    <row r="1285" spans="1:5" x14ac:dyDescent="0.25">
      <c r="A1285" t="str">
        <f>"750801040"</f>
        <v>750801040</v>
      </c>
      <c r="B1285" t="s">
        <v>1263</v>
      </c>
      <c r="C1285">
        <v>170.76</v>
      </c>
      <c r="D1285" t="str">
        <f t="shared" si="56"/>
        <v>309</v>
      </c>
      <c r="E1285" t="str">
        <f>"83520"</f>
        <v>83520</v>
      </c>
    </row>
    <row r="1286" spans="1:5" x14ac:dyDescent="0.25">
      <c r="A1286" t="str">
        <f>"750801041"</f>
        <v>750801041</v>
      </c>
      <c r="B1286" t="s">
        <v>1264</v>
      </c>
      <c r="C1286">
        <v>284.58999999999997</v>
      </c>
      <c r="D1286" t="str">
        <f t="shared" si="56"/>
        <v>309</v>
      </c>
    </row>
    <row r="1287" spans="1:5" x14ac:dyDescent="0.25">
      <c r="A1287" t="str">
        <f>"750801042"</f>
        <v>750801042</v>
      </c>
      <c r="B1287" t="s">
        <v>1265</v>
      </c>
      <c r="C1287">
        <v>682.99</v>
      </c>
      <c r="D1287" t="str">
        <f t="shared" si="56"/>
        <v>309</v>
      </c>
      <c r="E1287" t="str">
        <f>"85397"</f>
        <v>85397</v>
      </c>
    </row>
    <row r="1288" spans="1:5" x14ac:dyDescent="0.25">
      <c r="A1288" t="str">
        <f>"750801043"</f>
        <v>750801043</v>
      </c>
      <c r="B1288" t="s">
        <v>1266</v>
      </c>
      <c r="C1288">
        <v>363.79</v>
      </c>
      <c r="D1288" t="str">
        <f t="shared" si="56"/>
        <v>309</v>
      </c>
      <c r="E1288" t="str">
        <f>"87305"</f>
        <v>87305</v>
      </c>
    </row>
    <row r="1289" spans="1:5" x14ac:dyDescent="0.25">
      <c r="A1289" t="str">
        <f>"750801044"</f>
        <v>750801044</v>
      </c>
      <c r="B1289" t="s">
        <v>1267</v>
      </c>
      <c r="C1289">
        <v>143.53</v>
      </c>
      <c r="D1289" t="str">
        <f t="shared" si="56"/>
        <v>309</v>
      </c>
      <c r="E1289" t="str">
        <f>"83520"</f>
        <v>83520</v>
      </c>
    </row>
    <row r="1290" spans="1:5" x14ac:dyDescent="0.25">
      <c r="A1290" t="str">
        <f>"750801045"</f>
        <v>750801045</v>
      </c>
      <c r="B1290" t="s">
        <v>1268</v>
      </c>
      <c r="C1290">
        <v>646.84</v>
      </c>
      <c r="D1290" t="str">
        <f>"300"</f>
        <v>300</v>
      </c>
      <c r="E1290" t="str">
        <f>"81241"</f>
        <v>81241</v>
      </c>
    </row>
    <row r="1291" spans="1:5" x14ac:dyDescent="0.25">
      <c r="A1291" t="str">
        <f>"750801046"</f>
        <v>750801046</v>
      </c>
      <c r="B1291" t="s">
        <v>1269</v>
      </c>
      <c r="C1291" s="1">
        <v>3256.73</v>
      </c>
      <c r="D1291" t="str">
        <f t="shared" ref="D1291:D1338" si="57">"309"</f>
        <v>309</v>
      </c>
      <c r="E1291" t="str">
        <f>"88271"</f>
        <v>88271</v>
      </c>
    </row>
    <row r="1292" spans="1:5" x14ac:dyDescent="0.25">
      <c r="A1292" t="str">
        <f>"750801047"</f>
        <v>750801047</v>
      </c>
      <c r="B1292" t="s">
        <v>1032</v>
      </c>
      <c r="C1292">
        <v>264.79000000000002</v>
      </c>
      <c r="D1292" t="str">
        <f t="shared" si="57"/>
        <v>309</v>
      </c>
      <c r="E1292" t="str">
        <f>"80175"</f>
        <v>80175</v>
      </c>
    </row>
    <row r="1293" spans="1:5" x14ac:dyDescent="0.25">
      <c r="A1293" t="str">
        <f>"750801048"</f>
        <v>750801048</v>
      </c>
      <c r="B1293" t="s">
        <v>1270</v>
      </c>
      <c r="C1293">
        <v>588.98</v>
      </c>
      <c r="D1293" t="str">
        <f t="shared" si="57"/>
        <v>309</v>
      </c>
      <c r="E1293" t="str">
        <f>"87556"</f>
        <v>87556</v>
      </c>
    </row>
    <row r="1294" spans="1:5" x14ac:dyDescent="0.25">
      <c r="A1294" t="str">
        <f>"750801049"</f>
        <v>750801049</v>
      </c>
      <c r="B1294" t="s">
        <v>1271</v>
      </c>
      <c r="C1294">
        <v>289.54000000000002</v>
      </c>
      <c r="D1294" t="str">
        <f t="shared" si="57"/>
        <v>309</v>
      </c>
      <c r="E1294" t="str">
        <f>"84270"</f>
        <v>84270</v>
      </c>
    </row>
    <row r="1295" spans="1:5" x14ac:dyDescent="0.25">
      <c r="A1295" t="str">
        <f>"750801050"</f>
        <v>750801050</v>
      </c>
      <c r="B1295" t="s">
        <v>1272</v>
      </c>
      <c r="C1295">
        <v>410.81</v>
      </c>
      <c r="D1295" t="str">
        <f t="shared" si="57"/>
        <v>309</v>
      </c>
      <c r="E1295" t="str">
        <f>"84154"</f>
        <v>84154</v>
      </c>
    </row>
    <row r="1296" spans="1:5" x14ac:dyDescent="0.25">
      <c r="A1296" t="str">
        <f>"750801051"</f>
        <v>750801051</v>
      </c>
      <c r="B1296" t="s">
        <v>1273</v>
      </c>
      <c r="C1296">
        <v>314.27</v>
      </c>
      <c r="D1296" t="str">
        <f t="shared" si="57"/>
        <v>309</v>
      </c>
      <c r="E1296" t="str">
        <f>"86021"</f>
        <v>86021</v>
      </c>
    </row>
    <row r="1297" spans="1:5" x14ac:dyDescent="0.25">
      <c r="A1297" t="str">
        <f>"750801052"</f>
        <v>750801052</v>
      </c>
      <c r="B1297" t="s">
        <v>1274</v>
      </c>
      <c r="C1297">
        <v>314.27</v>
      </c>
      <c r="D1297" t="str">
        <f t="shared" si="57"/>
        <v>309</v>
      </c>
      <c r="E1297" t="str">
        <f>"87186"</f>
        <v>87186</v>
      </c>
    </row>
    <row r="1298" spans="1:5" x14ac:dyDescent="0.25">
      <c r="A1298" t="str">
        <f>"750801053"</f>
        <v>750801053</v>
      </c>
      <c r="B1298" t="s">
        <v>1275</v>
      </c>
      <c r="C1298">
        <v>853.78</v>
      </c>
      <c r="D1298" t="str">
        <f t="shared" si="57"/>
        <v>309</v>
      </c>
      <c r="E1298" t="str">
        <f>"87529"</f>
        <v>87529</v>
      </c>
    </row>
    <row r="1299" spans="1:5" x14ac:dyDescent="0.25">
      <c r="A1299" t="str">
        <f>"750801054"</f>
        <v>750801054</v>
      </c>
      <c r="B1299" t="s">
        <v>1276</v>
      </c>
      <c r="C1299">
        <v>657.98</v>
      </c>
      <c r="D1299" t="str">
        <f t="shared" si="57"/>
        <v>309</v>
      </c>
      <c r="E1299" t="str">
        <f>"83520"</f>
        <v>83520</v>
      </c>
    </row>
    <row r="1300" spans="1:5" x14ac:dyDescent="0.25">
      <c r="A1300" t="str">
        <f>"750801055"</f>
        <v>750801055</v>
      </c>
      <c r="B1300" t="s">
        <v>1277</v>
      </c>
      <c r="C1300">
        <v>663.21</v>
      </c>
      <c r="D1300" t="str">
        <f t="shared" si="57"/>
        <v>309</v>
      </c>
      <c r="E1300" t="str">
        <f>"83520"</f>
        <v>83520</v>
      </c>
    </row>
    <row r="1301" spans="1:5" x14ac:dyDescent="0.25">
      <c r="A1301" t="str">
        <f>"750801056"</f>
        <v>750801056</v>
      </c>
      <c r="B1301" t="s">
        <v>1278</v>
      </c>
      <c r="C1301">
        <v>440.48</v>
      </c>
      <c r="D1301" t="str">
        <f t="shared" si="57"/>
        <v>309</v>
      </c>
      <c r="E1301" t="str">
        <f>"87338"</f>
        <v>87338</v>
      </c>
    </row>
    <row r="1302" spans="1:5" x14ac:dyDescent="0.25">
      <c r="A1302" t="str">
        <f>"750801057"</f>
        <v>750801057</v>
      </c>
      <c r="B1302" t="s">
        <v>1279</v>
      </c>
      <c r="C1302">
        <v>262.33</v>
      </c>
      <c r="D1302" t="str">
        <f t="shared" si="57"/>
        <v>309</v>
      </c>
      <c r="E1302" t="str">
        <f>"85041"</f>
        <v>85041</v>
      </c>
    </row>
    <row r="1303" spans="1:5" x14ac:dyDescent="0.25">
      <c r="A1303" t="str">
        <f>"750801058"</f>
        <v>750801058</v>
      </c>
      <c r="B1303" t="s">
        <v>1280</v>
      </c>
      <c r="C1303">
        <v>638.46</v>
      </c>
      <c r="D1303" t="str">
        <f t="shared" si="57"/>
        <v>309</v>
      </c>
      <c r="E1303" t="str">
        <f>"G6047"</f>
        <v>G6047</v>
      </c>
    </row>
    <row r="1304" spans="1:5" x14ac:dyDescent="0.25">
      <c r="A1304" t="str">
        <f>"750801059"</f>
        <v>750801059</v>
      </c>
      <c r="B1304" t="s">
        <v>1281</v>
      </c>
      <c r="C1304">
        <v>287.91000000000003</v>
      </c>
      <c r="D1304" t="str">
        <f t="shared" si="57"/>
        <v>309</v>
      </c>
      <c r="E1304" t="str">
        <f>"87624"</f>
        <v>87624</v>
      </c>
    </row>
    <row r="1305" spans="1:5" x14ac:dyDescent="0.25">
      <c r="A1305" t="str">
        <f>"750801060"</f>
        <v>750801060</v>
      </c>
      <c r="B1305" t="s">
        <v>1282</v>
      </c>
      <c r="C1305">
        <v>244.99</v>
      </c>
      <c r="D1305" t="str">
        <f t="shared" si="57"/>
        <v>309</v>
      </c>
      <c r="E1305" t="str">
        <f>"80183"</f>
        <v>80183</v>
      </c>
    </row>
    <row r="1306" spans="1:5" x14ac:dyDescent="0.25">
      <c r="A1306" t="str">
        <f>"750801061"</f>
        <v>750801061</v>
      </c>
      <c r="B1306" t="s">
        <v>1283</v>
      </c>
      <c r="C1306">
        <v>155.91</v>
      </c>
      <c r="D1306" t="str">
        <f t="shared" si="57"/>
        <v>309</v>
      </c>
      <c r="E1306" t="str">
        <f>"85598"</f>
        <v>85598</v>
      </c>
    </row>
    <row r="1307" spans="1:5" x14ac:dyDescent="0.25">
      <c r="A1307" t="str">
        <f>"750801062"</f>
        <v>750801062</v>
      </c>
      <c r="B1307" t="s">
        <v>883</v>
      </c>
      <c r="C1307">
        <v>398.44</v>
      </c>
      <c r="D1307" t="str">
        <f t="shared" si="57"/>
        <v>309</v>
      </c>
      <c r="E1307" t="str">
        <f>"80151"</f>
        <v>80151</v>
      </c>
    </row>
    <row r="1308" spans="1:5" x14ac:dyDescent="0.25">
      <c r="A1308" t="str">
        <f>"750801063"</f>
        <v>750801063</v>
      </c>
      <c r="B1308" t="s">
        <v>1284</v>
      </c>
      <c r="C1308">
        <v>739.95</v>
      </c>
      <c r="D1308" t="str">
        <f t="shared" si="57"/>
        <v>309</v>
      </c>
      <c r="E1308" t="str">
        <f>"86480"</f>
        <v>86480</v>
      </c>
    </row>
    <row r="1309" spans="1:5" x14ac:dyDescent="0.25">
      <c r="A1309" t="str">
        <f>"750801064"</f>
        <v>750801064</v>
      </c>
      <c r="B1309" t="s">
        <v>1285</v>
      </c>
      <c r="C1309">
        <v>312.42</v>
      </c>
      <c r="D1309" t="str">
        <f t="shared" si="57"/>
        <v>309</v>
      </c>
      <c r="E1309" t="str">
        <f>"86695"</f>
        <v>86695</v>
      </c>
    </row>
    <row r="1310" spans="1:5" x14ac:dyDescent="0.25">
      <c r="A1310" t="str">
        <f>"750801065"</f>
        <v>750801065</v>
      </c>
      <c r="B1310" t="s">
        <v>1286</v>
      </c>
      <c r="C1310">
        <v>940.39</v>
      </c>
      <c r="D1310" t="str">
        <f t="shared" si="57"/>
        <v>309</v>
      </c>
      <c r="E1310" t="str">
        <f>"81206"</f>
        <v>81206</v>
      </c>
    </row>
    <row r="1311" spans="1:5" x14ac:dyDescent="0.25">
      <c r="A1311" t="str">
        <f>"750801066"</f>
        <v>750801066</v>
      </c>
      <c r="B1311" t="s">
        <v>1287</v>
      </c>
      <c r="C1311">
        <v>341.51</v>
      </c>
      <c r="D1311" t="str">
        <f t="shared" si="57"/>
        <v>309</v>
      </c>
      <c r="E1311" t="str">
        <f>"87385"</f>
        <v>87385</v>
      </c>
    </row>
    <row r="1312" spans="1:5" x14ac:dyDescent="0.25">
      <c r="A1312" t="str">
        <f>"750801067"</f>
        <v>750801067</v>
      </c>
      <c r="B1312" t="s">
        <v>1288</v>
      </c>
      <c r="C1312">
        <v>292.69</v>
      </c>
      <c r="D1312" t="str">
        <f t="shared" si="57"/>
        <v>309</v>
      </c>
      <c r="E1312" t="str">
        <f>"83520"</f>
        <v>83520</v>
      </c>
    </row>
    <row r="1313" spans="1:5" x14ac:dyDescent="0.25">
      <c r="A1313" t="str">
        <f>"750801068"</f>
        <v>750801068</v>
      </c>
      <c r="B1313" t="s">
        <v>1289</v>
      </c>
      <c r="C1313">
        <v>381.11</v>
      </c>
      <c r="D1313" t="str">
        <f t="shared" si="57"/>
        <v>309</v>
      </c>
      <c r="E1313" t="str">
        <f>"86008"</f>
        <v>86008</v>
      </c>
    </row>
    <row r="1314" spans="1:5" x14ac:dyDescent="0.25">
      <c r="A1314" t="str">
        <f>"750801069"</f>
        <v>750801069</v>
      </c>
      <c r="B1314" t="s">
        <v>1290</v>
      </c>
      <c r="C1314">
        <v>398.42</v>
      </c>
      <c r="D1314" t="str">
        <f t="shared" si="57"/>
        <v>309</v>
      </c>
      <c r="E1314" t="str">
        <f>"86008"</f>
        <v>86008</v>
      </c>
    </row>
    <row r="1315" spans="1:5" x14ac:dyDescent="0.25">
      <c r="A1315" t="str">
        <f>"750801070"</f>
        <v>750801070</v>
      </c>
      <c r="B1315" t="s">
        <v>1291</v>
      </c>
      <c r="C1315" s="1">
        <v>1076.46</v>
      </c>
      <c r="D1315" t="str">
        <f t="shared" si="57"/>
        <v>309</v>
      </c>
      <c r="E1315" t="str">
        <f>"86003"</f>
        <v>86003</v>
      </c>
    </row>
    <row r="1316" spans="1:5" x14ac:dyDescent="0.25">
      <c r="A1316" t="str">
        <f>"750801071"</f>
        <v>750801071</v>
      </c>
      <c r="B1316" t="s">
        <v>1292</v>
      </c>
      <c r="C1316" s="1">
        <v>1346.2</v>
      </c>
      <c r="D1316" t="str">
        <f t="shared" si="57"/>
        <v>309</v>
      </c>
      <c r="E1316" t="str">
        <f>"82785"</f>
        <v>82785</v>
      </c>
    </row>
    <row r="1317" spans="1:5" x14ac:dyDescent="0.25">
      <c r="A1317" t="str">
        <f>"750801072"</f>
        <v>750801072</v>
      </c>
      <c r="B1317" t="s">
        <v>1293</v>
      </c>
      <c r="C1317">
        <v>880</v>
      </c>
      <c r="D1317" t="str">
        <f t="shared" si="57"/>
        <v>309</v>
      </c>
      <c r="E1317" t="str">
        <f>"81403"</f>
        <v>81403</v>
      </c>
    </row>
    <row r="1318" spans="1:5" x14ac:dyDescent="0.25">
      <c r="A1318" t="str">
        <f>"750801073"</f>
        <v>750801073</v>
      </c>
      <c r="B1318" t="s">
        <v>1294</v>
      </c>
      <c r="C1318">
        <v>715</v>
      </c>
      <c r="D1318" t="str">
        <f t="shared" si="57"/>
        <v>309</v>
      </c>
      <c r="E1318" t="str">
        <f>"87186"</f>
        <v>87186</v>
      </c>
    </row>
    <row r="1319" spans="1:5" x14ac:dyDescent="0.25">
      <c r="A1319" t="str">
        <f>"750801074"</f>
        <v>750801074</v>
      </c>
      <c r="B1319" t="s">
        <v>1295</v>
      </c>
      <c r="C1319">
        <v>660.66</v>
      </c>
      <c r="D1319" t="str">
        <f t="shared" si="57"/>
        <v>309</v>
      </c>
      <c r="E1319" t="str">
        <f>"83883"</f>
        <v>83883</v>
      </c>
    </row>
    <row r="1320" spans="1:5" x14ac:dyDescent="0.25">
      <c r="A1320" t="str">
        <f>"750801075"</f>
        <v>750801075</v>
      </c>
      <c r="B1320" t="s">
        <v>1296</v>
      </c>
      <c r="C1320">
        <v>358.86</v>
      </c>
      <c r="D1320" t="str">
        <f t="shared" si="57"/>
        <v>309</v>
      </c>
      <c r="E1320" t="str">
        <f>"86003"</f>
        <v>86003</v>
      </c>
    </row>
    <row r="1321" spans="1:5" x14ac:dyDescent="0.25">
      <c r="A1321" t="str">
        <f>"750801076"</f>
        <v>750801076</v>
      </c>
      <c r="B1321" t="s">
        <v>1297</v>
      </c>
      <c r="C1321">
        <v>319.24</v>
      </c>
      <c r="D1321" t="str">
        <f t="shared" si="57"/>
        <v>309</v>
      </c>
      <c r="E1321" t="str">
        <f>"86803"</f>
        <v>86803</v>
      </c>
    </row>
    <row r="1322" spans="1:5" x14ac:dyDescent="0.25">
      <c r="A1322" t="str">
        <f>"750801077"</f>
        <v>750801077</v>
      </c>
      <c r="B1322" t="s">
        <v>1298</v>
      </c>
      <c r="C1322" s="1">
        <v>1992.08</v>
      </c>
      <c r="D1322" t="str">
        <f t="shared" si="57"/>
        <v>309</v>
      </c>
      <c r="E1322" t="str">
        <f>"82785"</f>
        <v>82785</v>
      </c>
    </row>
    <row r="1323" spans="1:5" x14ac:dyDescent="0.25">
      <c r="A1323" t="str">
        <f>"750801078"</f>
        <v>750801078</v>
      </c>
      <c r="B1323" t="s">
        <v>1299</v>
      </c>
      <c r="C1323" s="1">
        <v>1076.46</v>
      </c>
      <c r="D1323" t="str">
        <f t="shared" si="57"/>
        <v>309</v>
      </c>
      <c r="E1323" t="str">
        <f>"86003"</f>
        <v>86003</v>
      </c>
    </row>
    <row r="1324" spans="1:5" x14ac:dyDescent="0.25">
      <c r="A1324" t="str">
        <f>"750801079"</f>
        <v>750801079</v>
      </c>
      <c r="B1324" t="s">
        <v>1300</v>
      </c>
      <c r="C1324">
        <v>85.8</v>
      </c>
      <c r="D1324" t="str">
        <f t="shared" si="57"/>
        <v>309</v>
      </c>
      <c r="E1324" t="str">
        <f>"82374"</f>
        <v>82374</v>
      </c>
    </row>
    <row r="1325" spans="1:5" x14ac:dyDescent="0.25">
      <c r="A1325" t="str">
        <f>"750801080"</f>
        <v>750801080</v>
      </c>
      <c r="B1325" t="s">
        <v>1301</v>
      </c>
      <c r="C1325">
        <v>695.4</v>
      </c>
      <c r="D1325" t="str">
        <f t="shared" si="57"/>
        <v>309</v>
      </c>
      <c r="E1325" t="str">
        <f>"87798"</f>
        <v>87798</v>
      </c>
    </row>
    <row r="1326" spans="1:5" x14ac:dyDescent="0.25">
      <c r="A1326" t="str">
        <f>"750801081"</f>
        <v>750801081</v>
      </c>
      <c r="B1326" t="s">
        <v>1302</v>
      </c>
      <c r="C1326">
        <v>376.16</v>
      </c>
      <c r="D1326" t="str">
        <f t="shared" si="57"/>
        <v>309</v>
      </c>
      <c r="E1326" t="str">
        <f>"83520"</f>
        <v>83520</v>
      </c>
    </row>
    <row r="1327" spans="1:5" x14ac:dyDescent="0.25">
      <c r="A1327" t="str">
        <f>"750801082"</f>
        <v>750801082</v>
      </c>
      <c r="B1327" t="s">
        <v>1303</v>
      </c>
      <c r="C1327">
        <v>532.04999999999995</v>
      </c>
      <c r="D1327" t="str">
        <f t="shared" si="57"/>
        <v>309</v>
      </c>
      <c r="E1327" t="str">
        <f>"85420"</f>
        <v>85420</v>
      </c>
    </row>
    <row r="1328" spans="1:5" x14ac:dyDescent="0.25">
      <c r="A1328" t="str">
        <f>"750801083"</f>
        <v>750801083</v>
      </c>
      <c r="B1328" t="s">
        <v>1304</v>
      </c>
      <c r="C1328">
        <v>212.83</v>
      </c>
      <c r="D1328" t="str">
        <f t="shared" si="57"/>
        <v>309</v>
      </c>
      <c r="E1328" t="str">
        <f>"82552"</f>
        <v>82552</v>
      </c>
    </row>
    <row r="1329" spans="1:5" x14ac:dyDescent="0.25">
      <c r="A1329" t="str">
        <f>"750801084"</f>
        <v>750801084</v>
      </c>
      <c r="B1329" t="s">
        <v>1305</v>
      </c>
      <c r="C1329">
        <v>235.09</v>
      </c>
      <c r="D1329" t="str">
        <f t="shared" si="57"/>
        <v>309</v>
      </c>
      <c r="E1329" t="str">
        <f>"82570"</f>
        <v>82570</v>
      </c>
    </row>
    <row r="1330" spans="1:5" x14ac:dyDescent="0.25">
      <c r="A1330" t="str">
        <f>"750801085"</f>
        <v>750801085</v>
      </c>
      <c r="B1330" t="s">
        <v>1306</v>
      </c>
      <c r="C1330">
        <v>608.76</v>
      </c>
      <c r="D1330" t="str">
        <f t="shared" si="57"/>
        <v>309</v>
      </c>
      <c r="E1330" t="str">
        <f>"82530"</f>
        <v>82530</v>
      </c>
    </row>
    <row r="1331" spans="1:5" x14ac:dyDescent="0.25">
      <c r="A1331" t="str">
        <f>"750801086"</f>
        <v>750801086</v>
      </c>
      <c r="B1331" t="s">
        <v>1307</v>
      </c>
      <c r="C1331">
        <v>287.08</v>
      </c>
      <c r="D1331" t="str">
        <f t="shared" si="57"/>
        <v>309</v>
      </c>
    </row>
    <row r="1332" spans="1:5" x14ac:dyDescent="0.25">
      <c r="A1332" t="str">
        <f>"750801087"</f>
        <v>750801087</v>
      </c>
      <c r="B1332" t="s">
        <v>1308</v>
      </c>
      <c r="C1332">
        <v>119.9</v>
      </c>
      <c r="D1332" t="str">
        <f t="shared" si="57"/>
        <v>309</v>
      </c>
    </row>
    <row r="1333" spans="1:5" x14ac:dyDescent="0.25">
      <c r="A1333" t="str">
        <f>"750801088"</f>
        <v>750801088</v>
      </c>
      <c r="B1333" t="s">
        <v>1309</v>
      </c>
      <c r="C1333">
        <v>192.5</v>
      </c>
      <c r="D1333" t="str">
        <f t="shared" si="57"/>
        <v>309</v>
      </c>
    </row>
    <row r="1334" spans="1:5" x14ac:dyDescent="0.25">
      <c r="A1334" t="str">
        <f>"750801089"</f>
        <v>750801089</v>
      </c>
      <c r="B1334" t="s">
        <v>1310</v>
      </c>
      <c r="C1334">
        <v>238.7</v>
      </c>
      <c r="D1334" t="str">
        <f t="shared" si="57"/>
        <v>309</v>
      </c>
      <c r="E1334" t="str">
        <f>"86978"</f>
        <v>86978</v>
      </c>
    </row>
    <row r="1335" spans="1:5" x14ac:dyDescent="0.25">
      <c r="A1335" t="str">
        <f>"750801090"</f>
        <v>750801090</v>
      </c>
      <c r="B1335" t="s">
        <v>1311</v>
      </c>
      <c r="C1335">
        <v>73.7</v>
      </c>
      <c r="D1335" t="str">
        <f t="shared" si="57"/>
        <v>309</v>
      </c>
    </row>
    <row r="1336" spans="1:5" x14ac:dyDescent="0.25">
      <c r="A1336" t="str">
        <f>"750801091"</f>
        <v>750801091</v>
      </c>
      <c r="B1336" t="s">
        <v>1312</v>
      </c>
      <c r="C1336">
        <v>96.8</v>
      </c>
      <c r="D1336" t="str">
        <f t="shared" si="57"/>
        <v>309</v>
      </c>
      <c r="E1336" t="str">
        <f>"86905"</f>
        <v>86905</v>
      </c>
    </row>
    <row r="1337" spans="1:5" x14ac:dyDescent="0.25">
      <c r="A1337" t="str">
        <f>"750801092"</f>
        <v>750801092</v>
      </c>
      <c r="B1337" t="s">
        <v>1313</v>
      </c>
      <c r="C1337">
        <v>121</v>
      </c>
      <c r="D1337" t="str">
        <f t="shared" si="57"/>
        <v>309</v>
      </c>
      <c r="E1337" t="str">
        <f>"86769"</f>
        <v>86769</v>
      </c>
    </row>
    <row r="1338" spans="1:5" x14ac:dyDescent="0.25">
      <c r="A1338" t="str">
        <f>"750801093"</f>
        <v>750801093</v>
      </c>
      <c r="B1338" t="s">
        <v>1314</v>
      </c>
      <c r="C1338">
        <v>286</v>
      </c>
      <c r="D1338" t="str">
        <f t="shared" si="57"/>
        <v>309</v>
      </c>
      <c r="E1338" t="str">
        <f>"86769"</f>
        <v>86769</v>
      </c>
    </row>
    <row r="1339" spans="1:5" x14ac:dyDescent="0.25">
      <c r="A1339" t="str">
        <f>"750801095"</f>
        <v>750801095</v>
      </c>
      <c r="B1339" t="s">
        <v>1315</v>
      </c>
      <c r="C1339">
        <v>313.79000000000002</v>
      </c>
      <c r="D1339" t="str">
        <f>"306"</f>
        <v>306</v>
      </c>
      <c r="E1339" t="str">
        <f>"0241U"</f>
        <v>0241U</v>
      </c>
    </row>
    <row r="1340" spans="1:5" x14ac:dyDescent="0.25">
      <c r="A1340" t="str">
        <f>"750801096"</f>
        <v>750801096</v>
      </c>
      <c r="B1340" t="s">
        <v>1316</v>
      </c>
      <c r="C1340">
        <v>383.59</v>
      </c>
      <c r="D1340" t="str">
        <f>"300"</f>
        <v>300</v>
      </c>
      <c r="E1340" t="str">
        <f>"86022"</f>
        <v>86022</v>
      </c>
    </row>
    <row r="1341" spans="1:5" x14ac:dyDescent="0.25">
      <c r="A1341" t="str">
        <f>"750801097"</f>
        <v>750801097</v>
      </c>
      <c r="B1341" t="s">
        <v>1317</v>
      </c>
      <c r="C1341">
        <v>25.81</v>
      </c>
      <c r="D1341" t="str">
        <f>"300"</f>
        <v>300</v>
      </c>
      <c r="E1341" t="str">
        <f>"G2023"</f>
        <v>G2023</v>
      </c>
    </row>
    <row r="1342" spans="1:5" x14ac:dyDescent="0.25">
      <c r="A1342" t="str">
        <f>"750801098"</f>
        <v>750801098</v>
      </c>
      <c r="B1342" t="s">
        <v>1318</v>
      </c>
      <c r="C1342">
        <v>332.2</v>
      </c>
      <c r="D1342" t="str">
        <f>"306"</f>
        <v>306</v>
      </c>
      <c r="E1342" t="str">
        <f>"87084"</f>
        <v>87084</v>
      </c>
    </row>
    <row r="1343" spans="1:5" x14ac:dyDescent="0.25">
      <c r="A1343" t="str">
        <f>"750801099"</f>
        <v>750801099</v>
      </c>
      <c r="B1343" t="s">
        <v>1319</v>
      </c>
      <c r="C1343">
        <v>176</v>
      </c>
      <c r="D1343" t="str">
        <f>"306"</f>
        <v>306</v>
      </c>
      <c r="E1343" t="str">
        <f>"87088"</f>
        <v>87088</v>
      </c>
    </row>
    <row r="1344" spans="1:5" x14ac:dyDescent="0.25">
      <c r="A1344" t="str">
        <f>"750801100"</f>
        <v>750801100</v>
      </c>
      <c r="B1344" t="s">
        <v>1320</v>
      </c>
      <c r="C1344">
        <v>424.6</v>
      </c>
      <c r="D1344" t="str">
        <f>"306"</f>
        <v>306</v>
      </c>
      <c r="E1344" t="str">
        <f>"87186"</f>
        <v>87186</v>
      </c>
    </row>
    <row r="1345" spans="1:5" x14ac:dyDescent="0.25">
      <c r="A1345" t="str">
        <f>"750801101"</f>
        <v>750801101</v>
      </c>
      <c r="B1345" t="s">
        <v>1321</v>
      </c>
      <c r="C1345">
        <v>188.1</v>
      </c>
      <c r="D1345" t="str">
        <f>"306"</f>
        <v>306</v>
      </c>
      <c r="E1345" t="str">
        <f>"87186"</f>
        <v>87186</v>
      </c>
    </row>
    <row r="1346" spans="1:5" x14ac:dyDescent="0.25">
      <c r="A1346" t="str">
        <f>"750801102"</f>
        <v>750801102</v>
      </c>
      <c r="B1346" t="s">
        <v>1322</v>
      </c>
      <c r="C1346">
        <v>124.74</v>
      </c>
      <c r="D1346" t="str">
        <f>"301"</f>
        <v>301</v>
      </c>
      <c r="E1346" t="str">
        <f>"84153"</f>
        <v>84153</v>
      </c>
    </row>
    <row r="1347" spans="1:5" x14ac:dyDescent="0.25">
      <c r="A1347" t="str">
        <f>"750801103"</f>
        <v>750801103</v>
      </c>
      <c r="B1347" t="s">
        <v>1323</v>
      </c>
      <c r="C1347">
        <v>508.2</v>
      </c>
      <c r="D1347" t="str">
        <f>"306"</f>
        <v>306</v>
      </c>
      <c r="E1347" t="str">
        <f>"87084"</f>
        <v>87084</v>
      </c>
    </row>
    <row r="1348" spans="1:5" x14ac:dyDescent="0.25">
      <c r="A1348" t="str">
        <f>"750801104"</f>
        <v>750801104</v>
      </c>
      <c r="B1348" t="s">
        <v>1324</v>
      </c>
      <c r="C1348">
        <v>147.4</v>
      </c>
      <c r="D1348" t="str">
        <f>"306"</f>
        <v>306</v>
      </c>
      <c r="E1348" t="str">
        <f>"U0003"</f>
        <v>U0003</v>
      </c>
    </row>
    <row r="1349" spans="1:5" x14ac:dyDescent="0.25">
      <c r="A1349" t="str">
        <f>"750801105"</f>
        <v>750801105</v>
      </c>
      <c r="B1349" t="s">
        <v>1325</v>
      </c>
      <c r="C1349">
        <v>392.3</v>
      </c>
      <c r="D1349" t="str">
        <f>"309"</f>
        <v>309</v>
      </c>
      <c r="E1349" t="str">
        <f>"83013"</f>
        <v>83013</v>
      </c>
    </row>
    <row r="1350" spans="1:5" x14ac:dyDescent="0.25">
      <c r="A1350" t="str">
        <f>"750801106"</f>
        <v>750801106</v>
      </c>
      <c r="B1350" t="s">
        <v>1326</v>
      </c>
      <c r="C1350">
        <v>188.1</v>
      </c>
      <c r="D1350" t="str">
        <f>"306"</f>
        <v>306</v>
      </c>
      <c r="E1350" t="str">
        <f>"87186"</f>
        <v>87186</v>
      </c>
    </row>
    <row r="1351" spans="1:5" x14ac:dyDescent="0.25">
      <c r="A1351" t="str">
        <f>"750801107"</f>
        <v>750801107</v>
      </c>
      <c r="B1351" t="s">
        <v>1327</v>
      </c>
      <c r="C1351">
        <v>340.43</v>
      </c>
      <c r="D1351" t="str">
        <f>"306"</f>
        <v>306</v>
      </c>
      <c r="E1351" t="str">
        <f>"87400"</f>
        <v>87400</v>
      </c>
    </row>
    <row r="1352" spans="1:5" x14ac:dyDescent="0.25">
      <c r="A1352" t="str">
        <f>"750801108"</f>
        <v>750801108</v>
      </c>
      <c r="B1352" t="s">
        <v>1328</v>
      </c>
      <c r="C1352">
        <v>302.12</v>
      </c>
      <c r="D1352" t="str">
        <f>"309"</f>
        <v>309</v>
      </c>
      <c r="E1352" t="str">
        <f>"85230"</f>
        <v>85230</v>
      </c>
    </row>
    <row r="1353" spans="1:5" x14ac:dyDescent="0.25">
      <c r="A1353" t="str">
        <f>"750801109"</f>
        <v>750801109</v>
      </c>
      <c r="B1353" t="s">
        <v>1329</v>
      </c>
      <c r="C1353">
        <v>427.68</v>
      </c>
      <c r="D1353" t="str">
        <f>"309"</f>
        <v>309</v>
      </c>
      <c r="E1353" t="str">
        <f>"81240"</f>
        <v>81240</v>
      </c>
    </row>
    <row r="1354" spans="1:5" x14ac:dyDescent="0.25">
      <c r="A1354" t="str">
        <f>"750801110"</f>
        <v>750801110</v>
      </c>
      <c r="B1354" t="s">
        <v>1330</v>
      </c>
      <c r="C1354" s="1">
        <v>10739.07</v>
      </c>
      <c r="D1354" t="str">
        <f>"309"</f>
        <v>309</v>
      </c>
      <c r="E1354" t="str">
        <f>"86255"</f>
        <v>86255</v>
      </c>
    </row>
    <row r="1355" spans="1:5" x14ac:dyDescent="0.25">
      <c r="A1355" t="str">
        <f>"759030187"</f>
        <v>759030187</v>
      </c>
      <c r="B1355" t="s">
        <v>1308</v>
      </c>
      <c r="C1355">
        <v>119.9</v>
      </c>
      <c r="D1355" t="str">
        <f>"309"</f>
        <v>309</v>
      </c>
    </row>
    <row r="1356" spans="1:5" x14ac:dyDescent="0.25">
      <c r="A1356" t="str">
        <f>"759030203"</f>
        <v>759030203</v>
      </c>
      <c r="B1356" t="s">
        <v>1324</v>
      </c>
      <c r="C1356">
        <v>147.4</v>
      </c>
      <c r="D1356" t="str">
        <f>"306"</f>
        <v>306</v>
      </c>
      <c r="E1356" t="str">
        <f>"U0003"</f>
        <v>U0003</v>
      </c>
    </row>
    <row r="1357" spans="1:5" x14ac:dyDescent="0.25">
      <c r="A1357" t="str">
        <f>"759270029"</f>
        <v>759270029</v>
      </c>
      <c r="B1357" t="s">
        <v>1331</v>
      </c>
      <c r="C1357">
        <v>90.09</v>
      </c>
      <c r="D1357" t="str">
        <f>"271"</f>
        <v>271</v>
      </c>
    </row>
    <row r="1358" spans="1:5" x14ac:dyDescent="0.25">
      <c r="A1358" t="str">
        <f>"759270300"</f>
        <v>759270300</v>
      </c>
      <c r="B1358" t="s">
        <v>1332</v>
      </c>
      <c r="C1358">
        <v>30.8</v>
      </c>
      <c r="D1358" t="str">
        <f t="shared" ref="D1358:D1373" si="58">"270"</f>
        <v>270</v>
      </c>
    </row>
    <row r="1359" spans="1:5" x14ac:dyDescent="0.25">
      <c r="A1359" t="str">
        <f>"759270301"</f>
        <v>759270301</v>
      </c>
      <c r="B1359" t="s">
        <v>1333</v>
      </c>
      <c r="C1359">
        <v>3.08</v>
      </c>
      <c r="D1359" t="str">
        <f t="shared" si="58"/>
        <v>270</v>
      </c>
    </row>
    <row r="1360" spans="1:5" x14ac:dyDescent="0.25">
      <c r="A1360" t="str">
        <f>"759270302"</f>
        <v>759270302</v>
      </c>
      <c r="B1360" t="s">
        <v>1334</v>
      </c>
      <c r="C1360">
        <v>2.7</v>
      </c>
      <c r="D1360" t="str">
        <f t="shared" si="58"/>
        <v>270</v>
      </c>
    </row>
    <row r="1361" spans="1:5" x14ac:dyDescent="0.25">
      <c r="A1361" t="str">
        <f>"759270303"</f>
        <v>759270303</v>
      </c>
      <c r="B1361" t="s">
        <v>1335</v>
      </c>
      <c r="C1361">
        <v>136.57</v>
      </c>
      <c r="D1361" t="str">
        <f t="shared" si="58"/>
        <v>270</v>
      </c>
    </row>
    <row r="1362" spans="1:5" x14ac:dyDescent="0.25">
      <c r="A1362" t="str">
        <f>"759270304"</f>
        <v>759270304</v>
      </c>
      <c r="B1362" t="s">
        <v>1336</v>
      </c>
      <c r="C1362">
        <v>2.2599999999999998</v>
      </c>
      <c r="D1362" t="str">
        <f t="shared" si="58"/>
        <v>270</v>
      </c>
    </row>
    <row r="1363" spans="1:5" x14ac:dyDescent="0.25">
      <c r="A1363" t="str">
        <f>"759270306"</f>
        <v>759270306</v>
      </c>
      <c r="B1363" t="s">
        <v>1337</v>
      </c>
      <c r="C1363">
        <v>273.68</v>
      </c>
      <c r="D1363" t="str">
        <f t="shared" si="58"/>
        <v>270</v>
      </c>
    </row>
    <row r="1364" spans="1:5" x14ac:dyDescent="0.25">
      <c r="A1364" t="str">
        <f>"759270307"</f>
        <v>759270307</v>
      </c>
      <c r="B1364" t="s">
        <v>1338</v>
      </c>
      <c r="C1364">
        <v>41.31</v>
      </c>
      <c r="D1364" t="str">
        <f t="shared" si="58"/>
        <v>270</v>
      </c>
    </row>
    <row r="1365" spans="1:5" x14ac:dyDescent="0.25">
      <c r="A1365" t="str">
        <f>"759270310"</f>
        <v>759270310</v>
      </c>
      <c r="B1365" t="s">
        <v>1339</v>
      </c>
      <c r="C1365">
        <v>66.11</v>
      </c>
      <c r="D1365" t="str">
        <f t="shared" si="58"/>
        <v>270</v>
      </c>
    </row>
    <row r="1366" spans="1:5" x14ac:dyDescent="0.25">
      <c r="A1366" t="str">
        <f>"759270311"</f>
        <v>759270311</v>
      </c>
      <c r="B1366" t="s">
        <v>1340</v>
      </c>
      <c r="C1366">
        <v>26.07</v>
      </c>
      <c r="D1366" t="str">
        <f t="shared" si="58"/>
        <v>270</v>
      </c>
    </row>
    <row r="1367" spans="1:5" x14ac:dyDescent="0.25">
      <c r="A1367" t="str">
        <f>"759270312"</f>
        <v>759270312</v>
      </c>
      <c r="B1367" t="s">
        <v>1341</v>
      </c>
      <c r="C1367">
        <v>16.5</v>
      </c>
      <c r="D1367" t="str">
        <f t="shared" si="58"/>
        <v>270</v>
      </c>
    </row>
    <row r="1368" spans="1:5" x14ac:dyDescent="0.25">
      <c r="A1368" t="str">
        <f>"759270313"</f>
        <v>759270313</v>
      </c>
      <c r="B1368" t="s">
        <v>1342</v>
      </c>
      <c r="C1368">
        <v>12.27</v>
      </c>
      <c r="D1368" t="str">
        <f t="shared" si="58"/>
        <v>270</v>
      </c>
    </row>
    <row r="1369" spans="1:5" x14ac:dyDescent="0.25">
      <c r="A1369" t="str">
        <f>"759270315"</f>
        <v>759270315</v>
      </c>
      <c r="B1369" t="s">
        <v>1343</v>
      </c>
      <c r="C1369">
        <v>28.88</v>
      </c>
      <c r="D1369" t="str">
        <f t="shared" si="58"/>
        <v>270</v>
      </c>
    </row>
    <row r="1370" spans="1:5" x14ac:dyDescent="0.25">
      <c r="A1370" t="str">
        <f>"759270317"</f>
        <v>759270317</v>
      </c>
      <c r="B1370" t="s">
        <v>1344</v>
      </c>
      <c r="C1370">
        <v>14.69</v>
      </c>
      <c r="D1370" t="str">
        <f t="shared" si="58"/>
        <v>270</v>
      </c>
    </row>
    <row r="1371" spans="1:5" x14ac:dyDescent="0.25">
      <c r="A1371" t="str">
        <f>"759270318"</f>
        <v>759270318</v>
      </c>
      <c r="B1371" t="s">
        <v>1345</v>
      </c>
      <c r="C1371">
        <v>12.65</v>
      </c>
      <c r="D1371" t="str">
        <f t="shared" si="58"/>
        <v>270</v>
      </c>
    </row>
    <row r="1372" spans="1:5" x14ac:dyDescent="0.25">
      <c r="A1372" t="str">
        <f>"759271203"</f>
        <v>759271203</v>
      </c>
      <c r="B1372" t="s">
        <v>1332</v>
      </c>
      <c r="C1372">
        <v>2.42</v>
      </c>
      <c r="D1372" t="str">
        <f t="shared" si="58"/>
        <v>270</v>
      </c>
    </row>
    <row r="1373" spans="1:5" x14ac:dyDescent="0.25">
      <c r="A1373" t="str">
        <f>"759411340"</f>
        <v>759411340</v>
      </c>
      <c r="B1373" t="s">
        <v>1346</v>
      </c>
      <c r="C1373">
        <v>110.35</v>
      </c>
      <c r="D1373" t="str">
        <f t="shared" si="58"/>
        <v>270</v>
      </c>
    </row>
    <row r="1374" spans="1:5" x14ac:dyDescent="0.25">
      <c r="A1374" t="str">
        <f>"759460001"</f>
        <v>759460001</v>
      </c>
      <c r="B1374" t="s">
        <v>1347</v>
      </c>
      <c r="C1374">
        <v>616</v>
      </c>
      <c r="D1374" t="str">
        <f>"460"</f>
        <v>460</v>
      </c>
      <c r="E1374" t="str">
        <f>"94729"</f>
        <v>94729</v>
      </c>
    </row>
    <row r="1375" spans="1:5" x14ac:dyDescent="0.25">
      <c r="A1375" t="str">
        <f>"759482000"</f>
        <v>759482000</v>
      </c>
      <c r="B1375" t="s">
        <v>1348</v>
      </c>
      <c r="C1375">
        <v>241.16</v>
      </c>
      <c r="D1375" t="str">
        <f>"730"</f>
        <v>730</v>
      </c>
      <c r="E1375" t="str">
        <f>"93005"</f>
        <v>93005</v>
      </c>
    </row>
    <row r="1376" spans="1:5" x14ac:dyDescent="0.25">
      <c r="A1376" t="str">
        <f>"759482010"</f>
        <v>759482010</v>
      </c>
      <c r="B1376" t="s">
        <v>1349</v>
      </c>
      <c r="C1376" s="1">
        <v>1081.08</v>
      </c>
      <c r="D1376" t="str">
        <f>"271"</f>
        <v>271</v>
      </c>
      <c r="E1376" t="str">
        <f>"93225"</f>
        <v>93225</v>
      </c>
    </row>
    <row r="1377" spans="1:5" x14ac:dyDescent="0.25">
      <c r="A1377" t="str">
        <f>"759482015"</f>
        <v>759482015</v>
      </c>
      <c r="B1377" t="s">
        <v>1350</v>
      </c>
      <c r="C1377" s="1">
        <v>1144</v>
      </c>
      <c r="D1377" t="str">
        <f>"482"</f>
        <v>482</v>
      </c>
      <c r="E1377" t="str">
        <f>"93017"</f>
        <v>93017</v>
      </c>
    </row>
    <row r="1378" spans="1:5" x14ac:dyDescent="0.25">
      <c r="A1378" t="str">
        <f>"759482030"</f>
        <v>759482030</v>
      </c>
      <c r="B1378" t="s">
        <v>1351</v>
      </c>
      <c r="C1378" s="1">
        <v>1376.76</v>
      </c>
      <c r="D1378" t="str">
        <f>"480"</f>
        <v>480</v>
      </c>
      <c r="E1378" t="str">
        <f>"93306"</f>
        <v>93306</v>
      </c>
    </row>
    <row r="1379" spans="1:5" x14ac:dyDescent="0.25">
      <c r="A1379" t="str">
        <f>"759482050"</f>
        <v>759482050</v>
      </c>
      <c r="B1379" t="s">
        <v>1352</v>
      </c>
      <c r="C1379">
        <v>413.82</v>
      </c>
      <c r="D1379" t="str">
        <f>"480"</f>
        <v>480</v>
      </c>
      <c r="E1379" t="str">
        <f>"93325"</f>
        <v>93325</v>
      </c>
    </row>
    <row r="1380" spans="1:5" x14ac:dyDescent="0.25">
      <c r="A1380" t="str">
        <f>"759482060"</f>
        <v>759482060</v>
      </c>
      <c r="B1380" t="s">
        <v>1353</v>
      </c>
      <c r="C1380" s="1">
        <v>2093.3000000000002</v>
      </c>
      <c r="D1380" t="str">
        <f>"480"</f>
        <v>480</v>
      </c>
      <c r="E1380" t="str">
        <f>"93350"</f>
        <v>93350</v>
      </c>
    </row>
    <row r="1381" spans="1:5" x14ac:dyDescent="0.25">
      <c r="A1381" t="str">
        <f>"759482061"</f>
        <v>759482061</v>
      </c>
      <c r="B1381" t="s">
        <v>1354</v>
      </c>
      <c r="C1381">
        <v>477.93</v>
      </c>
      <c r="D1381" t="str">
        <f>"301"</f>
        <v>301</v>
      </c>
      <c r="E1381" t="str">
        <f>"82805"</f>
        <v>82805</v>
      </c>
    </row>
    <row r="1382" spans="1:5" x14ac:dyDescent="0.25">
      <c r="A1382" t="str">
        <f>"759482063"</f>
        <v>759482063</v>
      </c>
      <c r="B1382" t="s">
        <v>1331</v>
      </c>
      <c r="C1382">
        <v>90.09</v>
      </c>
      <c r="D1382" t="str">
        <f t="shared" ref="D1382:D1384" si="59">"271"</f>
        <v>271</v>
      </c>
      <c r="E1382" t="str">
        <f>"A7015"</f>
        <v>A7015</v>
      </c>
    </row>
    <row r="1383" spans="1:5" x14ac:dyDescent="0.25">
      <c r="A1383" t="str">
        <f>"759482067"</f>
        <v>759482067</v>
      </c>
      <c r="B1383" t="s">
        <v>1355</v>
      </c>
      <c r="C1383">
        <v>137.94</v>
      </c>
      <c r="D1383" t="str">
        <f t="shared" si="59"/>
        <v>271</v>
      </c>
      <c r="E1383" t="str">
        <f>"93220"</f>
        <v>93220</v>
      </c>
    </row>
    <row r="1384" spans="1:5" x14ac:dyDescent="0.25">
      <c r="A1384" t="str">
        <f>"759482068"</f>
        <v>759482068</v>
      </c>
      <c r="B1384" t="s">
        <v>1356</v>
      </c>
      <c r="C1384">
        <v>239.95</v>
      </c>
      <c r="D1384" t="str">
        <f t="shared" si="59"/>
        <v>271</v>
      </c>
      <c r="E1384" t="str">
        <f>"94799"</f>
        <v>94799</v>
      </c>
    </row>
    <row r="1385" spans="1:5" x14ac:dyDescent="0.25">
      <c r="A1385" t="str">
        <f>"759482069"</f>
        <v>759482069</v>
      </c>
      <c r="B1385" t="s">
        <v>1357</v>
      </c>
      <c r="C1385" s="1">
        <v>1144</v>
      </c>
      <c r="D1385" t="str">
        <f>"480"</f>
        <v>480</v>
      </c>
      <c r="E1385" t="str">
        <f>"93320"</f>
        <v>93320</v>
      </c>
    </row>
    <row r="1386" spans="1:5" x14ac:dyDescent="0.25">
      <c r="A1386" t="str">
        <f>"759482071"</f>
        <v>759482071</v>
      </c>
      <c r="B1386" t="s">
        <v>1358</v>
      </c>
      <c r="C1386">
        <v>18.79</v>
      </c>
      <c r="D1386" t="str">
        <f>"271"</f>
        <v>271</v>
      </c>
      <c r="E1386" t="str">
        <f>"94664"</f>
        <v>94664</v>
      </c>
    </row>
    <row r="1387" spans="1:5" x14ac:dyDescent="0.25">
      <c r="A1387" t="str">
        <f>"759482080"</f>
        <v>759482080</v>
      </c>
      <c r="B1387" t="s">
        <v>1359</v>
      </c>
      <c r="C1387" s="1">
        <v>2970</v>
      </c>
      <c r="D1387" t="str">
        <f t="shared" ref="D1387:D1395" si="60">"480"</f>
        <v>480</v>
      </c>
      <c r="E1387" t="str">
        <f>"93312"</f>
        <v>93312</v>
      </c>
    </row>
    <row r="1388" spans="1:5" x14ac:dyDescent="0.25">
      <c r="A1388" t="str">
        <f>"759482101"</f>
        <v>759482101</v>
      </c>
      <c r="B1388" t="s">
        <v>1360</v>
      </c>
      <c r="C1388" s="1">
        <v>2093.3000000000002</v>
      </c>
      <c r="D1388" t="str">
        <f t="shared" si="60"/>
        <v>480</v>
      </c>
      <c r="E1388" t="str">
        <f>"93350"</f>
        <v>93350</v>
      </c>
    </row>
    <row r="1389" spans="1:5" x14ac:dyDescent="0.25">
      <c r="A1389" t="str">
        <f>"759482102"</f>
        <v>759482102</v>
      </c>
      <c r="B1389" t="s">
        <v>1361</v>
      </c>
      <c r="C1389" s="1">
        <v>1144</v>
      </c>
      <c r="D1389" t="str">
        <f t="shared" si="60"/>
        <v>480</v>
      </c>
      <c r="E1389" t="str">
        <f>"93017"</f>
        <v>93017</v>
      </c>
    </row>
    <row r="1390" spans="1:5" x14ac:dyDescent="0.25">
      <c r="A1390" t="str">
        <f>"759482116"</f>
        <v>759482116</v>
      </c>
      <c r="B1390" t="s">
        <v>1362</v>
      </c>
      <c r="C1390" s="1">
        <v>1080.2</v>
      </c>
      <c r="D1390" t="str">
        <f t="shared" si="60"/>
        <v>480</v>
      </c>
      <c r="E1390" t="str">
        <f>"93225"</f>
        <v>93225</v>
      </c>
    </row>
    <row r="1391" spans="1:5" x14ac:dyDescent="0.25">
      <c r="A1391" t="str">
        <f>"759482118"</f>
        <v>759482118</v>
      </c>
      <c r="B1391" t="s">
        <v>1363</v>
      </c>
      <c r="C1391">
        <v>334.4</v>
      </c>
      <c r="D1391" t="str">
        <f t="shared" si="60"/>
        <v>480</v>
      </c>
      <c r="E1391" t="str">
        <f>"94060"</f>
        <v>94060</v>
      </c>
    </row>
    <row r="1392" spans="1:5" x14ac:dyDescent="0.25">
      <c r="A1392" t="str">
        <f>"759482119"</f>
        <v>759482119</v>
      </c>
      <c r="B1392" t="s">
        <v>1364</v>
      </c>
      <c r="C1392">
        <v>334.4</v>
      </c>
      <c r="D1392" t="str">
        <f t="shared" si="60"/>
        <v>480</v>
      </c>
      <c r="E1392" t="str">
        <f>"94727"</f>
        <v>94727</v>
      </c>
    </row>
    <row r="1393" spans="1:5" x14ac:dyDescent="0.25">
      <c r="A1393" t="str">
        <f>"759482120"</f>
        <v>759482120</v>
      </c>
      <c r="B1393" t="s">
        <v>1365</v>
      </c>
      <c r="C1393">
        <v>334.4</v>
      </c>
      <c r="D1393" t="str">
        <f t="shared" si="60"/>
        <v>480</v>
      </c>
      <c r="E1393" t="str">
        <f>"94200"</f>
        <v>94200</v>
      </c>
    </row>
    <row r="1394" spans="1:5" x14ac:dyDescent="0.25">
      <c r="A1394" t="str">
        <f>"759482121"</f>
        <v>759482121</v>
      </c>
      <c r="B1394" t="s">
        <v>1366</v>
      </c>
      <c r="C1394">
        <v>334.4</v>
      </c>
      <c r="D1394" t="str">
        <f t="shared" si="60"/>
        <v>480</v>
      </c>
      <c r="E1394" t="str">
        <f>"94375"</f>
        <v>94375</v>
      </c>
    </row>
    <row r="1395" spans="1:5" x14ac:dyDescent="0.25">
      <c r="A1395" t="str">
        <f>"759482122"</f>
        <v>759482122</v>
      </c>
      <c r="B1395" t="s">
        <v>1367</v>
      </c>
      <c r="C1395">
        <v>334.4</v>
      </c>
      <c r="D1395" t="str">
        <f t="shared" si="60"/>
        <v>480</v>
      </c>
      <c r="E1395" t="str">
        <f>"94010"</f>
        <v>94010</v>
      </c>
    </row>
    <row r="1396" spans="1:5" x14ac:dyDescent="0.25">
      <c r="A1396" t="str">
        <f>"759482123"</f>
        <v>759482123</v>
      </c>
      <c r="B1396" t="s">
        <v>1368</v>
      </c>
      <c r="C1396">
        <v>334.4</v>
      </c>
      <c r="D1396" t="str">
        <f>"420"</f>
        <v>420</v>
      </c>
      <c r="E1396" t="str">
        <f>"94150"</f>
        <v>94150</v>
      </c>
    </row>
    <row r="1397" spans="1:5" x14ac:dyDescent="0.25">
      <c r="A1397" t="str">
        <f>"759482128"</f>
        <v>759482128</v>
      </c>
      <c r="B1397" t="s">
        <v>1369</v>
      </c>
      <c r="C1397" s="1">
        <v>1210</v>
      </c>
      <c r="D1397" t="str">
        <f>"271"</f>
        <v>271</v>
      </c>
      <c r="E1397" t="str">
        <f>"94002"</f>
        <v>94002</v>
      </c>
    </row>
    <row r="1398" spans="1:5" x14ac:dyDescent="0.25">
      <c r="A1398" t="str">
        <f>"759482132"</f>
        <v>759482132</v>
      </c>
      <c r="B1398" t="s">
        <v>1370</v>
      </c>
      <c r="C1398" s="1">
        <v>1144</v>
      </c>
      <c r="D1398" t="str">
        <f t="shared" ref="D1398:D1403" si="61">"480"</f>
        <v>480</v>
      </c>
      <c r="E1398" t="str">
        <f>"93017"</f>
        <v>93017</v>
      </c>
    </row>
    <row r="1399" spans="1:5" x14ac:dyDescent="0.25">
      <c r="A1399" t="str">
        <f>"759482133"</f>
        <v>759482133</v>
      </c>
      <c r="B1399" t="s">
        <v>1371</v>
      </c>
      <c r="C1399" s="1">
        <v>2093.3000000000002</v>
      </c>
      <c r="D1399" t="str">
        <f t="shared" si="61"/>
        <v>480</v>
      </c>
      <c r="E1399" t="str">
        <f>"93550"</f>
        <v>93550</v>
      </c>
    </row>
    <row r="1400" spans="1:5" x14ac:dyDescent="0.25">
      <c r="A1400" t="str">
        <f>"759482134"</f>
        <v>759482134</v>
      </c>
      <c r="B1400" t="s">
        <v>1372</v>
      </c>
      <c r="C1400" s="1">
        <v>2970</v>
      </c>
      <c r="D1400" t="str">
        <f t="shared" si="61"/>
        <v>480</v>
      </c>
      <c r="E1400" t="str">
        <f>"93312"</f>
        <v>93312</v>
      </c>
    </row>
    <row r="1401" spans="1:5" x14ac:dyDescent="0.25">
      <c r="A1401" t="str">
        <f>"759482135"</f>
        <v>759482135</v>
      </c>
      <c r="B1401" t="s">
        <v>1373</v>
      </c>
      <c r="C1401" s="1">
        <v>2093.3000000000002</v>
      </c>
      <c r="D1401" t="str">
        <f t="shared" si="61"/>
        <v>480</v>
      </c>
      <c r="E1401" t="str">
        <f>"93350"</f>
        <v>93350</v>
      </c>
    </row>
    <row r="1402" spans="1:5" x14ac:dyDescent="0.25">
      <c r="A1402" t="str">
        <f>"759482136"</f>
        <v>759482136</v>
      </c>
      <c r="B1402" t="s">
        <v>1374</v>
      </c>
      <c r="C1402" s="1">
        <v>1012.24</v>
      </c>
      <c r="D1402" t="str">
        <f t="shared" si="61"/>
        <v>480</v>
      </c>
      <c r="E1402" t="str">
        <f>"95819"</f>
        <v>95819</v>
      </c>
    </row>
    <row r="1403" spans="1:5" x14ac:dyDescent="0.25">
      <c r="A1403" t="str">
        <f>"759482137"</f>
        <v>759482137</v>
      </c>
      <c r="B1403" t="s">
        <v>1375</v>
      </c>
      <c r="C1403" s="1">
        <v>1144</v>
      </c>
      <c r="D1403" t="str">
        <f t="shared" si="61"/>
        <v>480</v>
      </c>
      <c r="E1403" t="str">
        <f>"93017"</f>
        <v>93017</v>
      </c>
    </row>
    <row r="1404" spans="1:5" x14ac:dyDescent="0.25">
      <c r="A1404" t="str">
        <f>"759482138"</f>
        <v>759482138</v>
      </c>
      <c r="B1404" t="s">
        <v>1376</v>
      </c>
      <c r="C1404" s="1">
        <v>2093.3000000000002</v>
      </c>
      <c r="D1404" t="str">
        <f>"482"</f>
        <v>482</v>
      </c>
      <c r="E1404" t="str">
        <f>"93016"</f>
        <v>93016</v>
      </c>
    </row>
    <row r="1405" spans="1:5" x14ac:dyDescent="0.25">
      <c r="A1405" t="str">
        <f>"759482141"</f>
        <v>759482141</v>
      </c>
      <c r="B1405" t="s">
        <v>1377</v>
      </c>
      <c r="C1405">
        <v>242</v>
      </c>
      <c r="D1405" t="str">
        <f>"271"</f>
        <v>271</v>
      </c>
      <c r="E1405" t="str">
        <f>"94660"</f>
        <v>94660</v>
      </c>
    </row>
    <row r="1406" spans="1:5" x14ac:dyDescent="0.25">
      <c r="A1406" t="str">
        <f>"759482200"</f>
        <v>759482200</v>
      </c>
      <c r="B1406" t="s">
        <v>1374</v>
      </c>
      <c r="C1406">
        <v>966.23</v>
      </c>
      <c r="D1406" t="str">
        <f>"740"</f>
        <v>740</v>
      </c>
      <c r="E1406" t="str">
        <f>"95819"</f>
        <v>95819</v>
      </c>
    </row>
    <row r="1407" spans="1:5" x14ac:dyDescent="0.25">
      <c r="A1407" t="str">
        <f>"759482201"</f>
        <v>759482201</v>
      </c>
      <c r="B1407" t="s">
        <v>1378</v>
      </c>
      <c r="C1407" s="1">
        <v>2006.4</v>
      </c>
      <c r="D1407" t="str">
        <f>"480"</f>
        <v>480</v>
      </c>
      <c r="E1407" t="str">
        <f>"94060"</f>
        <v>94060</v>
      </c>
    </row>
    <row r="1408" spans="1:5" x14ac:dyDescent="0.25">
      <c r="A1408" t="str">
        <f>"759482210"</f>
        <v>759482210</v>
      </c>
      <c r="B1408" t="s">
        <v>1379</v>
      </c>
      <c r="C1408">
        <v>815.13</v>
      </c>
      <c r="D1408" t="str">
        <f>"480"</f>
        <v>480</v>
      </c>
      <c r="E1408" t="str">
        <f>"92585"</f>
        <v>92585</v>
      </c>
    </row>
    <row r="1409" spans="1:5" x14ac:dyDescent="0.25">
      <c r="A1409" t="str">
        <f>"759730005"</f>
        <v>759730005</v>
      </c>
      <c r="B1409" t="s">
        <v>1380</v>
      </c>
      <c r="C1409">
        <v>873.18</v>
      </c>
      <c r="D1409" t="str">
        <f>"271"</f>
        <v>271</v>
      </c>
      <c r="E1409" t="str">
        <f>"93226"</f>
        <v>93226</v>
      </c>
    </row>
    <row r="1410" spans="1:5" x14ac:dyDescent="0.25">
      <c r="A1410" t="str">
        <f>"759730006"</f>
        <v>759730006</v>
      </c>
      <c r="B1410" t="s">
        <v>1381</v>
      </c>
      <c r="C1410">
        <v>165</v>
      </c>
      <c r="D1410" t="str">
        <f t="shared" ref="D1410:D1415" si="62">"480"</f>
        <v>480</v>
      </c>
      <c r="E1410" t="str">
        <f>"93225"</f>
        <v>93225</v>
      </c>
    </row>
    <row r="1411" spans="1:5" x14ac:dyDescent="0.25">
      <c r="A1411" t="str">
        <f>"759730007"</f>
        <v>759730007</v>
      </c>
      <c r="B1411" t="s">
        <v>1382</v>
      </c>
      <c r="C1411">
        <v>165</v>
      </c>
      <c r="D1411" t="str">
        <f t="shared" si="62"/>
        <v>480</v>
      </c>
      <c r="E1411" t="str">
        <f>"93226"</f>
        <v>93226</v>
      </c>
    </row>
    <row r="1412" spans="1:5" x14ac:dyDescent="0.25">
      <c r="A1412" t="str">
        <f>"759730010"</f>
        <v>759730010</v>
      </c>
      <c r="B1412" t="s">
        <v>1383</v>
      </c>
      <c r="C1412" s="1">
        <v>1650</v>
      </c>
      <c r="D1412" t="str">
        <f t="shared" si="62"/>
        <v>480</v>
      </c>
      <c r="E1412" t="str">
        <f>"93271"</f>
        <v>93271</v>
      </c>
    </row>
    <row r="1413" spans="1:5" x14ac:dyDescent="0.25">
      <c r="A1413" t="str">
        <f>"75973006"</f>
        <v>75973006</v>
      </c>
      <c r="B1413" t="s">
        <v>1384</v>
      </c>
      <c r="C1413">
        <v>165</v>
      </c>
      <c r="D1413" t="str">
        <f t="shared" si="62"/>
        <v>480</v>
      </c>
      <c r="E1413" t="str">
        <f>"93225"</f>
        <v>93225</v>
      </c>
    </row>
    <row r="1414" spans="1:5" x14ac:dyDescent="0.25">
      <c r="A1414" t="str">
        <f>"75973007"</f>
        <v>75973007</v>
      </c>
      <c r="B1414" t="s">
        <v>1385</v>
      </c>
      <c r="C1414">
        <v>165</v>
      </c>
      <c r="D1414" t="str">
        <f t="shared" si="62"/>
        <v>480</v>
      </c>
      <c r="E1414" t="str">
        <f>"93226"</f>
        <v>93226</v>
      </c>
    </row>
    <row r="1415" spans="1:5" x14ac:dyDescent="0.25">
      <c r="A1415" t="str">
        <f>"75973009"</f>
        <v>75973009</v>
      </c>
      <c r="B1415" t="s">
        <v>1386</v>
      </c>
      <c r="C1415" s="1">
        <v>1650</v>
      </c>
      <c r="D1415" t="str">
        <f t="shared" si="62"/>
        <v>480</v>
      </c>
      <c r="E1415" t="str">
        <f>"93270"</f>
        <v>93270</v>
      </c>
    </row>
    <row r="1416" spans="1:5" x14ac:dyDescent="0.25">
      <c r="A1416" t="str">
        <f>"763321000"</f>
        <v>763321000</v>
      </c>
      <c r="B1416" t="s">
        <v>1387</v>
      </c>
      <c r="C1416">
        <v>219.75</v>
      </c>
      <c r="D1416" t="str">
        <f>"320"</f>
        <v>320</v>
      </c>
      <c r="E1416" t="str">
        <f>"74018"</f>
        <v>74018</v>
      </c>
    </row>
    <row r="1417" spans="1:5" x14ac:dyDescent="0.25">
      <c r="A1417" t="str">
        <f>"763321005"</f>
        <v>763321005</v>
      </c>
      <c r="B1417" t="s">
        <v>1388</v>
      </c>
      <c r="C1417">
        <v>256.07</v>
      </c>
      <c r="D1417" t="str">
        <f>"320"</f>
        <v>320</v>
      </c>
      <c r="E1417" t="str">
        <f>"74018"</f>
        <v>74018</v>
      </c>
    </row>
    <row r="1418" spans="1:5" x14ac:dyDescent="0.25">
      <c r="A1418" t="str">
        <f>"763321010"</f>
        <v>763321010</v>
      </c>
      <c r="B1418" t="s">
        <v>1389</v>
      </c>
      <c r="C1418">
        <v>286.20999999999998</v>
      </c>
      <c r="D1418" t="str">
        <f>"320"</f>
        <v>320</v>
      </c>
      <c r="E1418" t="str">
        <f>"74022"</f>
        <v>74022</v>
      </c>
    </row>
    <row r="1419" spans="1:5" x14ac:dyDescent="0.25">
      <c r="A1419" t="str">
        <f>"763321015"</f>
        <v>763321015</v>
      </c>
      <c r="B1419" t="s">
        <v>1390</v>
      </c>
      <c r="C1419">
        <v>313.08999999999997</v>
      </c>
      <c r="D1419" t="str">
        <f>"312"</f>
        <v>312</v>
      </c>
      <c r="E1419" t="str">
        <f>"74022"</f>
        <v>74022</v>
      </c>
    </row>
    <row r="1420" spans="1:5" x14ac:dyDescent="0.25">
      <c r="A1420" t="str">
        <f>"763321020"</f>
        <v>763321020</v>
      </c>
      <c r="B1420" t="s">
        <v>1391</v>
      </c>
      <c r="C1420">
        <v>269.93</v>
      </c>
      <c r="D1420" t="str">
        <f>"312"</f>
        <v>312</v>
      </c>
      <c r="E1420" t="str">
        <f>"73050"</f>
        <v>73050</v>
      </c>
    </row>
    <row r="1421" spans="1:5" x14ac:dyDescent="0.25">
      <c r="A1421" t="str">
        <f>"763321025"</f>
        <v>763321025</v>
      </c>
      <c r="B1421" t="s">
        <v>1392</v>
      </c>
      <c r="C1421" s="1">
        <v>1519.16</v>
      </c>
      <c r="D1421" t="str">
        <f>"323"</f>
        <v>323</v>
      </c>
      <c r="E1421" t="str">
        <f>"75658"</f>
        <v>75658</v>
      </c>
    </row>
    <row r="1422" spans="1:5" x14ac:dyDescent="0.25">
      <c r="A1422" t="str">
        <f>"763321045"</f>
        <v>763321045</v>
      </c>
      <c r="B1422" t="s">
        <v>1393</v>
      </c>
      <c r="C1422">
        <v>220.17</v>
      </c>
      <c r="D1422" t="str">
        <f>"320"</f>
        <v>320</v>
      </c>
      <c r="E1422" t="str">
        <f>"73610"</f>
        <v>73610</v>
      </c>
    </row>
    <row r="1423" spans="1:5" x14ac:dyDescent="0.25">
      <c r="A1423" t="str">
        <f>"763321055"</f>
        <v>763321055</v>
      </c>
      <c r="B1423" t="s">
        <v>1394</v>
      </c>
      <c r="C1423" s="1">
        <v>1620.42</v>
      </c>
      <c r="D1423" t="str">
        <f>"309"</f>
        <v>309</v>
      </c>
      <c r="E1423" t="str">
        <f>"75625"</f>
        <v>75625</v>
      </c>
    </row>
    <row r="1424" spans="1:5" x14ac:dyDescent="0.25">
      <c r="A1424" t="str">
        <f>"763321060"</f>
        <v>763321060</v>
      </c>
      <c r="B1424" t="s">
        <v>1395</v>
      </c>
      <c r="C1424" s="1">
        <v>1708.05</v>
      </c>
      <c r="D1424" t="str">
        <f>"311"</f>
        <v>311</v>
      </c>
      <c r="E1424" t="str">
        <f>"75630"</f>
        <v>75630</v>
      </c>
    </row>
    <row r="1425" spans="1:5" x14ac:dyDescent="0.25">
      <c r="A1425" t="str">
        <f>"763321065"</f>
        <v>763321065</v>
      </c>
      <c r="B1425" t="s">
        <v>1396</v>
      </c>
      <c r="C1425" s="1">
        <v>1620.42</v>
      </c>
      <c r="D1425" t="str">
        <f>"311"</f>
        <v>311</v>
      </c>
      <c r="E1425" t="str">
        <f>"75605"</f>
        <v>75605</v>
      </c>
    </row>
    <row r="1426" spans="1:5" x14ac:dyDescent="0.25">
      <c r="A1426" t="str">
        <f>"763321070"</f>
        <v>763321070</v>
      </c>
      <c r="B1426" t="s">
        <v>1397</v>
      </c>
      <c r="C1426" s="1">
        <v>1399.66</v>
      </c>
      <c r="D1426" t="str">
        <f>"311"</f>
        <v>311</v>
      </c>
      <c r="E1426" t="str">
        <f>"75600"</f>
        <v>75600</v>
      </c>
    </row>
    <row r="1427" spans="1:5" x14ac:dyDescent="0.25">
      <c r="A1427" t="str">
        <f>"763321075"</f>
        <v>763321075</v>
      </c>
      <c r="B1427" t="s">
        <v>1398</v>
      </c>
      <c r="C1427" s="1">
        <v>1212.75</v>
      </c>
      <c r="D1427" t="str">
        <f t="shared" ref="D1427:D1443" si="63">"320"</f>
        <v>320</v>
      </c>
      <c r="E1427" t="str">
        <f>"72240"</f>
        <v>72240</v>
      </c>
    </row>
    <row r="1428" spans="1:5" x14ac:dyDescent="0.25">
      <c r="A1428" t="str">
        <f>"763321080"</f>
        <v>763321080</v>
      </c>
      <c r="B1428" t="s">
        <v>1399</v>
      </c>
      <c r="C1428" s="1">
        <v>1212.75</v>
      </c>
      <c r="D1428" t="str">
        <f t="shared" si="63"/>
        <v>320</v>
      </c>
      <c r="E1428" t="str">
        <f>"72255"</f>
        <v>72255</v>
      </c>
    </row>
    <row r="1429" spans="1:5" x14ac:dyDescent="0.25">
      <c r="A1429" t="str">
        <f>"763321085"</f>
        <v>763321085</v>
      </c>
      <c r="B1429" t="s">
        <v>1400</v>
      </c>
      <c r="C1429" s="1">
        <v>1212.75</v>
      </c>
      <c r="D1429" t="str">
        <f t="shared" si="63"/>
        <v>320</v>
      </c>
      <c r="E1429" t="str">
        <f>"72265"</f>
        <v>72265</v>
      </c>
    </row>
    <row r="1430" spans="1:5" x14ac:dyDescent="0.25">
      <c r="A1430" t="str">
        <f>"763321090"</f>
        <v>763321090</v>
      </c>
      <c r="B1430" t="s">
        <v>1401</v>
      </c>
      <c r="C1430" s="1">
        <v>1212.75</v>
      </c>
      <c r="D1430" t="str">
        <f t="shared" si="63"/>
        <v>320</v>
      </c>
      <c r="E1430" t="str">
        <f>"72270"</f>
        <v>72270</v>
      </c>
    </row>
    <row r="1431" spans="1:5" x14ac:dyDescent="0.25">
      <c r="A1431" t="str">
        <f>"763321095"</f>
        <v>763321095</v>
      </c>
      <c r="B1431" t="s">
        <v>1402</v>
      </c>
      <c r="C1431" s="1">
        <v>2887.5</v>
      </c>
      <c r="D1431" t="str">
        <f t="shared" si="63"/>
        <v>320</v>
      </c>
      <c r="E1431" t="str">
        <f>"72285"</f>
        <v>72285</v>
      </c>
    </row>
    <row r="1432" spans="1:5" x14ac:dyDescent="0.25">
      <c r="A1432" t="str">
        <f>"763321100"</f>
        <v>763321100</v>
      </c>
      <c r="B1432" t="s">
        <v>1403</v>
      </c>
      <c r="C1432">
        <v>463.8</v>
      </c>
      <c r="D1432" t="str">
        <f t="shared" si="63"/>
        <v>320</v>
      </c>
      <c r="E1432" t="str">
        <f>"77074"</f>
        <v>77074</v>
      </c>
    </row>
    <row r="1433" spans="1:5" x14ac:dyDescent="0.25">
      <c r="A1433" t="str">
        <f>"763321105"</f>
        <v>763321105</v>
      </c>
      <c r="B1433" t="s">
        <v>1404</v>
      </c>
      <c r="C1433" s="1">
        <v>2887.5</v>
      </c>
      <c r="D1433" t="str">
        <f t="shared" si="63"/>
        <v>320</v>
      </c>
      <c r="E1433" t="str">
        <f>"72295"</f>
        <v>72295</v>
      </c>
    </row>
    <row r="1434" spans="1:5" x14ac:dyDescent="0.25">
      <c r="A1434" t="str">
        <f>"763321110"</f>
        <v>763321110</v>
      </c>
      <c r="B1434" t="s">
        <v>1405</v>
      </c>
      <c r="C1434">
        <v>162.80000000000001</v>
      </c>
      <c r="D1434" t="str">
        <f t="shared" si="63"/>
        <v>320</v>
      </c>
      <c r="E1434" t="str">
        <f>"72275"</f>
        <v>72275</v>
      </c>
    </row>
    <row r="1435" spans="1:5" x14ac:dyDescent="0.25">
      <c r="A1435" t="str">
        <f>"763321111"</f>
        <v>763321111</v>
      </c>
      <c r="B1435" t="s">
        <v>1406</v>
      </c>
      <c r="C1435">
        <v>245.47</v>
      </c>
      <c r="D1435" t="str">
        <f t="shared" si="63"/>
        <v>320</v>
      </c>
      <c r="E1435" t="str">
        <f>"72114"</f>
        <v>72114</v>
      </c>
    </row>
    <row r="1436" spans="1:5" x14ac:dyDescent="0.25">
      <c r="A1436" t="str">
        <f>"763321112"</f>
        <v>763321112</v>
      </c>
      <c r="B1436" t="s">
        <v>1407</v>
      </c>
      <c r="C1436">
        <v>159.21</v>
      </c>
      <c r="D1436" t="str">
        <f t="shared" si="63"/>
        <v>320</v>
      </c>
      <c r="E1436" t="str">
        <f>"72074"</f>
        <v>72074</v>
      </c>
    </row>
    <row r="1437" spans="1:5" x14ac:dyDescent="0.25">
      <c r="A1437" t="str">
        <f>"763321115"</f>
        <v>763321115</v>
      </c>
      <c r="B1437" t="s">
        <v>1408</v>
      </c>
      <c r="C1437" s="1">
        <v>1732.5</v>
      </c>
      <c r="D1437" t="str">
        <f t="shared" si="63"/>
        <v>320</v>
      </c>
      <c r="E1437" t="str">
        <f>"73040"</f>
        <v>73040</v>
      </c>
    </row>
    <row r="1438" spans="1:5" x14ac:dyDescent="0.25">
      <c r="A1438" t="str">
        <f>"763321120"</f>
        <v>763321120</v>
      </c>
      <c r="B1438" t="s">
        <v>1409</v>
      </c>
      <c r="C1438">
        <v>698.78</v>
      </c>
      <c r="D1438" t="str">
        <f t="shared" si="63"/>
        <v>320</v>
      </c>
      <c r="E1438" t="str">
        <f>"77080"</f>
        <v>77080</v>
      </c>
    </row>
    <row r="1439" spans="1:5" x14ac:dyDescent="0.25">
      <c r="A1439" t="str">
        <f>"763321125"</f>
        <v>763321125</v>
      </c>
      <c r="B1439" t="s">
        <v>1410</v>
      </c>
      <c r="C1439">
        <v>698.78</v>
      </c>
      <c r="D1439" t="str">
        <f t="shared" si="63"/>
        <v>320</v>
      </c>
    </row>
    <row r="1440" spans="1:5" x14ac:dyDescent="0.25">
      <c r="A1440" t="str">
        <f>"763321140"</f>
        <v>763321140</v>
      </c>
      <c r="B1440" t="s">
        <v>1411</v>
      </c>
      <c r="C1440">
        <v>257.52</v>
      </c>
      <c r="D1440" t="str">
        <f t="shared" si="63"/>
        <v>320</v>
      </c>
      <c r="E1440" t="str">
        <f>"72040"</f>
        <v>72040</v>
      </c>
    </row>
    <row r="1441" spans="1:5" x14ac:dyDescent="0.25">
      <c r="A1441" t="str">
        <f>"763321141"</f>
        <v>763321141</v>
      </c>
      <c r="B1441" t="s">
        <v>1412</v>
      </c>
      <c r="C1441">
        <v>265.64999999999998</v>
      </c>
      <c r="D1441" t="str">
        <f t="shared" si="63"/>
        <v>320</v>
      </c>
      <c r="E1441" t="str">
        <f>"72040"</f>
        <v>72040</v>
      </c>
    </row>
    <row r="1442" spans="1:5" x14ac:dyDescent="0.25">
      <c r="A1442" t="str">
        <f>"763321145"</f>
        <v>763321145</v>
      </c>
      <c r="B1442" t="s">
        <v>1413</v>
      </c>
      <c r="C1442">
        <v>302.31</v>
      </c>
      <c r="D1442" t="str">
        <f t="shared" si="63"/>
        <v>320</v>
      </c>
      <c r="E1442" t="str">
        <f>"72050"</f>
        <v>72050</v>
      </c>
    </row>
    <row r="1443" spans="1:5" x14ac:dyDescent="0.25">
      <c r="A1443" t="str">
        <f>"763321150"</f>
        <v>763321150</v>
      </c>
      <c r="B1443" t="s">
        <v>1414</v>
      </c>
      <c r="C1443">
        <v>373.82</v>
      </c>
      <c r="D1443" t="str">
        <f t="shared" si="63"/>
        <v>320</v>
      </c>
      <c r="E1443" t="str">
        <f>"72052"</f>
        <v>72052</v>
      </c>
    </row>
    <row r="1444" spans="1:5" x14ac:dyDescent="0.25">
      <c r="A1444" t="str">
        <f>"763321155"</f>
        <v>763321155</v>
      </c>
      <c r="B1444" t="s">
        <v>1415</v>
      </c>
      <c r="C1444">
        <v>205.27</v>
      </c>
      <c r="D1444" t="str">
        <f>"324"</f>
        <v>324</v>
      </c>
      <c r="E1444" t="str">
        <f>"71045"</f>
        <v>71045</v>
      </c>
    </row>
    <row r="1445" spans="1:5" x14ac:dyDescent="0.25">
      <c r="A1445" t="str">
        <f>"763321160"</f>
        <v>763321160</v>
      </c>
      <c r="B1445" t="s">
        <v>1416</v>
      </c>
      <c r="C1445">
        <v>263.27</v>
      </c>
      <c r="D1445" t="str">
        <f>"324"</f>
        <v>324</v>
      </c>
      <c r="E1445" t="str">
        <f>"71046"</f>
        <v>71046</v>
      </c>
    </row>
    <row r="1446" spans="1:5" x14ac:dyDescent="0.25">
      <c r="A1446" t="str">
        <f>"763321170"</f>
        <v>763321170</v>
      </c>
      <c r="B1446" t="s">
        <v>1417</v>
      </c>
      <c r="C1446">
        <v>332.71</v>
      </c>
      <c r="D1446" t="str">
        <f>"324"</f>
        <v>324</v>
      </c>
      <c r="E1446" t="str">
        <f>"71022"</f>
        <v>71022</v>
      </c>
    </row>
    <row r="1447" spans="1:5" x14ac:dyDescent="0.25">
      <c r="A1447" t="str">
        <f>"763321180"</f>
        <v>763321180</v>
      </c>
      <c r="B1447" t="s">
        <v>1418</v>
      </c>
      <c r="C1447">
        <v>316.98</v>
      </c>
      <c r="D1447" t="str">
        <f>"324"</f>
        <v>324</v>
      </c>
      <c r="E1447" t="str">
        <f>"71021"</f>
        <v>71021</v>
      </c>
    </row>
    <row r="1448" spans="1:5" x14ac:dyDescent="0.25">
      <c r="A1448" t="str">
        <f>"763321210"</f>
        <v>763321210</v>
      </c>
      <c r="B1448" t="s">
        <v>1419</v>
      </c>
      <c r="C1448">
        <v>400.55</v>
      </c>
      <c r="D1448" t="str">
        <f t="shared" ref="D1448:D1459" si="64">"320"</f>
        <v>320</v>
      </c>
      <c r="E1448" t="str">
        <f>"74300"</f>
        <v>74300</v>
      </c>
    </row>
    <row r="1449" spans="1:5" x14ac:dyDescent="0.25">
      <c r="A1449" t="str">
        <f>"763321225"</f>
        <v>763321225</v>
      </c>
      <c r="B1449" t="s">
        <v>1420</v>
      </c>
      <c r="C1449">
        <v>312.62</v>
      </c>
      <c r="D1449" t="str">
        <f t="shared" si="64"/>
        <v>320</v>
      </c>
      <c r="E1449" t="str">
        <f>"74305"</f>
        <v>74305</v>
      </c>
    </row>
    <row r="1450" spans="1:5" x14ac:dyDescent="0.25">
      <c r="A1450" t="str">
        <f>"763321255"</f>
        <v>763321255</v>
      </c>
      <c r="B1450" t="s">
        <v>1421</v>
      </c>
      <c r="C1450">
        <v>211.85</v>
      </c>
      <c r="D1450" t="str">
        <f t="shared" si="64"/>
        <v>320</v>
      </c>
      <c r="E1450" t="str">
        <f>"73000"</f>
        <v>73000</v>
      </c>
    </row>
    <row r="1451" spans="1:5" x14ac:dyDescent="0.25">
      <c r="A1451" t="str">
        <f>"763321260"</f>
        <v>763321260</v>
      </c>
      <c r="B1451" t="s">
        <v>1422</v>
      </c>
      <c r="C1451">
        <v>456.96</v>
      </c>
      <c r="D1451" t="str">
        <f t="shared" si="64"/>
        <v>320</v>
      </c>
      <c r="E1451" t="str">
        <f>"74270"</f>
        <v>74270</v>
      </c>
    </row>
    <row r="1452" spans="1:5" x14ac:dyDescent="0.25">
      <c r="A1452" t="str">
        <f>"763321265"</f>
        <v>763321265</v>
      </c>
      <c r="B1452" t="s">
        <v>1423</v>
      </c>
      <c r="C1452">
        <v>618.20000000000005</v>
      </c>
      <c r="D1452" t="str">
        <f t="shared" si="64"/>
        <v>320</v>
      </c>
      <c r="E1452" t="str">
        <f>"74280"</f>
        <v>74280</v>
      </c>
    </row>
    <row r="1453" spans="1:5" x14ac:dyDescent="0.25">
      <c r="A1453" t="str">
        <f>"763321285"</f>
        <v>763321285</v>
      </c>
      <c r="B1453" t="s">
        <v>1424</v>
      </c>
      <c r="C1453">
        <v>757</v>
      </c>
      <c r="D1453" t="str">
        <f t="shared" si="64"/>
        <v>320</v>
      </c>
      <c r="E1453" t="str">
        <f>"74430"</f>
        <v>74430</v>
      </c>
    </row>
    <row r="1454" spans="1:5" x14ac:dyDescent="0.25">
      <c r="A1454" t="str">
        <f>"763321330"</f>
        <v>763321330</v>
      </c>
      <c r="B1454" t="s">
        <v>1425</v>
      </c>
      <c r="C1454">
        <v>230.63</v>
      </c>
      <c r="D1454" t="str">
        <f t="shared" si="64"/>
        <v>320</v>
      </c>
      <c r="E1454" t="str">
        <f>"73080"</f>
        <v>73080</v>
      </c>
    </row>
    <row r="1455" spans="1:5" x14ac:dyDescent="0.25">
      <c r="A1455" t="str">
        <f>"763321350"</f>
        <v>763321350</v>
      </c>
      <c r="B1455" t="s">
        <v>1426</v>
      </c>
      <c r="C1455">
        <v>706.56</v>
      </c>
      <c r="D1455" t="str">
        <f t="shared" si="64"/>
        <v>320</v>
      </c>
      <c r="E1455" t="str">
        <f>"74330"</f>
        <v>74330</v>
      </c>
    </row>
    <row r="1456" spans="1:5" x14ac:dyDescent="0.25">
      <c r="A1456" t="str">
        <f>"763321355"</f>
        <v>763321355</v>
      </c>
      <c r="B1456" t="s">
        <v>1427</v>
      </c>
      <c r="C1456">
        <v>416.02</v>
      </c>
      <c r="D1456" t="str">
        <f t="shared" si="64"/>
        <v>320</v>
      </c>
      <c r="E1456" t="str">
        <f>"74220"</f>
        <v>74220</v>
      </c>
    </row>
    <row r="1457" spans="1:5" x14ac:dyDescent="0.25">
      <c r="A1457" t="str">
        <f>"763321370"</f>
        <v>763321370</v>
      </c>
      <c r="B1457" t="s">
        <v>1428</v>
      </c>
      <c r="C1457">
        <v>328.9</v>
      </c>
      <c r="D1457" t="str">
        <f t="shared" si="64"/>
        <v>320</v>
      </c>
      <c r="E1457" t="str">
        <f>"70150"</f>
        <v>70150</v>
      </c>
    </row>
    <row r="1458" spans="1:5" x14ac:dyDescent="0.25">
      <c r="A1458" t="str">
        <f>"763321385"</f>
        <v>763321385</v>
      </c>
      <c r="B1458" t="s">
        <v>1429</v>
      </c>
      <c r="C1458">
        <v>230.63</v>
      </c>
      <c r="D1458" t="str">
        <f t="shared" si="64"/>
        <v>320</v>
      </c>
      <c r="E1458" t="str">
        <f>"73552"</f>
        <v>73552</v>
      </c>
    </row>
    <row r="1459" spans="1:5" x14ac:dyDescent="0.25">
      <c r="A1459" t="str">
        <f>"763321390"</f>
        <v>763321390</v>
      </c>
      <c r="B1459" t="s">
        <v>1430</v>
      </c>
      <c r="C1459">
        <v>172.62</v>
      </c>
      <c r="D1459" t="str">
        <f t="shared" si="64"/>
        <v>320</v>
      </c>
      <c r="E1459" t="str">
        <f>"73140"</f>
        <v>73140</v>
      </c>
    </row>
    <row r="1460" spans="1:5" x14ac:dyDescent="0.25">
      <c r="A1460" t="str">
        <f>"763321400"</f>
        <v>763321400</v>
      </c>
      <c r="B1460" t="s">
        <v>1431</v>
      </c>
      <c r="C1460">
        <v>990</v>
      </c>
      <c r="D1460" t="str">
        <f>"999"</f>
        <v>999</v>
      </c>
      <c r="E1460" t="str">
        <f>"77003"</f>
        <v>77003</v>
      </c>
    </row>
    <row r="1461" spans="1:5" x14ac:dyDescent="0.25">
      <c r="A1461" t="str">
        <f>"763321405"</f>
        <v>763321405</v>
      </c>
      <c r="B1461" t="s">
        <v>1432</v>
      </c>
      <c r="C1461">
        <v>611.44000000000005</v>
      </c>
      <c r="D1461" t="str">
        <f t="shared" ref="D1461:D1509" si="65">"320"</f>
        <v>320</v>
      </c>
      <c r="E1461" t="str">
        <f>"76000"</f>
        <v>76000</v>
      </c>
    </row>
    <row r="1462" spans="1:5" x14ac:dyDescent="0.25">
      <c r="A1462" t="str">
        <f>"763321410"</f>
        <v>763321410</v>
      </c>
      <c r="B1462" t="s">
        <v>1433</v>
      </c>
      <c r="C1462">
        <v>349.88</v>
      </c>
      <c r="D1462" t="str">
        <f t="shared" si="65"/>
        <v>320</v>
      </c>
      <c r="E1462" t="str">
        <f>"76000"</f>
        <v>76000</v>
      </c>
    </row>
    <row r="1463" spans="1:5" x14ac:dyDescent="0.25">
      <c r="A1463" t="str">
        <f>"763321415"</f>
        <v>763321415</v>
      </c>
      <c r="B1463" t="s">
        <v>1434</v>
      </c>
      <c r="C1463">
        <v>220.17</v>
      </c>
      <c r="D1463" t="str">
        <f t="shared" si="65"/>
        <v>320</v>
      </c>
      <c r="E1463" t="str">
        <f>"73630"</f>
        <v>73630</v>
      </c>
    </row>
    <row r="1464" spans="1:5" x14ac:dyDescent="0.25">
      <c r="A1464" t="str">
        <f>"763321425"</f>
        <v>763321425</v>
      </c>
      <c r="B1464" t="s">
        <v>1435</v>
      </c>
      <c r="C1464">
        <v>211.85</v>
      </c>
      <c r="D1464" t="str">
        <f t="shared" si="65"/>
        <v>320</v>
      </c>
      <c r="E1464" t="str">
        <f>"73090"</f>
        <v>73090</v>
      </c>
    </row>
    <row r="1465" spans="1:5" x14ac:dyDescent="0.25">
      <c r="A1465" t="str">
        <f>"763321440"</f>
        <v>763321440</v>
      </c>
      <c r="B1465" t="s">
        <v>1436</v>
      </c>
      <c r="C1465">
        <v>220.17</v>
      </c>
      <c r="D1465" t="str">
        <f t="shared" si="65"/>
        <v>320</v>
      </c>
      <c r="E1465" t="str">
        <f>"73130"</f>
        <v>73130</v>
      </c>
    </row>
    <row r="1466" spans="1:5" x14ac:dyDescent="0.25">
      <c r="A1466" t="str">
        <f>"763321450"</f>
        <v>763321450</v>
      </c>
      <c r="B1466" t="s">
        <v>1437</v>
      </c>
      <c r="C1466">
        <v>349.88</v>
      </c>
      <c r="D1466" t="str">
        <f t="shared" si="65"/>
        <v>320</v>
      </c>
      <c r="E1466" t="str">
        <f>"77001"</f>
        <v>77001</v>
      </c>
    </row>
    <row r="1467" spans="1:5" x14ac:dyDescent="0.25">
      <c r="A1467" t="str">
        <f>"763321455"</f>
        <v>763321455</v>
      </c>
      <c r="B1467" t="s">
        <v>1438</v>
      </c>
      <c r="C1467">
        <v>246.37</v>
      </c>
      <c r="D1467" t="str">
        <f t="shared" si="65"/>
        <v>320</v>
      </c>
      <c r="E1467" t="str">
        <f>"73502"</f>
        <v>73502</v>
      </c>
    </row>
    <row r="1468" spans="1:5" x14ac:dyDescent="0.25">
      <c r="A1468" t="str">
        <f>"763321470"</f>
        <v>763321470</v>
      </c>
      <c r="B1468" t="s">
        <v>1439</v>
      </c>
      <c r="C1468">
        <v>187.66</v>
      </c>
      <c r="D1468" t="str">
        <f t="shared" si="65"/>
        <v>320</v>
      </c>
      <c r="E1468" t="str">
        <f>"73502"</f>
        <v>73502</v>
      </c>
    </row>
    <row r="1469" spans="1:5" x14ac:dyDescent="0.25">
      <c r="A1469" t="str">
        <f>"763321480"</f>
        <v>763321480</v>
      </c>
      <c r="B1469" t="s">
        <v>1440</v>
      </c>
      <c r="C1469">
        <v>295.27999999999997</v>
      </c>
      <c r="D1469" t="str">
        <f t="shared" si="65"/>
        <v>320</v>
      </c>
      <c r="E1469" t="str">
        <f>"73522"</f>
        <v>73522</v>
      </c>
    </row>
    <row r="1470" spans="1:5" x14ac:dyDescent="0.25">
      <c r="A1470" t="str">
        <f>"763321485"</f>
        <v>763321485</v>
      </c>
      <c r="B1470" t="s">
        <v>1441</v>
      </c>
      <c r="C1470">
        <v>230.63</v>
      </c>
      <c r="D1470" t="str">
        <f t="shared" si="65"/>
        <v>320</v>
      </c>
      <c r="E1470" t="str">
        <f>"73060"</f>
        <v>73060</v>
      </c>
    </row>
    <row r="1471" spans="1:5" x14ac:dyDescent="0.25">
      <c r="A1471" t="str">
        <f>"763321520"</f>
        <v>763321520</v>
      </c>
      <c r="B1471" t="s">
        <v>1442</v>
      </c>
      <c r="C1471">
        <v>720.7</v>
      </c>
      <c r="D1471" t="str">
        <f t="shared" si="65"/>
        <v>320</v>
      </c>
      <c r="E1471" t="str">
        <f>"43752"</f>
        <v>43752</v>
      </c>
    </row>
    <row r="1472" spans="1:5" x14ac:dyDescent="0.25">
      <c r="A1472" t="str">
        <f>"763321530"</f>
        <v>763321530</v>
      </c>
      <c r="B1472" t="s">
        <v>1443</v>
      </c>
      <c r="C1472">
        <v>538.82000000000005</v>
      </c>
      <c r="D1472" t="str">
        <f t="shared" si="65"/>
        <v>320</v>
      </c>
      <c r="E1472" t="str">
        <f>"74400"</f>
        <v>74400</v>
      </c>
    </row>
    <row r="1473" spans="1:5" x14ac:dyDescent="0.25">
      <c r="A1473" t="str">
        <f>"763321535"</f>
        <v>763321535</v>
      </c>
      <c r="B1473" t="s">
        <v>1444</v>
      </c>
      <c r="C1473">
        <v>450.31</v>
      </c>
      <c r="D1473" t="str">
        <f t="shared" si="65"/>
        <v>320</v>
      </c>
      <c r="E1473" t="str">
        <f>"74410"</f>
        <v>74410</v>
      </c>
    </row>
    <row r="1474" spans="1:5" x14ac:dyDescent="0.25">
      <c r="A1474" t="str">
        <f>"763321550"</f>
        <v>763321550</v>
      </c>
      <c r="B1474" t="s">
        <v>1445</v>
      </c>
      <c r="C1474">
        <v>235.97</v>
      </c>
      <c r="D1474" t="str">
        <f t="shared" si="65"/>
        <v>320</v>
      </c>
      <c r="E1474" t="str">
        <f>"73562"</f>
        <v>73562</v>
      </c>
    </row>
    <row r="1475" spans="1:5" x14ac:dyDescent="0.25">
      <c r="A1475" t="str">
        <f>"763321555"</f>
        <v>763321555</v>
      </c>
      <c r="B1475" t="s">
        <v>1446</v>
      </c>
      <c r="C1475">
        <v>214.35</v>
      </c>
      <c r="D1475" t="str">
        <f t="shared" si="65"/>
        <v>320</v>
      </c>
      <c r="E1475" t="str">
        <f>"73560"</f>
        <v>73560</v>
      </c>
    </row>
    <row r="1476" spans="1:5" x14ac:dyDescent="0.25">
      <c r="A1476" t="str">
        <f>"763321575"</f>
        <v>763321575</v>
      </c>
      <c r="B1476" t="s">
        <v>1447</v>
      </c>
      <c r="C1476">
        <v>277.75</v>
      </c>
      <c r="D1476" t="str">
        <f t="shared" si="65"/>
        <v>320</v>
      </c>
      <c r="E1476" t="str">
        <f>"72100"</f>
        <v>72100</v>
      </c>
    </row>
    <row r="1477" spans="1:5" x14ac:dyDescent="0.25">
      <c r="A1477" t="str">
        <f>"763321590"</f>
        <v>763321590</v>
      </c>
      <c r="B1477" t="s">
        <v>1448</v>
      </c>
      <c r="C1477">
        <v>306.91000000000003</v>
      </c>
      <c r="D1477" t="str">
        <f t="shared" si="65"/>
        <v>320</v>
      </c>
      <c r="E1477" t="str">
        <f>"72110"</f>
        <v>72110</v>
      </c>
    </row>
    <row r="1478" spans="1:5" x14ac:dyDescent="0.25">
      <c r="A1478" t="str">
        <f>"763321635"</f>
        <v>763321635</v>
      </c>
      <c r="B1478" t="s">
        <v>1449</v>
      </c>
      <c r="C1478">
        <v>278.38</v>
      </c>
      <c r="D1478" t="str">
        <f t="shared" si="65"/>
        <v>320</v>
      </c>
      <c r="E1478" t="str">
        <f>"70110"</f>
        <v>70110</v>
      </c>
    </row>
    <row r="1479" spans="1:5" x14ac:dyDescent="0.25">
      <c r="A1479" t="str">
        <f>"763321645"</f>
        <v>763321645</v>
      </c>
      <c r="B1479" t="s">
        <v>1450</v>
      </c>
      <c r="C1479">
        <v>288.33</v>
      </c>
      <c r="D1479" t="str">
        <f t="shared" si="65"/>
        <v>320</v>
      </c>
      <c r="E1479" t="str">
        <f>"70130"</f>
        <v>70130</v>
      </c>
    </row>
    <row r="1480" spans="1:5" x14ac:dyDescent="0.25">
      <c r="A1480" t="str">
        <f>"763321685"</f>
        <v>763321685</v>
      </c>
      <c r="B1480" t="s">
        <v>1451</v>
      </c>
      <c r="C1480">
        <v>217.26</v>
      </c>
      <c r="D1480" t="str">
        <f t="shared" si="65"/>
        <v>320</v>
      </c>
      <c r="E1480" t="str">
        <f>"70160"</f>
        <v>70160</v>
      </c>
    </row>
    <row r="1481" spans="1:5" x14ac:dyDescent="0.25">
      <c r="A1481" t="str">
        <f>"763321695"</f>
        <v>763321695</v>
      </c>
      <c r="B1481" t="s">
        <v>1452</v>
      </c>
      <c r="C1481">
        <v>188.35</v>
      </c>
      <c r="D1481" t="str">
        <f t="shared" si="65"/>
        <v>320</v>
      </c>
      <c r="E1481" t="str">
        <f>"70360"</f>
        <v>70360</v>
      </c>
    </row>
    <row r="1482" spans="1:5" x14ac:dyDescent="0.25">
      <c r="A1482" t="str">
        <f>"763321715"</f>
        <v>763321715</v>
      </c>
      <c r="B1482" t="s">
        <v>1453</v>
      </c>
      <c r="C1482">
        <v>336.8</v>
      </c>
      <c r="D1482" t="str">
        <f t="shared" si="65"/>
        <v>320</v>
      </c>
      <c r="E1482" t="str">
        <f>"70200"</f>
        <v>70200</v>
      </c>
    </row>
    <row r="1483" spans="1:5" x14ac:dyDescent="0.25">
      <c r="A1483" t="str">
        <f>"763321725"</f>
        <v>763321725</v>
      </c>
      <c r="B1483" t="s">
        <v>1454</v>
      </c>
      <c r="C1483">
        <v>197.44</v>
      </c>
      <c r="D1483" t="str">
        <f t="shared" si="65"/>
        <v>320</v>
      </c>
      <c r="E1483" t="str">
        <f>"73650"</f>
        <v>73650</v>
      </c>
    </row>
    <row r="1484" spans="1:5" x14ac:dyDescent="0.25">
      <c r="A1484" t="str">
        <f>"763321735"</f>
        <v>763321735</v>
      </c>
      <c r="B1484" t="s">
        <v>1455</v>
      </c>
      <c r="C1484">
        <v>326.39999999999998</v>
      </c>
      <c r="D1484" t="str">
        <f t="shared" si="65"/>
        <v>320</v>
      </c>
      <c r="E1484" t="str">
        <f>"70220"</f>
        <v>70220</v>
      </c>
    </row>
    <row r="1485" spans="1:5" x14ac:dyDescent="0.25">
      <c r="A1485" t="str">
        <f>"763321750"</f>
        <v>763321750</v>
      </c>
      <c r="B1485" t="s">
        <v>1456</v>
      </c>
      <c r="C1485">
        <v>214.35</v>
      </c>
      <c r="D1485" t="str">
        <f t="shared" si="65"/>
        <v>320</v>
      </c>
      <c r="E1485" t="str">
        <f>"72170"</f>
        <v>72170</v>
      </c>
    </row>
    <row r="1486" spans="1:5" x14ac:dyDescent="0.25">
      <c r="A1486" t="str">
        <f>"763321795"</f>
        <v>763321795</v>
      </c>
      <c r="B1486" t="s">
        <v>1457</v>
      </c>
      <c r="C1486">
        <v>469.52</v>
      </c>
      <c r="D1486" t="str">
        <f t="shared" si="65"/>
        <v>320</v>
      </c>
      <c r="E1486" t="str">
        <f>"77002"</f>
        <v>77002</v>
      </c>
    </row>
    <row r="1487" spans="1:5" x14ac:dyDescent="0.25">
      <c r="A1487" t="str">
        <f>"763321805"</f>
        <v>763321805</v>
      </c>
      <c r="B1487" t="s">
        <v>1458</v>
      </c>
      <c r="C1487">
        <v>383.09</v>
      </c>
      <c r="D1487" t="str">
        <f t="shared" si="65"/>
        <v>320</v>
      </c>
      <c r="E1487" t="str">
        <f>"74210"</f>
        <v>74210</v>
      </c>
    </row>
    <row r="1488" spans="1:5" x14ac:dyDescent="0.25">
      <c r="A1488" t="str">
        <f>"763321835"</f>
        <v>763321835</v>
      </c>
      <c r="B1488" t="s">
        <v>1459</v>
      </c>
      <c r="C1488">
        <v>334.3</v>
      </c>
      <c r="D1488" t="str">
        <f t="shared" si="65"/>
        <v>320</v>
      </c>
      <c r="E1488" t="str">
        <f>"71110"</f>
        <v>71110</v>
      </c>
    </row>
    <row r="1489" spans="1:5" x14ac:dyDescent="0.25">
      <c r="A1489" t="str">
        <f>"763321845"</f>
        <v>763321845</v>
      </c>
      <c r="B1489" t="s">
        <v>1460</v>
      </c>
      <c r="C1489">
        <v>250.66</v>
      </c>
      <c r="D1489" t="str">
        <f t="shared" si="65"/>
        <v>320</v>
      </c>
      <c r="E1489" t="str">
        <f>"71100"</f>
        <v>71100</v>
      </c>
    </row>
    <row r="1490" spans="1:5" x14ac:dyDescent="0.25">
      <c r="A1490" t="str">
        <f>"763321860"</f>
        <v>763321860</v>
      </c>
      <c r="B1490" t="s">
        <v>1461</v>
      </c>
      <c r="C1490">
        <v>252.95</v>
      </c>
      <c r="D1490" t="str">
        <f t="shared" si="65"/>
        <v>320</v>
      </c>
      <c r="E1490" t="str">
        <f>"72202"</f>
        <v>72202</v>
      </c>
    </row>
    <row r="1491" spans="1:5" x14ac:dyDescent="0.25">
      <c r="A1491" t="str">
        <f>"763321865"</f>
        <v>763321865</v>
      </c>
      <c r="B1491" t="s">
        <v>1462</v>
      </c>
      <c r="C1491">
        <v>230.63</v>
      </c>
      <c r="D1491" t="str">
        <f t="shared" si="65"/>
        <v>320</v>
      </c>
      <c r="E1491" t="str">
        <f>"72220"</f>
        <v>72220</v>
      </c>
    </row>
    <row r="1492" spans="1:5" x14ac:dyDescent="0.25">
      <c r="A1492" t="str">
        <f>"763321880"</f>
        <v>763321880</v>
      </c>
      <c r="B1492" t="s">
        <v>1463</v>
      </c>
      <c r="C1492">
        <v>217.26</v>
      </c>
      <c r="D1492" t="str">
        <f t="shared" si="65"/>
        <v>320</v>
      </c>
      <c r="E1492" t="str">
        <f>"73010"</f>
        <v>73010</v>
      </c>
    </row>
    <row r="1493" spans="1:5" x14ac:dyDescent="0.25">
      <c r="A1493" t="str">
        <f>"763321895"</f>
        <v>763321895</v>
      </c>
      <c r="B1493" t="s">
        <v>1464</v>
      </c>
      <c r="C1493">
        <v>194.94</v>
      </c>
      <c r="D1493" t="str">
        <f t="shared" si="65"/>
        <v>320</v>
      </c>
      <c r="E1493" t="str">
        <f>"73020"</f>
        <v>73020</v>
      </c>
    </row>
    <row r="1494" spans="1:5" x14ac:dyDescent="0.25">
      <c r="A1494" t="str">
        <f>"763321910"</f>
        <v>763321910</v>
      </c>
      <c r="B1494" t="s">
        <v>1465</v>
      </c>
      <c r="C1494">
        <v>233.12</v>
      </c>
      <c r="D1494" t="str">
        <f t="shared" si="65"/>
        <v>320</v>
      </c>
      <c r="E1494" t="str">
        <f>"73030"</f>
        <v>73030</v>
      </c>
    </row>
    <row r="1495" spans="1:5" x14ac:dyDescent="0.25">
      <c r="A1495" t="str">
        <f>"763321930"</f>
        <v>763321930</v>
      </c>
      <c r="B1495" t="s">
        <v>1466</v>
      </c>
      <c r="C1495">
        <v>412.58</v>
      </c>
      <c r="D1495" t="str">
        <f t="shared" si="65"/>
        <v>320</v>
      </c>
      <c r="E1495" t="str">
        <f>"76080"</f>
        <v>76080</v>
      </c>
    </row>
    <row r="1496" spans="1:5" x14ac:dyDescent="0.25">
      <c r="A1496" t="str">
        <f>"763321940"</f>
        <v>763321940</v>
      </c>
      <c r="B1496" t="s">
        <v>1467</v>
      </c>
      <c r="C1496">
        <v>312.91000000000003</v>
      </c>
      <c r="D1496" t="str">
        <f t="shared" si="65"/>
        <v>320</v>
      </c>
      <c r="E1496" t="str">
        <f>"70260"</f>
        <v>70260</v>
      </c>
    </row>
    <row r="1497" spans="1:5" x14ac:dyDescent="0.25">
      <c r="A1497" t="str">
        <f>"763321945"</f>
        <v>763321945</v>
      </c>
      <c r="B1497" t="s">
        <v>1468</v>
      </c>
      <c r="C1497">
        <v>272.98</v>
      </c>
      <c r="D1497" t="str">
        <f t="shared" si="65"/>
        <v>320</v>
      </c>
      <c r="E1497" t="str">
        <f>"70250"</f>
        <v>70250</v>
      </c>
    </row>
    <row r="1498" spans="1:5" x14ac:dyDescent="0.25">
      <c r="A1498" t="str">
        <f>"763321950"</f>
        <v>763321950</v>
      </c>
      <c r="B1498" t="s">
        <v>1469</v>
      </c>
      <c r="C1498">
        <v>444.91</v>
      </c>
      <c r="D1498" t="str">
        <f t="shared" si="65"/>
        <v>320</v>
      </c>
      <c r="E1498" t="str">
        <f>"74250"</f>
        <v>74250</v>
      </c>
    </row>
    <row r="1499" spans="1:5" x14ac:dyDescent="0.25">
      <c r="A1499" t="str">
        <f>"763321990"</f>
        <v>763321990</v>
      </c>
      <c r="B1499" t="s">
        <v>1470</v>
      </c>
      <c r="C1499">
        <v>264.10000000000002</v>
      </c>
      <c r="D1499" t="str">
        <f t="shared" si="65"/>
        <v>320</v>
      </c>
      <c r="E1499" t="str">
        <f>"71120"</f>
        <v>71120</v>
      </c>
    </row>
    <row r="1500" spans="1:5" x14ac:dyDescent="0.25">
      <c r="A1500" t="str">
        <f>"763322025"</f>
        <v>763322025</v>
      </c>
      <c r="B1500" t="s">
        <v>1471</v>
      </c>
      <c r="C1500">
        <v>296.95999999999998</v>
      </c>
      <c r="D1500" t="str">
        <f t="shared" si="65"/>
        <v>320</v>
      </c>
      <c r="E1500" t="str">
        <f>"72072"</f>
        <v>72072</v>
      </c>
    </row>
    <row r="1501" spans="1:5" x14ac:dyDescent="0.25">
      <c r="A1501" t="str">
        <f>"763322050"</f>
        <v>763322050</v>
      </c>
      <c r="B1501" t="s">
        <v>1472</v>
      </c>
      <c r="C1501">
        <v>214.35</v>
      </c>
      <c r="D1501" t="str">
        <f t="shared" si="65"/>
        <v>320</v>
      </c>
      <c r="E1501" t="str">
        <f>"73590"</f>
        <v>73590</v>
      </c>
    </row>
    <row r="1502" spans="1:5" x14ac:dyDescent="0.25">
      <c r="A1502" t="str">
        <f>"763322055"</f>
        <v>763322055</v>
      </c>
      <c r="B1502" t="s">
        <v>1473</v>
      </c>
      <c r="C1502">
        <v>335.48</v>
      </c>
      <c r="D1502" t="str">
        <f t="shared" si="65"/>
        <v>320</v>
      </c>
      <c r="E1502" t="str">
        <f>"70330"</f>
        <v>70330</v>
      </c>
    </row>
    <row r="1503" spans="1:5" x14ac:dyDescent="0.25">
      <c r="A1503" t="str">
        <f>"763322065"</f>
        <v>763322065</v>
      </c>
      <c r="B1503" t="s">
        <v>1474</v>
      </c>
      <c r="C1503">
        <v>172.62</v>
      </c>
      <c r="D1503" t="str">
        <f t="shared" si="65"/>
        <v>320</v>
      </c>
      <c r="E1503" t="str">
        <f>"73660"</f>
        <v>73660</v>
      </c>
    </row>
    <row r="1504" spans="1:5" x14ac:dyDescent="0.25">
      <c r="A1504" t="str">
        <f>"763322110"</f>
        <v>763322110</v>
      </c>
      <c r="B1504" t="s">
        <v>1475</v>
      </c>
      <c r="C1504">
        <v>419.91</v>
      </c>
      <c r="D1504" t="str">
        <f t="shared" si="65"/>
        <v>320</v>
      </c>
      <c r="E1504" t="str">
        <f>"74247"</f>
        <v>74247</v>
      </c>
    </row>
    <row r="1505" spans="1:5" x14ac:dyDescent="0.25">
      <c r="A1505" t="str">
        <f>"763322115"</f>
        <v>763322115</v>
      </c>
      <c r="B1505" t="s">
        <v>1476</v>
      </c>
      <c r="C1505">
        <v>607.02</v>
      </c>
      <c r="D1505" t="str">
        <f t="shared" si="65"/>
        <v>320</v>
      </c>
      <c r="E1505" t="str">
        <f>"74249"</f>
        <v>74249</v>
      </c>
    </row>
    <row r="1506" spans="1:5" x14ac:dyDescent="0.25">
      <c r="A1506" t="str">
        <f>"763322135"</f>
        <v>763322135</v>
      </c>
      <c r="B1506" t="s">
        <v>1477</v>
      </c>
      <c r="C1506">
        <v>404.54</v>
      </c>
      <c r="D1506" t="str">
        <f t="shared" si="65"/>
        <v>320</v>
      </c>
      <c r="E1506" t="str">
        <f>"74450"</f>
        <v>74450</v>
      </c>
    </row>
    <row r="1507" spans="1:5" x14ac:dyDescent="0.25">
      <c r="A1507" t="str">
        <f>"763322145"</f>
        <v>763322145</v>
      </c>
      <c r="B1507" t="s">
        <v>1478</v>
      </c>
      <c r="C1507">
        <v>535.84</v>
      </c>
      <c r="D1507" t="str">
        <f t="shared" si="65"/>
        <v>320</v>
      </c>
      <c r="E1507" t="str">
        <f>"74420"</f>
        <v>74420</v>
      </c>
    </row>
    <row r="1508" spans="1:5" x14ac:dyDescent="0.25">
      <c r="A1508" t="str">
        <f>"763322180"</f>
        <v>763322180</v>
      </c>
      <c r="B1508" t="s">
        <v>1479</v>
      </c>
      <c r="C1508">
        <v>220.17</v>
      </c>
      <c r="D1508" t="str">
        <f t="shared" si="65"/>
        <v>320</v>
      </c>
      <c r="E1508" t="str">
        <f>"73110"</f>
        <v>73110</v>
      </c>
    </row>
    <row r="1509" spans="1:5" x14ac:dyDescent="0.25">
      <c r="A1509" t="str">
        <f>"763322200"</f>
        <v>763322200</v>
      </c>
      <c r="B1509" t="s">
        <v>1480</v>
      </c>
      <c r="C1509" s="1">
        <v>1155</v>
      </c>
      <c r="D1509" t="str">
        <f t="shared" si="65"/>
        <v>320</v>
      </c>
      <c r="E1509" t="str">
        <f>"77003"</f>
        <v>77003</v>
      </c>
    </row>
    <row r="1510" spans="1:5" x14ac:dyDescent="0.25">
      <c r="A1510" t="str">
        <f>"763323000"</f>
        <v>763323000</v>
      </c>
      <c r="B1510" t="s">
        <v>1481</v>
      </c>
      <c r="C1510" s="1">
        <v>5763.26</v>
      </c>
      <c r="D1510" t="str">
        <f>"323"</f>
        <v>323</v>
      </c>
      <c r="E1510" t="str">
        <f>"75722"</f>
        <v>75722</v>
      </c>
    </row>
    <row r="1511" spans="1:5" x14ac:dyDescent="0.25">
      <c r="A1511" t="str">
        <f>"763323005"</f>
        <v>763323005</v>
      </c>
      <c r="B1511" t="s">
        <v>1482</v>
      </c>
      <c r="C1511" s="1">
        <v>5763.26</v>
      </c>
      <c r="D1511" t="str">
        <f>"323"</f>
        <v>323</v>
      </c>
      <c r="E1511" t="str">
        <f>"75724"</f>
        <v>75724</v>
      </c>
    </row>
    <row r="1512" spans="1:5" x14ac:dyDescent="0.25">
      <c r="A1512" t="str">
        <f>"763323010"</f>
        <v>763323010</v>
      </c>
      <c r="B1512" t="s">
        <v>1483</v>
      </c>
      <c r="C1512" s="1">
        <v>4266.57</v>
      </c>
      <c r="D1512" t="str">
        <f>"323"</f>
        <v>323</v>
      </c>
      <c r="E1512" t="str">
        <f>"75710"</f>
        <v>75710</v>
      </c>
    </row>
    <row r="1513" spans="1:5" x14ac:dyDescent="0.25">
      <c r="A1513" t="str">
        <f>"763323015"</f>
        <v>763323015</v>
      </c>
      <c r="B1513" t="s">
        <v>1484</v>
      </c>
      <c r="C1513" s="1">
        <v>4674.29</v>
      </c>
      <c r="D1513" t="str">
        <f>"323"</f>
        <v>323</v>
      </c>
      <c r="E1513" t="str">
        <f>"75716"</f>
        <v>75716</v>
      </c>
    </row>
    <row r="1514" spans="1:5" x14ac:dyDescent="0.25">
      <c r="A1514" t="str">
        <f>"763323600"</f>
        <v>763323600</v>
      </c>
      <c r="B1514" t="s">
        <v>1485</v>
      </c>
      <c r="C1514">
        <v>616.77</v>
      </c>
      <c r="D1514" t="str">
        <f>"361"</f>
        <v>361</v>
      </c>
      <c r="E1514" t="str">
        <f>"36245"</f>
        <v>36245</v>
      </c>
    </row>
    <row r="1515" spans="1:5" x14ac:dyDescent="0.25">
      <c r="A1515" t="str">
        <f>"763323605"</f>
        <v>763323605</v>
      </c>
      <c r="B1515" t="s">
        <v>1486</v>
      </c>
      <c r="C1515">
        <v>679.14</v>
      </c>
      <c r="D1515" t="str">
        <f>"361"</f>
        <v>361</v>
      </c>
      <c r="E1515" t="str">
        <f>"36246"</f>
        <v>36246</v>
      </c>
    </row>
    <row r="1516" spans="1:5" x14ac:dyDescent="0.25">
      <c r="A1516" t="str">
        <f>"763323610"</f>
        <v>763323610</v>
      </c>
      <c r="B1516" t="s">
        <v>1487</v>
      </c>
      <c r="C1516">
        <v>803.88</v>
      </c>
      <c r="D1516" t="str">
        <f>"361"</f>
        <v>361</v>
      </c>
      <c r="E1516" t="str">
        <f>"36247"</f>
        <v>36247</v>
      </c>
    </row>
    <row r="1517" spans="1:5" x14ac:dyDescent="0.25">
      <c r="A1517" t="str">
        <f>"763323615"</f>
        <v>763323615</v>
      </c>
      <c r="B1517" t="s">
        <v>1488</v>
      </c>
      <c r="C1517">
        <v>250.64</v>
      </c>
      <c r="D1517" t="str">
        <f>"361"</f>
        <v>361</v>
      </c>
      <c r="E1517" t="str">
        <f>"36248"</f>
        <v>36248</v>
      </c>
    </row>
    <row r="1518" spans="1:5" x14ac:dyDescent="0.25">
      <c r="A1518" t="str">
        <f>"763323620"</f>
        <v>763323620</v>
      </c>
      <c r="B1518" t="s">
        <v>1434</v>
      </c>
      <c r="C1518">
        <v>939.02</v>
      </c>
      <c r="D1518" t="str">
        <f>"320"</f>
        <v>320</v>
      </c>
      <c r="E1518" t="str">
        <f>"73630"</f>
        <v>73630</v>
      </c>
    </row>
    <row r="1519" spans="1:5" x14ac:dyDescent="0.25">
      <c r="A1519" t="str">
        <f>"763323625"</f>
        <v>763323625</v>
      </c>
      <c r="B1519" t="s">
        <v>1489</v>
      </c>
      <c r="C1519" s="1">
        <v>1293.5999999999999</v>
      </c>
      <c r="D1519" t="str">
        <f t="shared" ref="D1519:D1528" si="66">"361"</f>
        <v>361</v>
      </c>
      <c r="E1519" t="str">
        <f>"19102"</f>
        <v>19102</v>
      </c>
    </row>
    <row r="1520" spans="1:5" x14ac:dyDescent="0.25">
      <c r="A1520" t="str">
        <f>"763323630"</f>
        <v>763323630</v>
      </c>
      <c r="B1520" t="s">
        <v>1490</v>
      </c>
      <c r="C1520" s="1">
        <v>1652.81</v>
      </c>
      <c r="D1520" t="str">
        <f t="shared" si="66"/>
        <v>361</v>
      </c>
      <c r="E1520" t="str">
        <f>"47000"</f>
        <v>47000</v>
      </c>
    </row>
    <row r="1521" spans="1:5" x14ac:dyDescent="0.25">
      <c r="A1521" t="str">
        <f>"763323640"</f>
        <v>763323640</v>
      </c>
      <c r="B1521" t="s">
        <v>1491</v>
      </c>
      <c r="C1521" s="1">
        <v>1149.23</v>
      </c>
      <c r="D1521" t="str">
        <f t="shared" si="66"/>
        <v>361</v>
      </c>
      <c r="E1521" t="str">
        <f>"55700"</f>
        <v>55700</v>
      </c>
    </row>
    <row r="1522" spans="1:5" x14ac:dyDescent="0.25">
      <c r="A1522" t="str">
        <f>"763323645"</f>
        <v>763323645</v>
      </c>
      <c r="B1522" t="s">
        <v>1492</v>
      </c>
      <c r="C1522">
        <v>733.14</v>
      </c>
      <c r="D1522" t="str">
        <f t="shared" si="66"/>
        <v>361</v>
      </c>
      <c r="E1522" t="str">
        <f>"60100"</f>
        <v>60100</v>
      </c>
    </row>
    <row r="1523" spans="1:5" x14ac:dyDescent="0.25">
      <c r="A1523" t="str">
        <f>"763323650"</f>
        <v>763323650</v>
      </c>
      <c r="B1523" t="s">
        <v>1493</v>
      </c>
      <c r="C1523" s="1">
        <v>1038.24</v>
      </c>
      <c r="D1523" t="str">
        <f t="shared" si="66"/>
        <v>361</v>
      </c>
      <c r="E1523" t="str">
        <f>"49080"</f>
        <v>49080</v>
      </c>
    </row>
    <row r="1524" spans="1:5" x14ac:dyDescent="0.25">
      <c r="A1524" t="str">
        <f>"763323655"</f>
        <v>763323655</v>
      </c>
      <c r="B1524" t="s">
        <v>1494</v>
      </c>
      <c r="C1524" s="1">
        <v>1115.73</v>
      </c>
      <c r="D1524" t="str">
        <f t="shared" si="66"/>
        <v>361</v>
      </c>
      <c r="E1524" t="str">
        <f>"32554"</f>
        <v>32554</v>
      </c>
    </row>
    <row r="1525" spans="1:5" x14ac:dyDescent="0.25">
      <c r="A1525" t="str">
        <f>"763323660"</f>
        <v>763323660</v>
      </c>
      <c r="B1525" t="s">
        <v>1495</v>
      </c>
      <c r="C1525">
        <v>939.02</v>
      </c>
      <c r="D1525" t="str">
        <f t="shared" si="66"/>
        <v>361</v>
      </c>
      <c r="E1525" t="str">
        <f>"10022"</f>
        <v>10022</v>
      </c>
    </row>
    <row r="1526" spans="1:5" x14ac:dyDescent="0.25">
      <c r="A1526" t="str">
        <f>"763323665"</f>
        <v>763323665</v>
      </c>
      <c r="B1526" t="s">
        <v>1489</v>
      </c>
      <c r="C1526" s="1">
        <v>1293.5999999999999</v>
      </c>
      <c r="D1526" t="str">
        <f t="shared" si="66"/>
        <v>361</v>
      </c>
      <c r="E1526" t="str">
        <f>"19102"</f>
        <v>19102</v>
      </c>
    </row>
    <row r="1527" spans="1:5" x14ac:dyDescent="0.25">
      <c r="A1527" t="str">
        <f>"763323670"</f>
        <v>763323670</v>
      </c>
      <c r="B1527" t="s">
        <v>1496</v>
      </c>
      <c r="C1527" s="1">
        <v>1270.5</v>
      </c>
      <c r="D1527" t="str">
        <f t="shared" si="66"/>
        <v>361</v>
      </c>
      <c r="E1527" t="str">
        <f>"32422"</f>
        <v>32422</v>
      </c>
    </row>
    <row r="1528" spans="1:5" x14ac:dyDescent="0.25">
      <c r="A1528" t="str">
        <f>"763323675"</f>
        <v>763323675</v>
      </c>
      <c r="B1528" t="s">
        <v>1490</v>
      </c>
      <c r="C1528" s="1">
        <v>1652.81</v>
      </c>
      <c r="D1528" t="str">
        <f t="shared" si="66"/>
        <v>361</v>
      </c>
      <c r="E1528" t="str">
        <f>"47000"</f>
        <v>47000</v>
      </c>
    </row>
    <row r="1529" spans="1:5" x14ac:dyDescent="0.25">
      <c r="A1529" t="str">
        <f>"763323680"</f>
        <v>763323680</v>
      </c>
      <c r="B1529" t="s">
        <v>1497</v>
      </c>
      <c r="C1529">
        <v>210.24</v>
      </c>
      <c r="D1529" t="str">
        <f>"320"</f>
        <v>320</v>
      </c>
      <c r="E1529" t="str">
        <f>"51798"</f>
        <v>51798</v>
      </c>
    </row>
    <row r="1530" spans="1:5" x14ac:dyDescent="0.25">
      <c r="A1530" t="str">
        <f>"763323685"</f>
        <v>763323685</v>
      </c>
      <c r="B1530" t="s">
        <v>1491</v>
      </c>
      <c r="C1530" s="1">
        <v>1149.23</v>
      </c>
      <c r="D1530" t="str">
        <f>"361"</f>
        <v>361</v>
      </c>
      <c r="E1530" t="str">
        <f>"55700"</f>
        <v>55700</v>
      </c>
    </row>
    <row r="1531" spans="1:5" x14ac:dyDescent="0.25">
      <c r="A1531" t="str">
        <f>"763323690"</f>
        <v>763323690</v>
      </c>
      <c r="B1531" t="s">
        <v>1492</v>
      </c>
      <c r="C1531">
        <v>733.14</v>
      </c>
      <c r="D1531" t="str">
        <f>"361"</f>
        <v>361</v>
      </c>
      <c r="E1531" t="str">
        <f>"60100"</f>
        <v>60100</v>
      </c>
    </row>
    <row r="1532" spans="1:5" x14ac:dyDescent="0.25">
      <c r="A1532" t="str">
        <f>"763323695"</f>
        <v>763323695</v>
      </c>
      <c r="B1532" t="s">
        <v>1498</v>
      </c>
      <c r="C1532" s="1">
        <v>3672.9</v>
      </c>
      <c r="D1532" t="str">
        <f>"361"</f>
        <v>361</v>
      </c>
      <c r="E1532" t="str">
        <f>"93505"</f>
        <v>93505</v>
      </c>
    </row>
    <row r="1533" spans="1:5" x14ac:dyDescent="0.25">
      <c r="A1533" t="str">
        <f>"763329000"</f>
        <v>763329000</v>
      </c>
      <c r="B1533" t="s">
        <v>1499</v>
      </c>
      <c r="C1533">
        <v>46.2</v>
      </c>
      <c r="D1533" t="str">
        <f>"999"</f>
        <v>999</v>
      </c>
    </row>
    <row r="1534" spans="1:5" x14ac:dyDescent="0.25">
      <c r="A1534" t="str">
        <f>"763329010"</f>
        <v>763329010</v>
      </c>
      <c r="B1534" t="s">
        <v>1500</v>
      </c>
      <c r="C1534">
        <v>302.5</v>
      </c>
      <c r="D1534" t="str">
        <f>"999"</f>
        <v>999</v>
      </c>
    </row>
    <row r="1535" spans="1:5" x14ac:dyDescent="0.25">
      <c r="A1535" t="str">
        <f>"763329015"</f>
        <v>763329015</v>
      </c>
      <c r="B1535" t="s">
        <v>1501</v>
      </c>
      <c r="C1535">
        <v>27.5</v>
      </c>
      <c r="D1535" t="str">
        <f>"320"</f>
        <v>320</v>
      </c>
    </row>
    <row r="1536" spans="1:5" x14ac:dyDescent="0.25">
      <c r="A1536" t="str">
        <f>"763343002"</f>
        <v>763343002</v>
      </c>
      <c r="B1536" t="s">
        <v>1502</v>
      </c>
      <c r="C1536">
        <v>80.849999999999994</v>
      </c>
      <c r="D1536" t="str">
        <f>"340"</f>
        <v>340</v>
      </c>
      <c r="E1536" t="str">
        <f>"A9537"</f>
        <v>A9537</v>
      </c>
    </row>
    <row r="1537" spans="1:5" x14ac:dyDescent="0.25">
      <c r="A1537" t="str">
        <f>"763343003"</f>
        <v>763343003</v>
      </c>
      <c r="B1537" t="s">
        <v>1503</v>
      </c>
      <c r="C1537">
        <v>173.25</v>
      </c>
      <c r="D1537" t="str">
        <f>"343"</f>
        <v>343</v>
      </c>
      <c r="E1537" t="str">
        <f>"A9510"</f>
        <v>A9510</v>
      </c>
    </row>
    <row r="1538" spans="1:5" x14ac:dyDescent="0.25">
      <c r="A1538" t="str">
        <f>"763343004"</f>
        <v>763343004</v>
      </c>
      <c r="B1538" t="s">
        <v>1504</v>
      </c>
      <c r="C1538">
        <v>80.849999999999994</v>
      </c>
      <c r="D1538" t="str">
        <f>"340"</f>
        <v>340</v>
      </c>
      <c r="E1538" t="str">
        <f>"A9538"</f>
        <v>A9538</v>
      </c>
    </row>
    <row r="1539" spans="1:5" x14ac:dyDescent="0.25">
      <c r="A1539" t="str">
        <f>"763343013"</f>
        <v>763343013</v>
      </c>
      <c r="B1539" t="s">
        <v>1505</v>
      </c>
      <c r="C1539">
        <v>311.85000000000002</v>
      </c>
      <c r="D1539" t="str">
        <f>"343"</f>
        <v>343</v>
      </c>
      <c r="E1539" t="str">
        <f>"A9502"</f>
        <v>A9502</v>
      </c>
    </row>
    <row r="1540" spans="1:5" x14ac:dyDescent="0.25">
      <c r="A1540" t="str">
        <f>"763343015"</f>
        <v>763343015</v>
      </c>
      <c r="B1540" t="s">
        <v>1506</v>
      </c>
      <c r="C1540" s="1">
        <v>1376.23</v>
      </c>
      <c r="D1540" t="str">
        <f>"341"</f>
        <v>341</v>
      </c>
      <c r="E1540" t="str">
        <f>"78305"</f>
        <v>78305</v>
      </c>
    </row>
    <row r="1541" spans="1:5" x14ac:dyDescent="0.25">
      <c r="A1541" t="str">
        <f>"763343020"</f>
        <v>763343020</v>
      </c>
      <c r="B1541" t="s">
        <v>1507</v>
      </c>
      <c r="C1541" s="1">
        <v>2513.5</v>
      </c>
      <c r="D1541" t="str">
        <f>"341"</f>
        <v>341</v>
      </c>
      <c r="E1541" t="str">
        <f>"78315"</f>
        <v>78315</v>
      </c>
    </row>
    <row r="1542" spans="1:5" x14ac:dyDescent="0.25">
      <c r="A1542" t="str">
        <f>"763343023"</f>
        <v>763343023</v>
      </c>
      <c r="B1542" t="s">
        <v>1508</v>
      </c>
      <c r="C1542">
        <v>145.53</v>
      </c>
      <c r="D1542" t="str">
        <f>"343"</f>
        <v>343</v>
      </c>
      <c r="E1542" t="str">
        <f>"A9505"</f>
        <v>A9505</v>
      </c>
    </row>
    <row r="1543" spans="1:5" x14ac:dyDescent="0.25">
      <c r="A1543" t="str">
        <f>"763343033"</f>
        <v>763343033</v>
      </c>
      <c r="B1543" t="s">
        <v>1509</v>
      </c>
      <c r="C1543">
        <v>83.16</v>
      </c>
      <c r="D1543" t="str">
        <f>"343"</f>
        <v>343</v>
      </c>
      <c r="E1543" t="str">
        <f>"A9505"</f>
        <v>A9505</v>
      </c>
    </row>
    <row r="1544" spans="1:5" x14ac:dyDescent="0.25">
      <c r="A1544" t="str">
        <f>"763343034"</f>
        <v>763343034</v>
      </c>
      <c r="B1544" t="s">
        <v>1510</v>
      </c>
      <c r="C1544" s="1">
        <v>2884.75</v>
      </c>
      <c r="D1544" t="str">
        <f t="shared" ref="D1544:D1563" si="67">"341"</f>
        <v>341</v>
      </c>
      <c r="E1544" t="str">
        <f>"78451"</f>
        <v>78451</v>
      </c>
    </row>
    <row r="1545" spans="1:5" x14ac:dyDescent="0.25">
      <c r="A1545" t="str">
        <f>"763343045"</f>
        <v>763343045</v>
      </c>
      <c r="B1545" t="s">
        <v>1511</v>
      </c>
      <c r="C1545" s="1">
        <v>1358.91</v>
      </c>
      <c r="D1545" t="str">
        <f t="shared" si="67"/>
        <v>341</v>
      </c>
      <c r="E1545" t="str">
        <f>"78606"</f>
        <v>78606</v>
      </c>
    </row>
    <row r="1546" spans="1:5" x14ac:dyDescent="0.25">
      <c r="A1546" t="str">
        <f>"763343050"</f>
        <v>763343050</v>
      </c>
      <c r="B1546" t="s">
        <v>1512</v>
      </c>
      <c r="C1546" s="1">
        <v>1267.6400000000001</v>
      </c>
      <c r="D1546" t="str">
        <f t="shared" si="67"/>
        <v>341</v>
      </c>
      <c r="E1546" t="str">
        <f>"78610"</f>
        <v>78610</v>
      </c>
    </row>
    <row r="1547" spans="1:5" x14ac:dyDescent="0.25">
      <c r="A1547" t="str">
        <f>"763343075"</f>
        <v>763343075</v>
      </c>
      <c r="B1547" t="s">
        <v>1513</v>
      </c>
      <c r="C1547" s="1">
        <v>1217.6199999999999</v>
      </c>
      <c r="D1547" t="str">
        <f t="shared" si="67"/>
        <v>341</v>
      </c>
      <c r="E1547" t="str">
        <f>"78801"</f>
        <v>78801</v>
      </c>
    </row>
    <row r="1548" spans="1:5" x14ac:dyDescent="0.25">
      <c r="A1548" t="str">
        <f>"763343100"</f>
        <v>763343100</v>
      </c>
      <c r="B1548" t="s">
        <v>1514</v>
      </c>
      <c r="C1548" s="1">
        <v>1378.65</v>
      </c>
      <c r="D1548" t="str">
        <f t="shared" si="67"/>
        <v>341</v>
      </c>
      <c r="E1548" t="str">
        <f>"78226"</f>
        <v>78226</v>
      </c>
    </row>
    <row r="1549" spans="1:5" x14ac:dyDescent="0.25">
      <c r="A1549" t="str">
        <f>"763343105"</f>
        <v>763343105</v>
      </c>
      <c r="B1549" t="s">
        <v>1515</v>
      </c>
      <c r="C1549" s="1">
        <v>1428.02</v>
      </c>
      <c r="D1549" t="str">
        <f t="shared" si="67"/>
        <v>341</v>
      </c>
      <c r="E1549" t="str">
        <f>"78278"</f>
        <v>78278</v>
      </c>
    </row>
    <row r="1550" spans="1:5" x14ac:dyDescent="0.25">
      <c r="A1550" t="str">
        <f>"763343110"</f>
        <v>763343110</v>
      </c>
      <c r="B1550" t="s">
        <v>1516</v>
      </c>
      <c r="C1550" s="1">
        <v>1222.24</v>
      </c>
      <c r="D1550" t="str">
        <f t="shared" si="67"/>
        <v>341</v>
      </c>
      <c r="E1550" t="str">
        <f>"78216"</f>
        <v>78216</v>
      </c>
    </row>
    <row r="1551" spans="1:5" x14ac:dyDescent="0.25">
      <c r="A1551" t="str">
        <f>"763343145"</f>
        <v>763343145</v>
      </c>
      <c r="B1551" t="s">
        <v>1517</v>
      </c>
      <c r="C1551" s="1">
        <v>1142.6099999999999</v>
      </c>
      <c r="D1551" t="str">
        <f t="shared" si="67"/>
        <v>341</v>
      </c>
      <c r="E1551" t="str">
        <f>"78445"</f>
        <v>78445</v>
      </c>
    </row>
    <row r="1552" spans="1:5" x14ac:dyDescent="0.25">
      <c r="A1552" t="str">
        <f>"763343150"</f>
        <v>763343150</v>
      </c>
      <c r="B1552" t="s">
        <v>1518</v>
      </c>
      <c r="C1552">
        <v>720.79</v>
      </c>
      <c r="D1552" t="str">
        <f t="shared" si="67"/>
        <v>341</v>
      </c>
      <c r="E1552" t="str">
        <f>"78070"</f>
        <v>78070</v>
      </c>
    </row>
    <row r="1553" spans="1:5" x14ac:dyDescent="0.25">
      <c r="A1553" t="str">
        <f>"763343155"</f>
        <v>763343155</v>
      </c>
      <c r="B1553" t="s">
        <v>1519</v>
      </c>
      <c r="C1553" s="1">
        <v>1274.98</v>
      </c>
      <c r="D1553" t="str">
        <f t="shared" si="67"/>
        <v>341</v>
      </c>
      <c r="E1553" t="str">
        <f>"78580"</f>
        <v>78580</v>
      </c>
    </row>
    <row r="1554" spans="1:5" x14ac:dyDescent="0.25">
      <c r="A1554" t="str">
        <f>"763343170"</f>
        <v>763343170</v>
      </c>
      <c r="B1554" t="s">
        <v>1520</v>
      </c>
      <c r="C1554" s="1">
        <v>1742.2</v>
      </c>
      <c r="D1554" t="str">
        <f t="shared" si="67"/>
        <v>341</v>
      </c>
      <c r="E1554" t="str">
        <f>"78806"</f>
        <v>78806</v>
      </c>
    </row>
    <row r="1555" spans="1:5" x14ac:dyDescent="0.25">
      <c r="A1555" t="str">
        <f>"763343185"</f>
        <v>763343185</v>
      </c>
      <c r="B1555" t="s">
        <v>1521</v>
      </c>
      <c r="C1555" s="1">
        <v>1317.47</v>
      </c>
      <c r="D1555" t="str">
        <f t="shared" si="67"/>
        <v>341</v>
      </c>
      <c r="E1555" t="str">
        <f>"78707"</f>
        <v>78707</v>
      </c>
    </row>
    <row r="1556" spans="1:5" x14ac:dyDescent="0.25">
      <c r="A1556" t="str">
        <f>"763343190"</f>
        <v>763343190</v>
      </c>
      <c r="B1556" t="s">
        <v>1522</v>
      </c>
      <c r="C1556">
        <v>660.57</v>
      </c>
      <c r="D1556" t="str">
        <f t="shared" si="67"/>
        <v>341</v>
      </c>
      <c r="E1556" t="str">
        <f>"78725"</f>
        <v>78725</v>
      </c>
    </row>
    <row r="1557" spans="1:5" x14ac:dyDescent="0.25">
      <c r="A1557" t="str">
        <f>"763343235"</f>
        <v>763343235</v>
      </c>
      <c r="B1557" t="s">
        <v>1523</v>
      </c>
      <c r="C1557" s="1">
        <v>1197.44</v>
      </c>
      <c r="D1557" t="str">
        <f t="shared" si="67"/>
        <v>341</v>
      </c>
      <c r="E1557" t="str">
        <f>"78761"</f>
        <v>78761</v>
      </c>
    </row>
    <row r="1558" spans="1:5" x14ac:dyDescent="0.25">
      <c r="A1558" t="str">
        <f>"763343245"</f>
        <v>763343245</v>
      </c>
      <c r="B1558" t="s">
        <v>1524</v>
      </c>
      <c r="C1558" s="1">
        <v>1464.28</v>
      </c>
      <c r="D1558" t="str">
        <f t="shared" si="67"/>
        <v>341</v>
      </c>
      <c r="E1558" t="str">
        <f>"78452"</f>
        <v>78452</v>
      </c>
    </row>
    <row r="1559" spans="1:5" x14ac:dyDescent="0.25">
      <c r="A1559" t="str">
        <f>"763343265"</f>
        <v>763343265</v>
      </c>
      <c r="B1559" t="s">
        <v>1525</v>
      </c>
      <c r="C1559">
        <v>862.37</v>
      </c>
      <c r="D1559" t="str">
        <f t="shared" si="67"/>
        <v>341</v>
      </c>
      <c r="E1559" t="str">
        <f>"78007"</f>
        <v>78007</v>
      </c>
    </row>
    <row r="1560" spans="1:5" x14ac:dyDescent="0.25">
      <c r="A1560" t="str">
        <f>"763343270"</f>
        <v>763343270</v>
      </c>
      <c r="B1560" t="s">
        <v>1526</v>
      </c>
      <c r="C1560">
        <v>671.73</v>
      </c>
      <c r="D1560" t="str">
        <f t="shared" si="67"/>
        <v>341</v>
      </c>
      <c r="E1560" t="str">
        <f>"78010"</f>
        <v>78010</v>
      </c>
    </row>
    <row r="1561" spans="1:5" x14ac:dyDescent="0.25">
      <c r="A1561" t="str">
        <f>"763343310"</f>
        <v>763343310</v>
      </c>
      <c r="B1561" t="s">
        <v>1527</v>
      </c>
      <c r="C1561">
        <v>993.76</v>
      </c>
      <c r="D1561" t="str">
        <f t="shared" si="67"/>
        <v>341</v>
      </c>
      <c r="E1561" t="str">
        <f>"78582"</f>
        <v>78582</v>
      </c>
    </row>
    <row r="1562" spans="1:5" x14ac:dyDescent="0.25">
      <c r="A1562" t="str">
        <f>"763343315"</f>
        <v>763343315</v>
      </c>
      <c r="B1562" t="s">
        <v>1528</v>
      </c>
      <c r="C1562" s="1">
        <v>1761.65</v>
      </c>
      <c r="D1562" t="str">
        <f t="shared" si="67"/>
        <v>341</v>
      </c>
      <c r="E1562" t="str">
        <f>"78473"</f>
        <v>78473</v>
      </c>
    </row>
    <row r="1563" spans="1:5" x14ac:dyDescent="0.25">
      <c r="A1563" t="str">
        <f>"763343320"</f>
        <v>763343320</v>
      </c>
      <c r="B1563" t="s">
        <v>1529</v>
      </c>
      <c r="C1563" s="1">
        <v>1570.61</v>
      </c>
      <c r="D1563" t="str">
        <f t="shared" si="67"/>
        <v>341</v>
      </c>
      <c r="E1563" t="str">
        <f>"78472"</f>
        <v>78472</v>
      </c>
    </row>
    <row r="1564" spans="1:5" x14ac:dyDescent="0.25">
      <c r="A1564" t="str">
        <f>"763343910"</f>
        <v>763343910</v>
      </c>
      <c r="B1564" t="s">
        <v>1530</v>
      </c>
      <c r="C1564">
        <v>225.23</v>
      </c>
      <c r="D1564" t="str">
        <f t="shared" ref="D1564:D1575" si="68">"343"</f>
        <v>343</v>
      </c>
      <c r="E1564" t="str">
        <f>"A9560"</f>
        <v>A9560</v>
      </c>
    </row>
    <row r="1565" spans="1:5" x14ac:dyDescent="0.25">
      <c r="A1565" t="str">
        <f>"763343912"</f>
        <v>763343912</v>
      </c>
      <c r="B1565" t="s">
        <v>1531</v>
      </c>
      <c r="C1565">
        <v>138.6</v>
      </c>
      <c r="D1565" t="str">
        <f t="shared" si="68"/>
        <v>343</v>
      </c>
      <c r="E1565" t="str">
        <f>"A4641"</f>
        <v>A4641</v>
      </c>
    </row>
    <row r="1566" spans="1:5" x14ac:dyDescent="0.25">
      <c r="A1566" t="str">
        <f>"763343914"</f>
        <v>763343914</v>
      </c>
      <c r="B1566" t="s">
        <v>1532</v>
      </c>
      <c r="C1566">
        <v>155.93</v>
      </c>
      <c r="D1566" t="str">
        <f t="shared" si="68"/>
        <v>343</v>
      </c>
      <c r="E1566" t="str">
        <f>"A9539"</f>
        <v>A9539</v>
      </c>
    </row>
    <row r="1567" spans="1:5" x14ac:dyDescent="0.25">
      <c r="A1567" t="str">
        <f>"763343916"</f>
        <v>763343916</v>
      </c>
      <c r="B1567" t="s">
        <v>1533</v>
      </c>
      <c r="C1567">
        <v>374.22</v>
      </c>
      <c r="D1567" t="str">
        <f t="shared" si="68"/>
        <v>343</v>
      </c>
      <c r="E1567" t="str">
        <f>"A9562"</f>
        <v>A9562</v>
      </c>
    </row>
    <row r="1568" spans="1:5" x14ac:dyDescent="0.25">
      <c r="A1568" t="str">
        <f>"763343918"</f>
        <v>763343918</v>
      </c>
      <c r="B1568" t="s">
        <v>1534</v>
      </c>
      <c r="C1568" s="1">
        <v>1302.8399999999999</v>
      </c>
      <c r="D1568" t="str">
        <f t="shared" si="68"/>
        <v>343</v>
      </c>
      <c r="E1568" t="str">
        <f>"A9569"</f>
        <v>A9569</v>
      </c>
    </row>
    <row r="1569" spans="1:5" x14ac:dyDescent="0.25">
      <c r="A1569" t="str">
        <f>"763343922"</f>
        <v>763343922</v>
      </c>
      <c r="B1569" t="s">
        <v>1535</v>
      </c>
      <c r="C1569">
        <v>859.32</v>
      </c>
      <c r="D1569" t="str">
        <f t="shared" si="68"/>
        <v>343</v>
      </c>
      <c r="E1569" t="str">
        <f>"A9521"</f>
        <v>A9521</v>
      </c>
    </row>
    <row r="1570" spans="1:5" x14ac:dyDescent="0.25">
      <c r="A1570" t="str">
        <f>"763343924"</f>
        <v>763343924</v>
      </c>
      <c r="B1570" t="s">
        <v>1536</v>
      </c>
      <c r="C1570">
        <v>69.3</v>
      </c>
      <c r="D1570" t="str">
        <f t="shared" si="68"/>
        <v>343</v>
      </c>
      <c r="E1570" t="str">
        <f>"A9509"</f>
        <v>A9509</v>
      </c>
    </row>
    <row r="1571" spans="1:5" x14ac:dyDescent="0.25">
      <c r="A1571" t="str">
        <f>"763343926"</f>
        <v>763343926</v>
      </c>
      <c r="B1571" t="s">
        <v>1508</v>
      </c>
      <c r="C1571">
        <v>259.88</v>
      </c>
      <c r="D1571" t="str">
        <f t="shared" si="68"/>
        <v>343</v>
      </c>
      <c r="E1571" t="str">
        <f>"A9505"</f>
        <v>A9505</v>
      </c>
    </row>
    <row r="1572" spans="1:5" x14ac:dyDescent="0.25">
      <c r="A1572" t="str">
        <f>"763343928"</f>
        <v>763343928</v>
      </c>
      <c r="B1572" t="s">
        <v>1537</v>
      </c>
      <c r="C1572">
        <v>69.3</v>
      </c>
      <c r="D1572" t="str">
        <f t="shared" si="68"/>
        <v>343</v>
      </c>
      <c r="E1572" t="str">
        <f>"A9558"</f>
        <v>A9558</v>
      </c>
    </row>
    <row r="1573" spans="1:5" x14ac:dyDescent="0.25">
      <c r="A1573" t="str">
        <f>"763343930"</f>
        <v>763343930</v>
      </c>
      <c r="B1573" t="s">
        <v>1538</v>
      </c>
      <c r="C1573" s="1">
        <v>1455.3</v>
      </c>
      <c r="D1573" t="str">
        <f t="shared" si="68"/>
        <v>343</v>
      </c>
      <c r="E1573" t="str">
        <f>"A9548"</f>
        <v>A9548</v>
      </c>
    </row>
    <row r="1574" spans="1:5" x14ac:dyDescent="0.25">
      <c r="A1574" t="str">
        <f>"763343932"</f>
        <v>763343932</v>
      </c>
      <c r="B1574" t="s">
        <v>1539</v>
      </c>
      <c r="C1574" s="1">
        <v>1330.56</v>
      </c>
      <c r="D1574" t="str">
        <f t="shared" si="68"/>
        <v>343</v>
      </c>
      <c r="E1574" t="str">
        <f>"A9570"</f>
        <v>A9570</v>
      </c>
    </row>
    <row r="1575" spans="1:5" x14ac:dyDescent="0.25">
      <c r="A1575" t="str">
        <f>"763343936"</f>
        <v>763343936</v>
      </c>
      <c r="B1575" t="s">
        <v>1540</v>
      </c>
      <c r="C1575">
        <v>51.98</v>
      </c>
      <c r="D1575" t="str">
        <f t="shared" si="68"/>
        <v>343</v>
      </c>
      <c r="E1575" t="str">
        <f>"A9556"</f>
        <v>A9556</v>
      </c>
    </row>
    <row r="1576" spans="1:5" x14ac:dyDescent="0.25">
      <c r="A1576" t="str">
        <f>"763351001"</f>
        <v>763351001</v>
      </c>
      <c r="B1576" t="s">
        <v>1541</v>
      </c>
      <c r="C1576" s="1">
        <v>2365</v>
      </c>
      <c r="D1576" t="str">
        <f>"351"</f>
        <v>351</v>
      </c>
      <c r="E1576" t="str">
        <f>"70496"</f>
        <v>70496</v>
      </c>
    </row>
    <row r="1577" spans="1:5" x14ac:dyDescent="0.25">
      <c r="A1577" t="str">
        <f>"763356005"</f>
        <v>763356005</v>
      </c>
      <c r="B1577" t="s">
        <v>1542</v>
      </c>
      <c r="C1577" s="1">
        <v>1962.9</v>
      </c>
      <c r="D1577" t="str">
        <f>"352"</f>
        <v>352</v>
      </c>
      <c r="E1577" t="str">
        <f>"74160"</f>
        <v>74160</v>
      </c>
    </row>
    <row r="1578" spans="1:5" x14ac:dyDescent="0.25">
      <c r="A1578" t="str">
        <f>"763356010"</f>
        <v>763356010</v>
      </c>
      <c r="B1578" t="s">
        <v>1543</v>
      </c>
      <c r="C1578" s="1">
        <v>1666.25</v>
      </c>
      <c r="D1578" t="str">
        <f>"352"</f>
        <v>352</v>
      </c>
      <c r="E1578" t="str">
        <f>"74150"</f>
        <v>74150</v>
      </c>
    </row>
    <row r="1579" spans="1:5" x14ac:dyDescent="0.25">
      <c r="A1579" t="str">
        <f>"763356020"</f>
        <v>763356020</v>
      </c>
      <c r="B1579" t="s">
        <v>1544</v>
      </c>
      <c r="C1579" s="1">
        <v>2197.42</v>
      </c>
      <c r="D1579" t="str">
        <f>"352"</f>
        <v>352</v>
      </c>
      <c r="E1579" t="str">
        <f>"74170"</f>
        <v>74170</v>
      </c>
    </row>
    <row r="1580" spans="1:5" x14ac:dyDescent="0.25">
      <c r="A1580" t="str">
        <f>"763356045"</f>
        <v>763356045</v>
      </c>
      <c r="B1580" t="s">
        <v>1545</v>
      </c>
      <c r="C1580" s="1">
        <v>1648.89</v>
      </c>
      <c r="D1580" t="str">
        <f>"351"</f>
        <v>351</v>
      </c>
      <c r="E1580" t="str">
        <f>"70460"</f>
        <v>70460</v>
      </c>
    </row>
    <row r="1581" spans="1:5" x14ac:dyDescent="0.25">
      <c r="A1581" t="str">
        <f>"763356050"</f>
        <v>763356050</v>
      </c>
      <c r="B1581" t="s">
        <v>1546</v>
      </c>
      <c r="C1581" s="1">
        <v>1348.68</v>
      </c>
      <c r="D1581" t="str">
        <f>"351"</f>
        <v>351</v>
      </c>
      <c r="E1581" t="str">
        <f>"70460"</f>
        <v>70460</v>
      </c>
    </row>
    <row r="1582" spans="1:5" x14ac:dyDescent="0.25">
      <c r="A1582" t="str">
        <f>"763356055"</f>
        <v>763356055</v>
      </c>
      <c r="B1582" t="s">
        <v>1547</v>
      </c>
      <c r="C1582" s="1">
        <v>2016.67</v>
      </c>
      <c r="D1582" t="str">
        <f>"351"</f>
        <v>351</v>
      </c>
      <c r="E1582" t="str">
        <f>"70470"</f>
        <v>70470</v>
      </c>
    </row>
    <row r="1583" spans="1:5" x14ac:dyDescent="0.25">
      <c r="A1583" t="str">
        <f>"763356060"</f>
        <v>763356060</v>
      </c>
      <c r="B1583" t="s">
        <v>1548</v>
      </c>
      <c r="C1583" s="1">
        <v>1845.04</v>
      </c>
      <c r="D1583" t="str">
        <f t="shared" ref="D1583:D1588" si="69">"352"</f>
        <v>352</v>
      </c>
      <c r="E1583" t="str">
        <f>"72126"</f>
        <v>72126</v>
      </c>
    </row>
    <row r="1584" spans="1:5" x14ac:dyDescent="0.25">
      <c r="A1584" t="str">
        <f>"763356065"</f>
        <v>763356065</v>
      </c>
      <c r="B1584" t="s">
        <v>1549</v>
      </c>
      <c r="C1584" s="1">
        <v>1714.92</v>
      </c>
      <c r="D1584" t="str">
        <f t="shared" si="69"/>
        <v>352</v>
      </c>
      <c r="E1584" t="str">
        <f>"72125"</f>
        <v>72125</v>
      </c>
    </row>
    <row r="1585" spans="1:5" x14ac:dyDescent="0.25">
      <c r="A1585" t="str">
        <f>"763356070"</f>
        <v>763356070</v>
      </c>
      <c r="B1585" t="s">
        <v>1550</v>
      </c>
      <c r="C1585" s="1">
        <v>2233.9</v>
      </c>
      <c r="D1585" t="str">
        <f t="shared" si="69"/>
        <v>352</v>
      </c>
      <c r="E1585" t="str">
        <f>"72127"</f>
        <v>72127</v>
      </c>
    </row>
    <row r="1586" spans="1:5" x14ac:dyDescent="0.25">
      <c r="A1586" t="str">
        <f>"763356080"</f>
        <v>763356080</v>
      </c>
      <c r="B1586" t="s">
        <v>1551</v>
      </c>
      <c r="C1586" s="1">
        <v>2006.97</v>
      </c>
      <c r="D1586" t="str">
        <f t="shared" si="69"/>
        <v>352</v>
      </c>
      <c r="E1586" t="str">
        <f>"71260"</f>
        <v>71260</v>
      </c>
    </row>
    <row r="1587" spans="1:5" x14ac:dyDescent="0.25">
      <c r="A1587" t="str">
        <f>"763356085"</f>
        <v>763356085</v>
      </c>
      <c r="B1587" t="s">
        <v>1552</v>
      </c>
      <c r="C1587" s="1">
        <v>1714.92</v>
      </c>
      <c r="D1587" t="str">
        <f t="shared" si="69"/>
        <v>352</v>
      </c>
      <c r="E1587" t="str">
        <f>"71250"</f>
        <v>71250</v>
      </c>
    </row>
    <row r="1588" spans="1:5" x14ac:dyDescent="0.25">
      <c r="A1588" t="str">
        <f>"763356090"</f>
        <v>763356090</v>
      </c>
      <c r="B1588" t="s">
        <v>1553</v>
      </c>
      <c r="C1588" s="1">
        <v>2265.2199999999998</v>
      </c>
      <c r="D1588" t="str">
        <f t="shared" si="69"/>
        <v>352</v>
      </c>
      <c r="E1588" t="str">
        <f>"71270"</f>
        <v>71270</v>
      </c>
    </row>
    <row r="1589" spans="1:5" x14ac:dyDescent="0.25">
      <c r="A1589" t="str">
        <f>"763356105"</f>
        <v>763356105</v>
      </c>
      <c r="B1589" t="s">
        <v>1554</v>
      </c>
      <c r="C1589" s="1">
        <v>3349.58</v>
      </c>
      <c r="D1589" t="str">
        <f>"350"</f>
        <v>350</v>
      </c>
      <c r="E1589" t="str">
        <f>"77012"</f>
        <v>77012</v>
      </c>
    </row>
    <row r="1590" spans="1:5" x14ac:dyDescent="0.25">
      <c r="A1590" t="str">
        <f>"763356125"</f>
        <v>763356125</v>
      </c>
      <c r="B1590" t="s">
        <v>1555</v>
      </c>
      <c r="C1590" s="1">
        <v>2927.93</v>
      </c>
      <c r="D1590" t="str">
        <f t="shared" ref="D1590:D1612" si="70">"352"</f>
        <v>352</v>
      </c>
      <c r="E1590" t="str">
        <f>"73701"</f>
        <v>73701</v>
      </c>
    </row>
    <row r="1591" spans="1:5" x14ac:dyDescent="0.25">
      <c r="A1591" t="str">
        <f>"763356145"</f>
        <v>763356145</v>
      </c>
      <c r="B1591" t="s">
        <v>1556</v>
      </c>
      <c r="C1591" s="1">
        <v>1845.04</v>
      </c>
      <c r="D1591" t="str">
        <f t="shared" si="70"/>
        <v>352</v>
      </c>
      <c r="E1591" t="str">
        <f>"72132"</f>
        <v>72132</v>
      </c>
    </row>
    <row r="1592" spans="1:5" x14ac:dyDescent="0.25">
      <c r="A1592" t="str">
        <f>"763356150"</f>
        <v>763356150</v>
      </c>
      <c r="B1592" t="s">
        <v>1557</v>
      </c>
      <c r="C1592" s="1">
        <v>1714.92</v>
      </c>
      <c r="D1592" t="str">
        <f t="shared" si="70"/>
        <v>352</v>
      </c>
      <c r="E1592" t="str">
        <f>"72131"</f>
        <v>72131</v>
      </c>
    </row>
    <row r="1593" spans="1:5" x14ac:dyDescent="0.25">
      <c r="A1593" t="str">
        <f>"763356155"</f>
        <v>763356155</v>
      </c>
      <c r="B1593" t="s">
        <v>1558</v>
      </c>
      <c r="C1593" s="1">
        <v>2233.9</v>
      </c>
      <c r="D1593" t="str">
        <f t="shared" si="70"/>
        <v>352</v>
      </c>
      <c r="E1593" t="str">
        <f>"72133"</f>
        <v>72133</v>
      </c>
    </row>
    <row r="1594" spans="1:5" x14ac:dyDescent="0.25">
      <c r="A1594" t="str">
        <f>"763356160"</f>
        <v>763356160</v>
      </c>
      <c r="B1594" t="s">
        <v>1559</v>
      </c>
      <c r="C1594" s="1">
        <v>2732.73</v>
      </c>
      <c r="D1594" t="str">
        <f t="shared" si="70"/>
        <v>352</v>
      </c>
      <c r="E1594" t="str">
        <f>"73702"</f>
        <v>73702</v>
      </c>
    </row>
    <row r="1595" spans="1:5" x14ac:dyDescent="0.25">
      <c r="A1595" t="str">
        <f>"763356170"</f>
        <v>763356170</v>
      </c>
      <c r="B1595" t="s">
        <v>1560</v>
      </c>
      <c r="C1595" s="1">
        <v>2072.5100000000002</v>
      </c>
      <c r="D1595" t="str">
        <f t="shared" si="70"/>
        <v>352</v>
      </c>
      <c r="E1595" t="str">
        <f>"70492"</f>
        <v>70492</v>
      </c>
    </row>
    <row r="1596" spans="1:5" x14ac:dyDescent="0.25">
      <c r="A1596" t="str">
        <f>"763356175"</f>
        <v>763356175</v>
      </c>
      <c r="B1596" t="s">
        <v>1561</v>
      </c>
      <c r="C1596" s="1">
        <v>1726.29</v>
      </c>
      <c r="D1596" t="str">
        <f t="shared" si="70"/>
        <v>352</v>
      </c>
      <c r="E1596" t="str">
        <f>"70491"</f>
        <v>70491</v>
      </c>
    </row>
    <row r="1597" spans="1:5" x14ac:dyDescent="0.25">
      <c r="A1597" t="str">
        <f>"763356180"</f>
        <v>763356180</v>
      </c>
      <c r="B1597" t="s">
        <v>1562</v>
      </c>
      <c r="C1597" s="1">
        <v>1482.57</v>
      </c>
      <c r="D1597" t="str">
        <f t="shared" si="70"/>
        <v>352</v>
      </c>
      <c r="E1597" t="str">
        <f>"70490"</f>
        <v>70490</v>
      </c>
    </row>
    <row r="1598" spans="1:5" x14ac:dyDescent="0.25">
      <c r="A1598" t="str">
        <f>"763356185"</f>
        <v>763356185</v>
      </c>
      <c r="B1598" t="s">
        <v>1563</v>
      </c>
      <c r="C1598" s="1">
        <v>2893.28</v>
      </c>
      <c r="D1598" t="str">
        <f t="shared" si="70"/>
        <v>352</v>
      </c>
      <c r="E1598" t="str">
        <f>"70481"</f>
        <v>70481</v>
      </c>
    </row>
    <row r="1599" spans="1:5" x14ac:dyDescent="0.25">
      <c r="A1599" t="str">
        <f>"763356190"</f>
        <v>763356190</v>
      </c>
      <c r="B1599" t="s">
        <v>1564</v>
      </c>
      <c r="C1599" s="1">
        <v>2656.5</v>
      </c>
      <c r="D1599" t="str">
        <f t="shared" si="70"/>
        <v>352</v>
      </c>
      <c r="E1599" t="str">
        <f>"70480"</f>
        <v>70480</v>
      </c>
    </row>
    <row r="1600" spans="1:5" x14ac:dyDescent="0.25">
      <c r="A1600" t="str">
        <f>"763356195"</f>
        <v>763356195</v>
      </c>
      <c r="B1600" t="s">
        <v>1565</v>
      </c>
      <c r="C1600" s="1">
        <v>3401.66</v>
      </c>
      <c r="D1600" t="str">
        <f t="shared" si="70"/>
        <v>352</v>
      </c>
      <c r="E1600" t="str">
        <f>"70482"</f>
        <v>70482</v>
      </c>
    </row>
    <row r="1601" spans="1:5" x14ac:dyDescent="0.25">
      <c r="A1601" t="str">
        <f>"763356200"</f>
        <v>763356200</v>
      </c>
      <c r="B1601" t="s">
        <v>1566</v>
      </c>
      <c r="C1601" s="1">
        <v>1928.03</v>
      </c>
      <c r="D1601" t="str">
        <f t="shared" si="70"/>
        <v>352</v>
      </c>
      <c r="E1601" t="str">
        <f>"72193"</f>
        <v>72193</v>
      </c>
    </row>
    <row r="1602" spans="1:5" x14ac:dyDescent="0.25">
      <c r="A1602" t="str">
        <f>"763356205"</f>
        <v>763356205</v>
      </c>
      <c r="B1602" t="s">
        <v>1567</v>
      </c>
      <c r="C1602" s="1">
        <v>1692.58</v>
      </c>
      <c r="D1602" t="str">
        <f t="shared" si="70"/>
        <v>352</v>
      </c>
      <c r="E1602" t="str">
        <f>"72192"</f>
        <v>72192</v>
      </c>
    </row>
    <row r="1603" spans="1:5" x14ac:dyDescent="0.25">
      <c r="A1603" t="str">
        <f>"763356210"</f>
        <v>763356210</v>
      </c>
      <c r="B1603" t="s">
        <v>1568</v>
      </c>
      <c r="C1603" s="1">
        <v>2320.77</v>
      </c>
      <c r="D1603" t="str">
        <f t="shared" si="70"/>
        <v>352</v>
      </c>
      <c r="E1603" t="str">
        <f>"72194"</f>
        <v>72194</v>
      </c>
    </row>
    <row r="1604" spans="1:5" x14ac:dyDescent="0.25">
      <c r="A1604" t="str">
        <f>"763356230"</f>
        <v>763356230</v>
      </c>
      <c r="B1604" t="s">
        <v>1569</v>
      </c>
      <c r="C1604" s="1">
        <v>2177.41</v>
      </c>
      <c r="D1604" t="str">
        <f t="shared" si="70"/>
        <v>352</v>
      </c>
      <c r="E1604" t="str">
        <f>"70487"</f>
        <v>70487</v>
      </c>
    </row>
    <row r="1605" spans="1:5" x14ac:dyDescent="0.25">
      <c r="A1605" t="str">
        <f>"763356235"</f>
        <v>763356235</v>
      </c>
      <c r="B1605" t="s">
        <v>1570</v>
      </c>
      <c r="C1605" s="1">
        <v>2407.91</v>
      </c>
      <c r="D1605" t="str">
        <f t="shared" si="70"/>
        <v>352</v>
      </c>
      <c r="E1605" t="str">
        <f>"70486"</f>
        <v>70486</v>
      </c>
    </row>
    <row r="1606" spans="1:5" x14ac:dyDescent="0.25">
      <c r="A1606" t="str">
        <f>"763356240"</f>
        <v>763356240</v>
      </c>
      <c r="B1606" t="s">
        <v>1571</v>
      </c>
      <c r="C1606" s="1">
        <v>1906.69</v>
      </c>
      <c r="D1606" t="str">
        <f t="shared" si="70"/>
        <v>352</v>
      </c>
      <c r="E1606" t="str">
        <f>"70488"</f>
        <v>70488</v>
      </c>
    </row>
    <row r="1607" spans="1:5" x14ac:dyDescent="0.25">
      <c r="A1607" t="str">
        <f>"763356255"</f>
        <v>763356255</v>
      </c>
      <c r="B1607" t="s">
        <v>1572</v>
      </c>
      <c r="C1607" s="1">
        <v>2946.41</v>
      </c>
      <c r="D1607" t="str">
        <f t="shared" si="70"/>
        <v>352</v>
      </c>
      <c r="E1607" t="str">
        <f>"72129"</f>
        <v>72129</v>
      </c>
    </row>
    <row r="1608" spans="1:5" x14ac:dyDescent="0.25">
      <c r="A1608" t="str">
        <f>"763356260"</f>
        <v>763356260</v>
      </c>
      <c r="B1608" t="s">
        <v>1573</v>
      </c>
      <c r="C1608" s="1">
        <v>2934.22</v>
      </c>
      <c r="D1608" t="str">
        <f t="shared" si="70"/>
        <v>352</v>
      </c>
      <c r="E1608" t="str">
        <f>"72128"</f>
        <v>72128</v>
      </c>
    </row>
    <row r="1609" spans="1:5" x14ac:dyDescent="0.25">
      <c r="A1609" t="str">
        <f>"763356265"</f>
        <v>763356265</v>
      </c>
      <c r="B1609" t="s">
        <v>1574</v>
      </c>
      <c r="C1609" s="1">
        <v>3416.49</v>
      </c>
      <c r="D1609" t="str">
        <f t="shared" si="70"/>
        <v>352</v>
      </c>
      <c r="E1609" t="str">
        <f>"72130"</f>
        <v>72130</v>
      </c>
    </row>
    <row r="1610" spans="1:5" x14ac:dyDescent="0.25">
      <c r="A1610" t="str">
        <f>"763356270"</f>
        <v>763356270</v>
      </c>
      <c r="B1610" t="s">
        <v>1575</v>
      </c>
      <c r="C1610" s="1">
        <v>2665.17</v>
      </c>
      <c r="D1610" t="str">
        <f t="shared" si="70"/>
        <v>352</v>
      </c>
      <c r="E1610" t="str">
        <f>"73201"</f>
        <v>73201</v>
      </c>
    </row>
    <row r="1611" spans="1:5" x14ac:dyDescent="0.25">
      <c r="A1611" t="str">
        <f>"763356275"</f>
        <v>763356275</v>
      </c>
      <c r="B1611" t="s">
        <v>1576</v>
      </c>
      <c r="C1611" s="1">
        <v>2471.6999999999998</v>
      </c>
      <c r="D1611" t="str">
        <f t="shared" si="70"/>
        <v>352</v>
      </c>
      <c r="E1611" t="str">
        <f>"73200"</f>
        <v>73200</v>
      </c>
    </row>
    <row r="1612" spans="1:5" x14ac:dyDescent="0.25">
      <c r="A1612" t="str">
        <f>"763356280"</f>
        <v>763356280</v>
      </c>
      <c r="B1612" t="s">
        <v>1577</v>
      </c>
      <c r="C1612" s="1">
        <v>2781.24</v>
      </c>
      <c r="D1612" t="str">
        <f t="shared" si="70"/>
        <v>352</v>
      </c>
      <c r="E1612" t="str">
        <f>"73202"</f>
        <v>73202</v>
      </c>
    </row>
    <row r="1613" spans="1:5" x14ac:dyDescent="0.25">
      <c r="A1613" t="str">
        <f>"763356285"</f>
        <v>763356285</v>
      </c>
      <c r="B1613" t="s">
        <v>1578</v>
      </c>
      <c r="C1613" s="1">
        <v>2610.3000000000002</v>
      </c>
      <c r="D1613" t="str">
        <f>"350"</f>
        <v>350</v>
      </c>
      <c r="E1613" t="str">
        <f>"73700"</f>
        <v>73700</v>
      </c>
    </row>
    <row r="1614" spans="1:5" x14ac:dyDescent="0.25">
      <c r="A1614" t="str">
        <f>"763356290"</f>
        <v>763356290</v>
      </c>
      <c r="B1614" t="s">
        <v>1579</v>
      </c>
      <c r="C1614" s="1">
        <v>2407.91</v>
      </c>
      <c r="D1614" t="str">
        <f>"351"</f>
        <v>351</v>
      </c>
      <c r="E1614" t="str">
        <f>"70486"</f>
        <v>70486</v>
      </c>
    </row>
    <row r="1615" spans="1:5" x14ac:dyDescent="0.25">
      <c r="A1615" t="str">
        <f>"763356295"</f>
        <v>763356295</v>
      </c>
      <c r="B1615" t="s">
        <v>1580</v>
      </c>
      <c r="C1615" s="1">
        <v>2317.8000000000002</v>
      </c>
      <c r="D1615" t="str">
        <f>"351"</f>
        <v>351</v>
      </c>
      <c r="E1615" t="str">
        <f>"70487"</f>
        <v>70487</v>
      </c>
    </row>
    <row r="1616" spans="1:5" x14ac:dyDescent="0.25">
      <c r="A1616" t="str">
        <f>"763356300"</f>
        <v>763356300</v>
      </c>
      <c r="B1616" t="s">
        <v>1581</v>
      </c>
      <c r="C1616" s="1">
        <v>2753.52</v>
      </c>
      <c r="D1616" t="str">
        <f>"351"</f>
        <v>351</v>
      </c>
      <c r="E1616" t="str">
        <f>"70488"</f>
        <v>70488</v>
      </c>
    </row>
    <row r="1617" spans="1:5" x14ac:dyDescent="0.25">
      <c r="A1617" t="str">
        <f>"763356305"</f>
        <v>763356305</v>
      </c>
      <c r="B1617" t="s">
        <v>1582</v>
      </c>
      <c r="C1617" s="1">
        <v>2821.25</v>
      </c>
      <c r="D1617" t="str">
        <f>"352"</f>
        <v>352</v>
      </c>
      <c r="E1617" t="str">
        <f>"74176"</f>
        <v>74176</v>
      </c>
    </row>
    <row r="1618" spans="1:5" x14ac:dyDescent="0.25">
      <c r="A1618" t="str">
        <f>"763356310"</f>
        <v>763356310</v>
      </c>
      <c r="B1618" t="s">
        <v>1583</v>
      </c>
      <c r="C1618" s="1">
        <v>3117.9</v>
      </c>
      <c r="D1618" t="str">
        <f>"352"</f>
        <v>352</v>
      </c>
      <c r="E1618" t="str">
        <f>"74177"</f>
        <v>74177</v>
      </c>
    </row>
    <row r="1619" spans="1:5" x14ac:dyDescent="0.25">
      <c r="A1619" t="str">
        <f>"763356315"</f>
        <v>763356315</v>
      </c>
      <c r="B1619" t="s">
        <v>1584</v>
      </c>
      <c r="C1619" s="1">
        <v>3352.42</v>
      </c>
      <c r="D1619" t="str">
        <f>"352"</f>
        <v>352</v>
      </c>
      <c r="E1619" t="str">
        <f>"74178"</f>
        <v>74178</v>
      </c>
    </row>
    <row r="1620" spans="1:5" x14ac:dyDescent="0.25">
      <c r="A1620" t="str">
        <f>"763356320"</f>
        <v>763356320</v>
      </c>
      <c r="B1620" t="s">
        <v>1585</v>
      </c>
      <c r="C1620" s="1">
        <v>2407.91</v>
      </c>
      <c r="D1620" t="str">
        <f>"351"</f>
        <v>351</v>
      </c>
      <c r="E1620" t="str">
        <f>"70486"</f>
        <v>70486</v>
      </c>
    </row>
    <row r="1621" spans="1:5" x14ac:dyDescent="0.25">
      <c r="A1621" t="str">
        <f>"763356325"</f>
        <v>763356325</v>
      </c>
      <c r="B1621" t="s">
        <v>1586</v>
      </c>
      <c r="C1621" s="1">
        <v>2407.91</v>
      </c>
      <c r="D1621" t="str">
        <f>"351"</f>
        <v>351</v>
      </c>
      <c r="E1621" t="str">
        <f>"70487"</f>
        <v>70487</v>
      </c>
    </row>
    <row r="1622" spans="1:5" x14ac:dyDescent="0.25">
      <c r="A1622" t="str">
        <f>"763356330"</f>
        <v>763356330</v>
      </c>
      <c r="B1622" t="s">
        <v>1587</v>
      </c>
      <c r="C1622" s="1">
        <v>2407.91</v>
      </c>
      <c r="D1622" t="str">
        <f>"351"</f>
        <v>351</v>
      </c>
      <c r="E1622" t="str">
        <f>"70488"</f>
        <v>70488</v>
      </c>
    </row>
    <row r="1623" spans="1:5" x14ac:dyDescent="0.25">
      <c r="A1623" t="str">
        <f>"763404051"</f>
        <v>763404051</v>
      </c>
      <c r="B1623" t="s">
        <v>1588</v>
      </c>
      <c r="C1623">
        <v>788.87</v>
      </c>
      <c r="D1623" t="str">
        <f t="shared" ref="D1623:D1632" si="71">"402"</f>
        <v>402</v>
      </c>
      <c r="E1623" t="str">
        <f>"77003"</f>
        <v>77003</v>
      </c>
    </row>
    <row r="1624" spans="1:5" x14ac:dyDescent="0.25">
      <c r="A1624" t="str">
        <f>"763405005"</f>
        <v>763405005</v>
      </c>
      <c r="B1624" t="s">
        <v>1589</v>
      </c>
      <c r="C1624">
        <v>529.73</v>
      </c>
      <c r="D1624" t="str">
        <f t="shared" si="71"/>
        <v>402</v>
      </c>
      <c r="E1624" t="str">
        <f>"76700"</f>
        <v>76700</v>
      </c>
    </row>
    <row r="1625" spans="1:5" x14ac:dyDescent="0.25">
      <c r="A1625" t="str">
        <f>"763405010"</f>
        <v>763405010</v>
      </c>
      <c r="B1625" t="s">
        <v>1590</v>
      </c>
      <c r="C1625">
        <v>265.64999999999998</v>
      </c>
      <c r="D1625" t="str">
        <f t="shared" si="71"/>
        <v>402</v>
      </c>
      <c r="E1625" t="str">
        <f>"76937"</f>
        <v>76937</v>
      </c>
    </row>
    <row r="1626" spans="1:5" x14ac:dyDescent="0.25">
      <c r="A1626" t="str">
        <f>"763405015"</f>
        <v>763405015</v>
      </c>
      <c r="B1626" t="s">
        <v>1591</v>
      </c>
      <c r="C1626">
        <v>144.38</v>
      </c>
      <c r="D1626" t="str">
        <f t="shared" si="71"/>
        <v>402</v>
      </c>
      <c r="E1626" t="str">
        <f>"76882"</f>
        <v>76882</v>
      </c>
    </row>
    <row r="1627" spans="1:5" x14ac:dyDescent="0.25">
      <c r="A1627" t="str">
        <f>"763405020"</f>
        <v>763405020</v>
      </c>
      <c r="B1627" t="s">
        <v>1592</v>
      </c>
      <c r="C1627" s="1">
        <v>1484.65</v>
      </c>
      <c r="D1627" t="str">
        <f t="shared" si="71"/>
        <v>402</v>
      </c>
      <c r="E1627" t="str">
        <f>"76936"</f>
        <v>76936</v>
      </c>
    </row>
    <row r="1628" spans="1:5" x14ac:dyDescent="0.25">
      <c r="A1628" t="str">
        <f>"763405025"</f>
        <v>763405025</v>
      </c>
      <c r="B1628" t="s">
        <v>1593</v>
      </c>
      <c r="C1628">
        <v>485.1</v>
      </c>
      <c r="D1628" t="str">
        <f t="shared" si="71"/>
        <v>402</v>
      </c>
      <c r="E1628" t="str">
        <f>"76942"</f>
        <v>76942</v>
      </c>
    </row>
    <row r="1629" spans="1:5" x14ac:dyDescent="0.25">
      <c r="A1629" t="str">
        <f>"763405030"</f>
        <v>763405030</v>
      </c>
      <c r="B1629" t="s">
        <v>1594</v>
      </c>
      <c r="C1629">
        <v>412.58</v>
      </c>
      <c r="D1629" t="str">
        <f t="shared" si="71"/>
        <v>402</v>
      </c>
      <c r="E1629" t="str">
        <f>"76641"</f>
        <v>76641</v>
      </c>
    </row>
    <row r="1630" spans="1:5" x14ac:dyDescent="0.25">
      <c r="A1630" t="str">
        <f>"763405035"</f>
        <v>763405035</v>
      </c>
      <c r="B1630" t="s">
        <v>1595</v>
      </c>
      <c r="C1630">
        <v>412.58</v>
      </c>
      <c r="D1630" t="str">
        <f t="shared" si="71"/>
        <v>402</v>
      </c>
      <c r="E1630" t="str">
        <f>"76642"</f>
        <v>76642</v>
      </c>
    </row>
    <row r="1631" spans="1:5" x14ac:dyDescent="0.25">
      <c r="A1631" t="str">
        <f>"763405040"</f>
        <v>763405040</v>
      </c>
      <c r="B1631" t="s">
        <v>1596</v>
      </c>
      <c r="C1631">
        <v>820.82</v>
      </c>
      <c r="D1631" t="str">
        <f t="shared" si="71"/>
        <v>402</v>
      </c>
      <c r="E1631" t="str">
        <f>"93880"</f>
        <v>93880</v>
      </c>
    </row>
    <row r="1632" spans="1:5" x14ac:dyDescent="0.25">
      <c r="A1632" t="str">
        <f>"763405045"</f>
        <v>763405045</v>
      </c>
      <c r="B1632" t="s">
        <v>1597</v>
      </c>
      <c r="C1632">
        <v>202.13</v>
      </c>
      <c r="D1632" t="str">
        <f t="shared" si="71"/>
        <v>402</v>
      </c>
      <c r="E1632" t="str">
        <f>"76937"</f>
        <v>76937</v>
      </c>
    </row>
    <row r="1633" spans="1:5" x14ac:dyDescent="0.25">
      <c r="A1633" t="str">
        <f>"763405081"</f>
        <v>763405081</v>
      </c>
      <c r="B1633" t="s">
        <v>1598</v>
      </c>
      <c r="C1633">
        <v>731.4</v>
      </c>
      <c r="D1633" t="str">
        <f>"922"</f>
        <v>922</v>
      </c>
      <c r="E1633" t="str">
        <f>"93925"</f>
        <v>93925</v>
      </c>
    </row>
    <row r="1634" spans="1:5" x14ac:dyDescent="0.25">
      <c r="A1634" t="str">
        <f>"763405082"</f>
        <v>763405082</v>
      </c>
      <c r="B1634" t="s">
        <v>1599</v>
      </c>
      <c r="C1634">
        <v>500.4</v>
      </c>
      <c r="D1634" t="str">
        <f>"921"</f>
        <v>921</v>
      </c>
      <c r="E1634" t="str">
        <f>"93926"</f>
        <v>93926</v>
      </c>
    </row>
    <row r="1635" spans="1:5" x14ac:dyDescent="0.25">
      <c r="A1635" t="str">
        <f>"763405083"</f>
        <v>763405083</v>
      </c>
      <c r="B1635" t="s">
        <v>1600</v>
      </c>
      <c r="C1635">
        <v>731.4</v>
      </c>
      <c r="D1635" t="str">
        <f>"921"</f>
        <v>921</v>
      </c>
      <c r="E1635" t="str">
        <f>"93930"</f>
        <v>93930</v>
      </c>
    </row>
    <row r="1636" spans="1:5" x14ac:dyDescent="0.25">
      <c r="A1636" t="str">
        <f>"763405084"</f>
        <v>763405084</v>
      </c>
      <c r="B1636" t="s">
        <v>1601</v>
      </c>
      <c r="C1636">
        <v>500.4</v>
      </c>
      <c r="D1636" t="str">
        <f>"921"</f>
        <v>921</v>
      </c>
      <c r="E1636" t="str">
        <f>"93931"</f>
        <v>93931</v>
      </c>
    </row>
    <row r="1637" spans="1:5" x14ac:dyDescent="0.25">
      <c r="A1637" t="str">
        <f>"763405086"</f>
        <v>763405086</v>
      </c>
      <c r="B1637" t="s">
        <v>1602</v>
      </c>
      <c r="C1637">
        <v>793.49</v>
      </c>
      <c r="D1637" t="str">
        <f>"922"</f>
        <v>922</v>
      </c>
      <c r="E1637" t="str">
        <f>"93970"</f>
        <v>93970</v>
      </c>
    </row>
    <row r="1638" spans="1:5" x14ac:dyDescent="0.25">
      <c r="A1638" t="str">
        <f>"763405087"</f>
        <v>763405087</v>
      </c>
      <c r="B1638" t="s">
        <v>1603</v>
      </c>
      <c r="C1638">
        <v>562.49</v>
      </c>
      <c r="D1638" t="str">
        <f>"921"</f>
        <v>921</v>
      </c>
      <c r="E1638" t="str">
        <f>"93971"</f>
        <v>93971</v>
      </c>
    </row>
    <row r="1639" spans="1:5" x14ac:dyDescent="0.25">
      <c r="A1639" t="str">
        <f>"763405088"</f>
        <v>763405088</v>
      </c>
      <c r="B1639" t="s">
        <v>1604</v>
      </c>
      <c r="C1639">
        <v>793.49</v>
      </c>
      <c r="D1639" t="str">
        <f>"921"</f>
        <v>921</v>
      </c>
      <c r="E1639" t="str">
        <f>"93970"</f>
        <v>93970</v>
      </c>
    </row>
    <row r="1640" spans="1:5" x14ac:dyDescent="0.25">
      <c r="A1640" t="str">
        <f>"763405089"</f>
        <v>763405089</v>
      </c>
      <c r="B1640" t="s">
        <v>1605</v>
      </c>
      <c r="C1640">
        <v>562.49</v>
      </c>
      <c r="D1640" t="str">
        <f>"921"</f>
        <v>921</v>
      </c>
      <c r="E1640" t="str">
        <f>"93971"</f>
        <v>93971</v>
      </c>
    </row>
    <row r="1641" spans="1:5" x14ac:dyDescent="0.25">
      <c r="A1641" t="str">
        <f>"763405115"</f>
        <v>763405115</v>
      </c>
      <c r="B1641" t="s">
        <v>1606</v>
      </c>
      <c r="C1641">
        <v>526.63</v>
      </c>
      <c r="D1641" t="str">
        <f t="shared" ref="D1641:D1654" si="72">"402"</f>
        <v>402</v>
      </c>
      <c r="E1641" t="str">
        <f>"76872"</f>
        <v>76872</v>
      </c>
    </row>
    <row r="1642" spans="1:5" x14ac:dyDescent="0.25">
      <c r="A1642" t="str">
        <f>"763405170"</f>
        <v>763405170</v>
      </c>
      <c r="B1642" t="s">
        <v>1607</v>
      </c>
      <c r="C1642">
        <v>510.98</v>
      </c>
      <c r="D1642" t="str">
        <f t="shared" si="72"/>
        <v>402</v>
      </c>
      <c r="E1642" t="str">
        <f>"76705"</f>
        <v>76705</v>
      </c>
    </row>
    <row r="1643" spans="1:5" x14ac:dyDescent="0.25">
      <c r="A1643" t="str">
        <f>"763405175"</f>
        <v>763405175</v>
      </c>
      <c r="B1643" t="s">
        <v>1608</v>
      </c>
      <c r="C1643">
        <v>360.75</v>
      </c>
      <c r="D1643" t="str">
        <f t="shared" si="72"/>
        <v>402</v>
      </c>
      <c r="E1643" t="str">
        <f>"76857"</f>
        <v>76857</v>
      </c>
    </row>
    <row r="1644" spans="1:5" x14ac:dyDescent="0.25">
      <c r="A1644" t="str">
        <f>"763405180"</f>
        <v>763405180</v>
      </c>
      <c r="B1644" t="s">
        <v>1609</v>
      </c>
      <c r="C1644">
        <v>529.89</v>
      </c>
      <c r="D1644" t="str">
        <f t="shared" si="72"/>
        <v>402</v>
      </c>
      <c r="E1644" t="str">
        <f>"76815"</f>
        <v>76815</v>
      </c>
    </row>
    <row r="1645" spans="1:5" x14ac:dyDescent="0.25">
      <c r="A1645" t="str">
        <f>"763405198"</f>
        <v>763405198</v>
      </c>
      <c r="B1645" t="s">
        <v>1610</v>
      </c>
      <c r="C1645" s="1">
        <v>1889.47</v>
      </c>
      <c r="D1645" t="str">
        <f t="shared" si="72"/>
        <v>402</v>
      </c>
      <c r="E1645" t="str">
        <f>"76942"</f>
        <v>76942</v>
      </c>
    </row>
    <row r="1646" spans="1:5" x14ac:dyDescent="0.25">
      <c r="A1646" t="str">
        <f>"763405200"</f>
        <v>763405200</v>
      </c>
      <c r="B1646" t="s">
        <v>1611</v>
      </c>
      <c r="C1646">
        <v>426.36</v>
      </c>
      <c r="D1646" t="str">
        <f t="shared" si="72"/>
        <v>402</v>
      </c>
      <c r="E1646" t="str">
        <f>"76856"</f>
        <v>76856</v>
      </c>
    </row>
    <row r="1647" spans="1:5" x14ac:dyDescent="0.25">
      <c r="A1647" t="str">
        <f>"763405208"</f>
        <v>763405208</v>
      </c>
      <c r="B1647" t="s">
        <v>1612</v>
      </c>
      <c r="C1647">
        <v>812.55</v>
      </c>
      <c r="D1647" t="str">
        <f t="shared" si="72"/>
        <v>402</v>
      </c>
      <c r="E1647" t="str">
        <f>"76770"</f>
        <v>76770</v>
      </c>
    </row>
    <row r="1648" spans="1:5" x14ac:dyDescent="0.25">
      <c r="A1648" t="str">
        <f>"763405215"</f>
        <v>763405215</v>
      </c>
      <c r="B1648" t="s">
        <v>1613</v>
      </c>
      <c r="C1648" s="1">
        <v>1260.93</v>
      </c>
      <c r="D1648" t="str">
        <f t="shared" si="72"/>
        <v>402</v>
      </c>
      <c r="E1648" t="str">
        <f>"76770"</f>
        <v>76770</v>
      </c>
    </row>
    <row r="1649" spans="1:5" x14ac:dyDescent="0.25">
      <c r="A1649" t="str">
        <f>"763405225"</f>
        <v>763405225</v>
      </c>
      <c r="B1649" t="s">
        <v>1614</v>
      </c>
      <c r="C1649">
        <v>550.19000000000005</v>
      </c>
      <c r="D1649" t="str">
        <f t="shared" si="72"/>
        <v>402</v>
      </c>
      <c r="E1649" t="str">
        <f>"76870"</f>
        <v>76870</v>
      </c>
    </row>
    <row r="1650" spans="1:5" x14ac:dyDescent="0.25">
      <c r="A1650" t="str">
        <f>"763405230"</f>
        <v>763405230</v>
      </c>
      <c r="B1650" t="s">
        <v>1615</v>
      </c>
      <c r="C1650" s="1">
        <v>2685.1</v>
      </c>
      <c r="D1650" t="str">
        <f t="shared" si="72"/>
        <v>402</v>
      </c>
      <c r="E1650" t="str">
        <f>"76942"</f>
        <v>76942</v>
      </c>
    </row>
    <row r="1651" spans="1:5" x14ac:dyDescent="0.25">
      <c r="A1651" t="str">
        <f>"763405235"</f>
        <v>763405235</v>
      </c>
      <c r="B1651" t="s">
        <v>1616</v>
      </c>
      <c r="C1651">
        <v>502.72</v>
      </c>
      <c r="D1651" t="str">
        <f t="shared" si="72"/>
        <v>402</v>
      </c>
      <c r="E1651" t="str">
        <f>"76536"</f>
        <v>76536</v>
      </c>
    </row>
    <row r="1652" spans="1:5" x14ac:dyDescent="0.25">
      <c r="A1652" t="str">
        <f>"763405240"</f>
        <v>763405240</v>
      </c>
      <c r="B1652" t="s">
        <v>1617</v>
      </c>
      <c r="C1652">
        <v>426.36</v>
      </c>
      <c r="D1652" t="str">
        <f t="shared" si="72"/>
        <v>402</v>
      </c>
      <c r="E1652" t="str">
        <f>"76830"</f>
        <v>76830</v>
      </c>
    </row>
    <row r="1653" spans="1:5" x14ac:dyDescent="0.25">
      <c r="A1653" t="str">
        <f>"763405255"</f>
        <v>763405255</v>
      </c>
      <c r="B1653" t="s">
        <v>1618</v>
      </c>
      <c r="C1653">
        <v>520.74</v>
      </c>
      <c r="D1653" t="str">
        <f t="shared" si="72"/>
        <v>402</v>
      </c>
      <c r="E1653" t="str">
        <f>"76932"</f>
        <v>76932</v>
      </c>
    </row>
    <row r="1654" spans="1:5" x14ac:dyDescent="0.25">
      <c r="A1654" t="str">
        <f>"763405260"</f>
        <v>763405260</v>
      </c>
      <c r="B1654" t="s">
        <v>1619</v>
      </c>
      <c r="C1654">
        <v>520.74</v>
      </c>
      <c r="D1654" t="str">
        <f t="shared" si="72"/>
        <v>402</v>
      </c>
      <c r="E1654" t="str">
        <f>"76930"</f>
        <v>76930</v>
      </c>
    </row>
    <row r="1655" spans="1:5" x14ac:dyDescent="0.25">
      <c r="A1655" t="str">
        <f>"763405261"</f>
        <v>763405261</v>
      </c>
      <c r="B1655" t="s">
        <v>1620</v>
      </c>
      <c r="C1655">
        <v>762.3</v>
      </c>
      <c r="D1655" t="str">
        <f>"921"</f>
        <v>921</v>
      </c>
      <c r="E1655" t="str">
        <f>"93990"</f>
        <v>93990</v>
      </c>
    </row>
    <row r="1656" spans="1:5" x14ac:dyDescent="0.25">
      <c r="A1656" t="str">
        <f>"763405262"</f>
        <v>763405262</v>
      </c>
      <c r="B1656" t="s">
        <v>1621</v>
      </c>
      <c r="C1656">
        <v>485.1</v>
      </c>
      <c r="D1656" t="str">
        <f>"921"</f>
        <v>921</v>
      </c>
      <c r="E1656" t="str">
        <f>"93990"</f>
        <v>93990</v>
      </c>
    </row>
    <row r="1657" spans="1:5" x14ac:dyDescent="0.25">
      <c r="A1657" t="str">
        <f>"763405265"</f>
        <v>763405265</v>
      </c>
      <c r="B1657" t="s">
        <v>1622</v>
      </c>
      <c r="C1657">
        <v>508.2</v>
      </c>
      <c r="D1657" t="str">
        <f>"402"</f>
        <v>402</v>
      </c>
      <c r="E1657" t="str">
        <f>"76999"</f>
        <v>76999</v>
      </c>
    </row>
    <row r="1658" spans="1:5" x14ac:dyDescent="0.25">
      <c r="A1658" t="str">
        <f>"763614005"</f>
        <v>763614005</v>
      </c>
      <c r="B1658" t="s">
        <v>1623</v>
      </c>
      <c r="C1658" s="1">
        <v>2591.8200000000002</v>
      </c>
      <c r="D1658" t="str">
        <f>"610"</f>
        <v>610</v>
      </c>
      <c r="E1658" t="str">
        <f>"74185"</f>
        <v>74185</v>
      </c>
    </row>
    <row r="1659" spans="1:5" x14ac:dyDescent="0.25">
      <c r="A1659" t="str">
        <f>"763614010"</f>
        <v>763614010</v>
      </c>
      <c r="B1659" t="s">
        <v>1624</v>
      </c>
      <c r="C1659" s="1">
        <v>2591.8200000000002</v>
      </c>
      <c r="D1659" t="str">
        <f>"610"</f>
        <v>610</v>
      </c>
      <c r="E1659" t="str">
        <f>"71555"</f>
        <v>71555</v>
      </c>
    </row>
    <row r="1660" spans="1:5" x14ac:dyDescent="0.25">
      <c r="A1660" t="str">
        <f>"763614015"</f>
        <v>763614015</v>
      </c>
      <c r="B1660" t="s">
        <v>1625</v>
      </c>
      <c r="C1660" s="1">
        <v>1786.83</v>
      </c>
      <c r="D1660" t="str">
        <f>"616"</f>
        <v>616</v>
      </c>
      <c r="E1660" t="str">
        <f>"73725"</f>
        <v>73725</v>
      </c>
    </row>
    <row r="1661" spans="1:5" x14ac:dyDescent="0.25">
      <c r="A1661" t="str">
        <f>"763614020"</f>
        <v>763614020</v>
      </c>
      <c r="B1661" t="s">
        <v>1626</v>
      </c>
      <c r="C1661" s="1">
        <v>2591.8200000000002</v>
      </c>
      <c r="D1661" t="str">
        <f>"618"</f>
        <v>618</v>
      </c>
      <c r="E1661" t="str">
        <f>"72159"</f>
        <v>72159</v>
      </c>
    </row>
    <row r="1662" spans="1:5" x14ac:dyDescent="0.25">
      <c r="A1662" t="str">
        <f>"763614025"</f>
        <v>763614025</v>
      </c>
      <c r="B1662" t="s">
        <v>1627</v>
      </c>
      <c r="C1662" s="1">
        <v>2591.8200000000002</v>
      </c>
      <c r="D1662" t="str">
        <f>"618"</f>
        <v>618</v>
      </c>
      <c r="E1662" t="str">
        <f>"73225"</f>
        <v>73225</v>
      </c>
    </row>
    <row r="1663" spans="1:5" x14ac:dyDescent="0.25">
      <c r="A1663" t="str">
        <f>"763614030"</f>
        <v>763614030</v>
      </c>
      <c r="B1663" t="s">
        <v>1628</v>
      </c>
      <c r="C1663" s="1">
        <v>3025</v>
      </c>
      <c r="D1663" t="str">
        <f>"610"</f>
        <v>610</v>
      </c>
      <c r="E1663" t="str">
        <f>"74181"</f>
        <v>74181</v>
      </c>
    </row>
    <row r="1664" spans="1:5" x14ac:dyDescent="0.25">
      <c r="A1664" t="str">
        <f>"763614035"</f>
        <v>763614035</v>
      </c>
      <c r="B1664" t="s">
        <v>1629</v>
      </c>
      <c r="C1664" s="1">
        <v>1769.78</v>
      </c>
      <c r="D1664" t="str">
        <f>"610"</f>
        <v>610</v>
      </c>
      <c r="E1664" t="str">
        <f>"77084"</f>
        <v>77084</v>
      </c>
    </row>
    <row r="1665" spans="1:5" x14ac:dyDescent="0.25">
      <c r="A1665" t="str">
        <f>"763614040"</f>
        <v>763614040</v>
      </c>
      <c r="B1665" t="s">
        <v>1630</v>
      </c>
      <c r="C1665" s="1">
        <v>1893.28</v>
      </c>
      <c r="D1665" t="str">
        <f>"611"</f>
        <v>611</v>
      </c>
      <c r="E1665" t="str">
        <f>"70551"</f>
        <v>70551</v>
      </c>
    </row>
    <row r="1666" spans="1:5" x14ac:dyDescent="0.25">
      <c r="A1666" t="str">
        <f>"763614045"</f>
        <v>763614045</v>
      </c>
      <c r="B1666" t="s">
        <v>1631</v>
      </c>
      <c r="C1666" s="1">
        <v>4026.88</v>
      </c>
      <c r="D1666" t="str">
        <f>"611"</f>
        <v>611</v>
      </c>
      <c r="E1666" t="str">
        <f>"70553"</f>
        <v>70553</v>
      </c>
    </row>
    <row r="1667" spans="1:5" x14ac:dyDescent="0.25">
      <c r="A1667" t="str">
        <f>"763614050"</f>
        <v>763614050</v>
      </c>
      <c r="B1667" t="s">
        <v>1632</v>
      </c>
      <c r="C1667" s="1">
        <v>2273.25</v>
      </c>
      <c r="D1667" t="str">
        <f>"611"</f>
        <v>611</v>
      </c>
      <c r="E1667" t="str">
        <f>"70552"</f>
        <v>70552</v>
      </c>
    </row>
    <row r="1668" spans="1:5" x14ac:dyDescent="0.25">
      <c r="A1668" t="str">
        <f>"763614075"</f>
        <v>763614075</v>
      </c>
      <c r="B1668" t="s">
        <v>1633</v>
      </c>
      <c r="C1668" s="1">
        <v>1816.84</v>
      </c>
      <c r="D1668" t="str">
        <f>"610"</f>
        <v>610</v>
      </c>
      <c r="E1668" t="str">
        <f>"75561"</f>
        <v>75561</v>
      </c>
    </row>
    <row r="1669" spans="1:5" x14ac:dyDescent="0.25">
      <c r="A1669" t="str">
        <f>"763614080"</f>
        <v>763614080</v>
      </c>
      <c r="B1669" t="s">
        <v>1634</v>
      </c>
      <c r="C1669" s="1">
        <v>1769.78</v>
      </c>
      <c r="D1669" t="str">
        <f>"610"</f>
        <v>610</v>
      </c>
      <c r="E1669" t="str">
        <f>"75557"</f>
        <v>75557</v>
      </c>
    </row>
    <row r="1670" spans="1:5" x14ac:dyDescent="0.25">
      <c r="A1670" t="str">
        <f>"763614085"</f>
        <v>763614085</v>
      </c>
      <c r="B1670" t="s">
        <v>1635</v>
      </c>
      <c r="C1670" s="1">
        <v>1866.94</v>
      </c>
      <c r="D1670" t="str">
        <f>"610"</f>
        <v>610</v>
      </c>
      <c r="E1670" t="str">
        <f>"75565"</f>
        <v>75565</v>
      </c>
    </row>
    <row r="1671" spans="1:5" x14ac:dyDescent="0.25">
      <c r="A1671" t="str">
        <f>"763614090"</f>
        <v>763614090</v>
      </c>
      <c r="B1671" t="s">
        <v>1636</v>
      </c>
      <c r="C1671" s="1">
        <v>1917.77</v>
      </c>
      <c r="D1671" t="str">
        <f>"612"</f>
        <v>612</v>
      </c>
      <c r="E1671" t="str">
        <f>"72141"</f>
        <v>72141</v>
      </c>
    </row>
    <row r="1672" spans="1:5" x14ac:dyDescent="0.25">
      <c r="A1672" t="str">
        <f>"763614095"</f>
        <v>763614095</v>
      </c>
      <c r="B1672" t="s">
        <v>1637</v>
      </c>
      <c r="C1672" s="1">
        <v>1917.77</v>
      </c>
      <c r="D1672" t="str">
        <f>"610"</f>
        <v>610</v>
      </c>
      <c r="E1672" t="str">
        <f>"71550"</f>
        <v>71550</v>
      </c>
    </row>
    <row r="1673" spans="1:5" x14ac:dyDescent="0.25">
      <c r="A1673" t="str">
        <f>"763614100"</f>
        <v>763614100</v>
      </c>
      <c r="B1673" t="s">
        <v>1638</v>
      </c>
      <c r="C1673" s="1">
        <v>2300.2399999999998</v>
      </c>
      <c r="D1673" t="str">
        <f>"612"</f>
        <v>612</v>
      </c>
      <c r="E1673" t="str">
        <f>"72142"</f>
        <v>72142</v>
      </c>
    </row>
    <row r="1674" spans="1:5" x14ac:dyDescent="0.25">
      <c r="A1674" t="str">
        <f>"763614105"</f>
        <v>763614105</v>
      </c>
      <c r="B1674" t="s">
        <v>1639</v>
      </c>
      <c r="C1674" s="1">
        <v>4065.49</v>
      </c>
      <c r="D1674" t="str">
        <f>"612"</f>
        <v>612</v>
      </c>
      <c r="E1674" t="str">
        <f>"72156"</f>
        <v>72156</v>
      </c>
    </row>
    <row r="1675" spans="1:5" x14ac:dyDescent="0.25">
      <c r="A1675" t="str">
        <f>"763614125"</f>
        <v>763614125</v>
      </c>
      <c r="B1675" t="s">
        <v>1640</v>
      </c>
      <c r="C1675" s="1">
        <v>2273.25</v>
      </c>
      <c r="D1675" t="str">
        <f>"612"</f>
        <v>612</v>
      </c>
      <c r="E1675" t="str">
        <f>"72149"</f>
        <v>72149</v>
      </c>
    </row>
    <row r="1676" spans="1:5" x14ac:dyDescent="0.25">
      <c r="A1676" t="str">
        <f>"763614130"</f>
        <v>763614130</v>
      </c>
      <c r="B1676" t="s">
        <v>1641</v>
      </c>
      <c r="C1676" s="1">
        <v>4026.88</v>
      </c>
      <c r="D1676" t="str">
        <f>"612"</f>
        <v>612</v>
      </c>
      <c r="E1676" t="str">
        <f>"72158"</f>
        <v>72158</v>
      </c>
    </row>
    <row r="1677" spans="1:5" x14ac:dyDescent="0.25">
      <c r="A1677" t="str">
        <f>"763614135"</f>
        <v>763614135</v>
      </c>
      <c r="B1677" t="s">
        <v>1642</v>
      </c>
      <c r="C1677" s="1">
        <v>1893.28</v>
      </c>
      <c r="D1677" t="str">
        <f>"610"</f>
        <v>610</v>
      </c>
      <c r="E1677" t="str">
        <f>"70540"</f>
        <v>70540</v>
      </c>
    </row>
    <row r="1678" spans="1:5" x14ac:dyDescent="0.25">
      <c r="A1678" t="str">
        <f>"763614145"</f>
        <v>763614145</v>
      </c>
      <c r="B1678" t="s">
        <v>1643</v>
      </c>
      <c r="C1678" s="1">
        <v>1893.28</v>
      </c>
      <c r="D1678" t="str">
        <f>"610"</f>
        <v>610</v>
      </c>
      <c r="E1678" t="str">
        <f>"70540"</f>
        <v>70540</v>
      </c>
    </row>
    <row r="1679" spans="1:5" x14ac:dyDescent="0.25">
      <c r="A1679" t="str">
        <f>"763614150"</f>
        <v>763614150</v>
      </c>
      <c r="B1679" t="s">
        <v>1644</v>
      </c>
      <c r="C1679" s="1">
        <v>2070.1999999999998</v>
      </c>
      <c r="D1679" t="str">
        <f>"612"</f>
        <v>612</v>
      </c>
      <c r="E1679" t="str">
        <f>"72148"</f>
        <v>72148</v>
      </c>
    </row>
    <row r="1680" spans="1:5" x14ac:dyDescent="0.25">
      <c r="A1680" t="str">
        <f>"763614165"</f>
        <v>763614165</v>
      </c>
      <c r="B1680" t="s">
        <v>1645</v>
      </c>
      <c r="C1680" s="1">
        <v>1893.28</v>
      </c>
      <c r="D1680" t="str">
        <f>"610"</f>
        <v>610</v>
      </c>
      <c r="E1680" t="str">
        <f>"70540"</f>
        <v>70540</v>
      </c>
    </row>
    <row r="1681" spans="1:5" x14ac:dyDescent="0.25">
      <c r="A1681" t="str">
        <f>"763614170"</f>
        <v>763614170</v>
      </c>
      <c r="B1681" t="s">
        <v>1646</v>
      </c>
      <c r="C1681" s="1">
        <v>3025</v>
      </c>
      <c r="D1681" t="str">
        <f>"610"</f>
        <v>610</v>
      </c>
      <c r="E1681" t="str">
        <f>"72196"</f>
        <v>72196</v>
      </c>
    </row>
    <row r="1682" spans="1:5" x14ac:dyDescent="0.25">
      <c r="A1682" t="str">
        <f>"763614180"</f>
        <v>763614180</v>
      </c>
      <c r="B1682" t="s">
        <v>1647</v>
      </c>
      <c r="C1682" s="1">
        <v>1893.28</v>
      </c>
      <c r="D1682" t="str">
        <f>"610"</f>
        <v>610</v>
      </c>
      <c r="E1682" t="str">
        <f>"70540"</f>
        <v>70540</v>
      </c>
    </row>
    <row r="1683" spans="1:5" x14ac:dyDescent="0.25">
      <c r="A1683" t="str">
        <f>"763614195"</f>
        <v>763614195</v>
      </c>
      <c r="B1683" t="s">
        <v>1648</v>
      </c>
      <c r="C1683" s="1">
        <v>2094.6999999999998</v>
      </c>
      <c r="D1683" t="str">
        <f>"612"</f>
        <v>612</v>
      </c>
      <c r="E1683" t="str">
        <f>"72146"</f>
        <v>72146</v>
      </c>
    </row>
    <row r="1684" spans="1:5" x14ac:dyDescent="0.25">
      <c r="A1684" t="str">
        <f>"763614200"</f>
        <v>763614200</v>
      </c>
      <c r="B1684" t="s">
        <v>1649</v>
      </c>
      <c r="C1684" s="1">
        <v>1893.28</v>
      </c>
      <c r="D1684" t="str">
        <f>"610"</f>
        <v>610</v>
      </c>
      <c r="E1684" t="str">
        <f>"70540"</f>
        <v>70540</v>
      </c>
    </row>
    <row r="1685" spans="1:5" x14ac:dyDescent="0.25">
      <c r="A1685" t="str">
        <f>"763614205"</f>
        <v>763614205</v>
      </c>
      <c r="B1685" t="s">
        <v>1650</v>
      </c>
      <c r="C1685" s="1">
        <v>1790.47</v>
      </c>
      <c r="D1685" t="str">
        <f>"610"</f>
        <v>610</v>
      </c>
      <c r="E1685" t="str">
        <f>"70336"</f>
        <v>70336</v>
      </c>
    </row>
    <row r="1686" spans="1:5" x14ac:dyDescent="0.25">
      <c r="A1686" t="str">
        <f>"763614210"</f>
        <v>763614210</v>
      </c>
      <c r="B1686" t="s">
        <v>1651</v>
      </c>
      <c r="C1686" s="1">
        <v>1790.47</v>
      </c>
      <c r="D1686" t="str">
        <f>"610"</f>
        <v>610</v>
      </c>
      <c r="E1686" t="str">
        <f>"70336"</f>
        <v>70336</v>
      </c>
    </row>
    <row r="1687" spans="1:5" x14ac:dyDescent="0.25">
      <c r="A1687" t="str">
        <f>"763614215"</f>
        <v>763614215</v>
      </c>
      <c r="B1687" t="s">
        <v>1652</v>
      </c>
      <c r="C1687" s="1">
        <v>2300.2399999999998</v>
      </c>
      <c r="D1687" t="str">
        <f>"612"</f>
        <v>612</v>
      </c>
      <c r="E1687" t="str">
        <f>"72147"</f>
        <v>72147</v>
      </c>
    </row>
    <row r="1688" spans="1:5" x14ac:dyDescent="0.25">
      <c r="A1688" t="str">
        <f>"763614220"</f>
        <v>763614220</v>
      </c>
      <c r="B1688" t="s">
        <v>1653</v>
      </c>
      <c r="C1688" s="1">
        <v>4065.49</v>
      </c>
      <c r="D1688" t="str">
        <f>"612"</f>
        <v>612</v>
      </c>
      <c r="E1688" t="str">
        <f>"72157"</f>
        <v>72157</v>
      </c>
    </row>
    <row r="1689" spans="1:5" x14ac:dyDescent="0.25">
      <c r="A1689" t="str">
        <f>"763614235"</f>
        <v>763614235</v>
      </c>
      <c r="B1689" t="s">
        <v>1654</v>
      </c>
      <c r="C1689" s="1">
        <v>4125</v>
      </c>
      <c r="D1689" t="str">
        <f t="shared" ref="D1689:D1711" si="73">"610"</f>
        <v>610</v>
      </c>
      <c r="E1689" t="str">
        <f>"73218"</f>
        <v>73218</v>
      </c>
    </row>
    <row r="1690" spans="1:5" x14ac:dyDescent="0.25">
      <c r="A1690" t="str">
        <f>"763614240"</f>
        <v>763614240</v>
      </c>
      <c r="B1690" t="s">
        <v>1655</v>
      </c>
      <c r="C1690" s="1">
        <v>2550.2399999999998</v>
      </c>
      <c r="D1690" t="str">
        <f t="shared" si="73"/>
        <v>610</v>
      </c>
      <c r="E1690" t="str">
        <f>"73219"</f>
        <v>73219</v>
      </c>
    </row>
    <row r="1691" spans="1:5" x14ac:dyDescent="0.25">
      <c r="A1691" t="str">
        <f>"763614245"</f>
        <v>763614245</v>
      </c>
      <c r="B1691" t="s">
        <v>1656</v>
      </c>
      <c r="C1691" s="1">
        <v>3673.75</v>
      </c>
      <c r="D1691" t="str">
        <f t="shared" si="73"/>
        <v>610</v>
      </c>
      <c r="E1691" t="str">
        <f>"73220"</f>
        <v>73220</v>
      </c>
    </row>
    <row r="1692" spans="1:5" x14ac:dyDescent="0.25">
      <c r="A1692" t="str">
        <f>"763614250"</f>
        <v>763614250</v>
      </c>
      <c r="B1692" t="s">
        <v>1657</v>
      </c>
      <c r="C1692" s="1">
        <v>4125</v>
      </c>
      <c r="D1692" t="str">
        <f t="shared" si="73"/>
        <v>610</v>
      </c>
      <c r="E1692" t="str">
        <f>"73221"</f>
        <v>73221</v>
      </c>
    </row>
    <row r="1693" spans="1:5" x14ac:dyDescent="0.25">
      <c r="A1693" t="str">
        <f>"763614255"</f>
        <v>763614255</v>
      </c>
      <c r="B1693" t="s">
        <v>1658</v>
      </c>
      <c r="C1693" s="1">
        <v>3045.74</v>
      </c>
      <c r="D1693" t="str">
        <f t="shared" si="73"/>
        <v>610</v>
      </c>
      <c r="E1693" t="str">
        <f>"73222"</f>
        <v>73222</v>
      </c>
    </row>
    <row r="1694" spans="1:5" x14ac:dyDescent="0.25">
      <c r="A1694" t="str">
        <f>"763614260"</f>
        <v>763614260</v>
      </c>
      <c r="B1694" t="s">
        <v>1659</v>
      </c>
      <c r="C1694" s="1">
        <v>7425</v>
      </c>
      <c r="D1694" t="str">
        <f t="shared" si="73"/>
        <v>610</v>
      </c>
      <c r="E1694" t="str">
        <f>"73223"</f>
        <v>73223</v>
      </c>
    </row>
    <row r="1695" spans="1:5" x14ac:dyDescent="0.25">
      <c r="A1695" t="str">
        <f>"763614265"</f>
        <v>763614265</v>
      </c>
      <c r="B1695" t="s">
        <v>1660</v>
      </c>
      <c r="C1695" s="1">
        <v>3082.7</v>
      </c>
      <c r="D1695" t="str">
        <f t="shared" si="73"/>
        <v>610</v>
      </c>
      <c r="E1695" t="str">
        <f>"73718"</f>
        <v>73718</v>
      </c>
    </row>
    <row r="1696" spans="1:5" x14ac:dyDescent="0.25">
      <c r="A1696" t="str">
        <f>"763614270"</f>
        <v>763614270</v>
      </c>
      <c r="B1696" t="s">
        <v>1661</v>
      </c>
      <c r="C1696" s="1">
        <v>4039.62</v>
      </c>
      <c r="D1696" t="str">
        <f t="shared" si="73"/>
        <v>610</v>
      </c>
      <c r="E1696" t="str">
        <f>"73719"</f>
        <v>73719</v>
      </c>
    </row>
    <row r="1697" spans="1:5" x14ac:dyDescent="0.25">
      <c r="A1697" t="str">
        <f>"763614275"</f>
        <v>763614275</v>
      </c>
      <c r="B1697" t="s">
        <v>1662</v>
      </c>
      <c r="C1697" s="1">
        <v>3898.13</v>
      </c>
      <c r="D1697" t="str">
        <f t="shared" si="73"/>
        <v>610</v>
      </c>
      <c r="E1697" t="str">
        <f>"73720"</f>
        <v>73720</v>
      </c>
    </row>
    <row r="1698" spans="1:5" x14ac:dyDescent="0.25">
      <c r="A1698" t="str">
        <f>"763614280"</f>
        <v>763614280</v>
      </c>
      <c r="B1698" t="s">
        <v>1663</v>
      </c>
      <c r="C1698" s="1">
        <v>3005.31</v>
      </c>
      <c r="D1698" t="str">
        <f t="shared" si="73"/>
        <v>610</v>
      </c>
      <c r="E1698" t="str">
        <f>"73721"</f>
        <v>73721</v>
      </c>
    </row>
    <row r="1699" spans="1:5" x14ac:dyDescent="0.25">
      <c r="A1699" t="str">
        <f>"763614285"</f>
        <v>763614285</v>
      </c>
      <c r="B1699" t="s">
        <v>1664</v>
      </c>
      <c r="C1699" s="1">
        <v>3328.71</v>
      </c>
      <c r="D1699" t="str">
        <f t="shared" si="73"/>
        <v>610</v>
      </c>
      <c r="E1699" t="str">
        <f>"73722"</f>
        <v>73722</v>
      </c>
    </row>
    <row r="1700" spans="1:5" x14ac:dyDescent="0.25">
      <c r="A1700" t="str">
        <f>"763614290"</f>
        <v>763614290</v>
      </c>
      <c r="B1700" t="s">
        <v>1665</v>
      </c>
      <c r="C1700" s="1">
        <v>4123.72</v>
      </c>
      <c r="D1700" t="str">
        <f t="shared" si="73"/>
        <v>610</v>
      </c>
      <c r="E1700" t="str">
        <f>"73723"</f>
        <v>73723</v>
      </c>
    </row>
    <row r="1701" spans="1:5" x14ac:dyDescent="0.25">
      <c r="A1701" t="str">
        <f>"763614295"</f>
        <v>763614295</v>
      </c>
      <c r="B1701" t="s">
        <v>1666</v>
      </c>
      <c r="C1701" s="1">
        <v>3935.32</v>
      </c>
      <c r="D1701" t="str">
        <f t="shared" si="73"/>
        <v>610</v>
      </c>
      <c r="E1701" t="str">
        <f>"74181"</f>
        <v>74181</v>
      </c>
    </row>
    <row r="1702" spans="1:5" x14ac:dyDescent="0.25">
      <c r="A1702" t="str">
        <f>"763614300"</f>
        <v>763614300</v>
      </c>
      <c r="B1702" t="s">
        <v>1667</v>
      </c>
      <c r="C1702" s="1">
        <v>3834.6</v>
      </c>
      <c r="D1702" t="str">
        <f t="shared" si="73"/>
        <v>610</v>
      </c>
      <c r="E1702" t="str">
        <f>"74182"</f>
        <v>74182</v>
      </c>
    </row>
    <row r="1703" spans="1:5" x14ac:dyDescent="0.25">
      <c r="A1703" t="str">
        <f>"763614305"</f>
        <v>763614305</v>
      </c>
      <c r="B1703" t="s">
        <v>1668</v>
      </c>
      <c r="C1703" s="1">
        <v>5804.8</v>
      </c>
      <c r="D1703" t="str">
        <f t="shared" si="73"/>
        <v>610</v>
      </c>
      <c r="E1703" t="str">
        <f>"74183"</f>
        <v>74183</v>
      </c>
    </row>
    <row r="1704" spans="1:5" x14ac:dyDescent="0.25">
      <c r="A1704" t="str">
        <f>"763614310"</f>
        <v>763614310</v>
      </c>
      <c r="B1704" t="s">
        <v>1669</v>
      </c>
      <c r="C1704" s="1">
        <v>3090.78</v>
      </c>
      <c r="D1704" t="str">
        <f t="shared" si="73"/>
        <v>610</v>
      </c>
      <c r="E1704" t="str">
        <f>"C8903"</f>
        <v>C8903</v>
      </c>
    </row>
    <row r="1705" spans="1:5" x14ac:dyDescent="0.25">
      <c r="A1705" t="str">
        <f>"763614315"</f>
        <v>763614315</v>
      </c>
      <c r="B1705" t="s">
        <v>1670</v>
      </c>
      <c r="C1705" s="1">
        <v>2505.7800000000002</v>
      </c>
      <c r="D1705" t="str">
        <f t="shared" si="73"/>
        <v>610</v>
      </c>
      <c r="E1705" t="str">
        <f>"C8904"</f>
        <v>C8904</v>
      </c>
    </row>
    <row r="1706" spans="1:5" x14ac:dyDescent="0.25">
      <c r="A1706" t="str">
        <f>"763614320"</f>
        <v>763614320</v>
      </c>
      <c r="B1706" t="s">
        <v>1671</v>
      </c>
      <c r="C1706" s="1">
        <v>4943.9799999999996</v>
      </c>
      <c r="D1706" t="str">
        <f t="shared" si="73"/>
        <v>610</v>
      </c>
      <c r="E1706" t="str">
        <f>"C8905"</f>
        <v>C8905</v>
      </c>
    </row>
    <row r="1707" spans="1:5" x14ac:dyDescent="0.25">
      <c r="A1707" t="str">
        <f>"763614325"</f>
        <v>763614325</v>
      </c>
      <c r="B1707" t="s">
        <v>1672</v>
      </c>
      <c r="C1707" s="1">
        <v>7024.25</v>
      </c>
      <c r="D1707" t="str">
        <f t="shared" si="73"/>
        <v>610</v>
      </c>
      <c r="E1707" t="str">
        <f>"C8906"</f>
        <v>C8906</v>
      </c>
    </row>
    <row r="1708" spans="1:5" x14ac:dyDescent="0.25">
      <c r="A1708" t="str">
        <f>"763614330"</f>
        <v>763614330</v>
      </c>
      <c r="B1708" t="s">
        <v>1673</v>
      </c>
      <c r="C1708" s="1">
        <v>3678.1</v>
      </c>
      <c r="D1708" t="str">
        <f t="shared" si="73"/>
        <v>610</v>
      </c>
      <c r="E1708" t="str">
        <f>"C8907"</f>
        <v>C8907</v>
      </c>
    </row>
    <row r="1709" spans="1:5" x14ac:dyDescent="0.25">
      <c r="A1709" t="str">
        <f>"763614335"</f>
        <v>763614335</v>
      </c>
      <c r="B1709" t="s">
        <v>1674</v>
      </c>
      <c r="C1709" s="1">
        <v>4477.9399999999996</v>
      </c>
      <c r="D1709" t="str">
        <f t="shared" si="73"/>
        <v>610</v>
      </c>
      <c r="E1709" t="str">
        <f>"C8908"</f>
        <v>C8908</v>
      </c>
    </row>
    <row r="1710" spans="1:5" x14ac:dyDescent="0.25">
      <c r="A1710" t="str">
        <f>"763614340"</f>
        <v>763614340</v>
      </c>
      <c r="B1710" t="s">
        <v>1675</v>
      </c>
      <c r="C1710" s="1">
        <v>3284.82</v>
      </c>
      <c r="D1710" t="str">
        <f t="shared" si="73"/>
        <v>610</v>
      </c>
      <c r="E1710" t="str">
        <f>"C8934"</f>
        <v>C8934</v>
      </c>
    </row>
    <row r="1711" spans="1:5" x14ac:dyDescent="0.25">
      <c r="A1711" t="str">
        <f>"763614345"</f>
        <v>763614345</v>
      </c>
      <c r="B1711" t="s">
        <v>1676</v>
      </c>
      <c r="C1711" s="1">
        <v>3746.82</v>
      </c>
      <c r="D1711" t="str">
        <f t="shared" si="73"/>
        <v>610</v>
      </c>
      <c r="E1711" t="str">
        <f>"C8936"</f>
        <v>C8936</v>
      </c>
    </row>
    <row r="1712" spans="1:5" x14ac:dyDescent="0.25">
      <c r="A1712" t="str">
        <f>"763614350"</f>
        <v>763614350</v>
      </c>
      <c r="B1712" t="s">
        <v>1677</v>
      </c>
      <c r="C1712" s="1">
        <v>3310.23</v>
      </c>
      <c r="D1712" t="str">
        <f t="shared" ref="D1712:D1717" si="74">"615"</f>
        <v>615</v>
      </c>
      <c r="E1712" t="str">
        <f>"70544"</f>
        <v>70544</v>
      </c>
    </row>
    <row r="1713" spans="1:5" x14ac:dyDescent="0.25">
      <c r="A1713" t="str">
        <f>"763614355"</f>
        <v>763614355</v>
      </c>
      <c r="B1713" t="s">
        <v>1678</v>
      </c>
      <c r="C1713" s="1">
        <v>2781.24</v>
      </c>
      <c r="D1713" t="str">
        <f t="shared" si="74"/>
        <v>615</v>
      </c>
      <c r="E1713" t="str">
        <f>"70545"</f>
        <v>70545</v>
      </c>
    </row>
    <row r="1714" spans="1:5" x14ac:dyDescent="0.25">
      <c r="A1714" t="str">
        <f>"763614360"</f>
        <v>763614360</v>
      </c>
      <c r="B1714" t="s">
        <v>1679</v>
      </c>
      <c r="C1714" s="1">
        <v>4998.84</v>
      </c>
      <c r="D1714" t="str">
        <f t="shared" si="74"/>
        <v>615</v>
      </c>
      <c r="E1714" t="str">
        <f>"70546"</f>
        <v>70546</v>
      </c>
    </row>
    <row r="1715" spans="1:5" x14ac:dyDescent="0.25">
      <c r="A1715" t="str">
        <f>"763614365"</f>
        <v>763614365</v>
      </c>
      <c r="B1715" t="s">
        <v>1680</v>
      </c>
      <c r="C1715" s="1">
        <v>3333.33</v>
      </c>
      <c r="D1715" t="str">
        <f t="shared" si="74"/>
        <v>615</v>
      </c>
      <c r="E1715" t="str">
        <f>"70547"</f>
        <v>70547</v>
      </c>
    </row>
    <row r="1716" spans="1:5" x14ac:dyDescent="0.25">
      <c r="A1716" t="str">
        <f>"763614370"</f>
        <v>763614370</v>
      </c>
      <c r="B1716" t="s">
        <v>1681</v>
      </c>
      <c r="C1716" s="1">
        <v>3126.59</v>
      </c>
      <c r="D1716" t="str">
        <f t="shared" si="74"/>
        <v>615</v>
      </c>
      <c r="E1716" t="str">
        <f>"70548"</f>
        <v>70548</v>
      </c>
    </row>
    <row r="1717" spans="1:5" x14ac:dyDescent="0.25">
      <c r="A1717" t="str">
        <f>"763614375"</f>
        <v>763614375</v>
      </c>
      <c r="B1717" t="s">
        <v>1682</v>
      </c>
      <c r="C1717" s="1">
        <v>4682.6000000000004</v>
      </c>
      <c r="D1717" t="str">
        <f t="shared" si="74"/>
        <v>615</v>
      </c>
      <c r="E1717" t="str">
        <f>"70549"</f>
        <v>70549</v>
      </c>
    </row>
    <row r="1718" spans="1:5" x14ac:dyDescent="0.25">
      <c r="A1718" t="str">
        <f>"763614380"</f>
        <v>763614380</v>
      </c>
      <c r="B1718" t="s">
        <v>1683</v>
      </c>
      <c r="C1718" s="1">
        <v>3450.41</v>
      </c>
      <c r="D1718" t="str">
        <f>"616"</f>
        <v>616</v>
      </c>
      <c r="E1718" t="str">
        <f>"C8912"</f>
        <v>C8912</v>
      </c>
    </row>
    <row r="1719" spans="1:5" x14ac:dyDescent="0.25">
      <c r="A1719" t="str">
        <f>"763614385"</f>
        <v>763614385</v>
      </c>
      <c r="B1719" t="s">
        <v>1684</v>
      </c>
      <c r="C1719" s="1">
        <v>3079.23</v>
      </c>
      <c r="D1719" t="str">
        <f>"616"</f>
        <v>616</v>
      </c>
      <c r="E1719" t="str">
        <f>"C8913"</f>
        <v>C8913</v>
      </c>
    </row>
    <row r="1720" spans="1:5" x14ac:dyDescent="0.25">
      <c r="A1720" t="str">
        <f>"763614390"</f>
        <v>763614390</v>
      </c>
      <c r="B1720" t="s">
        <v>1685</v>
      </c>
      <c r="C1720" s="1">
        <v>3466.16</v>
      </c>
      <c r="D1720" t="str">
        <f>"616"</f>
        <v>616</v>
      </c>
      <c r="E1720" t="str">
        <f>"C8914"</f>
        <v>C8914</v>
      </c>
    </row>
    <row r="1721" spans="1:5" x14ac:dyDescent="0.25">
      <c r="A1721" t="str">
        <f>"763614395"</f>
        <v>763614395</v>
      </c>
      <c r="B1721" t="s">
        <v>1686</v>
      </c>
      <c r="C1721" s="1">
        <v>3653.27</v>
      </c>
      <c r="D1721" t="str">
        <f t="shared" ref="D1721:D1726" si="75">"618"</f>
        <v>618</v>
      </c>
      <c r="E1721" t="str">
        <f>"C8900"</f>
        <v>C8900</v>
      </c>
    </row>
    <row r="1722" spans="1:5" x14ac:dyDescent="0.25">
      <c r="A1722" t="str">
        <f>"763614400"</f>
        <v>763614400</v>
      </c>
      <c r="B1722" t="s">
        <v>1687</v>
      </c>
      <c r="C1722" s="1">
        <v>3215.52</v>
      </c>
      <c r="D1722" t="str">
        <f t="shared" si="75"/>
        <v>618</v>
      </c>
      <c r="E1722" t="str">
        <f>"C8901"</f>
        <v>C8901</v>
      </c>
    </row>
    <row r="1723" spans="1:5" x14ac:dyDescent="0.25">
      <c r="A1723" t="str">
        <f>"763614405"</f>
        <v>763614405</v>
      </c>
      <c r="B1723" t="s">
        <v>1688</v>
      </c>
      <c r="C1723" s="1">
        <v>3766.46</v>
      </c>
      <c r="D1723" t="str">
        <f t="shared" si="75"/>
        <v>618</v>
      </c>
      <c r="E1723" t="str">
        <f>"C8902"</f>
        <v>C8902</v>
      </c>
    </row>
    <row r="1724" spans="1:5" x14ac:dyDescent="0.25">
      <c r="A1724" t="str">
        <f>"763614410"</f>
        <v>763614410</v>
      </c>
      <c r="B1724" t="s">
        <v>1689</v>
      </c>
      <c r="C1724" s="1">
        <v>3184.34</v>
      </c>
      <c r="D1724" t="str">
        <f t="shared" si="75"/>
        <v>618</v>
      </c>
      <c r="E1724" t="str">
        <f>"C8909"</f>
        <v>C8909</v>
      </c>
    </row>
    <row r="1725" spans="1:5" x14ac:dyDescent="0.25">
      <c r="A1725" t="str">
        <f>"763614415"</f>
        <v>763614415</v>
      </c>
      <c r="B1725" t="s">
        <v>1690</v>
      </c>
      <c r="C1725" s="1">
        <v>2636.96</v>
      </c>
      <c r="D1725" t="str">
        <f t="shared" si="75"/>
        <v>618</v>
      </c>
      <c r="E1725" t="str">
        <f>"C8910"</f>
        <v>C8910</v>
      </c>
    </row>
    <row r="1726" spans="1:5" x14ac:dyDescent="0.25">
      <c r="A1726" t="str">
        <f>"763614420"</f>
        <v>763614420</v>
      </c>
      <c r="B1726" t="s">
        <v>1691</v>
      </c>
      <c r="C1726" s="1">
        <v>4469.8500000000004</v>
      </c>
      <c r="D1726" t="str">
        <f t="shared" si="75"/>
        <v>618</v>
      </c>
      <c r="E1726" t="str">
        <f>"C8911"</f>
        <v>C8911</v>
      </c>
    </row>
    <row r="1727" spans="1:5" x14ac:dyDescent="0.25">
      <c r="A1727" t="str">
        <f>"763614425"</f>
        <v>763614425</v>
      </c>
      <c r="B1727" t="s">
        <v>1692</v>
      </c>
      <c r="C1727" s="1">
        <v>2591.8200000000002</v>
      </c>
      <c r="D1727" t="str">
        <f>"610"</f>
        <v>610</v>
      </c>
      <c r="E1727" t="str">
        <f>"C8935"</f>
        <v>C8935</v>
      </c>
    </row>
    <row r="1728" spans="1:5" x14ac:dyDescent="0.25">
      <c r="A1728" t="str">
        <f>"763630005"</f>
        <v>763630005</v>
      </c>
      <c r="B1728" t="s">
        <v>1693</v>
      </c>
      <c r="C1728">
        <v>395.4</v>
      </c>
      <c r="D1728" t="str">
        <f>"636"</f>
        <v>636</v>
      </c>
      <c r="E1728" t="str">
        <f>"Q9967"</f>
        <v>Q9967</v>
      </c>
    </row>
    <row r="1729" spans="1:5" x14ac:dyDescent="0.25">
      <c r="A1729" t="str">
        <f>"763630025"</f>
        <v>763630025</v>
      </c>
      <c r="B1729" t="s">
        <v>1694</v>
      </c>
      <c r="C1729">
        <v>279.51</v>
      </c>
      <c r="D1729" t="str">
        <f>"636"</f>
        <v>636</v>
      </c>
      <c r="E1729" t="str">
        <f>"A9579"</f>
        <v>A9579</v>
      </c>
    </row>
    <row r="1730" spans="1:5" x14ac:dyDescent="0.25">
      <c r="A1730" t="str">
        <f>"763630026"</f>
        <v>763630026</v>
      </c>
      <c r="B1730" t="s">
        <v>1695</v>
      </c>
      <c r="C1730" s="1">
        <v>2980.01</v>
      </c>
      <c r="D1730" t="str">
        <f>"352"</f>
        <v>352</v>
      </c>
      <c r="E1730" t="str">
        <f>"71275"</f>
        <v>71275</v>
      </c>
    </row>
    <row r="1731" spans="1:5" x14ac:dyDescent="0.25">
      <c r="A1731" t="str">
        <f>"763630027"</f>
        <v>763630027</v>
      </c>
      <c r="B1731" t="s">
        <v>1696</v>
      </c>
      <c r="C1731" s="1">
        <v>2079</v>
      </c>
      <c r="D1731" t="str">
        <f>"352"</f>
        <v>352</v>
      </c>
      <c r="E1731" t="str">
        <f>"74230"</f>
        <v>74230</v>
      </c>
    </row>
    <row r="1732" spans="1:5" x14ac:dyDescent="0.25">
      <c r="A1732" t="str">
        <f>"763630028"</f>
        <v>763630028</v>
      </c>
      <c r="B1732" t="s">
        <v>1697</v>
      </c>
      <c r="C1732" s="1">
        <v>1540</v>
      </c>
      <c r="D1732" t="str">
        <f>"352"</f>
        <v>352</v>
      </c>
      <c r="E1732" t="str">
        <f>"76536"</f>
        <v>76536</v>
      </c>
    </row>
    <row r="1733" spans="1:5" x14ac:dyDescent="0.25">
      <c r="A1733" t="str">
        <f>"763630029"</f>
        <v>763630029</v>
      </c>
      <c r="B1733" t="s">
        <v>1698</v>
      </c>
      <c r="C1733" s="1">
        <v>1078</v>
      </c>
      <c r="D1733" t="str">
        <f>"612"</f>
        <v>612</v>
      </c>
      <c r="E1733" t="str">
        <f>"A9575"</f>
        <v>A9575</v>
      </c>
    </row>
    <row r="1734" spans="1:5" x14ac:dyDescent="0.25">
      <c r="A1734" t="str">
        <f>"763630030"</f>
        <v>763630030</v>
      </c>
      <c r="B1734" t="s">
        <v>1699</v>
      </c>
      <c r="C1734" s="1">
        <v>1402.5</v>
      </c>
      <c r="D1734" t="str">
        <f>"320"</f>
        <v>320</v>
      </c>
    </row>
    <row r="1735" spans="1:5" x14ac:dyDescent="0.25">
      <c r="A1735" t="str">
        <f>"838946861"</f>
        <v>838946861</v>
      </c>
      <c r="B1735" t="s">
        <v>1700</v>
      </c>
      <c r="C1735">
        <v>173.25</v>
      </c>
      <c r="D1735" t="str">
        <f>"272"</f>
        <v>272</v>
      </c>
    </row>
    <row r="1736" spans="1:5" x14ac:dyDescent="0.25">
      <c r="A1736" t="str">
        <f>"759270653"</f>
        <v>759270653</v>
      </c>
      <c r="B1736" t="s">
        <v>1701</v>
      </c>
      <c r="C1736">
        <v>63.53</v>
      </c>
      <c r="D1736" t="str">
        <f>"270"</f>
        <v>270</v>
      </c>
    </row>
    <row r="1737" spans="1:5" x14ac:dyDescent="0.25">
      <c r="A1737" t="str">
        <f>"759411200"</f>
        <v>759411200</v>
      </c>
      <c r="B1737" t="s">
        <v>1702</v>
      </c>
      <c r="C1737">
        <v>229.15</v>
      </c>
      <c r="D1737" t="str">
        <f>"270"</f>
        <v>270</v>
      </c>
    </row>
    <row r="1738" spans="1:5" x14ac:dyDescent="0.25">
      <c r="A1738" t="str">
        <f>"759482075"</f>
        <v>759482075</v>
      </c>
      <c r="B1738" t="s">
        <v>1703</v>
      </c>
      <c r="C1738">
        <v>97.93</v>
      </c>
      <c r="D1738" t="str">
        <f>"410"</f>
        <v>410</v>
      </c>
      <c r="E1738" t="str">
        <f>"94640"</f>
        <v>94640</v>
      </c>
    </row>
    <row r="1739" spans="1:5" x14ac:dyDescent="0.25">
      <c r="A1739" t="str">
        <f>"759482104"</f>
        <v>759482104</v>
      </c>
      <c r="B1739" t="s">
        <v>1704</v>
      </c>
      <c r="C1739">
        <v>97.93</v>
      </c>
      <c r="D1739" t="str">
        <f>"410"</f>
        <v>410</v>
      </c>
      <c r="E1739" t="str">
        <f>"94640"</f>
        <v>94640</v>
      </c>
    </row>
    <row r="1740" spans="1:5" x14ac:dyDescent="0.25">
      <c r="A1740" t="str">
        <f>"772274339"</f>
        <v>772274339</v>
      </c>
      <c r="B1740" t="s">
        <v>1705</v>
      </c>
      <c r="C1740">
        <v>414.41</v>
      </c>
      <c r="D1740" t="str">
        <f>"271"</f>
        <v>271</v>
      </c>
    </row>
    <row r="1741" spans="1:5" x14ac:dyDescent="0.25">
      <c r="A1741" t="str">
        <f>"772274621"</f>
        <v>772274621</v>
      </c>
      <c r="B1741" t="s">
        <v>1706</v>
      </c>
      <c r="C1741">
        <v>218.99</v>
      </c>
      <c r="D1741" t="str">
        <f>"270"</f>
        <v>270</v>
      </c>
    </row>
    <row r="1742" spans="1:5" x14ac:dyDescent="0.25">
      <c r="A1742" t="str">
        <f>"772410000"</f>
        <v>772410000</v>
      </c>
      <c r="B1742" t="s">
        <v>1707</v>
      </c>
      <c r="C1742">
        <v>780.21</v>
      </c>
      <c r="D1742" t="str">
        <f>"999"</f>
        <v>999</v>
      </c>
    </row>
    <row r="1743" spans="1:5" x14ac:dyDescent="0.25">
      <c r="A1743" t="str">
        <f>"772411000"</f>
        <v>772411000</v>
      </c>
      <c r="B1743" t="s">
        <v>1708</v>
      </c>
      <c r="C1743">
        <v>93.49</v>
      </c>
      <c r="D1743" t="str">
        <f>"410"</f>
        <v>410</v>
      </c>
      <c r="E1743" t="str">
        <f>"94640"</f>
        <v>94640</v>
      </c>
    </row>
    <row r="1744" spans="1:5" x14ac:dyDescent="0.25">
      <c r="A1744" t="str">
        <f>"772411002"</f>
        <v>772411002</v>
      </c>
      <c r="B1744" t="s">
        <v>1709</v>
      </c>
      <c r="C1744">
        <v>93.49</v>
      </c>
      <c r="D1744" t="str">
        <f>"410"</f>
        <v>410</v>
      </c>
      <c r="E1744" t="str">
        <f>"94640"</f>
        <v>94640</v>
      </c>
    </row>
    <row r="1745" spans="1:5" x14ac:dyDescent="0.25">
      <c r="A1745" t="str">
        <f>"772411005"</f>
        <v>772411005</v>
      </c>
      <c r="B1745" t="s">
        <v>1710</v>
      </c>
      <c r="C1745">
        <v>84.8</v>
      </c>
      <c r="D1745" t="str">
        <f>"999"</f>
        <v>999</v>
      </c>
    </row>
    <row r="1746" spans="1:5" x14ac:dyDescent="0.25">
      <c r="A1746" t="str">
        <f>"772411010"</f>
        <v>772411010</v>
      </c>
      <c r="B1746" t="s">
        <v>1711</v>
      </c>
      <c r="C1746">
        <v>84.8</v>
      </c>
      <c r="D1746" t="str">
        <f>"999"</f>
        <v>999</v>
      </c>
    </row>
    <row r="1747" spans="1:5" x14ac:dyDescent="0.25">
      <c r="A1747" t="str">
        <f>"772411010"</f>
        <v>772411010</v>
      </c>
      <c r="B1747" t="s">
        <v>1711</v>
      </c>
      <c r="C1747">
        <v>84.8</v>
      </c>
      <c r="D1747" t="str">
        <f>"410"</f>
        <v>410</v>
      </c>
    </row>
    <row r="1748" spans="1:5" x14ac:dyDescent="0.25">
      <c r="A1748" t="str">
        <f>"772411015"</f>
        <v>772411015</v>
      </c>
      <c r="B1748" t="s">
        <v>1712</v>
      </c>
      <c r="C1748">
        <v>83.49</v>
      </c>
      <c r="D1748" t="str">
        <f>"999"</f>
        <v>999</v>
      </c>
    </row>
    <row r="1749" spans="1:5" x14ac:dyDescent="0.25">
      <c r="A1749" t="str">
        <f>"772411025"</f>
        <v>772411025</v>
      </c>
      <c r="B1749" t="s">
        <v>1713</v>
      </c>
      <c r="C1749">
        <v>91.25</v>
      </c>
      <c r="D1749" t="str">
        <f>"410"</f>
        <v>410</v>
      </c>
      <c r="E1749" t="str">
        <f>"94664"</f>
        <v>94664</v>
      </c>
    </row>
    <row r="1750" spans="1:5" x14ac:dyDescent="0.25">
      <c r="A1750" t="str">
        <f>"772411030"</f>
        <v>772411030</v>
      </c>
      <c r="B1750" t="s">
        <v>1714</v>
      </c>
      <c r="C1750">
        <v>198.66</v>
      </c>
      <c r="D1750" t="str">
        <f>"460"</f>
        <v>460</v>
      </c>
      <c r="E1750" t="str">
        <f>"94640"</f>
        <v>94640</v>
      </c>
    </row>
    <row r="1751" spans="1:5" x14ac:dyDescent="0.25">
      <c r="A1751" t="str">
        <f>"772411040"</f>
        <v>772411040</v>
      </c>
      <c r="B1751" t="s">
        <v>1715</v>
      </c>
      <c r="C1751">
        <v>130.05000000000001</v>
      </c>
      <c r="D1751" t="str">
        <f>"410"</f>
        <v>410</v>
      </c>
      <c r="E1751" t="str">
        <f>"94640"</f>
        <v>94640</v>
      </c>
    </row>
    <row r="1752" spans="1:5" x14ac:dyDescent="0.25">
      <c r="A1752" t="str">
        <f>"772411050"</f>
        <v>772411050</v>
      </c>
      <c r="B1752" t="s">
        <v>1716</v>
      </c>
      <c r="C1752">
        <v>88.29</v>
      </c>
      <c r="D1752" t="str">
        <f>"410"</f>
        <v>410</v>
      </c>
      <c r="E1752" t="str">
        <f>"94664"</f>
        <v>94664</v>
      </c>
    </row>
    <row r="1753" spans="1:5" x14ac:dyDescent="0.25">
      <c r="A1753" t="str">
        <f>"772411055"</f>
        <v>772411055</v>
      </c>
      <c r="B1753" t="s">
        <v>1717</v>
      </c>
      <c r="C1753">
        <v>395.01</v>
      </c>
      <c r="D1753" t="str">
        <f>"410"</f>
        <v>410</v>
      </c>
      <c r="E1753" t="str">
        <f>"94644"</f>
        <v>94644</v>
      </c>
    </row>
    <row r="1754" spans="1:5" x14ac:dyDescent="0.25">
      <c r="A1754" t="str">
        <f>"772411080"</f>
        <v>772411080</v>
      </c>
      <c r="B1754" t="s">
        <v>1718</v>
      </c>
      <c r="C1754">
        <v>512.82000000000005</v>
      </c>
      <c r="D1754" t="str">
        <f>"480"</f>
        <v>480</v>
      </c>
      <c r="E1754" t="str">
        <f>"92950"</f>
        <v>92950</v>
      </c>
    </row>
    <row r="1755" spans="1:5" x14ac:dyDescent="0.25">
      <c r="A1755" t="str">
        <f>"772411110"</f>
        <v>772411110</v>
      </c>
      <c r="B1755" t="s">
        <v>1719</v>
      </c>
      <c r="C1755">
        <v>173.83</v>
      </c>
      <c r="D1755" t="str">
        <f>"460"</f>
        <v>460</v>
      </c>
      <c r="E1755" t="str">
        <f>"94150"</f>
        <v>94150</v>
      </c>
    </row>
    <row r="1756" spans="1:5" x14ac:dyDescent="0.25">
      <c r="A1756" t="str">
        <f>"772411200"</f>
        <v>772411200</v>
      </c>
      <c r="B1756" t="s">
        <v>1702</v>
      </c>
      <c r="C1756">
        <v>229.05</v>
      </c>
      <c r="D1756" t="str">
        <f>"270"</f>
        <v>270</v>
      </c>
    </row>
    <row r="1757" spans="1:5" x14ac:dyDescent="0.25">
      <c r="A1757" t="str">
        <f>"772411201"</f>
        <v>772411201</v>
      </c>
      <c r="B1757" t="s">
        <v>1720</v>
      </c>
      <c r="C1757">
        <v>91.25</v>
      </c>
      <c r="D1757" t="str">
        <f>"460"</f>
        <v>460</v>
      </c>
      <c r="E1757" t="str">
        <f>"94640"</f>
        <v>94640</v>
      </c>
    </row>
    <row r="1758" spans="1:5" x14ac:dyDescent="0.25">
      <c r="A1758" t="str">
        <f>"772411203"</f>
        <v>772411203</v>
      </c>
      <c r="B1758" t="s">
        <v>1721</v>
      </c>
      <c r="C1758">
        <v>91.25</v>
      </c>
      <c r="D1758" t="str">
        <f>"460"</f>
        <v>460</v>
      </c>
      <c r="E1758" t="str">
        <f>"94640"</f>
        <v>94640</v>
      </c>
    </row>
    <row r="1759" spans="1:5" x14ac:dyDescent="0.25">
      <c r="A1759" t="str">
        <f>"772411205"</f>
        <v>772411205</v>
      </c>
      <c r="B1759" t="s">
        <v>1722</v>
      </c>
      <c r="C1759">
        <v>55.79</v>
      </c>
      <c r="D1759" t="str">
        <f>"270"</f>
        <v>270</v>
      </c>
    </row>
    <row r="1760" spans="1:5" x14ac:dyDescent="0.25">
      <c r="A1760" t="str">
        <f>"772411210"</f>
        <v>772411210</v>
      </c>
      <c r="B1760" t="s">
        <v>1723</v>
      </c>
      <c r="C1760">
        <v>83.49</v>
      </c>
      <c r="D1760" t="str">
        <f>"999"</f>
        <v>999</v>
      </c>
    </row>
    <row r="1761" spans="1:5" x14ac:dyDescent="0.25">
      <c r="A1761" t="str">
        <f>"772411265"</f>
        <v>772411265</v>
      </c>
      <c r="B1761" t="s">
        <v>1724</v>
      </c>
      <c r="C1761">
        <v>82.47</v>
      </c>
      <c r="D1761" t="str">
        <f>"278"</f>
        <v>278</v>
      </c>
    </row>
    <row r="1762" spans="1:5" x14ac:dyDescent="0.25">
      <c r="A1762" t="str">
        <f>"772411305"</f>
        <v>772411305</v>
      </c>
      <c r="B1762" t="s">
        <v>1725</v>
      </c>
      <c r="C1762">
        <v>166.98</v>
      </c>
      <c r="D1762" t="str">
        <f>"410"</f>
        <v>410</v>
      </c>
      <c r="E1762" t="str">
        <f>"94656"</f>
        <v>94656</v>
      </c>
    </row>
    <row r="1763" spans="1:5" x14ac:dyDescent="0.25">
      <c r="A1763" t="str">
        <f>"772411306"</f>
        <v>772411306</v>
      </c>
      <c r="B1763" t="s">
        <v>1726</v>
      </c>
      <c r="C1763">
        <v>993</v>
      </c>
      <c r="D1763" t="str">
        <f>"410"</f>
        <v>410</v>
      </c>
      <c r="E1763" t="str">
        <f>"94002"</f>
        <v>94002</v>
      </c>
    </row>
    <row r="1764" spans="1:5" x14ac:dyDescent="0.25">
      <c r="A1764" t="str">
        <f>"772411311"</f>
        <v>772411311</v>
      </c>
      <c r="B1764" t="s">
        <v>1727</v>
      </c>
      <c r="C1764">
        <v>90.75</v>
      </c>
      <c r="D1764" t="str">
        <f>"410"</f>
        <v>410</v>
      </c>
      <c r="E1764" t="str">
        <f>"94660"</f>
        <v>94660</v>
      </c>
    </row>
    <row r="1765" spans="1:5" x14ac:dyDescent="0.25">
      <c r="A1765" t="str">
        <f>"772411312"</f>
        <v>772411312</v>
      </c>
      <c r="B1765" t="s">
        <v>1728</v>
      </c>
      <c r="C1765">
        <v>231</v>
      </c>
      <c r="D1765" t="str">
        <f>"410"</f>
        <v>410</v>
      </c>
      <c r="E1765" t="str">
        <f>"94660"</f>
        <v>94660</v>
      </c>
    </row>
    <row r="1766" spans="1:5" x14ac:dyDescent="0.25">
      <c r="A1766" t="str">
        <f>"772411313"</f>
        <v>772411313</v>
      </c>
      <c r="B1766" t="s">
        <v>1729</v>
      </c>
      <c r="C1766">
        <v>334.03</v>
      </c>
      <c r="D1766" t="str">
        <f>"271"</f>
        <v>271</v>
      </c>
    </row>
    <row r="1767" spans="1:5" x14ac:dyDescent="0.25">
      <c r="A1767" t="str">
        <f>"772411314"</f>
        <v>772411314</v>
      </c>
      <c r="B1767" t="s">
        <v>1730</v>
      </c>
      <c r="C1767">
        <v>70.63</v>
      </c>
      <c r="D1767" t="str">
        <f>"410"</f>
        <v>410</v>
      </c>
    </row>
    <row r="1768" spans="1:5" x14ac:dyDescent="0.25">
      <c r="A1768" t="str">
        <f>"772411315"</f>
        <v>772411315</v>
      </c>
      <c r="B1768" t="s">
        <v>1731</v>
      </c>
      <c r="C1768">
        <v>44.67</v>
      </c>
      <c r="D1768" t="str">
        <f>"410"</f>
        <v>410</v>
      </c>
    </row>
    <row r="1769" spans="1:5" x14ac:dyDescent="0.25">
      <c r="A1769" t="str">
        <f>"772411316"</f>
        <v>772411316</v>
      </c>
      <c r="B1769" t="s">
        <v>1732</v>
      </c>
      <c r="C1769">
        <v>146.74</v>
      </c>
      <c r="D1769" t="str">
        <f>"410"</f>
        <v>410</v>
      </c>
      <c r="E1769" t="str">
        <f>"94667"</f>
        <v>94667</v>
      </c>
    </row>
    <row r="1770" spans="1:5" x14ac:dyDescent="0.25">
      <c r="A1770" t="str">
        <f>"772411320"</f>
        <v>772411320</v>
      </c>
      <c r="B1770" t="s">
        <v>1733</v>
      </c>
      <c r="C1770">
        <v>298.54000000000002</v>
      </c>
      <c r="D1770" t="str">
        <f>"306"</f>
        <v>306</v>
      </c>
      <c r="E1770" t="str">
        <f>"82805"</f>
        <v>82805</v>
      </c>
    </row>
    <row r="1771" spans="1:5" x14ac:dyDescent="0.25">
      <c r="A1771" t="str">
        <f>"772411321"</f>
        <v>772411321</v>
      </c>
      <c r="B1771" t="s">
        <v>1734</v>
      </c>
      <c r="C1771">
        <v>298.54000000000002</v>
      </c>
      <c r="D1771" t="str">
        <f>"306"</f>
        <v>306</v>
      </c>
      <c r="E1771" t="str">
        <f>"82805"</f>
        <v>82805</v>
      </c>
    </row>
    <row r="1772" spans="1:5" x14ac:dyDescent="0.25">
      <c r="A1772" t="str">
        <f>"772411325"</f>
        <v>772411325</v>
      </c>
      <c r="B1772" t="s">
        <v>1735</v>
      </c>
      <c r="C1772">
        <v>75.2</v>
      </c>
      <c r="D1772" t="str">
        <f>"278"</f>
        <v>278</v>
      </c>
      <c r="E1772" t="str">
        <f>"36600"</f>
        <v>36600</v>
      </c>
    </row>
    <row r="1773" spans="1:5" x14ac:dyDescent="0.25">
      <c r="A1773" t="str">
        <f>"772411330"</f>
        <v>772411330</v>
      </c>
      <c r="B1773" t="s">
        <v>705</v>
      </c>
      <c r="C1773">
        <v>635.25</v>
      </c>
      <c r="D1773" t="str">
        <f>"300"</f>
        <v>300</v>
      </c>
      <c r="E1773" t="str">
        <f>"82805"</f>
        <v>82805</v>
      </c>
    </row>
    <row r="1774" spans="1:5" x14ac:dyDescent="0.25">
      <c r="A1774" t="str">
        <f>"772411335"</f>
        <v>772411335</v>
      </c>
      <c r="B1774" t="s">
        <v>1736</v>
      </c>
      <c r="C1774">
        <v>30.49</v>
      </c>
      <c r="D1774" t="str">
        <f>"410"</f>
        <v>410</v>
      </c>
      <c r="E1774" t="str">
        <f>"94761"</f>
        <v>94761</v>
      </c>
    </row>
    <row r="1775" spans="1:5" x14ac:dyDescent="0.25">
      <c r="A1775" t="str">
        <f>"772411360"</f>
        <v>772411360</v>
      </c>
      <c r="B1775" t="s">
        <v>1737</v>
      </c>
      <c r="C1775">
        <v>220</v>
      </c>
      <c r="D1775" t="str">
        <f>"410"</f>
        <v>410</v>
      </c>
    </row>
    <row r="1776" spans="1:5" x14ac:dyDescent="0.25">
      <c r="A1776" t="str">
        <f>"772411365"</f>
        <v>772411365</v>
      </c>
      <c r="B1776" t="s">
        <v>1738</v>
      </c>
      <c r="C1776">
        <v>188.47</v>
      </c>
      <c r="D1776" t="str">
        <f>"410"</f>
        <v>410</v>
      </c>
    </row>
    <row r="1777" spans="1:5" x14ac:dyDescent="0.25">
      <c r="A1777" t="str">
        <f>"772411410"</f>
        <v>772411410</v>
      </c>
      <c r="B1777" t="s">
        <v>1739</v>
      </c>
      <c r="C1777">
        <v>179.91</v>
      </c>
      <c r="D1777" t="str">
        <f t="shared" ref="D1777:D1782" si="76">"460"</f>
        <v>460</v>
      </c>
      <c r="E1777" t="str">
        <f>"94010"</f>
        <v>94010</v>
      </c>
    </row>
    <row r="1778" spans="1:5" x14ac:dyDescent="0.25">
      <c r="A1778" t="str">
        <f>"772411500"</f>
        <v>772411500</v>
      </c>
      <c r="B1778" t="s">
        <v>1740</v>
      </c>
      <c r="C1778">
        <v>143.22</v>
      </c>
      <c r="D1778" t="str">
        <f t="shared" si="76"/>
        <v>460</v>
      </c>
      <c r="E1778" t="str">
        <f>"94150"</f>
        <v>94150</v>
      </c>
    </row>
    <row r="1779" spans="1:5" x14ac:dyDescent="0.25">
      <c r="A1779" t="str">
        <f>"772411505"</f>
        <v>772411505</v>
      </c>
      <c r="B1779" t="s">
        <v>1741</v>
      </c>
      <c r="C1779">
        <v>291.06</v>
      </c>
      <c r="D1779" t="str">
        <f t="shared" si="76"/>
        <v>460</v>
      </c>
      <c r="E1779" t="str">
        <f>"94060"</f>
        <v>94060</v>
      </c>
    </row>
    <row r="1780" spans="1:5" x14ac:dyDescent="0.25">
      <c r="A1780" t="str">
        <f>"772411515"</f>
        <v>772411515</v>
      </c>
      <c r="B1780" t="s">
        <v>1742</v>
      </c>
      <c r="C1780">
        <v>98.41</v>
      </c>
      <c r="D1780" t="str">
        <f t="shared" si="76"/>
        <v>460</v>
      </c>
      <c r="E1780" t="str">
        <f>"94370"</f>
        <v>94370</v>
      </c>
    </row>
    <row r="1781" spans="1:5" x14ac:dyDescent="0.25">
      <c r="A1781" t="str">
        <f>"772411520"</f>
        <v>772411520</v>
      </c>
      <c r="B1781" t="s">
        <v>1743</v>
      </c>
      <c r="C1781">
        <v>88.7</v>
      </c>
      <c r="D1781" t="str">
        <f t="shared" si="76"/>
        <v>460</v>
      </c>
      <c r="E1781" t="str">
        <f>"94240"</f>
        <v>94240</v>
      </c>
    </row>
    <row r="1782" spans="1:5" x14ac:dyDescent="0.25">
      <c r="A1782" t="str">
        <f>"772411525"</f>
        <v>772411525</v>
      </c>
      <c r="B1782" t="s">
        <v>1744</v>
      </c>
      <c r="C1782">
        <v>123.35</v>
      </c>
      <c r="D1782" t="str">
        <f t="shared" si="76"/>
        <v>460</v>
      </c>
      <c r="E1782" t="str">
        <f>"94375"</f>
        <v>94375</v>
      </c>
    </row>
    <row r="1783" spans="1:5" x14ac:dyDescent="0.25">
      <c r="A1783" t="str">
        <f>"772411530"</f>
        <v>772411530</v>
      </c>
      <c r="B1783" t="s">
        <v>1745</v>
      </c>
      <c r="C1783">
        <v>198.66</v>
      </c>
      <c r="D1783" t="str">
        <f>"410"</f>
        <v>410</v>
      </c>
      <c r="E1783" t="str">
        <f>"94640"</f>
        <v>94640</v>
      </c>
    </row>
    <row r="1784" spans="1:5" x14ac:dyDescent="0.25">
      <c r="A1784" t="str">
        <f>"772411535"</f>
        <v>772411535</v>
      </c>
      <c r="B1784" t="s">
        <v>1746</v>
      </c>
      <c r="C1784">
        <v>198.66</v>
      </c>
      <c r="D1784" t="str">
        <f>"410"</f>
        <v>410</v>
      </c>
      <c r="E1784" t="str">
        <f>"94640"</f>
        <v>94640</v>
      </c>
    </row>
    <row r="1785" spans="1:5" x14ac:dyDescent="0.25">
      <c r="A1785" t="str">
        <f>"772411540"</f>
        <v>772411540</v>
      </c>
      <c r="B1785" t="s">
        <v>1747</v>
      </c>
      <c r="C1785">
        <v>236.78</v>
      </c>
      <c r="D1785" t="str">
        <f>"410"</f>
        <v>410</v>
      </c>
      <c r="E1785" t="str">
        <f>"94645"</f>
        <v>94645</v>
      </c>
    </row>
    <row r="1786" spans="1:5" x14ac:dyDescent="0.25">
      <c r="A1786" t="str">
        <f>"772411545"</f>
        <v>772411545</v>
      </c>
      <c r="B1786" t="s">
        <v>1748</v>
      </c>
      <c r="C1786">
        <v>245.72</v>
      </c>
      <c r="D1786" t="str">
        <f>"410"</f>
        <v>410</v>
      </c>
      <c r="E1786" t="str">
        <f>"94668"</f>
        <v>94668</v>
      </c>
    </row>
    <row r="1787" spans="1:5" x14ac:dyDescent="0.25">
      <c r="A1787" t="str">
        <f>"772460001"</f>
        <v>772460001</v>
      </c>
      <c r="B1787" t="s">
        <v>1749</v>
      </c>
      <c r="C1787">
        <v>660</v>
      </c>
      <c r="D1787" t="str">
        <f>"460"</f>
        <v>460</v>
      </c>
      <c r="E1787" t="str">
        <f>"94729"</f>
        <v>94729</v>
      </c>
    </row>
    <row r="1788" spans="1:5" x14ac:dyDescent="0.25">
      <c r="A1788" t="str">
        <f>"838300179"</f>
        <v>838300179</v>
      </c>
      <c r="B1788" t="s">
        <v>1750</v>
      </c>
      <c r="C1788">
        <v>209</v>
      </c>
      <c r="D1788" t="str">
        <f>"410"</f>
        <v>410</v>
      </c>
    </row>
    <row r="1789" spans="1:5" x14ac:dyDescent="0.25">
      <c r="A1789" t="str">
        <f>"838300181"</f>
        <v>838300181</v>
      </c>
      <c r="B1789" t="s">
        <v>1751</v>
      </c>
      <c r="C1789">
        <v>341</v>
      </c>
      <c r="D1789" t="str">
        <f>"410"</f>
        <v>410</v>
      </c>
      <c r="E1789" t="str">
        <f>"94618"</f>
        <v>94618</v>
      </c>
    </row>
    <row r="1790" spans="1:5" x14ac:dyDescent="0.25">
      <c r="A1790" t="str">
        <f>"838300182"</f>
        <v>838300182</v>
      </c>
      <c r="B1790" t="s">
        <v>45</v>
      </c>
      <c r="C1790">
        <v>379.5</v>
      </c>
      <c r="D1790" t="str">
        <f>"410"</f>
        <v>410</v>
      </c>
      <c r="E1790" t="str">
        <f>"92950"</f>
        <v>92950</v>
      </c>
    </row>
    <row r="1791" spans="1:5" x14ac:dyDescent="0.25">
      <c r="A1791" t="str">
        <f>"777421016"</f>
        <v>777421016</v>
      </c>
      <c r="B1791" t="s">
        <v>1752</v>
      </c>
      <c r="C1791">
        <v>115.5</v>
      </c>
      <c r="D1791" t="str">
        <f t="shared" ref="D1791:D1797" si="77">"420"</f>
        <v>420</v>
      </c>
    </row>
    <row r="1792" spans="1:5" x14ac:dyDescent="0.25">
      <c r="A1792" t="str">
        <f>"777421017"</f>
        <v>777421017</v>
      </c>
      <c r="B1792" t="s">
        <v>1753</v>
      </c>
      <c r="C1792">
        <v>144.38</v>
      </c>
      <c r="D1792" t="str">
        <f t="shared" si="77"/>
        <v>420</v>
      </c>
    </row>
    <row r="1793" spans="1:5" x14ac:dyDescent="0.25">
      <c r="A1793" t="str">
        <f>"777421020"</f>
        <v>777421020</v>
      </c>
      <c r="B1793" t="s">
        <v>1754</v>
      </c>
      <c r="C1793">
        <v>90.09</v>
      </c>
      <c r="D1793" t="str">
        <f t="shared" si="77"/>
        <v>420</v>
      </c>
      <c r="E1793" t="str">
        <f>"95851"</f>
        <v>95851</v>
      </c>
    </row>
    <row r="1794" spans="1:5" x14ac:dyDescent="0.25">
      <c r="A1794" t="str">
        <f>"777421030"</f>
        <v>777421030</v>
      </c>
      <c r="B1794" t="s">
        <v>1755</v>
      </c>
      <c r="C1794">
        <v>90.09</v>
      </c>
      <c r="D1794" t="str">
        <f t="shared" si="77"/>
        <v>420</v>
      </c>
      <c r="E1794" t="str">
        <f>"95831"</f>
        <v>95831</v>
      </c>
    </row>
    <row r="1795" spans="1:5" x14ac:dyDescent="0.25">
      <c r="A1795" t="str">
        <f>"777421040"</f>
        <v>777421040</v>
      </c>
      <c r="B1795" t="s">
        <v>1756</v>
      </c>
      <c r="C1795">
        <v>90.09</v>
      </c>
      <c r="D1795" t="str">
        <f t="shared" si="77"/>
        <v>420</v>
      </c>
      <c r="E1795" t="str">
        <f>"95833"</f>
        <v>95833</v>
      </c>
    </row>
    <row r="1796" spans="1:5" x14ac:dyDescent="0.25">
      <c r="A1796" t="str">
        <f>"777422010"</f>
        <v>777422010</v>
      </c>
      <c r="B1796" t="s">
        <v>1757</v>
      </c>
      <c r="C1796">
        <v>110.88</v>
      </c>
      <c r="D1796" t="str">
        <f t="shared" si="77"/>
        <v>420</v>
      </c>
      <c r="E1796" t="str">
        <f>"97012"</f>
        <v>97012</v>
      </c>
    </row>
    <row r="1797" spans="1:5" x14ac:dyDescent="0.25">
      <c r="A1797" t="str">
        <f>"777422025"</f>
        <v>777422025</v>
      </c>
      <c r="B1797" t="s">
        <v>1758</v>
      </c>
      <c r="C1797">
        <v>28.88</v>
      </c>
      <c r="D1797" t="str">
        <f t="shared" si="77"/>
        <v>420</v>
      </c>
      <c r="E1797" t="str">
        <f>"97014"</f>
        <v>97014</v>
      </c>
    </row>
    <row r="1798" spans="1:5" x14ac:dyDescent="0.25">
      <c r="A1798" t="str">
        <f>"777422030"</f>
        <v>777422030</v>
      </c>
      <c r="B1798" t="s">
        <v>1759</v>
      </c>
      <c r="C1798">
        <v>90.09</v>
      </c>
      <c r="D1798" t="str">
        <f>"272"</f>
        <v>272</v>
      </c>
      <c r="E1798" t="str">
        <f>"97016"</f>
        <v>97016</v>
      </c>
    </row>
    <row r="1799" spans="1:5" x14ac:dyDescent="0.25">
      <c r="A1799" t="str">
        <f>"777422040"</f>
        <v>777422040</v>
      </c>
      <c r="B1799" t="s">
        <v>1760</v>
      </c>
      <c r="C1799">
        <v>90.09</v>
      </c>
      <c r="D1799" t="str">
        <f t="shared" ref="D1799:D1809" si="78">"420"</f>
        <v>420</v>
      </c>
      <c r="E1799" t="str">
        <f>"97024"</f>
        <v>97024</v>
      </c>
    </row>
    <row r="1800" spans="1:5" x14ac:dyDescent="0.25">
      <c r="A1800" t="str">
        <f>"777422060"</f>
        <v>777422060</v>
      </c>
      <c r="B1800" t="s">
        <v>1761</v>
      </c>
      <c r="C1800">
        <v>124.74</v>
      </c>
      <c r="D1800" t="str">
        <f t="shared" si="78"/>
        <v>420</v>
      </c>
      <c r="E1800" t="str">
        <f>"97022"</f>
        <v>97022</v>
      </c>
    </row>
    <row r="1801" spans="1:5" x14ac:dyDescent="0.25">
      <c r="A1801" t="str">
        <f>"777422070"</f>
        <v>777422070</v>
      </c>
      <c r="B1801" t="s">
        <v>1762</v>
      </c>
      <c r="C1801">
        <v>110.88</v>
      </c>
      <c r="D1801" t="str">
        <f t="shared" si="78"/>
        <v>420</v>
      </c>
      <c r="E1801" t="str">
        <f>"97022"</f>
        <v>97022</v>
      </c>
    </row>
    <row r="1802" spans="1:5" x14ac:dyDescent="0.25">
      <c r="A1802" t="str">
        <f>"777422080"</f>
        <v>777422080</v>
      </c>
      <c r="B1802" t="s">
        <v>1763</v>
      </c>
      <c r="C1802">
        <v>90.09</v>
      </c>
      <c r="D1802" t="str">
        <f t="shared" si="78"/>
        <v>420</v>
      </c>
      <c r="E1802" t="str">
        <f>"97024"</f>
        <v>97024</v>
      </c>
    </row>
    <row r="1803" spans="1:5" x14ac:dyDescent="0.25">
      <c r="A1803" t="str">
        <f>"777422090"</f>
        <v>777422090</v>
      </c>
      <c r="B1803" t="s">
        <v>1764</v>
      </c>
      <c r="C1803">
        <v>90.09</v>
      </c>
      <c r="D1803" t="str">
        <f t="shared" si="78"/>
        <v>420</v>
      </c>
      <c r="E1803" t="str">
        <f>"97026"</f>
        <v>97026</v>
      </c>
    </row>
    <row r="1804" spans="1:5" x14ac:dyDescent="0.25">
      <c r="A1804" t="str">
        <f>"777422100"</f>
        <v>777422100</v>
      </c>
      <c r="B1804" t="s">
        <v>1765</v>
      </c>
      <c r="C1804">
        <v>90.09</v>
      </c>
      <c r="D1804" t="str">
        <f t="shared" si="78"/>
        <v>420</v>
      </c>
      <c r="E1804" t="str">
        <f>"97028"</f>
        <v>97028</v>
      </c>
    </row>
    <row r="1805" spans="1:5" x14ac:dyDescent="0.25">
      <c r="A1805" t="str">
        <f>"777422110"</f>
        <v>777422110</v>
      </c>
      <c r="B1805" t="s">
        <v>1766</v>
      </c>
      <c r="C1805">
        <v>90.09</v>
      </c>
      <c r="D1805" t="str">
        <f t="shared" si="78"/>
        <v>420</v>
      </c>
      <c r="E1805" t="str">
        <f>"97018"</f>
        <v>97018</v>
      </c>
    </row>
    <row r="1806" spans="1:5" x14ac:dyDescent="0.25">
      <c r="A1806" t="str">
        <f>"777422120"</f>
        <v>777422120</v>
      </c>
      <c r="B1806" t="s">
        <v>1767</v>
      </c>
      <c r="C1806">
        <v>90.09</v>
      </c>
      <c r="D1806" t="str">
        <f t="shared" si="78"/>
        <v>420</v>
      </c>
      <c r="E1806" t="str">
        <f>"97034"</f>
        <v>97034</v>
      </c>
    </row>
    <row r="1807" spans="1:5" x14ac:dyDescent="0.25">
      <c r="A1807" t="str">
        <f>"777422200"</f>
        <v>777422200</v>
      </c>
      <c r="B1807" t="s">
        <v>1768</v>
      </c>
      <c r="C1807">
        <v>62.37</v>
      </c>
      <c r="D1807" t="str">
        <f t="shared" si="78"/>
        <v>420</v>
      </c>
      <c r="E1807" t="str">
        <f>"97032"</f>
        <v>97032</v>
      </c>
    </row>
    <row r="1808" spans="1:5" x14ac:dyDescent="0.25">
      <c r="A1808" t="str">
        <f>"777422205"</f>
        <v>777422205</v>
      </c>
      <c r="B1808" t="s">
        <v>1769</v>
      </c>
      <c r="C1808">
        <v>89.32</v>
      </c>
      <c r="D1808" t="str">
        <f t="shared" si="78"/>
        <v>420</v>
      </c>
      <c r="E1808" t="str">
        <f>"97014"</f>
        <v>97014</v>
      </c>
    </row>
    <row r="1809" spans="1:5" x14ac:dyDescent="0.25">
      <c r="A1809" t="str">
        <f>"777422210"</f>
        <v>777422210</v>
      </c>
      <c r="B1809" t="s">
        <v>1770</v>
      </c>
      <c r="C1809">
        <v>62.37</v>
      </c>
      <c r="D1809" t="str">
        <f t="shared" si="78"/>
        <v>420</v>
      </c>
      <c r="E1809" t="str">
        <f>"97033"</f>
        <v>97033</v>
      </c>
    </row>
    <row r="1810" spans="1:5" x14ac:dyDescent="0.25">
      <c r="A1810" t="str">
        <f>"777422220"</f>
        <v>777422220</v>
      </c>
      <c r="B1810" t="s">
        <v>1771</v>
      </c>
      <c r="C1810">
        <v>110.88</v>
      </c>
      <c r="D1810" t="str">
        <f>"430"</f>
        <v>430</v>
      </c>
      <c r="E1810" t="str">
        <f>"97035"</f>
        <v>97035</v>
      </c>
    </row>
    <row r="1811" spans="1:5" x14ac:dyDescent="0.25">
      <c r="A1811" t="str">
        <f>"777422230"</f>
        <v>777422230</v>
      </c>
      <c r="B1811" t="s">
        <v>1772</v>
      </c>
      <c r="C1811">
        <v>173.25</v>
      </c>
      <c r="D1811" t="str">
        <f>"420"</f>
        <v>420</v>
      </c>
      <c r="E1811" t="str">
        <f>"97036"</f>
        <v>97036</v>
      </c>
    </row>
    <row r="1812" spans="1:5" x14ac:dyDescent="0.25">
      <c r="A1812" t="str">
        <f>"777422255"</f>
        <v>777422255</v>
      </c>
      <c r="B1812" t="s">
        <v>1773</v>
      </c>
      <c r="C1812">
        <v>69.3</v>
      </c>
      <c r="D1812" t="str">
        <f>"420"</f>
        <v>420</v>
      </c>
      <c r="E1812" t="str">
        <f>"97140"</f>
        <v>97140</v>
      </c>
    </row>
    <row r="1813" spans="1:5" x14ac:dyDescent="0.25">
      <c r="A1813" t="str">
        <f>"777422300"</f>
        <v>777422300</v>
      </c>
      <c r="B1813" t="s">
        <v>1774</v>
      </c>
      <c r="C1813">
        <v>90.09</v>
      </c>
      <c r="D1813" t="str">
        <f>"420"</f>
        <v>420</v>
      </c>
      <c r="E1813" t="str">
        <f>"97110"</f>
        <v>97110</v>
      </c>
    </row>
    <row r="1814" spans="1:5" x14ac:dyDescent="0.25">
      <c r="A1814" t="str">
        <f>"777422310"</f>
        <v>777422310</v>
      </c>
      <c r="B1814" t="s">
        <v>1775</v>
      </c>
      <c r="C1814">
        <v>90.09</v>
      </c>
      <c r="D1814" t="str">
        <f>"420"</f>
        <v>420</v>
      </c>
      <c r="E1814" t="str">
        <f>"97112"</f>
        <v>97112</v>
      </c>
    </row>
    <row r="1815" spans="1:5" x14ac:dyDescent="0.25">
      <c r="A1815" t="str">
        <f>"777422320"</f>
        <v>777422320</v>
      </c>
      <c r="B1815" t="s">
        <v>1776</v>
      </c>
      <c r="C1815">
        <v>90.09</v>
      </c>
      <c r="D1815" t="str">
        <f>"311"</f>
        <v>311</v>
      </c>
      <c r="E1815" t="str">
        <f>"97113"</f>
        <v>97113</v>
      </c>
    </row>
    <row r="1816" spans="1:5" x14ac:dyDescent="0.25">
      <c r="A1816" t="str">
        <f>"777422330"</f>
        <v>777422330</v>
      </c>
      <c r="B1816" t="s">
        <v>1777</v>
      </c>
      <c r="C1816">
        <v>62.37</v>
      </c>
      <c r="D1816" t="str">
        <f t="shared" ref="D1816:D1827" si="79">"420"</f>
        <v>420</v>
      </c>
      <c r="E1816" t="str">
        <f>"97116"</f>
        <v>97116</v>
      </c>
    </row>
    <row r="1817" spans="1:5" x14ac:dyDescent="0.25">
      <c r="A1817" t="str">
        <f>"777422340"</f>
        <v>777422340</v>
      </c>
      <c r="B1817" t="s">
        <v>1778</v>
      </c>
      <c r="C1817">
        <v>90.09</v>
      </c>
      <c r="D1817" t="str">
        <f t="shared" si="79"/>
        <v>420</v>
      </c>
      <c r="E1817" t="str">
        <f>"97140"</f>
        <v>97140</v>
      </c>
    </row>
    <row r="1818" spans="1:5" x14ac:dyDescent="0.25">
      <c r="A1818" t="str">
        <f>"777422350"</f>
        <v>777422350</v>
      </c>
      <c r="B1818" t="s">
        <v>1779</v>
      </c>
      <c r="C1818">
        <v>90.09</v>
      </c>
      <c r="D1818" t="str">
        <f t="shared" si="79"/>
        <v>420</v>
      </c>
      <c r="E1818" t="str">
        <f>"97124"</f>
        <v>97124</v>
      </c>
    </row>
    <row r="1819" spans="1:5" x14ac:dyDescent="0.25">
      <c r="A1819" t="str">
        <f>"777422360"</f>
        <v>777422360</v>
      </c>
      <c r="B1819" t="s">
        <v>1780</v>
      </c>
      <c r="C1819">
        <v>90.09</v>
      </c>
      <c r="D1819" t="str">
        <f t="shared" si="79"/>
        <v>420</v>
      </c>
      <c r="E1819" t="str">
        <f>"97139"</f>
        <v>97139</v>
      </c>
    </row>
    <row r="1820" spans="1:5" x14ac:dyDescent="0.25">
      <c r="A1820" t="str">
        <f>"777422370"</f>
        <v>777422370</v>
      </c>
      <c r="B1820" t="s">
        <v>1781</v>
      </c>
      <c r="C1820">
        <v>90.09</v>
      </c>
      <c r="D1820" t="str">
        <f t="shared" si="79"/>
        <v>420</v>
      </c>
      <c r="E1820" t="str">
        <f>"97150"</f>
        <v>97150</v>
      </c>
    </row>
    <row r="1821" spans="1:5" x14ac:dyDescent="0.25">
      <c r="A1821" t="str">
        <f>"777422375"</f>
        <v>777422375</v>
      </c>
      <c r="B1821" t="s">
        <v>1782</v>
      </c>
      <c r="C1821">
        <v>75.08</v>
      </c>
      <c r="D1821" t="str">
        <f t="shared" si="79"/>
        <v>420</v>
      </c>
      <c r="E1821" t="str">
        <f>"97540GP"</f>
        <v>97540GP</v>
      </c>
    </row>
    <row r="1822" spans="1:5" x14ac:dyDescent="0.25">
      <c r="A1822" t="str">
        <f>"777422380"</f>
        <v>777422380</v>
      </c>
      <c r="B1822" t="s">
        <v>1783</v>
      </c>
      <c r="C1822">
        <v>90.09</v>
      </c>
      <c r="D1822" t="str">
        <f t="shared" si="79"/>
        <v>420</v>
      </c>
      <c r="E1822" t="str">
        <f>"97140"</f>
        <v>97140</v>
      </c>
    </row>
    <row r="1823" spans="1:5" x14ac:dyDescent="0.25">
      <c r="A1823" t="str">
        <f>"777422390"</f>
        <v>777422390</v>
      </c>
      <c r="B1823" t="s">
        <v>1784</v>
      </c>
      <c r="C1823">
        <v>90.09</v>
      </c>
      <c r="D1823" t="str">
        <f t="shared" si="79"/>
        <v>420</v>
      </c>
      <c r="E1823" t="str">
        <f>"97140"</f>
        <v>97140</v>
      </c>
    </row>
    <row r="1824" spans="1:5" x14ac:dyDescent="0.25">
      <c r="A1824" t="str">
        <f>"777422395"</f>
        <v>777422395</v>
      </c>
      <c r="B1824" t="s">
        <v>1785</v>
      </c>
      <c r="C1824">
        <v>75.08</v>
      </c>
      <c r="D1824" t="str">
        <f t="shared" si="79"/>
        <v>420</v>
      </c>
      <c r="E1824" t="str">
        <f>"97535"</f>
        <v>97535</v>
      </c>
    </row>
    <row r="1825" spans="1:5" x14ac:dyDescent="0.25">
      <c r="A1825" t="str">
        <f>"777422400"</f>
        <v>777422400</v>
      </c>
      <c r="B1825" t="s">
        <v>1786</v>
      </c>
      <c r="C1825">
        <v>317.63</v>
      </c>
      <c r="D1825" t="str">
        <f t="shared" si="79"/>
        <v>420</v>
      </c>
    </row>
    <row r="1826" spans="1:5" x14ac:dyDescent="0.25">
      <c r="A1826" t="str">
        <f>"777422401"</f>
        <v>777422401</v>
      </c>
      <c r="B1826" t="s">
        <v>1787</v>
      </c>
      <c r="C1826">
        <v>433.13</v>
      </c>
      <c r="D1826" t="str">
        <f t="shared" si="79"/>
        <v>420</v>
      </c>
      <c r="E1826" t="str">
        <f>"97161"</f>
        <v>97161</v>
      </c>
    </row>
    <row r="1827" spans="1:5" x14ac:dyDescent="0.25">
      <c r="A1827" t="str">
        <f>"777422402"</f>
        <v>777422402</v>
      </c>
      <c r="B1827" t="s">
        <v>1788</v>
      </c>
      <c r="C1827">
        <v>548.63</v>
      </c>
      <c r="D1827" t="str">
        <f t="shared" si="79"/>
        <v>420</v>
      </c>
      <c r="E1827" t="str">
        <f>"97161"</f>
        <v>97161</v>
      </c>
    </row>
    <row r="1828" spans="1:5" x14ac:dyDescent="0.25">
      <c r="A1828" t="str">
        <f>"777422403"</f>
        <v>777422403</v>
      </c>
      <c r="B1828" t="s">
        <v>1789</v>
      </c>
      <c r="C1828">
        <v>173.25</v>
      </c>
      <c r="D1828" t="str">
        <f>"424"</f>
        <v>424</v>
      </c>
    </row>
    <row r="1829" spans="1:5" x14ac:dyDescent="0.25">
      <c r="A1829" t="str">
        <f>"777422410"</f>
        <v>777422410</v>
      </c>
      <c r="B1829" t="s">
        <v>1790</v>
      </c>
      <c r="C1829">
        <v>90.09</v>
      </c>
      <c r="D1829" t="str">
        <f t="shared" ref="D1829:D1839" si="80">"420"</f>
        <v>420</v>
      </c>
      <c r="E1829" t="str">
        <f>"97140"</f>
        <v>97140</v>
      </c>
    </row>
    <row r="1830" spans="1:5" x14ac:dyDescent="0.25">
      <c r="A1830" t="str">
        <f>"777422420"</f>
        <v>777422420</v>
      </c>
      <c r="B1830" t="s">
        <v>1791</v>
      </c>
      <c r="C1830">
        <v>62.37</v>
      </c>
      <c r="D1830" t="str">
        <f t="shared" si="80"/>
        <v>420</v>
      </c>
      <c r="E1830" t="str">
        <f>"97760"</f>
        <v>97760</v>
      </c>
    </row>
    <row r="1831" spans="1:5" x14ac:dyDescent="0.25">
      <c r="A1831" t="str">
        <f>"777422430"</f>
        <v>777422430</v>
      </c>
      <c r="B1831" t="s">
        <v>1792</v>
      </c>
      <c r="C1831">
        <v>90.09</v>
      </c>
      <c r="D1831" t="str">
        <f t="shared" si="80"/>
        <v>420</v>
      </c>
      <c r="E1831" t="str">
        <f>"97761"</f>
        <v>97761</v>
      </c>
    </row>
    <row r="1832" spans="1:5" x14ac:dyDescent="0.25">
      <c r="A1832" t="str">
        <f>"777422440"</f>
        <v>777422440</v>
      </c>
      <c r="B1832" t="s">
        <v>1793</v>
      </c>
      <c r="C1832">
        <v>90.09</v>
      </c>
      <c r="D1832" t="str">
        <f t="shared" si="80"/>
        <v>420</v>
      </c>
      <c r="E1832" t="str">
        <f>"97542"</f>
        <v>97542</v>
      </c>
    </row>
    <row r="1833" spans="1:5" x14ac:dyDescent="0.25">
      <c r="A1833" t="str">
        <f>"777422445"</f>
        <v>777422445</v>
      </c>
      <c r="B1833" t="s">
        <v>1794</v>
      </c>
      <c r="C1833">
        <v>90.09</v>
      </c>
      <c r="D1833" t="str">
        <f t="shared" si="80"/>
        <v>420</v>
      </c>
      <c r="E1833" t="str">
        <f>"97542"</f>
        <v>97542</v>
      </c>
    </row>
    <row r="1834" spans="1:5" x14ac:dyDescent="0.25">
      <c r="A1834" t="str">
        <f>"777422450"</f>
        <v>777422450</v>
      </c>
      <c r="B1834" t="s">
        <v>1795</v>
      </c>
      <c r="C1834">
        <v>173.25</v>
      </c>
      <c r="D1834" t="str">
        <f t="shared" si="80"/>
        <v>420</v>
      </c>
      <c r="E1834" t="str">
        <f>"97545"</f>
        <v>97545</v>
      </c>
    </row>
    <row r="1835" spans="1:5" x14ac:dyDescent="0.25">
      <c r="A1835" t="str">
        <f>"777422460"</f>
        <v>777422460</v>
      </c>
      <c r="B1835" t="s">
        <v>1796</v>
      </c>
      <c r="C1835">
        <v>90.09</v>
      </c>
      <c r="D1835" t="str">
        <f t="shared" si="80"/>
        <v>420</v>
      </c>
      <c r="E1835" t="str">
        <f>"97546"</f>
        <v>97546</v>
      </c>
    </row>
    <row r="1836" spans="1:5" x14ac:dyDescent="0.25">
      <c r="A1836" t="str">
        <f>"777422465"</f>
        <v>777422465</v>
      </c>
      <c r="B1836" t="s">
        <v>1797</v>
      </c>
      <c r="C1836">
        <v>349.51</v>
      </c>
      <c r="D1836" t="str">
        <f t="shared" si="80"/>
        <v>420</v>
      </c>
      <c r="E1836" t="str">
        <f>"97602"</f>
        <v>97602</v>
      </c>
    </row>
    <row r="1837" spans="1:5" x14ac:dyDescent="0.25">
      <c r="A1837" t="str">
        <f>"777422470"</f>
        <v>777422470</v>
      </c>
      <c r="B1837" t="s">
        <v>1798</v>
      </c>
      <c r="C1837">
        <v>152.19</v>
      </c>
      <c r="D1837" t="str">
        <f t="shared" si="80"/>
        <v>420</v>
      </c>
      <c r="E1837" t="str">
        <f>"97597"</f>
        <v>97597</v>
      </c>
    </row>
    <row r="1838" spans="1:5" x14ac:dyDescent="0.25">
      <c r="A1838" t="str">
        <f>"777422475"</f>
        <v>777422475</v>
      </c>
      <c r="B1838" t="s">
        <v>1799</v>
      </c>
      <c r="C1838">
        <v>369.2</v>
      </c>
      <c r="D1838" t="str">
        <f t="shared" si="80"/>
        <v>420</v>
      </c>
      <c r="E1838" t="str">
        <f>"97598"</f>
        <v>97598</v>
      </c>
    </row>
    <row r="1839" spans="1:5" x14ac:dyDescent="0.25">
      <c r="A1839" t="str">
        <f>"777422476"</f>
        <v>777422476</v>
      </c>
      <c r="B1839" t="s">
        <v>1800</v>
      </c>
      <c r="C1839">
        <v>369.2</v>
      </c>
      <c r="D1839" t="str">
        <f t="shared" si="80"/>
        <v>420</v>
      </c>
      <c r="E1839" t="str">
        <f>"11043"</f>
        <v>11043</v>
      </c>
    </row>
    <row r="1840" spans="1:5" x14ac:dyDescent="0.25">
      <c r="A1840" t="str">
        <f>"777422480"</f>
        <v>777422480</v>
      </c>
      <c r="B1840" t="s">
        <v>1801</v>
      </c>
      <c r="C1840">
        <v>116.52</v>
      </c>
      <c r="D1840" t="str">
        <f>"917"</f>
        <v>917</v>
      </c>
      <c r="E1840" t="str">
        <f>"90901"</f>
        <v>90901</v>
      </c>
    </row>
    <row r="1841" spans="1:5" x14ac:dyDescent="0.25">
      <c r="A1841" t="str">
        <f>"777422485"</f>
        <v>777422485</v>
      </c>
      <c r="B1841" t="s">
        <v>1802</v>
      </c>
      <c r="C1841">
        <v>77.760000000000005</v>
      </c>
      <c r="D1841" t="str">
        <f>"420"</f>
        <v>420</v>
      </c>
      <c r="E1841" t="str">
        <f>"29260"</f>
        <v>29260</v>
      </c>
    </row>
    <row r="1842" spans="1:5" x14ac:dyDescent="0.25">
      <c r="A1842" t="str">
        <f>"777422487"</f>
        <v>777422487</v>
      </c>
      <c r="B1842" t="s">
        <v>1803</v>
      </c>
      <c r="C1842">
        <v>73.84</v>
      </c>
      <c r="D1842" t="str">
        <f>"420"</f>
        <v>420</v>
      </c>
      <c r="E1842" t="str">
        <f>"29280"</f>
        <v>29280</v>
      </c>
    </row>
    <row r="1843" spans="1:5" x14ac:dyDescent="0.25">
      <c r="A1843" t="str">
        <f>"777422489"</f>
        <v>777422489</v>
      </c>
      <c r="B1843" t="s">
        <v>1804</v>
      </c>
      <c r="C1843">
        <v>88.3</v>
      </c>
      <c r="D1843" t="str">
        <f>"420"</f>
        <v>420</v>
      </c>
      <c r="E1843" t="str">
        <f>"29530"</f>
        <v>29530</v>
      </c>
    </row>
    <row r="1844" spans="1:5" x14ac:dyDescent="0.25">
      <c r="A1844" t="str">
        <f>"777422491"</f>
        <v>777422491</v>
      </c>
      <c r="B1844" t="s">
        <v>1805</v>
      </c>
      <c r="C1844">
        <v>71.25</v>
      </c>
      <c r="D1844" t="str">
        <f>"420"</f>
        <v>420</v>
      </c>
      <c r="E1844" t="str">
        <f>"29540"</f>
        <v>29540</v>
      </c>
    </row>
    <row r="1845" spans="1:5" x14ac:dyDescent="0.25">
      <c r="A1845" t="str">
        <f>"777422495"</f>
        <v>777422495</v>
      </c>
      <c r="B1845" t="s">
        <v>1806</v>
      </c>
      <c r="C1845">
        <v>169.03</v>
      </c>
      <c r="D1845" t="str">
        <f>"309"</f>
        <v>309</v>
      </c>
      <c r="E1845" t="str">
        <f>"29505"</f>
        <v>29505</v>
      </c>
    </row>
    <row r="1846" spans="1:5" x14ac:dyDescent="0.25">
      <c r="A1846" t="str">
        <f>"777422500"</f>
        <v>777422500</v>
      </c>
      <c r="B1846" t="s">
        <v>1807</v>
      </c>
      <c r="C1846">
        <v>62.37</v>
      </c>
      <c r="D1846" t="str">
        <f t="shared" ref="D1846:D1852" si="81">"420"</f>
        <v>420</v>
      </c>
    </row>
    <row r="1847" spans="1:5" x14ac:dyDescent="0.25">
      <c r="A1847" t="str">
        <f>"777422510"</f>
        <v>777422510</v>
      </c>
      <c r="B1847" t="s">
        <v>1808</v>
      </c>
      <c r="C1847">
        <v>62.37</v>
      </c>
      <c r="D1847" t="str">
        <f t="shared" si="81"/>
        <v>420</v>
      </c>
      <c r="E1847" t="str">
        <f>"97750"</f>
        <v>97750</v>
      </c>
    </row>
    <row r="1848" spans="1:5" x14ac:dyDescent="0.25">
      <c r="A1848" t="str">
        <f>"777422515"</f>
        <v>777422515</v>
      </c>
      <c r="B1848" t="s">
        <v>1809</v>
      </c>
      <c r="C1848">
        <v>189.92</v>
      </c>
      <c r="D1848" t="str">
        <f t="shared" si="81"/>
        <v>420</v>
      </c>
      <c r="E1848" t="str">
        <f>"97605"</f>
        <v>97605</v>
      </c>
    </row>
    <row r="1849" spans="1:5" x14ac:dyDescent="0.25">
      <c r="A1849" t="str">
        <f>"777422520"</f>
        <v>777422520</v>
      </c>
      <c r="B1849" t="s">
        <v>1810</v>
      </c>
      <c r="C1849">
        <v>349.51</v>
      </c>
      <c r="D1849" t="str">
        <f t="shared" si="81"/>
        <v>420</v>
      </c>
      <c r="E1849" t="str">
        <f>"97606"</f>
        <v>97606</v>
      </c>
    </row>
    <row r="1850" spans="1:5" x14ac:dyDescent="0.25">
      <c r="A1850" t="str">
        <f>"777422530"</f>
        <v>777422530</v>
      </c>
      <c r="B1850" t="s">
        <v>1811</v>
      </c>
      <c r="C1850">
        <v>89.32</v>
      </c>
      <c r="D1850" t="str">
        <f t="shared" si="81"/>
        <v>420</v>
      </c>
      <c r="E1850" t="str">
        <f>"G0281"</f>
        <v>G0281</v>
      </c>
    </row>
    <row r="1851" spans="1:5" x14ac:dyDescent="0.25">
      <c r="A1851" t="str">
        <f>"777422535"</f>
        <v>777422535</v>
      </c>
      <c r="B1851" t="s">
        <v>1812</v>
      </c>
      <c r="C1851">
        <v>97.02</v>
      </c>
      <c r="D1851" t="str">
        <f t="shared" si="81"/>
        <v>420</v>
      </c>
      <c r="E1851" t="str">
        <f>"G0283"</f>
        <v>G0283</v>
      </c>
    </row>
    <row r="1852" spans="1:5" x14ac:dyDescent="0.25">
      <c r="A1852" t="str">
        <f>"777427075"</f>
        <v>777427075</v>
      </c>
      <c r="B1852" t="s">
        <v>1813</v>
      </c>
      <c r="C1852">
        <v>103.57</v>
      </c>
      <c r="D1852" t="str">
        <f t="shared" si="81"/>
        <v>420</v>
      </c>
      <c r="E1852" t="str">
        <f>"97530"</f>
        <v>97530</v>
      </c>
    </row>
    <row r="1853" spans="1:5" x14ac:dyDescent="0.25">
      <c r="A1853" t="str">
        <f>"777430100"</f>
        <v>777430100</v>
      </c>
      <c r="B1853" t="s">
        <v>1814</v>
      </c>
      <c r="C1853">
        <v>317.63</v>
      </c>
      <c r="D1853" t="str">
        <f>"434"</f>
        <v>434</v>
      </c>
    </row>
    <row r="1854" spans="1:5" x14ac:dyDescent="0.25">
      <c r="A1854" t="str">
        <f>"777430101"</f>
        <v>777430101</v>
      </c>
      <c r="B1854" t="s">
        <v>1815</v>
      </c>
      <c r="C1854">
        <v>433.13</v>
      </c>
      <c r="D1854" t="str">
        <f>"434"</f>
        <v>434</v>
      </c>
      <c r="E1854" t="str">
        <f>"97167"</f>
        <v>97167</v>
      </c>
    </row>
    <row r="1855" spans="1:5" x14ac:dyDescent="0.25">
      <c r="A1855" t="str">
        <f>"777430102"</f>
        <v>777430102</v>
      </c>
      <c r="B1855" t="s">
        <v>1816</v>
      </c>
      <c r="C1855">
        <v>548.63</v>
      </c>
      <c r="D1855" t="str">
        <f>"434"</f>
        <v>434</v>
      </c>
      <c r="E1855" t="str">
        <f>"97167"</f>
        <v>97167</v>
      </c>
    </row>
    <row r="1856" spans="1:5" x14ac:dyDescent="0.25">
      <c r="A1856" t="str">
        <f>"777430103"</f>
        <v>777430103</v>
      </c>
      <c r="B1856" t="s">
        <v>1817</v>
      </c>
      <c r="C1856">
        <v>173.25</v>
      </c>
      <c r="D1856" t="str">
        <f>"434"</f>
        <v>434</v>
      </c>
    </row>
    <row r="1857" spans="1:5" x14ac:dyDescent="0.25">
      <c r="A1857" t="str">
        <f>"777431025"</f>
        <v>777431025</v>
      </c>
      <c r="B1857" t="s">
        <v>1818</v>
      </c>
      <c r="C1857">
        <v>90.09</v>
      </c>
      <c r="D1857" t="str">
        <f t="shared" ref="D1857:D1887" si="82">"430"</f>
        <v>430</v>
      </c>
      <c r="E1857" t="str">
        <f>"97535"</f>
        <v>97535</v>
      </c>
    </row>
    <row r="1858" spans="1:5" x14ac:dyDescent="0.25">
      <c r="A1858" t="str">
        <f>"777431030"</f>
        <v>777431030</v>
      </c>
      <c r="B1858" t="s">
        <v>1819</v>
      </c>
      <c r="C1858">
        <v>307.98</v>
      </c>
      <c r="D1858" t="str">
        <f t="shared" si="82"/>
        <v>430</v>
      </c>
      <c r="E1858" t="str">
        <f>"29131"</f>
        <v>29131</v>
      </c>
    </row>
    <row r="1859" spans="1:5" x14ac:dyDescent="0.25">
      <c r="A1859" t="str">
        <f>"777431035"</f>
        <v>777431035</v>
      </c>
      <c r="B1859" t="s">
        <v>1820</v>
      </c>
      <c r="C1859">
        <v>261.77999999999997</v>
      </c>
      <c r="D1859" t="str">
        <f t="shared" si="82"/>
        <v>430</v>
      </c>
      <c r="E1859" t="str">
        <f>"29130"</f>
        <v>29130</v>
      </c>
    </row>
    <row r="1860" spans="1:5" x14ac:dyDescent="0.25">
      <c r="A1860" t="str">
        <f>"777431040"</f>
        <v>777431040</v>
      </c>
      <c r="B1860" t="s">
        <v>1821</v>
      </c>
      <c r="C1860">
        <v>261.77999999999997</v>
      </c>
      <c r="D1860" t="str">
        <f t="shared" si="82"/>
        <v>430</v>
      </c>
      <c r="E1860" t="str">
        <f>"29125"</f>
        <v>29125</v>
      </c>
    </row>
    <row r="1861" spans="1:5" x14ac:dyDescent="0.25">
      <c r="A1861" t="str">
        <f>"777431045"</f>
        <v>777431045</v>
      </c>
      <c r="B1861" t="s">
        <v>1822</v>
      </c>
      <c r="C1861">
        <v>261.77999999999997</v>
      </c>
      <c r="D1861" t="str">
        <f t="shared" si="82"/>
        <v>430</v>
      </c>
      <c r="E1861" t="str">
        <f>"29126"</f>
        <v>29126</v>
      </c>
    </row>
    <row r="1862" spans="1:5" x14ac:dyDescent="0.25">
      <c r="A1862" t="str">
        <f>"777431050"</f>
        <v>777431050</v>
      </c>
      <c r="B1862" t="s">
        <v>1823</v>
      </c>
      <c r="C1862">
        <v>90.09</v>
      </c>
      <c r="D1862" t="str">
        <f t="shared" si="82"/>
        <v>430</v>
      </c>
      <c r="E1862" t="str">
        <f>"97532"</f>
        <v>97532</v>
      </c>
    </row>
    <row r="1863" spans="1:5" x14ac:dyDescent="0.25">
      <c r="A1863" t="str">
        <f>"777431055"</f>
        <v>777431055</v>
      </c>
      <c r="B1863" t="s">
        <v>1824</v>
      </c>
      <c r="C1863">
        <v>90.09</v>
      </c>
      <c r="D1863" t="str">
        <f t="shared" si="82"/>
        <v>430</v>
      </c>
      <c r="E1863" t="str">
        <f>"97537"</f>
        <v>97537</v>
      </c>
    </row>
    <row r="1864" spans="1:5" x14ac:dyDescent="0.25">
      <c r="A1864" t="str">
        <f>"777431060"</f>
        <v>777431060</v>
      </c>
      <c r="B1864" t="s">
        <v>1825</v>
      </c>
      <c r="C1864">
        <v>90.09</v>
      </c>
      <c r="D1864" t="str">
        <f t="shared" si="82"/>
        <v>430</v>
      </c>
      <c r="E1864" t="str">
        <f>"97034"</f>
        <v>97034</v>
      </c>
    </row>
    <row r="1865" spans="1:5" x14ac:dyDescent="0.25">
      <c r="A1865" t="str">
        <f>"777431065"</f>
        <v>777431065</v>
      </c>
      <c r="B1865" t="s">
        <v>1826</v>
      </c>
      <c r="C1865">
        <v>62.37</v>
      </c>
      <c r="D1865" t="str">
        <f t="shared" si="82"/>
        <v>430</v>
      </c>
      <c r="E1865" t="str">
        <f>"97032"</f>
        <v>97032</v>
      </c>
    </row>
    <row r="1866" spans="1:5" x14ac:dyDescent="0.25">
      <c r="A1866" t="str">
        <f>"777431070"</f>
        <v>777431070</v>
      </c>
      <c r="B1866" t="s">
        <v>1827</v>
      </c>
      <c r="C1866">
        <v>89.32</v>
      </c>
      <c r="D1866" t="str">
        <f t="shared" si="82"/>
        <v>430</v>
      </c>
      <c r="E1866" t="str">
        <f>"97014"</f>
        <v>97014</v>
      </c>
    </row>
    <row r="1867" spans="1:5" x14ac:dyDescent="0.25">
      <c r="A1867" t="str">
        <f>"777431075"</f>
        <v>777431075</v>
      </c>
      <c r="B1867" t="s">
        <v>1828</v>
      </c>
      <c r="C1867">
        <v>75.08</v>
      </c>
      <c r="D1867" t="str">
        <f t="shared" si="82"/>
        <v>430</v>
      </c>
      <c r="E1867" t="str">
        <f>"97535"</f>
        <v>97535</v>
      </c>
    </row>
    <row r="1868" spans="1:5" x14ac:dyDescent="0.25">
      <c r="A1868" t="str">
        <f>"777431080"</f>
        <v>777431080</v>
      </c>
      <c r="B1868" t="s">
        <v>1829</v>
      </c>
      <c r="C1868">
        <v>62.37</v>
      </c>
      <c r="D1868" t="str">
        <f t="shared" si="82"/>
        <v>430</v>
      </c>
      <c r="E1868" t="str">
        <f>"97033"</f>
        <v>97033</v>
      </c>
    </row>
    <row r="1869" spans="1:5" x14ac:dyDescent="0.25">
      <c r="A1869" t="str">
        <f>"777431085"</f>
        <v>777431085</v>
      </c>
      <c r="B1869" t="s">
        <v>1830</v>
      </c>
      <c r="C1869">
        <v>90.09</v>
      </c>
      <c r="D1869" t="str">
        <f t="shared" si="82"/>
        <v>430</v>
      </c>
      <c r="E1869" t="str">
        <f>"97140"</f>
        <v>97140</v>
      </c>
    </row>
    <row r="1870" spans="1:5" x14ac:dyDescent="0.25">
      <c r="A1870" t="str">
        <f>"777431090"</f>
        <v>777431090</v>
      </c>
      <c r="B1870" t="s">
        <v>1831</v>
      </c>
      <c r="C1870">
        <v>90.09</v>
      </c>
      <c r="D1870" t="str">
        <f t="shared" si="82"/>
        <v>430</v>
      </c>
      <c r="E1870" t="str">
        <f>"97140"</f>
        <v>97140</v>
      </c>
    </row>
    <row r="1871" spans="1:5" x14ac:dyDescent="0.25">
      <c r="A1871" t="str">
        <f>"777431095"</f>
        <v>777431095</v>
      </c>
      <c r="B1871" t="s">
        <v>1832</v>
      </c>
      <c r="C1871">
        <v>90.09</v>
      </c>
      <c r="D1871" t="str">
        <f t="shared" si="82"/>
        <v>430</v>
      </c>
      <c r="E1871" t="str">
        <f>"97112"</f>
        <v>97112</v>
      </c>
    </row>
    <row r="1872" spans="1:5" x14ac:dyDescent="0.25">
      <c r="A1872" t="str">
        <f>"777432000"</f>
        <v>777432000</v>
      </c>
      <c r="B1872" t="s">
        <v>1833</v>
      </c>
      <c r="C1872">
        <v>62.37</v>
      </c>
      <c r="D1872" t="str">
        <f t="shared" si="82"/>
        <v>430</v>
      </c>
      <c r="E1872" t="str">
        <f>"97762"</f>
        <v>97762</v>
      </c>
    </row>
    <row r="1873" spans="1:5" x14ac:dyDescent="0.25">
      <c r="A1873" t="str">
        <f>"777432205"</f>
        <v>777432205</v>
      </c>
      <c r="B1873" t="s">
        <v>1834</v>
      </c>
      <c r="C1873">
        <v>62.37</v>
      </c>
      <c r="D1873" t="str">
        <f t="shared" si="82"/>
        <v>430</v>
      </c>
      <c r="E1873" t="str">
        <f>"97760"</f>
        <v>97760</v>
      </c>
    </row>
    <row r="1874" spans="1:5" x14ac:dyDescent="0.25">
      <c r="A1874" t="str">
        <f>"777432210"</f>
        <v>777432210</v>
      </c>
      <c r="B1874" t="s">
        <v>1835</v>
      </c>
      <c r="C1874">
        <v>90.09</v>
      </c>
      <c r="D1874" t="str">
        <f t="shared" si="82"/>
        <v>430</v>
      </c>
      <c r="E1874" t="str">
        <f>"97018"</f>
        <v>97018</v>
      </c>
    </row>
    <row r="1875" spans="1:5" x14ac:dyDescent="0.25">
      <c r="A1875" t="str">
        <f>"777432215"</f>
        <v>777432215</v>
      </c>
      <c r="B1875" t="s">
        <v>1836</v>
      </c>
      <c r="C1875">
        <v>90.09</v>
      </c>
      <c r="D1875" t="str">
        <f t="shared" si="82"/>
        <v>430</v>
      </c>
      <c r="E1875" t="str">
        <f>"97761"</f>
        <v>97761</v>
      </c>
    </row>
    <row r="1876" spans="1:5" x14ac:dyDescent="0.25">
      <c r="A1876" t="str">
        <f>"777432220"</f>
        <v>777432220</v>
      </c>
      <c r="B1876" t="s">
        <v>1837</v>
      </c>
      <c r="C1876">
        <v>75.08</v>
      </c>
      <c r="D1876" t="str">
        <f t="shared" si="82"/>
        <v>430</v>
      </c>
      <c r="E1876" t="str">
        <f>"97535"</f>
        <v>97535</v>
      </c>
    </row>
    <row r="1877" spans="1:5" x14ac:dyDescent="0.25">
      <c r="A1877" t="str">
        <f>"777432225"</f>
        <v>777432225</v>
      </c>
      <c r="B1877" t="s">
        <v>1838</v>
      </c>
      <c r="C1877">
        <v>90.09</v>
      </c>
      <c r="D1877" t="str">
        <f t="shared" si="82"/>
        <v>430</v>
      </c>
      <c r="E1877" t="str">
        <f>"97533"</f>
        <v>97533</v>
      </c>
    </row>
    <row r="1878" spans="1:5" x14ac:dyDescent="0.25">
      <c r="A1878" t="str">
        <f>"777432230"</f>
        <v>777432230</v>
      </c>
      <c r="B1878" t="s">
        <v>1839</v>
      </c>
      <c r="C1878">
        <v>90.09</v>
      </c>
      <c r="D1878" t="str">
        <f t="shared" si="82"/>
        <v>430</v>
      </c>
      <c r="E1878" t="str">
        <f>"97124"</f>
        <v>97124</v>
      </c>
    </row>
    <row r="1879" spans="1:5" x14ac:dyDescent="0.25">
      <c r="A1879" t="str">
        <f>"777432235"</f>
        <v>777432235</v>
      </c>
      <c r="B1879" t="s">
        <v>1840</v>
      </c>
      <c r="C1879">
        <v>261.77999999999997</v>
      </c>
      <c r="D1879" t="str">
        <f t="shared" si="82"/>
        <v>430</v>
      </c>
      <c r="E1879" t="str">
        <f>"29260"</f>
        <v>29260</v>
      </c>
    </row>
    <row r="1880" spans="1:5" x14ac:dyDescent="0.25">
      <c r="A1880" t="str">
        <f>"777432240"</f>
        <v>777432240</v>
      </c>
      <c r="B1880" t="s">
        <v>1841</v>
      </c>
      <c r="C1880">
        <v>261.77999999999997</v>
      </c>
      <c r="D1880" t="str">
        <f t="shared" si="82"/>
        <v>430</v>
      </c>
      <c r="E1880" t="str">
        <f>"29280"</f>
        <v>29280</v>
      </c>
    </row>
    <row r="1881" spans="1:5" x14ac:dyDescent="0.25">
      <c r="A1881" t="str">
        <f>"777432245"</f>
        <v>777432245</v>
      </c>
      <c r="B1881" t="s">
        <v>1842</v>
      </c>
      <c r="C1881">
        <v>103.57</v>
      </c>
      <c r="D1881" t="str">
        <f t="shared" si="82"/>
        <v>430</v>
      </c>
      <c r="E1881" t="str">
        <f>"97530"</f>
        <v>97530</v>
      </c>
    </row>
    <row r="1882" spans="1:5" x14ac:dyDescent="0.25">
      <c r="A1882" t="str">
        <f>"777432250"</f>
        <v>777432250</v>
      </c>
      <c r="B1882" t="s">
        <v>1843</v>
      </c>
      <c r="C1882">
        <v>90.09</v>
      </c>
      <c r="D1882" t="str">
        <f t="shared" si="82"/>
        <v>430</v>
      </c>
      <c r="E1882" t="str">
        <f>"97110"</f>
        <v>97110</v>
      </c>
    </row>
    <row r="1883" spans="1:5" x14ac:dyDescent="0.25">
      <c r="A1883" t="str">
        <f>"777432255"</f>
        <v>777432255</v>
      </c>
      <c r="B1883" t="s">
        <v>1844</v>
      </c>
      <c r="C1883">
        <v>110.88</v>
      </c>
      <c r="D1883" t="str">
        <f t="shared" si="82"/>
        <v>430</v>
      </c>
      <c r="E1883" t="str">
        <f>"97035"</f>
        <v>97035</v>
      </c>
    </row>
    <row r="1884" spans="1:5" x14ac:dyDescent="0.25">
      <c r="A1884" t="str">
        <f>"777432260"</f>
        <v>777432260</v>
      </c>
      <c r="B1884" t="s">
        <v>1845</v>
      </c>
      <c r="C1884">
        <v>124.74</v>
      </c>
      <c r="D1884" t="str">
        <f t="shared" si="82"/>
        <v>430</v>
      </c>
      <c r="E1884" t="str">
        <f>"97022"</f>
        <v>97022</v>
      </c>
    </row>
    <row r="1885" spans="1:5" x14ac:dyDescent="0.25">
      <c r="A1885" t="str">
        <f>"777432265"</f>
        <v>777432265</v>
      </c>
      <c r="B1885" t="s">
        <v>1846</v>
      </c>
      <c r="C1885">
        <v>173.25</v>
      </c>
      <c r="D1885" t="str">
        <f t="shared" si="82"/>
        <v>430</v>
      </c>
      <c r="E1885" t="str">
        <f>"97545"</f>
        <v>97545</v>
      </c>
    </row>
    <row r="1886" spans="1:5" x14ac:dyDescent="0.25">
      <c r="A1886" t="str">
        <f>"777432270"</f>
        <v>777432270</v>
      </c>
      <c r="B1886" t="s">
        <v>1847</v>
      </c>
      <c r="C1886">
        <v>90.09</v>
      </c>
      <c r="D1886" t="str">
        <f t="shared" si="82"/>
        <v>430</v>
      </c>
      <c r="E1886" t="str">
        <f>"97546"</f>
        <v>97546</v>
      </c>
    </row>
    <row r="1887" spans="1:5" x14ac:dyDescent="0.25">
      <c r="A1887" t="str">
        <f>"777432275"</f>
        <v>777432275</v>
      </c>
      <c r="B1887" t="s">
        <v>1848</v>
      </c>
      <c r="C1887">
        <v>28.88</v>
      </c>
      <c r="D1887" t="str">
        <f t="shared" si="82"/>
        <v>430</v>
      </c>
      <c r="E1887" t="str">
        <f>"G8990"</f>
        <v>G8990</v>
      </c>
    </row>
    <row r="1888" spans="1:5" x14ac:dyDescent="0.25">
      <c r="A1888" t="str">
        <f>"777440010"</f>
        <v>777440010</v>
      </c>
      <c r="B1888" t="s">
        <v>1849</v>
      </c>
      <c r="C1888">
        <v>450.23</v>
      </c>
      <c r="D1888" t="str">
        <f t="shared" ref="D1888" si="83">"440"</f>
        <v>440</v>
      </c>
      <c r="E1888" t="str">
        <f>"92611"</f>
        <v>92611</v>
      </c>
    </row>
    <row r="1889" spans="1:5" x14ac:dyDescent="0.25">
      <c r="A1889" t="str">
        <f>"777448010"</f>
        <v>777448010</v>
      </c>
      <c r="B1889" t="s">
        <v>1850</v>
      </c>
      <c r="C1889">
        <v>214.83</v>
      </c>
      <c r="D1889" t="str">
        <f t="shared" ref="D1889" si="84">"440"</f>
        <v>440</v>
      </c>
      <c r="E1889" t="str">
        <f>"92507"</f>
        <v>92507</v>
      </c>
    </row>
    <row r="1890" spans="1:5" x14ac:dyDescent="0.25">
      <c r="A1890" t="str">
        <f>"777448020"</f>
        <v>777448020</v>
      </c>
      <c r="B1890" t="s">
        <v>1851</v>
      </c>
      <c r="C1890">
        <v>174.64</v>
      </c>
      <c r="D1890" t="str">
        <f>"278"</f>
        <v>278</v>
      </c>
      <c r="E1890" t="str">
        <f>"96105"</f>
        <v>96105</v>
      </c>
    </row>
    <row r="1891" spans="1:5" x14ac:dyDescent="0.25">
      <c r="A1891" t="str">
        <f>"777448025"</f>
        <v>777448025</v>
      </c>
      <c r="B1891" t="s">
        <v>1852</v>
      </c>
      <c r="C1891">
        <v>146.28</v>
      </c>
      <c r="D1891" t="str">
        <f t="shared" ref="D1891:D1904" si="85">"440"</f>
        <v>440</v>
      </c>
      <c r="E1891" t="str">
        <f>"97532"</f>
        <v>97532</v>
      </c>
    </row>
    <row r="1892" spans="1:5" x14ac:dyDescent="0.25">
      <c r="A1892" t="str">
        <f>"777448030"</f>
        <v>777448030</v>
      </c>
      <c r="B1892" t="s">
        <v>1853</v>
      </c>
      <c r="C1892">
        <v>90.09</v>
      </c>
      <c r="D1892" t="str">
        <f t="shared" si="85"/>
        <v>440</v>
      </c>
      <c r="E1892" t="str">
        <f>"96110     "</f>
        <v xml:space="preserve">96110     </v>
      </c>
    </row>
    <row r="1893" spans="1:5" x14ac:dyDescent="0.25">
      <c r="A1893" t="str">
        <f>"777448035"</f>
        <v>777448035</v>
      </c>
      <c r="B1893" t="s">
        <v>1854</v>
      </c>
      <c r="C1893">
        <v>90.09</v>
      </c>
      <c r="D1893" t="str">
        <f t="shared" si="85"/>
        <v>440</v>
      </c>
      <c r="E1893" t="str">
        <f>"96110"</f>
        <v>96110</v>
      </c>
    </row>
    <row r="1894" spans="1:5" x14ac:dyDescent="0.25">
      <c r="A1894" t="str">
        <f>"777448040"</f>
        <v>777448040</v>
      </c>
      <c r="B1894" t="s">
        <v>1855</v>
      </c>
      <c r="C1894">
        <v>349.97</v>
      </c>
      <c r="D1894" t="str">
        <f t="shared" si="85"/>
        <v>440</v>
      </c>
      <c r="E1894" t="str">
        <f>"92610"</f>
        <v>92610</v>
      </c>
    </row>
    <row r="1895" spans="1:5" x14ac:dyDescent="0.25">
      <c r="A1895" t="str">
        <f>"777448041"</f>
        <v>777448041</v>
      </c>
      <c r="B1895" t="s">
        <v>1856</v>
      </c>
      <c r="C1895">
        <v>330</v>
      </c>
      <c r="D1895" t="str">
        <f t="shared" si="85"/>
        <v>440</v>
      </c>
      <c r="E1895" t="str">
        <f>"92610"</f>
        <v>92610</v>
      </c>
    </row>
    <row r="1896" spans="1:5" x14ac:dyDescent="0.25">
      <c r="A1896" t="str">
        <f>"777448042"</f>
        <v>777448042</v>
      </c>
      <c r="B1896" t="s">
        <v>1857</v>
      </c>
      <c r="C1896">
        <v>437.46</v>
      </c>
      <c r="D1896" t="str">
        <f t="shared" si="85"/>
        <v>440</v>
      </c>
      <c r="E1896" t="str">
        <f>"92610"</f>
        <v>92610</v>
      </c>
    </row>
    <row r="1897" spans="1:5" x14ac:dyDescent="0.25">
      <c r="A1897" t="str">
        <f>"777448044"</f>
        <v>777448044</v>
      </c>
      <c r="B1897" t="s">
        <v>1858</v>
      </c>
      <c r="C1897">
        <v>546.82000000000005</v>
      </c>
      <c r="D1897" t="str">
        <f t="shared" si="85"/>
        <v>440</v>
      </c>
      <c r="E1897" t="str">
        <f>"92610"</f>
        <v>92610</v>
      </c>
    </row>
    <row r="1898" spans="1:5" x14ac:dyDescent="0.25">
      <c r="A1898" t="str">
        <f>"777448045"</f>
        <v>777448045</v>
      </c>
      <c r="B1898" t="s">
        <v>1859</v>
      </c>
      <c r="C1898">
        <v>415.8</v>
      </c>
      <c r="D1898" t="str">
        <f t="shared" si="85"/>
        <v>440</v>
      </c>
      <c r="E1898" t="str">
        <f>"92597"</f>
        <v>92597</v>
      </c>
    </row>
    <row r="1899" spans="1:5" x14ac:dyDescent="0.25">
      <c r="A1899" t="str">
        <f>"777448046"</f>
        <v>777448046</v>
      </c>
      <c r="B1899" t="s">
        <v>1860</v>
      </c>
      <c r="C1899">
        <v>683.53</v>
      </c>
      <c r="D1899" t="str">
        <f t="shared" si="85"/>
        <v>440</v>
      </c>
      <c r="E1899" t="str">
        <f>"92610"</f>
        <v>92610</v>
      </c>
    </row>
    <row r="1900" spans="1:5" x14ac:dyDescent="0.25">
      <c r="A1900" t="str">
        <f>"777448050"</f>
        <v>777448050</v>
      </c>
      <c r="B1900" t="s">
        <v>1861</v>
      </c>
      <c r="C1900">
        <v>244.86</v>
      </c>
      <c r="D1900" t="str">
        <f t="shared" si="85"/>
        <v>440</v>
      </c>
      <c r="E1900" t="str">
        <f>"92520"</f>
        <v>92520</v>
      </c>
    </row>
    <row r="1901" spans="1:5" x14ac:dyDescent="0.25">
      <c r="A1901" t="str">
        <f>"777448055"</f>
        <v>777448055</v>
      </c>
      <c r="B1901" t="s">
        <v>1862</v>
      </c>
      <c r="C1901">
        <v>214.83</v>
      </c>
      <c r="D1901" t="str">
        <f t="shared" si="85"/>
        <v>440</v>
      </c>
      <c r="E1901" t="str">
        <f>"92507"</f>
        <v>92507</v>
      </c>
    </row>
    <row r="1902" spans="1:5" x14ac:dyDescent="0.25">
      <c r="A1902" t="str">
        <f>"777448060"</f>
        <v>777448060</v>
      </c>
      <c r="B1902" t="s">
        <v>1863</v>
      </c>
      <c r="C1902">
        <v>48.51</v>
      </c>
      <c r="D1902" t="str">
        <f t="shared" si="85"/>
        <v>440</v>
      </c>
      <c r="E1902" t="str">
        <f>"92508"</f>
        <v>92508</v>
      </c>
    </row>
    <row r="1903" spans="1:5" x14ac:dyDescent="0.25">
      <c r="A1903" t="str">
        <f>"777448065"</f>
        <v>777448065</v>
      </c>
      <c r="B1903" t="s">
        <v>1864</v>
      </c>
      <c r="C1903">
        <v>191.73</v>
      </c>
      <c r="D1903" t="str">
        <f t="shared" si="85"/>
        <v>440</v>
      </c>
      <c r="E1903" t="str">
        <f>"92526"</f>
        <v>92526</v>
      </c>
    </row>
    <row r="1904" spans="1:5" x14ac:dyDescent="0.25">
      <c r="A1904" t="str">
        <f>"777448066"</f>
        <v>777448066</v>
      </c>
      <c r="B1904" t="s">
        <v>1850</v>
      </c>
      <c r="C1904">
        <v>191.73</v>
      </c>
      <c r="D1904" t="str">
        <f t="shared" si="85"/>
        <v>440</v>
      </c>
      <c r="E1904" t="str">
        <f>"92526"</f>
        <v>92526</v>
      </c>
    </row>
    <row r="1905" spans="1:5" x14ac:dyDescent="0.25">
      <c r="A1905" t="str">
        <f>"777448070"</f>
        <v>777448070</v>
      </c>
      <c r="B1905" t="s">
        <v>1865</v>
      </c>
      <c r="C1905">
        <v>651.41999999999996</v>
      </c>
      <c r="D1905" t="str">
        <f t="shared" ref="D1905:D1920" si="86">"444"</f>
        <v>444</v>
      </c>
      <c r="E1905" t="str">
        <f>"92521"</f>
        <v>92521</v>
      </c>
    </row>
    <row r="1906" spans="1:5" x14ac:dyDescent="0.25">
      <c r="A1906" t="str">
        <f>"777448075"</f>
        <v>777448075</v>
      </c>
      <c r="B1906" t="s">
        <v>1866</v>
      </c>
      <c r="C1906">
        <v>744.74</v>
      </c>
      <c r="D1906" t="str">
        <f t="shared" si="86"/>
        <v>444</v>
      </c>
      <c r="E1906" t="str">
        <f>"92521"</f>
        <v>92521</v>
      </c>
    </row>
    <row r="1907" spans="1:5" x14ac:dyDescent="0.25">
      <c r="A1907" t="str">
        <f>"777448080"</f>
        <v>777448080</v>
      </c>
      <c r="B1907" t="s">
        <v>1867</v>
      </c>
      <c r="C1907">
        <v>838.07</v>
      </c>
      <c r="D1907" t="str">
        <f t="shared" si="86"/>
        <v>444</v>
      </c>
      <c r="E1907" t="str">
        <f>"92521"</f>
        <v>92521</v>
      </c>
    </row>
    <row r="1908" spans="1:5" x14ac:dyDescent="0.25">
      <c r="A1908" t="str">
        <f>"777448085"</f>
        <v>777448085</v>
      </c>
      <c r="B1908" t="s">
        <v>1868</v>
      </c>
      <c r="C1908" s="1">
        <v>1043.2</v>
      </c>
      <c r="D1908" t="str">
        <f t="shared" si="86"/>
        <v>444</v>
      </c>
      <c r="E1908" t="str">
        <f>"92521"</f>
        <v>92521</v>
      </c>
    </row>
    <row r="1909" spans="1:5" x14ac:dyDescent="0.25">
      <c r="A1909" t="str">
        <f>"777448090"</f>
        <v>777448090</v>
      </c>
      <c r="B1909" t="s">
        <v>1869</v>
      </c>
      <c r="C1909">
        <v>651.41999999999996</v>
      </c>
      <c r="D1909" t="str">
        <f t="shared" si="86"/>
        <v>444</v>
      </c>
      <c r="E1909" t="str">
        <f>"92522"</f>
        <v>92522</v>
      </c>
    </row>
    <row r="1910" spans="1:5" x14ac:dyDescent="0.25">
      <c r="A1910" t="str">
        <f>"777448095"</f>
        <v>777448095</v>
      </c>
      <c r="B1910" t="s">
        <v>1870</v>
      </c>
      <c r="C1910">
        <v>744.74</v>
      </c>
      <c r="D1910" t="str">
        <f t="shared" si="86"/>
        <v>444</v>
      </c>
      <c r="E1910" t="str">
        <f>"92522"</f>
        <v>92522</v>
      </c>
    </row>
    <row r="1911" spans="1:5" x14ac:dyDescent="0.25">
      <c r="A1911" t="str">
        <f>"777448100"</f>
        <v>777448100</v>
      </c>
      <c r="B1911" t="s">
        <v>1871</v>
      </c>
      <c r="C1911">
        <v>838.07</v>
      </c>
      <c r="D1911" t="str">
        <f t="shared" si="86"/>
        <v>444</v>
      </c>
      <c r="E1911" t="str">
        <f>"92522"</f>
        <v>92522</v>
      </c>
    </row>
    <row r="1912" spans="1:5" x14ac:dyDescent="0.25">
      <c r="A1912" t="str">
        <f>"777448105"</f>
        <v>777448105</v>
      </c>
      <c r="B1912" t="s">
        <v>1872</v>
      </c>
      <c r="C1912" s="1">
        <v>1043.2</v>
      </c>
      <c r="D1912" t="str">
        <f t="shared" si="86"/>
        <v>444</v>
      </c>
      <c r="E1912" t="str">
        <f>"92522"</f>
        <v>92522</v>
      </c>
    </row>
    <row r="1913" spans="1:5" x14ac:dyDescent="0.25">
      <c r="A1913" t="str">
        <f>"777448110"</f>
        <v>777448110</v>
      </c>
      <c r="B1913" t="s">
        <v>1873</v>
      </c>
      <c r="C1913">
        <v>651.41999999999996</v>
      </c>
      <c r="D1913" t="str">
        <f t="shared" si="86"/>
        <v>444</v>
      </c>
      <c r="E1913" t="str">
        <f>"92523"</f>
        <v>92523</v>
      </c>
    </row>
    <row r="1914" spans="1:5" x14ac:dyDescent="0.25">
      <c r="A1914" t="str">
        <f>"777448115"</f>
        <v>777448115</v>
      </c>
      <c r="B1914" t="s">
        <v>1873</v>
      </c>
      <c r="C1914">
        <v>744.74</v>
      </c>
      <c r="D1914" t="str">
        <f t="shared" si="86"/>
        <v>444</v>
      </c>
      <c r="E1914" t="str">
        <f>"92523"</f>
        <v>92523</v>
      </c>
    </row>
    <row r="1915" spans="1:5" x14ac:dyDescent="0.25">
      <c r="A1915" t="str">
        <f>"777448120"</f>
        <v>777448120</v>
      </c>
      <c r="B1915" t="s">
        <v>1873</v>
      </c>
      <c r="C1915">
        <v>838.07</v>
      </c>
      <c r="D1915" t="str">
        <f t="shared" si="86"/>
        <v>444</v>
      </c>
      <c r="E1915" t="str">
        <f>"92523"</f>
        <v>92523</v>
      </c>
    </row>
    <row r="1916" spans="1:5" x14ac:dyDescent="0.25">
      <c r="A1916" t="str">
        <f>"777448125"</f>
        <v>777448125</v>
      </c>
      <c r="B1916" t="s">
        <v>1873</v>
      </c>
      <c r="C1916" s="1">
        <v>1043.2</v>
      </c>
      <c r="D1916" t="str">
        <f t="shared" si="86"/>
        <v>444</v>
      </c>
      <c r="E1916" t="str">
        <f>"92523"</f>
        <v>92523</v>
      </c>
    </row>
    <row r="1917" spans="1:5" x14ac:dyDescent="0.25">
      <c r="A1917" t="str">
        <f>"777448130"</f>
        <v>777448130</v>
      </c>
      <c r="B1917" t="s">
        <v>1874</v>
      </c>
      <c r="C1917">
        <v>651.41999999999996</v>
      </c>
      <c r="D1917" t="str">
        <f t="shared" si="86"/>
        <v>444</v>
      </c>
      <c r="E1917" t="str">
        <f>"92524"</f>
        <v>92524</v>
      </c>
    </row>
    <row r="1918" spans="1:5" x14ac:dyDescent="0.25">
      <c r="A1918" t="str">
        <f>"777448135"</f>
        <v>777448135</v>
      </c>
      <c r="B1918" t="s">
        <v>1874</v>
      </c>
      <c r="C1918">
        <v>651.41999999999996</v>
      </c>
      <c r="D1918" t="str">
        <f t="shared" si="86"/>
        <v>444</v>
      </c>
      <c r="E1918" t="str">
        <f>"92524"</f>
        <v>92524</v>
      </c>
    </row>
    <row r="1919" spans="1:5" x14ac:dyDescent="0.25">
      <c r="A1919" t="str">
        <f>"777448140"</f>
        <v>777448140</v>
      </c>
      <c r="B1919" t="s">
        <v>1874</v>
      </c>
      <c r="C1919">
        <v>838.07</v>
      </c>
      <c r="D1919" t="str">
        <f t="shared" si="86"/>
        <v>444</v>
      </c>
      <c r="E1919" t="str">
        <f>"92524"</f>
        <v>92524</v>
      </c>
    </row>
    <row r="1920" spans="1:5" x14ac:dyDescent="0.25">
      <c r="A1920" t="str">
        <f>"777448150"</f>
        <v>777448150</v>
      </c>
      <c r="B1920" t="s">
        <v>1874</v>
      </c>
      <c r="C1920" s="1">
        <v>1043.2</v>
      </c>
      <c r="D1920" t="str">
        <f t="shared" si="86"/>
        <v>444</v>
      </c>
      <c r="E1920" t="str">
        <f>"92524"</f>
        <v>92524</v>
      </c>
    </row>
    <row r="1921" spans="1:5" x14ac:dyDescent="0.25">
      <c r="A1921" t="str">
        <f>"777449001"</f>
        <v>777449001</v>
      </c>
      <c r="B1921" t="s">
        <v>1875</v>
      </c>
      <c r="C1921">
        <v>214.83</v>
      </c>
      <c r="D1921" t="str">
        <f>"434"</f>
        <v>434</v>
      </c>
    </row>
    <row r="1922" spans="1:5" x14ac:dyDescent="0.25">
      <c r="A1922" t="str">
        <f>"777500000"</f>
        <v>777500000</v>
      </c>
      <c r="B1922" t="s">
        <v>1754</v>
      </c>
      <c r="C1922">
        <v>112.63</v>
      </c>
      <c r="D1922" t="str">
        <f>"420"</f>
        <v>420</v>
      </c>
      <c r="E1922" t="str">
        <f>"95851"</f>
        <v>95851</v>
      </c>
    </row>
    <row r="1923" spans="1:5" x14ac:dyDescent="0.25">
      <c r="A1923" t="str">
        <f>"777500001"</f>
        <v>777500001</v>
      </c>
      <c r="B1923" t="s">
        <v>1876</v>
      </c>
      <c r="C1923">
        <v>70.06</v>
      </c>
      <c r="D1923" t="str">
        <f>"917"</f>
        <v>917</v>
      </c>
      <c r="E1923" t="str">
        <f>"90901"</f>
        <v>90901</v>
      </c>
    </row>
    <row r="1924" spans="1:5" x14ac:dyDescent="0.25">
      <c r="A1924" t="str">
        <f>"777500002"</f>
        <v>777500002</v>
      </c>
      <c r="B1924" t="s">
        <v>1877</v>
      </c>
      <c r="C1924">
        <v>273.91000000000003</v>
      </c>
      <c r="D1924" t="str">
        <f>"917"</f>
        <v>917</v>
      </c>
      <c r="E1924" t="str">
        <f>"90911"</f>
        <v>90911</v>
      </c>
    </row>
    <row r="1925" spans="1:5" x14ac:dyDescent="0.25">
      <c r="A1925" t="str">
        <f>"777500003"</f>
        <v>777500003</v>
      </c>
      <c r="B1925" t="s">
        <v>1878</v>
      </c>
      <c r="C1925">
        <v>346.5</v>
      </c>
      <c r="D1925" t="str">
        <f>"424"</f>
        <v>424</v>
      </c>
      <c r="E1925" t="str">
        <f>"97161"</f>
        <v>97161</v>
      </c>
    </row>
    <row r="1926" spans="1:5" x14ac:dyDescent="0.25">
      <c r="A1926" t="str">
        <f>"777500004"</f>
        <v>777500004</v>
      </c>
      <c r="B1926" t="s">
        <v>1879</v>
      </c>
      <c r="C1926">
        <v>566.55999999999995</v>
      </c>
      <c r="D1926" t="str">
        <f>"424"</f>
        <v>424</v>
      </c>
      <c r="E1926" t="str">
        <f>"97164"</f>
        <v>97164</v>
      </c>
    </row>
    <row r="1927" spans="1:5" x14ac:dyDescent="0.25">
      <c r="A1927" t="str">
        <f>"777500005"</f>
        <v>777500005</v>
      </c>
      <c r="B1927" t="s">
        <v>1880</v>
      </c>
      <c r="C1927">
        <v>363.8</v>
      </c>
      <c r="D1927" t="str">
        <f t="shared" ref="D1927:D1952" si="87">"420"</f>
        <v>420</v>
      </c>
      <c r="E1927" t="str">
        <f>"97010"</f>
        <v>97010</v>
      </c>
    </row>
    <row r="1928" spans="1:5" x14ac:dyDescent="0.25">
      <c r="A1928" t="str">
        <f>"777500006"</f>
        <v>777500006</v>
      </c>
      <c r="B1928" t="s">
        <v>1881</v>
      </c>
      <c r="C1928">
        <v>291.58999999999997</v>
      </c>
      <c r="D1928" t="str">
        <f t="shared" si="87"/>
        <v>420</v>
      </c>
      <c r="E1928" t="str">
        <f>"97012"</f>
        <v>97012</v>
      </c>
    </row>
    <row r="1929" spans="1:5" x14ac:dyDescent="0.25">
      <c r="A1929" t="str">
        <f>"777500007"</f>
        <v>777500007</v>
      </c>
      <c r="B1929" t="s">
        <v>1882</v>
      </c>
      <c r="C1929">
        <v>219.36</v>
      </c>
      <c r="D1929" t="str">
        <f t="shared" si="87"/>
        <v>420</v>
      </c>
      <c r="E1929" t="str">
        <f>"97014"</f>
        <v>97014</v>
      </c>
    </row>
    <row r="1930" spans="1:5" x14ac:dyDescent="0.25">
      <c r="A1930" t="str">
        <f>"777500008"</f>
        <v>777500008</v>
      </c>
      <c r="B1930" t="s">
        <v>1883</v>
      </c>
      <c r="C1930">
        <v>177.49</v>
      </c>
      <c r="D1930" t="str">
        <f t="shared" si="87"/>
        <v>420</v>
      </c>
      <c r="E1930" t="str">
        <f>"97016"</f>
        <v>97016</v>
      </c>
    </row>
    <row r="1931" spans="1:5" x14ac:dyDescent="0.25">
      <c r="A1931" t="str">
        <f>"777500009"</f>
        <v>777500009</v>
      </c>
      <c r="B1931" t="s">
        <v>1884</v>
      </c>
      <c r="C1931">
        <v>241.58</v>
      </c>
      <c r="D1931" t="str">
        <f t="shared" si="87"/>
        <v>420</v>
      </c>
      <c r="E1931" t="str">
        <f>"97018"</f>
        <v>97018</v>
      </c>
    </row>
    <row r="1932" spans="1:5" x14ac:dyDescent="0.25">
      <c r="A1932" t="str">
        <f>"777500010"</f>
        <v>777500010</v>
      </c>
      <c r="B1932" t="s">
        <v>1885</v>
      </c>
      <c r="C1932">
        <v>438.79</v>
      </c>
      <c r="D1932" t="str">
        <f t="shared" si="87"/>
        <v>420</v>
      </c>
      <c r="E1932" t="str">
        <f>"97022"</f>
        <v>97022</v>
      </c>
    </row>
    <row r="1933" spans="1:5" x14ac:dyDescent="0.25">
      <c r="A1933" t="str">
        <f>"777500011"</f>
        <v>777500011</v>
      </c>
      <c r="B1933" t="s">
        <v>1886</v>
      </c>
      <c r="C1933">
        <v>22.29</v>
      </c>
      <c r="D1933" t="str">
        <f t="shared" si="87"/>
        <v>420</v>
      </c>
      <c r="E1933" t="str">
        <f>"97024"</f>
        <v>97024</v>
      </c>
    </row>
    <row r="1934" spans="1:5" x14ac:dyDescent="0.25">
      <c r="A1934" t="str">
        <f>"777500012"</f>
        <v>777500012</v>
      </c>
      <c r="B1934" t="s">
        <v>1887</v>
      </c>
      <c r="C1934">
        <v>237.8</v>
      </c>
      <c r="D1934" t="str">
        <f t="shared" si="87"/>
        <v>420</v>
      </c>
      <c r="E1934" t="str">
        <f>"97026"</f>
        <v>97026</v>
      </c>
    </row>
    <row r="1935" spans="1:5" x14ac:dyDescent="0.25">
      <c r="A1935" t="str">
        <f>"777500013"</f>
        <v>777500013</v>
      </c>
      <c r="B1935" t="s">
        <v>1888</v>
      </c>
      <c r="C1935">
        <v>25.48</v>
      </c>
      <c r="D1935" t="str">
        <f t="shared" si="87"/>
        <v>420</v>
      </c>
      <c r="E1935" t="str">
        <f>"97028"</f>
        <v>97028</v>
      </c>
    </row>
    <row r="1936" spans="1:5" x14ac:dyDescent="0.25">
      <c r="A1936" t="str">
        <f>"777500014"</f>
        <v>777500014</v>
      </c>
      <c r="B1936" t="s">
        <v>1889</v>
      </c>
      <c r="C1936">
        <v>197.15</v>
      </c>
      <c r="D1936" t="str">
        <f t="shared" si="87"/>
        <v>420</v>
      </c>
      <c r="E1936" t="str">
        <f>"97032"</f>
        <v>97032</v>
      </c>
    </row>
    <row r="1937" spans="1:5" x14ac:dyDescent="0.25">
      <c r="A1937" t="str">
        <f>"777500015"</f>
        <v>777500015</v>
      </c>
      <c r="B1937" t="s">
        <v>1890</v>
      </c>
      <c r="C1937">
        <v>333.27</v>
      </c>
      <c r="D1937" t="str">
        <f t="shared" si="87"/>
        <v>420</v>
      </c>
      <c r="E1937" t="str">
        <f>"97033"</f>
        <v>97033</v>
      </c>
    </row>
    <row r="1938" spans="1:5" x14ac:dyDescent="0.25">
      <c r="A1938" t="str">
        <f>"777500016"</f>
        <v>777500016</v>
      </c>
      <c r="B1938" t="s">
        <v>1891</v>
      </c>
      <c r="C1938">
        <v>227.21</v>
      </c>
      <c r="D1938" t="str">
        <f t="shared" si="87"/>
        <v>420</v>
      </c>
      <c r="E1938" t="str">
        <f>"97034"</f>
        <v>97034</v>
      </c>
    </row>
    <row r="1939" spans="1:5" x14ac:dyDescent="0.25">
      <c r="A1939" t="str">
        <f>"777500017"</f>
        <v>777500017</v>
      </c>
      <c r="B1939" t="s">
        <v>1892</v>
      </c>
      <c r="C1939">
        <v>241.58</v>
      </c>
      <c r="D1939" t="str">
        <f t="shared" si="87"/>
        <v>420</v>
      </c>
      <c r="E1939" t="str">
        <f>"97035"</f>
        <v>97035</v>
      </c>
    </row>
    <row r="1940" spans="1:5" x14ac:dyDescent="0.25">
      <c r="A1940" t="str">
        <f>"777500018"</f>
        <v>777500018</v>
      </c>
      <c r="B1940" t="s">
        <v>1893</v>
      </c>
      <c r="C1940">
        <v>108.28</v>
      </c>
      <c r="D1940" t="str">
        <f t="shared" si="87"/>
        <v>420</v>
      </c>
      <c r="E1940" t="str">
        <f>"97036"</f>
        <v>97036</v>
      </c>
    </row>
    <row r="1941" spans="1:5" x14ac:dyDescent="0.25">
      <c r="A1941" t="str">
        <f>"777500019"</f>
        <v>777500019</v>
      </c>
      <c r="B1941" t="s">
        <v>1894</v>
      </c>
      <c r="C1941" s="1">
        <v>2369.1999999999998</v>
      </c>
      <c r="D1941" t="str">
        <f t="shared" si="87"/>
        <v>420</v>
      </c>
      <c r="E1941" t="str">
        <f>"97039"</f>
        <v>97039</v>
      </c>
    </row>
    <row r="1942" spans="1:5" x14ac:dyDescent="0.25">
      <c r="A1942" t="str">
        <f>"777500020"</f>
        <v>777500020</v>
      </c>
      <c r="B1942" t="s">
        <v>1895</v>
      </c>
      <c r="C1942">
        <v>249.88</v>
      </c>
      <c r="D1942" t="str">
        <f t="shared" si="87"/>
        <v>420</v>
      </c>
      <c r="E1942" t="str">
        <f>"97110"</f>
        <v>97110</v>
      </c>
    </row>
    <row r="1943" spans="1:5" x14ac:dyDescent="0.25">
      <c r="A1943" t="str">
        <f>"777500021"</f>
        <v>777500021</v>
      </c>
      <c r="B1943" t="s">
        <v>1896</v>
      </c>
      <c r="C1943">
        <v>224.92</v>
      </c>
      <c r="D1943" t="str">
        <f t="shared" si="87"/>
        <v>420</v>
      </c>
      <c r="E1943" t="str">
        <f>"97112"</f>
        <v>97112</v>
      </c>
    </row>
    <row r="1944" spans="1:5" x14ac:dyDescent="0.25">
      <c r="A1944" t="str">
        <f>"777500022"</f>
        <v>777500022</v>
      </c>
      <c r="B1944" t="s">
        <v>1897</v>
      </c>
      <c r="C1944">
        <v>140.13</v>
      </c>
      <c r="D1944" t="str">
        <f t="shared" si="87"/>
        <v>420</v>
      </c>
      <c r="E1944" t="str">
        <f>"97113"</f>
        <v>97113</v>
      </c>
    </row>
    <row r="1945" spans="1:5" x14ac:dyDescent="0.25">
      <c r="A1945" t="str">
        <f>"777500023"</f>
        <v>777500023</v>
      </c>
      <c r="B1945" t="s">
        <v>1898</v>
      </c>
      <c r="C1945">
        <v>294.37</v>
      </c>
      <c r="D1945" t="str">
        <f t="shared" si="87"/>
        <v>420</v>
      </c>
      <c r="E1945" t="str">
        <f>"97116"</f>
        <v>97116</v>
      </c>
    </row>
    <row r="1946" spans="1:5" x14ac:dyDescent="0.25">
      <c r="A1946" t="str">
        <f>"777500024"</f>
        <v>777500024</v>
      </c>
      <c r="B1946" t="s">
        <v>1899</v>
      </c>
      <c r="C1946">
        <v>286.01</v>
      </c>
      <c r="D1946" t="str">
        <f t="shared" si="87"/>
        <v>420</v>
      </c>
      <c r="E1946" t="str">
        <f>"97124"</f>
        <v>97124</v>
      </c>
    </row>
    <row r="1947" spans="1:5" x14ac:dyDescent="0.25">
      <c r="A1947" t="str">
        <f>"777500025"</f>
        <v>777500025</v>
      </c>
      <c r="B1947" t="s">
        <v>1900</v>
      </c>
      <c r="C1947">
        <v>533.26</v>
      </c>
      <c r="D1947" t="str">
        <f t="shared" si="87"/>
        <v>420</v>
      </c>
      <c r="E1947" t="str">
        <f>"97139"</f>
        <v>97139</v>
      </c>
    </row>
    <row r="1948" spans="1:5" x14ac:dyDescent="0.25">
      <c r="A1948" t="str">
        <f>"777500026"</f>
        <v>777500026</v>
      </c>
      <c r="B1948" t="s">
        <v>1901</v>
      </c>
      <c r="C1948">
        <v>244.34</v>
      </c>
      <c r="D1948" t="str">
        <f t="shared" si="87"/>
        <v>420</v>
      </c>
      <c r="E1948" t="str">
        <f>"97140"</f>
        <v>97140</v>
      </c>
    </row>
    <row r="1949" spans="1:5" x14ac:dyDescent="0.25">
      <c r="A1949" t="str">
        <f>"777500027"</f>
        <v>777500027</v>
      </c>
      <c r="B1949" t="s">
        <v>1902</v>
      </c>
      <c r="C1949">
        <v>176.7</v>
      </c>
      <c r="D1949" t="str">
        <f t="shared" si="87"/>
        <v>420</v>
      </c>
      <c r="E1949" t="str">
        <f>"97150"</f>
        <v>97150</v>
      </c>
    </row>
    <row r="1950" spans="1:5" x14ac:dyDescent="0.25">
      <c r="A1950" t="str">
        <f>"777500028"</f>
        <v>777500028</v>
      </c>
      <c r="B1950" t="s">
        <v>1903</v>
      </c>
      <c r="C1950">
        <v>261.02</v>
      </c>
      <c r="D1950" t="str">
        <f t="shared" si="87"/>
        <v>420</v>
      </c>
      <c r="E1950" t="str">
        <f>"97530"</f>
        <v>97530</v>
      </c>
    </row>
    <row r="1951" spans="1:5" x14ac:dyDescent="0.25">
      <c r="A1951" t="str">
        <f>"777500029"</f>
        <v>777500029</v>
      </c>
      <c r="B1951" t="s">
        <v>1904</v>
      </c>
      <c r="C1951">
        <v>130.32</v>
      </c>
      <c r="D1951" t="str">
        <f t="shared" si="87"/>
        <v>420</v>
      </c>
      <c r="E1951" t="str">
        <f>"97598"</f>
        <v>97598</v>
      </c>
    </row>
    <row r="1952" spans="1:5" x14ac:dyDescent="0.25">
      <c r="A1952" t="str">
        <f>"777500030"</f>
        <v>777500030</v>
      </c>
      <c r="B1952" t="s">
        <v>1905</v>
      </c>
      <c r="C1952">
        <v>133.24</v>
      </c>
      <c r="D1952" t="str">
        <f t="shared" si="87"/>
        <v>420</v>
      </c>
      <c r="E1952" t="str">
        <f>"97602"</f>
        <v>97602</v>
      </c>
    </row>
    <row r="1953" spans="1:5" x14ac:dyDescent="0.25">
      <c r="A1953" t="str">
        <f>"777500031"</f>
        <v>777500031</v>
      </c>
      <c r="B1953" t="s">
        <v>1906</v>
      </c>
      <c r="C1953" s="1">
        <v>1877.32</v>
      </c>
      <c r="D1953" t="str">
        <f>"360"</f>
        <v>360</v>
      </c>
      <c r="E1953" t="str">
        <f>"97605"</f>
        <v>97605</v>
      </c>
    </row>
    <row r="1954" spans="1:5" x14ac:dyDescent="0.25">
      <c r="A1954" t="str">
        <f>"777500032"</f>
        <v>777500032</v>
      </c>
      <c r="B1954" t="s">
        <v>1907</v>
      </c>
      <c r="C1954">
        <v>526.92999999999995</v>
      </c>
      <c r="D1954" t="str">
        <f>"360"</f>
        <v>360</v>
      </c>
      <c r="E1954" t="str">
        <f>"97606"</f>
        <v>97606</v>
      </c>
    </row>
    <row r="1955" spans="1:5" x14ac:dyDescent="0.25">
      <c r="A1955" t="str">
        <f>"777500033"</f>
        <v>777500033</v>
      </c>
      <c r="B1955" t="s">
        <v>1908</v>
      </c>
      <c r="C1955">
        <v>210.23</v>
      </c>
      <c r="D1955" t="str">
        <f t="shared" ref="D1955:D1974" si="88">"420"</f>
        <v>420</v>
      </c>
      <c r="E1955" t="str">
        <f>"97750"</f>
        <v>97750</v>
      </c>
    </row>
    <row r="1956" spans="1:5" x14ac:dyDescent="0.25">
      <c r="A1956" t="str">
        <f>"777500034"</f>
        <v>777500034</v>
      </c>
      <c r="B1956" t="s">
        <v>1909</v>
      </c>
      <c r="C1956">
        <v>251.16</v>
      </c>
      <c r="D1956" t="str">
        <f t="shared" si="88"/>
        <v>420</v>
      </c>
      <c r="E1956" t="str">
        <f>"97760"</f>
        <v>97760</v>
      </c>
    </row>
    <row r="1957" spans="1:5" x14ac:dyDescent="0.25">
      <c r="A1957" t="str">
        <f>"777500035"</f>
        <v>777500035</v>
      </c>
      <c r="B1957" t="s">
        <v>1910</v>
      </c>
      <c r="C1957">
        <v>302.95999999999998</v>
      </c>
      <c r="D1957" t="str">
        <f t="shared" si="88"/>
        <v>420</v>
      </c>
      <c r="E1957" t="str">
        <f>"97761"</f>
        <v>97761</v>
      </c>
    </row>
    <row r="1958" spans="1:5" x14ac:dyDescent="0.25">
      <c r="A1958" t="str">
        <f>"777500036"</f>
        <v>777500036</v>
      </c>
      <c r="B1958" t="s">
        <v>1911</v>
      </c>
      <c r="C1958">
        <v>101.65</v>
      </c>
      <c r="D1958" t="str">
        <f t="shared" si="88"/>
        <v>420</v>
      </c>
      <c r="E1958" t="str">
        <f>"97762"</f>
        <v>97762</v>
      </c>
    </row>
    <row r="1959" spans="1:5" x14ac:dyDescent="0.25">
      <c r="A1959" t="str">
        <f>"777500037"</f>
        <v>777500037</v>
      </c>
      <c r="B1959" t="s">
        <v>1912</v>
      </c>
      <c r="C1959">
        <v>371.69</v>
      </c>
      <c r="D1959" t="str">
        <f t="shared" si="88"/>
        <v>420</v>
      </c>
      <c r="E1959" t="str">
        <f>"97610"</f>
        <v>97610</v>
      </c>
    </row>
    <row r="1960" spans="1:5" x14ac:dyDescent="0.25">
      <c r="A1960" t="str">
        <f>"777500038"</f>
        <v>777500038</v>
      </c>
      <c r="B1960" t="s">
        <v>1913</v>
      </c>
      <c r="C1960">
        <v>44.58</v>
      </c>
      <c r="D1960" t="str">
        <f t="shared" si="88"/>
        <v>420</v>
      </c>
      <c r="E1960" t="str">
        <f>"G0281"</f>
        <v>G0281</v>
      </c>
    </row>
    <row r="1961" spans="1:5" x14ac:dyDescent="0.25">
      <c r="A1961" t="str">
        <f>"777500040"</f>
        <v>777500040</v>
      </c>
      <c r="B1961" t="s">
        <v>1914</v>
      </c>
      <c r="C1961">
        <v>218.8</v>
      </c>
      <c r="D1961" t="str">
        <f t="shared" si="88"/>
        <v>420</v>
      </c>
      <c r="E1961" t="str">
        <f>"G0283"</f>
        <v>G0283</v>
      </c>
    </row>
    <row r="1962" spans="1:5" x14ac:dyDescent="0.25">
      <c r="A1962" t="str">
        <f>"777500042"</f>
        <v>777500042</v>
      </c>
      <c r="B1962" t="s">
        <v>1915</v>
      </c>
      <c r="C1962">
        <v>142.55000000000001</v>
      </c>
      <c r="D1962" t="str">
        <f t="shared" si="88"/>
        <v>420</v>
      </c>
      <c r="E1962" t="str">
        <f>"X3908"</f>
        <v>X3908</v>
      </c>
    </row>
    <row r="1963" spans="1:5" x14ac:dyDescent="0.25">
      <c r="A1963" t="str">
        <f>"777500043"</f>
        <v>777500043</v>
      </c>
      <c r="B1963" t="s">
        <v>1916</v>
      </c>
      <c r="C1963">
        <v>46.99</v>
      </c>
      <c r="D1963" t="str">
        <f t="shared" si="88"/>
        <v>420</v>
      </c>
      <c r="E1963" t="str">
        <f>"X3910"</f>
        <v>X3910</v>
      </c>
    </row>
    <row r="1964" spans="1:5" x14ac:dyDescent="0.25">
      <c r="A1964" t="str">
        <f>"777500044"</f>
        <v>777500044</v>
      </c>
      <c r="B1964" t="s">
        <v>1917</v>
      </c>
      <c r="C1964">
        <v>234.98</v>
      </c>
      <c r="D1964" t="str">
        <f t="shared" si="88"/>
        <v>420</v>
      </c>
      <c r="E1964" t="str">
        <f>"X3920"</f>
        <v>X3920</v>
      </c>
    </row>
    <row r="1965" spans="1:5" x14ac:dyDescent="0.25">
      <c r="A1965" t="str">
        <f>"777500046"</f>
        <v>777500046</v>
      </c>
      <c r="B1965" t="s">
        <v>1918</v>
      </c>
      <c r="C1965">
        <v>234.98</v>
      </c>
      <c r="D1965" t="str">
        <f t="shared" si="88"/>
        <v>420</v>
      </c>
      <c r="E1965" t="str">
        <f>"X3924"</f>
        <v>X3924</v>
      </c>
    </row>
    <row r="1966" spans="1:5" x14ac:dyDescent="0.25">
      <c r="A1966" t="str">
        <f>"777500048"</f>
        <v>777500048</v>
      </c>
      <c r="B1966" t="s">
        <v>1919</v>
      </c>
      <c r="C1966">
        <v>142.55000000000001</v>
      </c>
      <c r="D1966" t="str">
        <f t="shared" si="88"/>
        <v>420</v>
      </c>
      <c r="E1966" t="str">
        <f>"X3928"</f>
        <v>X3928</v>
      </c>
    </row>
    <row r="1967" spans="1:5" x14ac:dyDescent="0.25">
      <c r="A1967" t="str">
        <f>"777500049"</f>
        <v>777500049</v>
      </c>
      <c r="B1967" t="s">
        <v>1920</v>
      </c>
      <c r="C1967">
        <v>46.99</v>
      </c>
      <c r="D1967" t="str">
        <f t="shared" si="88"/>
        <v>420</v>
      </c>
      <c r="E1967" t="str">
        <f>"X3930"</f>
        <v>X3930</v>
      </c>
    </row>
    <row r="1968" spans="1:5" x14ac:dyDescent="0.25">
      <c r="A1968" t="str">
        <f>"777500052"</f>
        <v>777500052</v>
      </c>
      <c r="B1968" t="s">
        <v>1921</v>
      </c>
      <c r="C1968">
        <v>236.03</v>
      </c>
      <c r="D1968" t="str">
        <f t="shared" si="88"/>
        <v>420</v>
      </c>
      <c r="E1968" t="str">
        <f>"G0515"</f>
        <v>G0515</v>
      </c>
    </row>
    <row r="1969" spans="1:5" x14ac:dyDescent="0.25">
      <c r="A1969" t="str">
        <f>"777500053"</f>
        <v>777500053</v>
      </c>
      <c r="B1969" t="s">
        <v>1922</v>
      </c>
      <c r="C1969">
        <v>170.9</v>
      </c>
      <c r="D1969" t="str">
        <f t="shared" si="88"/>
        <v>420</v>
      </c>
      <c r="E1969" t="str">
        <f>"97533"</f>
        <v>97533</v>
      </c>
    </row>
    <row r="1970" spans="1:5" x14ac:dyDescent="0.25">
      <c r="A1970" t="str">
        <f>"777500054"</f>
        <v>777500054</v>
      </c>
      <c r="B1970" t="s">
        <v>1923</v>
      </c>
      <c r="C1970">
        <v>258.25</v>
      </c>
      <c r="D1970" t="str">
        <f t="shared" si="88"/>
        <v>420</v>
      </c>
      <c r="E1970" t="str">
        <f>"97535"</f>
        <v>97535</v>
      </c>
    </row>
    <row r="1971" spans="1:5" x14ac:dyDescent="0.25">
      <c r="A1971" t="str">
        <f>"777500055"</f>
        <v>777500055</v>
      </c>
      <c r="B1971" t="s">
        <v>1924</v>
      </c>
      <c r="C1971">
        <v>231.85</v>
      </c>
      <c r="D1971" t="str">
        <f t="shared" si="88"/>
        <v>420</v>
      </c>
      <c r="E1971" t="str">
        <f>"97537"</f>
        <v>97537</v>
      </c>
    </row>
    <row r="1972" spans="1:5" x14ac:dyDescent="0.25">
      <c r="A1972" t="str">
        <f>"777500056"</f>
        <v>777500056</v>
      </c>
      <c r="B1972" t="s">
        <v>1925</v>
      </c>
      <c r="C1972">
        <v>189.33</v>
      </c>
      <c r="D1972" t="str">
        <f t="shared" si="88"/>
        <v>420</v>
      </c>
      <c r="E1972" t="str">
        <f>"97542"</f>
        <v>97542</v>
      </c>
    </row>
    <row r="1973" spans="1:5" x14ac:dyDescent="0.25">
      <c r="A1973" t="str">
        <f>"777500057"</f>
        <v>777500057</v>
      </c>
      <c r="B1973" t="s">
        <v>1926</v>
      </c>
      <c r="C1973">
        <v>633.11</v>
      </c>
      <c r="D1973" t="str">
        <f t="shared" si="88"/>
        <v>420</v>
      </c>
      <c r="E1973" t="str">
        <f>"97597"</f>
        <v>97597</v>
      </c>
    </row>
    <row r="1974" spans="1:5" x14ac:dyDescent="0.25">
      <c r="A1974" t="str">
        <f>"777500058"</f>
        <v>777500058</v>
      </c>
      <c r="B1974" t="s">
        <v>1927</v>
      </c>
      <c r="C1974">
        <v>211.49</v>
      </c>
      <c r="D1974" t="str">
        <f t="shared" si="88"/>
        <v>420</v>
      </c>
      <c r="E1974" t="str">
        <f>"97761"</f>
        <v>97761</v>
      </c>
    </row>
    <row r="1975" spans="1:5" x14ac:dyDescent="0.25">
      <c r="A1975" t="str">
        <f>"778000001"</f>
        <v>778000001</v>
      </c>
      <c r="B1975" t="s">
        <v>1928</v>
      </c>
      <c r="C1975">
        <v>833.23</v>
      </c>
      <c r="D1975" t="str">
        <f>"444"</f>
        <v>444</v>
      </c>
      <c r="E1975" t="str">
        <f>"92521"</f>
        <v>92521</v>
      </c>
    </row>
    <row r="1976" spans="1:5" x14ac:dyDescent="0.25">
      <c r="A1976" t="str">
        <f>"778000002"</f>
        <v>778000002</v>
      </c>
      <c r="B1976" t="s">
        <v>1929</v>
      </c>
      <c r="C1976">
        <v>536</v>
      </c>
      <c r="D1976" t="str">
        <f>"440"</f>
        <v>440</v>
      </c>
      <c r="E1976" t="str">
        <f>"92507"</f>
        <v>92507</v>
      </c>
    </row>
    <row r="1977" spans="1:5" x14ac:dyDescent="0.25">
      <c r="A1977" t="str">
        <f>"778000003"</f>
        <v>778000003</v>
      </c>
      <c r="B1977" t="s">
        <v>1930</v>
      </c>
      <c r="C1977">
        <v>98.74</v>
      </c>
      <c r="D1977" t="str">
        <f>"440"</f>
        <v>440</v>
      </c>
      <c r="E1977" t="str">
        <f>"92508"</f>
        <v>92508</v>
      </c>
    </row>
    <row r="1978" spans="1:5" x14ac:dyDescent="0.25">
      <c r="A1978" t="str">
        <f>"778000004"</f>
        <v>778000004</v>
      </c>
      <c r="B1978" t="s">
        <v>1931</v>
      </c>
      <c r="C1978">
        <v>544.32000000000005</v>
      </c>
      <c r="D1978" t="str">
        <f>"440"</f>
        <v>440</v>
      </c>
      <c r="E1978" t="str">
        <f>"92526"</f>
        <v>92526</v>
      </c>
    </row>
    <row r="1979" spans="1:5" x14ac:dyDescent="0.25">
      <c r="A1979" t="str">
        <f>"778000005"</f>
        <v>778000005</v>
      </c>
      <c r="B1979" t="s">
        <v>1932</v>
      </c>
      <c r="C1979">
        <v>379.01</v>
      </c>
      <c r="D1979" t="str">
        <f>"444"</f>
        <v>444</v>
      </c>
      <c r="E1979" t="str">
        <f>"96105"</f>
        <v>96105</v>
      </c>
    </row>
    <row r="1980" spans="1:5" x14ac:dyDescent="0.25">
      <c r="A1980" t="str">
        <f>"778000006"</f>
        <v>778000006</v>
      </c>
      <c r="B1980" t="s">
        <v>1933</v>
      </c>
      <c r="C1980">
        <v>185.14</v>
      </c>
      <c r="D1980" t="str">
        <f t="shared" ref="D1980:D1988" si="89">"440"</f>
        <v>440</v>
      </c>
      <c r="E1980" t="str">
        <f>"X4303"</f>
        <v>X4303</v>
      </c>
    </row>
    <row r="1981" spans="1:5" x14ac:dyDescent="0.25">
      <c r="A1981" t="str">
        <f>"778000007"</f>
        <v>778000007</v>
      </c>
      <c r="B1981" t="s">
        <v>1934</v>
      </c>
      <c r="C1981">
        <v>133.87</v>
      </c>
      <c r="D1981" t="str">
        <f t="shared" si="89"/>
        <v>440</v>
      </c>
      <c r="E1981" t="str">
        <f>"X4308"</f>
        <v>X4308</v>
      </c>
    </row>
    <row r="1982" spans="1:5" x14ac:dyDescent="0.25">
      <c r="A1982" t="str">
        <f>"778000009"</f>
        <v>778000009</v>
      </c>
      <c r="B1982" t="s">
        <v>1935</v>
      </c>
      <c r="C1982">
        <v>555.41999999999996</v>
      </c>
      <c r="D1982" t="str">
        <f t="shared" si="89"/>
        <v>440</v>
      </c>
      <c r="E1982" t="str">
        <f>"92607"</f>
        <v>92607</v>
      </c>
    </row>
    <row r="1983" spans="1:5" x14ac:dyDescent="0.25">
      <c r="A1983" t="str">
        <f>"778000010"</f>
        <v>778000010</v>
      </c>
      <c r="B1983" t="s">
        <v>1936</v>
      </c>
      <c r="C1983">
        <v>284.83</v>
      </c>
      <c r="D1983" t="str">
        <f t="shared" si="89"/>
        <v>440</v>
      </c>
      <c r="E1983" t="str">
        <f>"92609"</f>
        <v>92609</v>
      </c>
    </row>
    <row r="1984" spans="1:5" x14ac:dyDescent="0.25">
      <c r="A1984" t="str">
        <f>"778000011"</f>
        <v>778000011</v>
      </c>
      <c r="B1984" t="s">
        <v>1937</v>
      </c>
      <c r="C1984">
        <v>701.91</v>
      </c>
      <c r="D1984" t="str">
        <f t="shared" si="89"/>
        <v>440</v>
      </c>
      <c r="E1984" t="str">
        <f>"92610"</f>
        <v>92610</v>
      </c>
    </row>
    <row r="1985" spans="1:5" x14ac:dyDescent="0.25">
      <c r="A1985" t="str">
        <f>"778000012"</f>
        <v>778000012</v>
      </c>
      <c r="B1985" t="s">
        <v>1938</v>
      </c>
      <c r="C1985" s="1">
        <v>1022.08</v>
      </c>
      <c r="D1985" t="str">
        <f t="shared" si="89"/>
        <v>440</v>
      </c>
      <c r="E1985" t="str">
        <f>"92611"</f>
        <v>92611</v>
      </c>
    </row>
    <row r="1986" spans="1:5" x14ac:dyDescent="0.25">
      <c r="A1986" t="str">
        <f>"778000013"</f>
        <v>778000013</v>
      </c>
      <c r="B1986" t="s">
        <v>1939</v>
      </c>
      <c r="C1986">
        <v>440</v>
      </c>
      <c r="D1986" t="str">
        <f t="shared" si="89"/>
        <v>440</v>
      </c>
      <c r="E1986" t="str">
        <f>"96125"</f>
        <v>96125</v>
      </c>
    </row>
    <row r="1987" spans="1:5" x14ac:dyDescent="0.25">
      <c r="A1987" t="str">
        <f>"778000014"</f>
        <v>778000014</v>
      </c>
      <c r="B1987" t="s">
        <v>1940</v>
      </c>
      <c r="C1987">
        <v>107.8</v>
      </c>
      <c r="D1987" t="str">
        <f t="shared" si="89"/>
        <v>440</v>
      </c>
      <c r="E1987" t="str">
        <f>"G0515"</f>
        <v>G0515</v>
      </c>
    </row>
    <row r="1988" spans="1:5" x14ac:dyDescent="0.25">
      <c r="A1988" t="str">
        <f>"778000015"</f>
        <v>778000015</v>
      </c>
      <c r="B1988" t="s">
        <v>1941</v>
      </c>
      <c r="C1988">
        <v>112.2</v>
      </c>
      <c r="D1988" t="str">
        <f t="shared" si="89"/>
        <v>440</v>
      </c>
      <c r="E1988" t="str">
        <f>"97533"</f>
        <v>97533</v>
      </c>
    </row>
    <row r="1989" spans="1:5" x14ac:dyDescent="0.25">
      <c r="A1989" t="str">
        <f>"779000001"</f>
        <v>779000001</v>
      </c>
      <c r="B1989" t="s">
        <v>1754</v>
      </c>
      <c r="C1989">
        <v>19.11</v>
      </c>
      <c r="D1989" t="str">
        <f>"420"</f>
        <v>420</v>
      </c>
      <c r="E1989" t="str">
        <f>"95852"</f>
        <v>95852</v>
      </c>
    </row>
    <row r="1990" spans="1:5" x14ac:dyDescent="0.25">
      <c r="A1990" t="str">
        <f>"779000002"</f>
        <v>779000002</v>
      </c>
      <c r="B1990" t="s">
        <v>1942</v>
      </c>
      <c r="C1990">
        <v>346.5</v>
      </c>
      <c r="D1990" t="str">
        <f>"434"</f>
        <v>434</v>
      </c>
      <c r="E1990" t="str">
        <f>"97165"</f>
        <v>97165</v>
      </c>
    </row>
    <row r="1991" spans="1:5" x14ac:dyDescent="0.25">
      <c r="A1991" t="str">
        <f>"779000003"</f>
        <v>779000003</v>
      </c>
      <c r="B1991" t="s">
        <v>1943</v>
      </c>
      <c r="C1991">
        <v>528</v>
      </c>
      <c r="D1991" t="str">
        <f>"434"</f>
        <v>434</v>
      </c>
      <c r="E1991" t="str">
        <f>"97166"</f>
        <v>97166</v>
      </c>
    </row>
    <row r="1992" spans="1:5" x14ac:dyDescent="0.25">
      <c r="A1992" t="str">
        <f>"779000004"</f>
        <v>779000004</v>
      </c>
      <c r="B1992" t="s">
        <v>1944</v>
      </c>
      <c r="C1992">
        <v>697.14</v>
      </c>
      <c r="D1992" t="str">
        <f>"434"</f>
        <v>434</v>
      </c>
      <c r="E1992" t="str">
        <f>"97167"</f>
        <v>97167</v>
      </c>
    </row>
    <row r="1993" spans="1:5" x14ac:dyDescent="0.25">
      <c r="A1993" t="str">
        <f>"779000005"</f>
        <v>779000005</v>
      </c>
      <c r="B1993" t="s">
        <v>1945</v>
      </c>
      <c r="C1993">
        <v>499.92</v>
      </c>
      <c r="D1993" t="str">
        <f>"434"</f>
        <v>434</v>
      </c>
      <c r="E1993" t="str">
        <f>"97168"</f>
        <v>97168</v>
      </c>
    </row>
    <row r="1994" spans="1:5" x14ac:dyDescent="0.25">
      <c r="A1994" t="str">
        <f>"779000006"</f>
        <v>779000006</v>
      </c>
      <c r="B1994" t="s">
        <v>1946</v>
      </c>
      <c r="C1994">
        <v>236.03</v>
      </c>
      <c r="D1994" t="str">
        <f>"420"</f>
        <v>420</v>
      </c>
      <c r="E1994" t="str">
        <f>"97532"</f>
        <v>97532</v>
      </c>
    </row>
    <row r="1995" spans="1:5" x14ac:dyDescent="0.25">
      <c r="A1995" t="str">
        <f>"779000007"</f>
        <v>779000007</v>
      </c>
      <c r="B1995" t="s">
        <v>1922</v>
      </c>
      <c r="C1995">
        <v>170.9</v>
      </c>
      <c r="D1995" t="str">
        <f>"420"</f>
        <v>420</v>
      </c>
      <c r="E1995" t="str">
        <f>"97533"</f>
        <v>97533</v>
      </c>
    </row>
    <row r="1996" spans="1:5" x14ac:dyDescent="0.25">
      <c r="A1996" t="str">
        <f>"779000008"</f>
        <v>779000008</v>
      </c>
      <c r="B1996" t="s">
        <v>1947</v>
      </c>
      <c r="C1996">
        <v>249.88</v>
      </c>
      <c r="D1996" t="str">
        <f>"430"</f>
        <v>430</v>
      </c>
      <c r="E1996" t="str">
        <f>"97535"</f>
        <v>97535</v>
      </c>
    </row>
    <row r="1997" spans="1:5" x14ac:dyDescent="0.25">
      <c r="A1997" t="str">
        <f>"779000009"</f>
        <v>779000009</v>
      </c>
      <c r="B1997" t="s">
        <v>1948</v>
      </c>
      <c r="C1997">
        <v>231.85</v>
      </c>
      <c r="D1997" t="str">
        <f t="shared" ref="D1997:D2000" si="90">"420"</f>
        <v>420</v>
      </c>
      <c r="E1997" t="str">
        <f>"97537"</f>
        <v>97537</v>
      </c>
    </row>
    <row r="1998" spans="1:5" x14ac:dyDescent="0.25">
      <c r="A1998" t="str">
        <f>"779000010"</f>
        <v>779000010</v>
      </c>
      <c r="B1998" t="s">
        <v>1949</v>
      </c>
      <c r="C1998">
        <v>189.33</v>
      </c>
      <c r="D1998" t="str">
        <f t="shared" si="90"/>
        <v>420</v>
      </c>
      <c r="E1998" t="str">
        <f>"97542"</f>
        <v>97542</v>
      </c>
    </row>
    <row r="1999" spans="1:5" x14ac:dyDescent="0.25">
      <c r="A1999" t="str">
        <f>"779000013"</f>
        <v>779000013</v>
      </c>
      <c r="B1999" t="s">
        <v>1950</v>
      </c>
      <c r="C1999">
        <v>121.02</v>
      </c>
      <c r="D1999" t="str">
        <f t="shared" si="90"/>
        <v>420</v>
      </c>
      <c r="E1999" t="str">
        <f>"97755"</f>
        <v>97755</v>
      </c>
    </row>
    <row r="2000" spans="1:5" x14ac:dyDescent="0.25">
      <c r="A2000" t="str">
        <f>"779000014"</f>
        <v>779000014</v>
      </c>
      <c r="B2000" t="s">
        <v>1900</v>
      </c>
      <c r="C2000">
        <v>231.75</v>
      </c>
      <c r="D2000" t="str">
        <f t="shared" si="90"/>
        <v>420</v>
      </c>
      <c r="E2000" t="str">
        <f>"97799"</f>
        <v>97799</v>
      </c>
    </row>
    <row r="2001" spans="1:5" x14ac:dyDescent="0.25">
      <c r="A2001" t="str">
        <f>"779000015"</f>
        <v>779000015</v>
      </c>
      <c r="B2001" t="s">
        <v>1951</v>
      </c>
      <c r="C2001">
        <v>71.2</v>
      </c>
      <c r="D2001" t="str">
        <f t="shared" ref="D2001:D2034" si="91">"430"</f>
        <v>430</v>
      </c>
      <c r="E2001" t="str">
        <f>"X4102"</f>
        <v>X4102</v>
      </c>
    </row>
    <row r="2002" spans="1:5" x14ac:dyDescent="0.25">
      <c r="A2002" t="str">
        <f>"779000016"</f>
        <v>779000016</v>
      </c>
      <c r="B2002" t="s">
        <v>1952</v>
      </c>
      <c r="C2002">
        <v>86.58</v>
      </c>
      <c r="D2002" t="str">
        <f t="shared" si="91"/>
        <v>430</v>
      </c>
      <c r="E2002" t="str">
        <f>"X4104"</f>
        <v>X4104</v>
      </c>
    </row>
    <row r="2003" spans="1:5" x14ac:dyDescent="0.25">
      <c r="A2003" t="str">
        <f>"779000017"</f>
        <v>779000017</v>
      </c>
      <c r="B2003" t="s">
        <v>1953</v>
      </c>
      <c r="C2003">
        <v>28.48</v>
      </c>
      <c r="D2003" t="str">
        <f t="shared" si="91"/>
        <v>430</v>
      </c>
      <c r="E2003" t="str">
        <f>"X4106"</f>
        <v>X4106</v>
      </c>
    </row>
    <row r="2004" spans="1:5" x14ac:dyDescent="0.25">
      <c r="A2004" t="str">
        <f>"779000018"</f>
        <v>779000018</v>
      </c>
      <c r="B2004" t="s">
        <v>1954</v>
      </c>
      <c r="C2004">
        <v>142.41999999999999</v>
      </c>
      <c r="D2004" t="str">
        <f t="shared" si="91"/>
        <v>430</v>
      </c>
      <c r="E2004" t="str">
        <f>"X4108"</f>
        <v>X4108</v>
      </c>
    </row>
    <row r="2005" spans="1:5" x14ac:dyDescent="0.25">
      <c r="A2005" t="str">
        <f>"779000019"</f>
        <v>779000019</v>
      </c>
      <c r="B2005" t="s">
        <v>1955</v>
      </c>
      <c r="C2005">
        <v>88.3</v>
      </c>
      <c r="D2005" t="str">
        <f t="shared" si="91"/>
        <v>430</v>
      </c>
      <c r="E2005" t="str">
        <f>"X4110"</f>
        <v>X4110</v>
      </c>
    </row>
    <row r="2006" spans="1:5" x14ac:dyDescent="0.25">
      <c r="A2006" t="str">
        <f>"779000020"</f>
        <v>779000020</v>
      </c>
      <c r="B2006" t="s">
        <v>1956</v>
      </c>
      <c r="C2006">
        <v>28.48</v>
      </c>
      <c r="D2006" t="str">
        <f t="shared" si="91"/>
        <v>430</v>
      </c>
      <c r="E2006" t="str">
        <f>"X4112"</f>
        <v>X4112</v>
      </c>
    </row>
    <row r="2007" spans="1:5" x14ac:dyDescent="0.25">
      <c r="A2007" t="str">
        <f>"779000021"</f>
        <v>779000021</v>
      </c>
      <c r="B2007" t="s">
        <v>1957</v>
      </c>
      <c r="C2007">
        <v>113.93</v>
      </c>
      <c r="D2007" t="str">
        <f t="shared" si="91"/>
        <v>430</v>
      </c>
      <c r="E2007" t="str">
        <f>"X4120"</f>
        <v>X4120</v>
      </c>
    </row>
    <row r="2008" spans="1:5" x14ac:dyDescent="0.25">
      <c r="A2008" t="str">
        <f>"779000022"</f>
        <v>779000022</v>
      </c>
      <c r="B2008" t="s">
        <v>1958</v>
      </c>
      <c r="C2008">
        <v>291.58999999999997</v>
      </c>
      <c r="D2008" t="str">
        <f t="shared" si="91"/>
        <v>430</v>
      </c>
      <c r="E2008" t="str">
        <f>"97012"</f>
        <v>97012</v>
      </c>
    </row>
    <row r="2009" spans="1:5" x14ac:dyDescent="0.25">
      <c r="A2009" t="str">
        <f>"779000023"</f>
        <v>779000023</v>
      </c>
      <c r="B2009" t="s">
        <v>1959</v>
      </c>
      <c r="C2009">
        <v>219.36</v>
      </c>
      <c r="D2009" t="str">
        <f t="shared" si="91"/>
        <v>430</v>
      </c>
      <c r="E2009" t="str">
        <f>"97014"</f>
        <v>97014</v>
      </c>
    </row>
    <row r="2010" spans="1:5" x14ac:dyDescent="0.25">
      <c r="A2010" t="str">
        <f>"779000024"</f>
        <v>779000024</v>
      </c>
      <c r="B2010" t="s">
        <v>1960</v>
      </c>
      <c r="C2010">
        <v>177.49</v>
      </c>
      <c r="D2010" t="str">
        <f t="shared" si="91"/>
        <v>430</v>
      </c>
      <c r="E2010" t="str">
        <f>"97016"</f>
        <v>97016</v>
      </c>
    </row>
    <row r="2011" spans="1:5" x14ac:dyDescent="0.25">
      <c r="A2011" t="str">
        <f>"779000025"</f>
        <v>779000025</v>
      </c>
      <c r="B2011" t="s">
        <v>1961</v>
      </c>
      <c r="C2011">
        <v>241.58</v>
      </c>
      <c r="D2011" t="str">
        <f t="shared" si="91"/>
        <v>430</v>
      </c>
      <c r="E2011" t="str">
        <f>"97018"</f>
        <v>97018</v>
      </c>
    </row>
    <row r="2012" spans="1:5" x14ac:dyDescent="0.25">
      <c r="A2012" t="str">
        <f>"779000026"</f>
        <v>779000026</v>
      </c>
      <c r="B2012" t="s">
        <v>1962</v>
      </c>
      <c r="C2012">
        <v>438.79</v>
      </c>
      <c r="D2012" t="str">
        <f t="shared" si="91"/>
        <v>430</v>
      </c>
      <c r="E2012" t="str">
        <f>"97022"</f>
        <v>97022</v>
      </c>
    </row>
    <row r="2013" spans="1:5" x14ac:dyDescent="0.25">
      <c r="A2013" t="str">
        <f>"779000027"</f>
        <v>779000027</v>
      </c>
      <c r="B2013" t="s">
        <v>1963</v>
      </c>
      <c r="C2013">
        <v>237.8</v>
      </c>
      <c r="D2013" t="str">
        <f t="shared" si="91"/>
        <v>430</v>
      </c>
      <c r="E2013" t="str">
        <f>"97026"</f>
        <v>97026</v>
      </c>
    </row>
    <row r="2014" spans="1:5" x14ac:dyDescent="0.25">
      <c r="A2014" t="str">
        <f>"779000028"</f>
        <v>779000028</v>
      </c>
      <c r="B2014" t="s">
        <v>1964</v>
      </c>
      <c r="C2014">
        <v>197.15</v>
      </c>
      <c r="D2014" t="str">
        <f t="shared" si="91"/>
        <v>430</v>
      </c>
      <c r="E2014" t="str">
        <f>"97032"</f>
        <v>97032</v>
      </c>
    </row>
    <row r="2015" spans="1:5" x14ac:dyDescent="0.25">
      <c r="A2015" t="str">
        <f>"779000029"</f>
        <v>779000029</v>
      </c>
      <c r="B2015" t="s">
        <v>1965</v>
      </c>
      <c r="C2015">
        <v>333.27</v>
      </c>
      <c r="D2015" t="str">
        <f t="shared" si="91"/>
        <v>430</v>
      </c>
      <c r="E2015" t="str">
        <f>"97033"</f>
        <v>97033</v>
      </c>
    </row>
    <row r="2016" spans="1:5" x14ac:dyDescent="0.25">
      <c r="A2016" t="str">
        <f>"779000030"</f>
        <v>779000030</v>
      </c>
      <c r="B2016" t="s">
        <v>1966</v>
      </c>
      <c r="C2016">
        <v>227.21</v>
      </c>
      <c r="D2016" t="str">
        <f t="shared" si="91"/>
        <v>430</v>
      </c>
      <c r="E2016" t="str">
        <f>"97034"</f>
        <v>97034</v>
      </c>
    </row>
    <row r="2017" spans="1:5" x14ac:dyDescent="0.25">
      <c r="A2017" t="str">
        <f>"779000031"</f>
        <v>779000031</v>
      </c>
      <c r="B2017" t="s">
        <v>1967</v>
      </c>
      <c r="C2017">
        <v>241.58</v>
      </c>
      <c r="D2017" t="str">
        <f t="shared" si="91"/>
        <v>430</v>
      </c>
      <c r="E2017" t="str">
        <f>"97035"</f>
        <v>97035</v>
      </c>
    </row>
    <row r="2018" spans="1:5" x14ac:dyDescent="0.25">
      <c r="A2018" t="str">
        <f>"779000032"</f>
        <v>779000032</v>
      </c>
      <c r="B2018" t="s">
        <v>1968</v>
      </c>
      <c r="C2018">
        <v>252.73</v>
      </c>
      <c r="D2018" t="str">
        <f t="shared" si="91"/>
        <v>430</v>
      </c>
      <c r="E2018" t="str">
        <f>"97110"</f>
        <v>97110</v>
      </c>
    </row>
    <row r="2019" spans="1:5" x14ac:dyDescent="0.25">
      <c r="A2019" t="str">
        <f>"779000033"</f>
        <v>779000033</v>
      </c>
      <c r="B2019" t="s">
        <v>1969</v>
      </c>
      <c r="C2019">
        <v>224.92</v>
      </c>
      <c r="D2019" t="str">
        <f t="shared" si="91"/>
        <v>430</v>
      </c>
      <c r="E2019" t="str">
        <f>"97112"</f>
        <v>97112</v>
      </c>
    </row>
    <row r="2020" spans="1:5" x14ac:dyDescent="0.25">
      <c r="A2020" t="str">
        <f>"779000034"</f>
        <v>779000034</v>
      </c>
      <c r="B2020" t="s">
        <v>1970</v>
      </c>
      <c r="C2020">
        <v>294.37</v>
      </c>
      <c r="D2020" t="str">
        <f t="shared" si="91"/>
        <v>430</v>
      </c>
      <c r="E2020" t="str">
        <f>"97116"</f>
        <v>97116</v>
      </c>
    </row>
    <row r="2021" spans="1:5" x14ac:dyDescent="0.25">
      <c r="A2021" t="str">
        <f>"779000035"</f>
        <v>779000035</v>
      </c>
      <c r="B2021" t="s">
        <v>1971</v>
      </c>
      <c r="C2021">
        <v>286.01</v>
      </c>
      <c r="D2021" t="str">
        <f t="shared" si="91"/>
        <v>430</v>
      </c>
      <c r="E2021" t="str">
        <f>"97124"</f>
        <v>97124</v>
      </c>
    </row>
    <row r="2022" spans="1:5" x14ac:dyDescent="0.25">
      <c r="A2022" t="str">
        <f>"779000036"</f>
        <v>779000036</v>
      </c>
      <c r="B2022" t="s">
        <v>1972</v>
      </c>
      <c r="C2022">
        <v>244.34</v>
      </c>
      <c r="D2022" t="str">
        <f t="shared" si="91"/>
        <v>430</v>
      </c>
      <c r="E2022" t="str">
        <f>"97140"</f>
        <v>97140</v>
      </c>
    </row>
    <row r="2023" spans="1:5" x14ac:dyDescent="0.25">
      <c r="A2023" t="str">
        <f>"779000037"</f>
        <v>779000037</v>
      </c>
      <c r="B2023" t="s">
        <v>1973</v>
      </c>
      <c r="C2023">
        <v>176.7</v>
      </c>
      <c r="D2023" t="str">
        <f t="shared" si="91"/>
        <v>430</v>
      </c>
      <c r="E2023" t="str">
        <f>"97150"</f>
        <v>97150</v>
      </c>
    </row>
    <row r="2024" spans="1:5" x14ac:dyDescent="0.25">
      <c r="A2024" t="str">
        <f>"779000038"</f>
        <v>779000038</v>
      </c>
      <c r="B2024" t="s">
        <v>1974</v>
      </c>
      <c r="C2024">
        <v>261.02</v>
      </c>
      <c r="D2024" t="str">
        <f t="shared" si="91"/>
        <v>430</v>
      </c>
      <c r="E2024" t="str">
        <f>"97530"</f>
        <v>97530</v>
      </c>
    </row>
    <row r="2025" spans="1:5" x14ac:dyDescent="0.25">
      <c r="A2025" t="str">
        <f>"779000039"</f>
        <v>779000039</v>
      </c>
      <c r="B2025" t="s">
        <v>1975</v>
      </c>
      <c r="C2025">
        <v>633.11</v>
      </c>
      <c r="D2025" t="str">
        <f t="shared" si="91"/>
        <v>430</v>
      </c>
      <c r="E2025" t="str">
        <f>"97597"</f>
        <v>97597</v>
      </c>
    </row>
    <row r="2026" spans="1:5" x14ac:dyDescent="0.25">
      <c r="A2026" t="str">
        <f>"779000040"</f>
        <v>779000040</v>
      </c>
      <c r="B2026" t="s">
        <v>1976</v>
      </c>
      <c r="C2026">
        <v>130.32</v>
      </c>
      <c r="D2026" t="str">
        <f t="shared" si="91"/>
        <v>430</v>
      </c>
      <c r="E2026" t="str">
        <f>"97598"</f>
        <v>97598</v>
      </c>
    </row>
    <row r="2027" spans="1:5" x14ac:dyDescent="0.25">
      <c r="A2027" t="str">
        <f>"779000041"</f>
        <v>779000041</v>
      </c>
      <c r="B2027" t="s">
        <v>1977</v>
      </c>
      <c r="C2027">
        <v>427.25</v>
      </c>
      <c r="D2027" t="str">
        <f t="shared" si="91"/>
        <v>430</v>
      </c>
      <c r="E2027" t="str">
        <f>"97610"</f>
        <v>97610</v>
      </c>
    </row>
    <row r="2028" spans="1:5" x14ac:dyDescent="0.25">
      <c r="A2028" t="str">
        <f>"779000042"</f>
        <v>779000042</v>
      </c>
      <c r="B2028" t="s">
        <v>1978</v>
      </c>
      <c r="C2028">
        <v>210.23</v>
      </c>
      <c r="D2028" t="str">
        <f t="shared" si="91"/>
        <v>430</v>
      </c>
      <c r="E2028" t="str">
        <f>"97750"</f>
        <v>97750</v>
      </c>
    </row>
    <row r="2029" spans="1:5" x14ac:dyDescent="0.25">
      <c r="A2029" t="str">
        <f>"779000043"</f>
        <v>779000043</v>
      </c>
      <c r="B2029" t="s">
        <v>1979</v>
      </c>
      <c r="C2029">
        <v>253.31</v>
      </c>
      <c r="D2029" t="str">
        <f t="shared" si="91"/>
        <v>430</v>
      </c>
      <c r="E2029" t="str">
        <f>"97760"</f>
        <v>97760</v>
      </c>
    </row>
    <row r="2030" spans="1:5" x14ac:dyDescent="0.25">
      <c r="A2030" t="str">
        <f>"779000044"</f>
        <v>779000044</v>
      </c>
      <c r="B2030" t="s">
        <v>1980</v>
      </c>
      <c r="C2030">
        <v>302.95999999999998</v>
      </c>
      <c r="D2030" t="str">
        <f t="shared" si="91"/>
        <v>430</v>
      </c>
      <c r="E2030" t="str">
        <f>"97761"</f>
        <v>97761</v>
      </c>
    </row>
    <row r="2031" spans="1:5" x14ac:dyDescent="0.25">
      <c r="A2031" t="str">
        <f>"779000045"</f>
        <v>779000045</v>
      </c>
      <c r="B2031" t="s">
        <v>1981</v>
      </c>
      <c r="C2031">
        <v>101.65</v>
      </c>
      <c r="D2031" t="str">
        <f t="shared" si="91"/>
        <v>430</v>
      </c>
      <c r="E2031" t="str">
        <f>"97762"</f>
        <v>97762</v>
      </c>
    </row>
    <row r="2032" spans="1:5" x14ac:dyDescent="0.25">
      <c r="A2032" t="str">
        <f>"779000046"</f>
        <v>779000046</v>
      </c>
      <c r="B2032" t="s">
        <v>1982</v>
      </c>
      <c r="C2032">
        <v>46.99</v>
      </c>
      <c r="D2032" t="str">
        <f t="shared" si="91"/>
        <v>430</v>
      </c>
      <c r="E2032" t="str">
        <f>"X3930"</f>
        <v>X3930</v>
      </c>
    </row>
    <row r="2033" spans="1:5" x14ac:dyDescent="0.25">
      <c r="A2033" t="str">
        <f>"779000047"</f>
        <v>779000047</v>
      </c>
      <c r="B2033" t="s">
        <v>1983</v>
      </c>
      <c r="C2033">
        <v>192.26</v>
      </c>
      <c r="D2033" t="str">
        <f t="shared" si="91"/>
        <v>430</v>
      </c>
      <c r="E2033" t="str">
        <f>"97520"</f>
        <v>97520</v>
      </c>
    </row>
    <row r="2034" spans="1:5" x14ac:dyDescent="0.25">
      <c r="A2034" t="str">
        <f>"779000048"</f>
        <v>779000048</v>
      </c>
      <c r="B2034" t="s">
        <v>1984</v>
      </c>
      <c r="C2034">
        <v>261.02</v>
      </c>
      <c r="D2034" t="str">
        <f t="shared" si="91"/>
        <v>430</v>
      </c>
      <c r="E2034" t="str">
        <f>"97530"</f>
        <v>97530</v>
      </c>
    </row>
    <row r="2035" spans="1:5" x14ac:dyDescent="0.25">
      <c r="A2035" t="str">
        <f>"38945801"</f>
        <v>38945801</v>
      </c>
      <c r="B2035" t="s">
        <v>1985</v>
      </c>
      <c r="C2035">
        <v>6.6</v>
      </c>
      <c r="D2035" t="str">
        <f>"270"</f>
        <v>270</v>
      </c>
    </row>
    <row r="2036" spans="1:5" x14ac:dyDescent="0.25">
      <c r="A2036" t="str">
        <f>"686678831"</f>
        <v>686678831</v>
      </c>
      <c r="B2036" t="s">
        <v>1986</v>
      </c>
      <c r="C2036" s="1">
        <v>10797.6</v>
      </c>
      <c r="D2036" t="str">
        <f>"278"</f>
        <v>278</v>
      </c>
    </row>
    <row r="2037" spans="1:5" x14ac:dyDescent="0.25">
      <c r="A2037" t="str">
        <f>"838254929"</f>
        <v>838254929</v>
      </c>
      <c r="B2037" t="s">
        <v>1987</v>
      </c>
      <c r="C2037">
        <v>66</v>
      </c>
      <c r="D2037" t="str">
        <f>"272"</f>
        <v>272</v>
      </c>
    </row>
    <row r="2038" spans="1:5" x14ac:dyDescent="0.25">
      <c r="A2038" t="str">
        <f>"838254930"</f>
        <v>838254930</v>
      </c>
      <c r="B2038" t="s">
        <v>1988</v>
      </c>
      <c r="C2038">
        <v>27.5</v>
      </c>
      <c r="D2038" t="str">
        <f t="shared" ref="D2038:D2062" si="92">"270"</f>
        <v>270</v>
      </c>
    </row>
    <row r="2039" spans="1:5" x14ac:dyDescent="0.25">
      <c r="A2039" t="str">
        <f>"838254931"</f>
        <v>838254931</v>
      </c>
      <c r="B2039" t="s">
        <v>1989</v>
      </c>
      <c r="C2039">
        <v>3.74</v>
      </c>
      <c r="D2039" t="str">
        <f t="shared" si="92"/>
        <v>270</v>
      </c>
    </row>
    <row r="2040" spans="1:5" x14ac:dyDescent="0.25">
      <c r="A2040" t="str">
        <f>"838254932"</f>
        <v>838254932</v>
      </c>
      <c r="B2040" t="s">
        <v>1990</v>
      </c>
      <c r="C2040">
        <v>7.59</v>
      </c>
      <c r="D2040" t="str">
        <f t="shared" si="92"/>
        <v>270</v>
      </c>
    </row>
    <row r="2041" spans="1:5" x14ac:dyDescent="0.25">
      <c r="A2041" t="str">
        <f>"838254933"</f>
        <v>838254933</v>
      </c>
      <c r="B2041" t="s">
        <v>1991</v>
      </c>
      <c r="C2041">
        <v>8.8000000000000007</v>
      </c>
      <c r="D2041" t="str">
        <f t="shared" si="92"/>
        <v>270</v>
      </c>
    </row>
    <row r="2042" spans="1:5" x14ac:dyDescent="0.25">
      <c r="A2042" t="str">
        <f>"838254934"</f>
        <v>838254934</v>
      </c>
      <c r="B2042" t="s">
        <v>1992</v>
      </c>
      <c r="C2042">
        <v>2.31</v>
      </c>
      <c r="D2042" t="str">
        <f t="shared" si="92"/>
        <v>270</v>
      </c>
    </row>
    <row r="2043" spans="1:5" x14ac:dyDescent="0.25">
      <c r="A2043" t="str">
        <f>"838254935"</f>
        <v>838254935</v>
      </c>
      <c r="B2043" t="s">
        <v>1993</v>
      </c>
      <c r="C2043">
        <v>5.5</v>
      </c>
      <c r="D2043" t="str">
        <f t="shared" si="92"/>
        <v>270</v>
      </c>
    </row>
    <row r="2044" spans="1:5" x14ac:dyDescent="0.25">
      <c r="A2044" t="str">
        <f>"838254936"</f>
        <v>838254936</v>
      </c>
      <c r="B2044" t="s">
        <v>1994</v>
      </c>
      <c r="C2044">
        <v>8.8000000000000007</v>
      </c>
      <c r="D2044" t="str">
        <f t="shared" si="92"/>
        <v>270</v>
      </c>
    </row>
    <row r="2045" spans="1:5" x14ac:dyDescent="0.25">
      <c r="A2045" t="str">
        <f>"838254937"</f>
        <v>838254937</v>
      </c>
      <c r="B2045" t="s">
        <v>1995</v>
      </c>
      <c r="C2045">
        <v>0.44</v>
      </c>
      <c r="D2045" t="str">
        <f t="shared" si="92"/>
        <v>270</v>
      </c>
    </row>
    <row r="2046" spans="1:5" x14ac:dyDescent="0.25">
      <c r="A2046" t="str">
        <f>"838254938"</f>
        <v>838254938</v>
      </c>
      <c r="B2046" t="s">
        <v>1996</v>
      </c>
      <c r="C2046">
        <v>1.98</v>
      </c>
      <c r="D2046" t="str">
        <f t="shared" si="92"/>
        <v>270</v>
      </c>
    </row>
    <row r="2047" spans="1:5" x14ac:dyDescent="0.25">
      <c r="A2047" t="str">
        <f>"838254939"</f>
        <v>838254939</v>
      </c>
      <c r="B2047" t="s">
        <v>1997</v>
      </c>
      <c r="C2047">
        <v>1.43</v>
      </c>
      <c r="D2047" t="str">
        <f t="shared" si="92"/>
        <v>270</v>
      </c>
    </row>
    <row r="2048" spans="1:5" x14ac:dyDescent="0.25">
      <c r="A2048" t="str">
        <f>"838254940"</f>
        <v>838254940</v>
      </c>
      <c r="B2048" t="s">
        <v>1998</v>
      </c>
      <c r="C2048">
        <v>27.5</v>
      </c>
      <c r="D2048" t="str">
        <f t="shared" si="92"/>
        <v>270</v>
      </c>
    </row>
    <row r="2049" spans="1:5" x14ac:dyDescent="0.25">
      <c r="A2049" t="str">
        <f>"838254941"</f>
        <v>838254941</v>
      </c>
      <c r="B2049" t="s">
        <v>1999</v>
      </c>
      <c r="C2049">
        <v>8.8000000000000007</v>
      </c>
      <c r="D2049" t="str">
        <f t="shared" si="92"/>
        <v>270</v>
      </c>
    </row>
    <row r="2050" spans="1:5" x14ac:dyDescent="0.25">
      <c r="A2050" t="str">
        <f>"838254942"</f>
        <v>838254942</v>
      </c>
      <c r="B2050" t="s">
        <v>2000</v>
      </c>
      <c r="C2050">
        <v>8.8000000000000007</v>
      </c>
      <c r="D2050" t="str">
        <f t="shared" si="92"/>
        <v>270</v>
      </c>
    </row>
    <row r="2051" spans="1:5" x14ac:dyDescent="0.25">
      <c r="A2051" t="str">
        <f>"838254943"</f>
        <v>838254943</v>
      </c>
      <c r="B2051" t="s">
        <v>2001</v>
      </c>
      <c r="C2051">
        <v>11</v>
      </c>
      <c r="D2051" t="str">
        <f t="shared" si="92"/>
        <v>270</v>
      </c>
    </row>
    <row r="2052" spans="1:5" x14ac:dyDescent="0.25">
      <c r="A2052" t="str">
        <f>"838254944"</f>
        <v>838254944</v>
      </c>
      <c r="B2052" t="s">
        <v>2002</v>
      </c>
      <c r="C2052">
        <v>8.8000000000000007</v>
      </c>
      <c r="D2052" t="str">
        <f t="shared" si="92"/>
        <v>270</v>
      </c>
    </row>
    <row r="2053" spans="1:5" x14ac:dyDescent="0.25">
      <c r="A2053" t="str">
        <f>"838254945"</f>
        <v>838254945</v>
      </c>
      <c r="B2053" t="s">
        <v>2003</v>
      </c>
      <c r="C2053">
        <v>16.829999999999998</v>
      </c>
      <c r="D2053" t="str">
        <f t="shared" si="92"/>
        <v>270</v>
      </c>
    </row>
    <row r="2054" spans="1:5" x14ac:dyDescent="0.25">
      <c r="A2054" t="str">
        <f>"838254946"</f>
        <v>838254946</v>
      </c>
      <c r="B2054" t="s">
        <v>2004</v>
      </c>
      <c r="C2054">
        <v>22</v>
      </c>
      <c r="D2054" t="str">
        <f t="shared" si="92"/>
        <v>270</v>
      </c>
    </row>
    <row r="2055" spans="1:5" x14ac:dyDescent="0.25">
      <c r="A2055" t="str">
        <f>"838254947"</f>
        <v>838254947</v>
      </c>
      <c r="B2055" t="s">
        <v>2005</v>
      </c>
      <c r="C2055">
        <v>11</v>
      </c>
      <c r="D2055" t="str">
        <f t="shared" si="92"/>
        <v>270</v>
      </c>
    </row>
    <row r="2056" spans="1:5" x14ac:dyDescent="0.25">
      <c r="A2056" t="str">
        <f>"838254948"</f>
        <v>838254948</v>
      </c>
      <c r="B2056" t="s">
        <v>2006</v>
      </c>
      <c r="C2056">
        <v>5.5</v>
      </c>
      <c r="D2056" t="str">
        <f t="shared" si="92"/>
        <v>270</v>
      </c>
    </row>
    <row r="2057" spans="1:5" x14ac:dyDescent="0.25">
      <c r="A2057" t="str">
        <f>"838254949"</f>
        <v>838254949</v>
      </c>
      <c r="B2057" t="s">
        <v>2007</v>
      </c>
      <c r="C2057">
        <v>9.9</v>
      </c>
      <c r="D2057" t="str">
        <f t="shared" si="92"/>
        <v>270</v>
      </c>
    </row>
    <row r="2058" spans="1:5" x14ac:dyDescent="0.25">
      <c r="A2058" t="str">
        <f>"838254950"</f>
        <v>838254950</v>
      </c>
      <c r="B2058" t="s">
        <v>2008</v>
      </c>
      <c r="C2058">
        <v>13.75</v>
      </c>
      <c r="D2058" t="str">
        <f t="shared" si="92"/>
        <v>270</v>
      </c>
    </row>
    <row r="2059" spans="1:5" x14ac:dyDescent="0.25">
      <c r="A2059" t="str">
        <f>"838254951"</f>
        <v>838254951</v>
      </c>
      <c r="B2059" t="s">
        <v>2009</v>
      </c>
      <c r="C2059">
        <v>2.23</v>
      </c>
      <c r="D2059" t="str">
        <f t="shared" si="92"/>
        <v>270</v>
      </c>
    </row>
    <row r="2060" spans="1:5" x14ac:dyDescent="0.25">
      <c r="A2060" t="str">
        <f>"838254952"</f>
        <v>838254952</v>
      </c>
      <c r="B2060" t="s">
        <v>2010</v>
      </c>
      <c r="C2060">
        <v>17.489999999999998</v>
      </c>
      <c r="D2060" t="str">
        <f t="shared" si="92"/>
        <v>270</v>
      </c>
    </row>
    <row r="2061" spans="1:5" x14ac:dyDescent="0.25">
      <c r="A2061" t="str">
        <f>"838254953"</f>
        <v>838254953</v>
      </c>
      <c r="B2061" t="s">
        <v>2011</v>
      </c>
      <c r="C2061">
        <v>3.63</v>
      </c>
      <c r="D2061" t="str">
        <f t="shared" si="92"/>
        <v>270</v>
      </c>
    </row>
    <row r="2062" spans="1:5" x14ac:dyDescent="0.25">
      <c r="A2062" t="str">
        <f>"838254954"</f>
        <v>838254954</v>
      </c>
      <c r="B2062" t="s">
        <v>2012</v>
      </c>
      <c r="C2062">
        <v>15.18</v>
      </c>
      <c r="D2062" t="str">
        <f t="shared" si="92"/>
        <v>270</v>
      </c>
    </row>
    <row r="2063" spans="1:5" x14ac:dyDescent="0.25">
      <c r="A2063" t="str">
        <f>"838254955"</f>
        <v>838254955</v>
      </c>
      <c r="B2063" t="s">
        <v>2013</v>
      </c>
      <c r="C2063">
        <v>165</v>
      </c>
      <c r="D2063" t="str">
        <f>"272"</f>
        <v>272</v>
      </c>
    </row>
    <row r="2064" spans="1:5" x14ac:dyDescent="0.25">
      <c r="A2064" t="str">
        <f>"838254956"</f>
        <v>838254956</v>
      </c>
      <c r="B2064" t="s">
        <v>2014</v>
      </c>
      <c r="C2064" s="1">
        <v>3465</v>
      </c>
      <c r="D2064" t="str">
        <f>"272"</f>
        <v>272</v>
      </c>
      <c r="E2064" t="str">
        <f>"C1760"</f>
        <v>C1760</v>
      </c>
    </row>
    <row r="2065" spans="1:4" x14ac:dyDescent="0.25">
      <c r="A2065" t="str">
        <f>"838254957"</f>
        <v>838254957</v>
      </c>
      <c r="B2065" t="s">
        <v>2015</v>
      </c>
      <c r="C2065">
        <v>32.979999999999997</v>
      </c>
      <c r="D2065" t="str">
        <f t="shared" ref="D2065:D2095" si="93">"270"</f>
        <v>270</v>
      </c>
    </row>
    <row r="2066" spans="1:4" x14ac:dyDescent="0.25">
      <c r="A2066" t="str">
        <f>"838254958"</f>
        <v>838254958</v>
      </c>
      <c r="B2066" t="s">
        <v>2016</v>
      </c>
      <c r="C2066">
        <v>99.44</v>
      </c>
      <c r="D2066" t="str">
        <f t="shared" si="93"/>
        <v>270</v>
      </c>
    </row>
    <row r="2067" spans="1:4" x14ac:dyDescent="0.25">
      <c r="A2067" t="str">
        <f>"838254959"</f>
        <v>838254959</v>
      </c>
      <c r="B2067" t="s">
        <v>2017</v>
      </c>
      <c r="C2067">
        <v>30.36</v>
      </c>
      <c r="D2067" t="str">
        <f t="shared" si="93"/>
        <v>270</v>
      </c>
    </row>
    <row r="2068" spans="1:4" x14ac:dyDescent="0.25">
      <c r="A2068" t="str">
        <f>"838254960"</f>
        <v>838254960</v>
      </c>
      <c r="B2068" t="s">
        <v>2018</v>
      </c>
      <c r="C2068">
        <v>44</v>
      </c>
      <c r="D2068" t="str">
        <f t="shared" si="93"/>
        <v>270</v>
      </c>
    </row>
    <row r="2069" spans="1:4" x14ac:dyDescent="0.25">
      <c r="A2069" t="str">
        <f>"838254962"</f>
        <v>838254962</v>
      </c>
      <c r="B2069" t="s">
        <v>2019</v>
      </c>
      <c r="C2069">
        <v>40.369999999999997</v>
      </c>
      <c r="D2069" t="str">
        <f t="shared" si="93"/>
        <v>270</v>
      </c>
    </row>
    <row r="2070" spans="1:4" x14ac:dyDescent="0.25">
      <c r="A2070" t="str">
        <f>"838254963"</f>
        <v>838254963</v>
      </c>
      <c r="B2070" t="s">
        <v>2020</v>
      </c>
      <c r="C2070">
        <v>4.29</v>
      </c>
      <c r="D2070" t="str">
        <f t="shared" si="93"/>
        <v>270</v>
      </c>
    </row>
    <row r="2071" spans="1:4" x14ac:dyDescent="0.25">
      <c r="A2071" t="str">
        <f>"838254964"</f>
        <v>838254964</v>
      </c>
      <c r="B2071" t="s">
        <v>2021</v>
      </c>
      <c r="C2071">
        <v>4.29</v>
      </c>
      <c r="D2071" t="str">
        <f t="shared" si="93"/>
        <v>270</v>
      </c>
    </row>
    <row r="2072" spans="1:4" x14ac:dyDescent="0.25">
      <c r="A2072" t="str">
        <f>"838254965"</f>
        <v>838254965</v>
      </c>
      <c r="B2072" t="s">
        <v>2022</v>
      </c>
      <c r="C2072">
        <v>4.29</v>
      </c>
      <c r="D2072" t="str">
        <f t="shared" si="93"/>
        <v>270</v>
      </c>
    </row>
    <row r="2073" spans="1:4" x14ac:dyDescent="0.25">
      <c r="A2073" t="str">
        <f>"838254966"</f>
        <v>838254966</v>
      </c>
      <c r="B2073" t="s">
        <v>2023</v>
      </c>
      <c r="C2073">
        <v>4.29</v>
      </c>
      <c r="D2073" t="str">
        <f t="shared" si="93"/>
        <v>270</v>
      </c>
    </row>
    <row r="2074" spans="1:4" x14ac:dyDescent="0.25">
      <c r="A2074" t="str">
        <f>"838254967"</f>
        <v>838254967</v>
      </c>
      <c r="B2074" t="s">
        <v>2024</v>
      </c>
      <c r="C2074">
        <v>3.66</v>
      </c>
      <c r="D2074" t="str">
        <f t="shared" si="93"/>
        <v>270</v>
      </c>
    </row>
    <row r="2075" spans="1:4" x14ac:dyDescent="0.25">
      <c r="A2075" t="str">
        <f>"838254968"</f>
        <v>838254968</v>
      </c>
      <c r="B2075" t="s">
        <v>2025</v>
      </c>
      <c r="C2075">
        <v>36.630000000000003</v>
      </c>
      <c r="D2075" t="str">
        <f t="shared" si="93"/>
        <v>270</v>
      </c>
    </row>
    <row r="2076" spans="1:4" x14ac:dyDescent="0.25">
      <c r="A2076" t="str">
        <f>"838254969"</f>
        <v>838254969</v>
      </c>
      <c r="B2076" t="s">
        <v>2026</v>
      </c>
      <c r="C2076">
        <v>17.600000000000001</v>
      </c>
      <c r="D2076" t="str">
        <f t="shared" si="93"/>
        <v>270</v>
      </c>
    </row>
    <row r="2077" spans="1:4" x14ac:dyDescent="0.25">
      <c r="A2077" t="str">
        <f>"838254970"</f>
        <v>838254970</v>
      </c>
      <c r="B2077" t="s">
        <v>2027</v>
      </c>
      <c r="C2077">
        <v>15.51</v>
      </c>
      <c r="D2077" t="str">
        <f t="shared" si="93"/>
        <v>270</v>
      </c>
    </row>
    <row r="2078" spans="1:4" x14ac:dyDescent="0.25">
      <c r="A2078" t="str">
        <f>"838254971"</f>
        <v>838254971</v>
      </c>
      <c r="B2078" t="s">
        <v>2028</v>
      </c>
      <c r="C2078">
        <v>26.4</v>
      </c>
      <c r="D2078" t="str">
        <f t="shared" si="93"/>
        <v>270</v>
      </c>
    </row>
    <row r="2079" spans="1:4" x14ac:dyDescent="0.25">
      <c r="A2079" t="str">
        <f>"838254972"</f>
        <v>838254972</v>
      </c>
      <c r="B2079" t="s">
        <v>2029</v>
      </c>
      <c r="C2079">
        <v>9.24</v>
      </c>
      <c r="D2079" t="str">
        <f t="shared" si="93"/>
        <v>270</v>
      </c>
    </row>
    <row r="2080" spans="1:4" x14ac:dyDescent="0.25">
      <c r="A2080" t="str">
        <f>"838254973"</f>
        <v>838254973</v>
      </c>
      <c r="B2080" t="s">
        <v>2030</v>
      </c>
      <c r="C2080">
        <v>48.86</v>
      </c>
      <c r="D2080" t="str">
        <f t="shared" si="93"/>
        <v>270</v>
      </c>
    </row>
    <row r="2081" spans="1:5" x14ac:dyDescent="0.25">
      <c r="A2081" t="str">
        <f>"838254974"</f>
        <v>838254974</v>
      </c>
      <c r="B2081" t="s">
        <v>2031</v>
      </c>
      <c r="C2081">
        <v>24.67</v>
      </c>
      <c r="D2081" t="str">
        <f t="shared" si="93"/>
        <v>270</v>
      </c>
    </row>
    <row r="2082" spans="1:5" x14ac:dyDescent="0.25">
      <c r="A2082" t="str">
        <f>"838254975"</f>
        <v>838254975</v>
      </c>
      <c r="B2082" t="s">
        <v>2032</v>
      </c>
      <c r="C2082">
        <v>132</v>
      </c>
      <c r="D2082" t="str">
        <f t="shared" si="93"/>
        <v>270</v>
      </c>
    </row>
    <row r="2083" spans="1:5" x14ac:dyDescent="0.25">
      <c r="A2083" t="str">
        <f>"838254976"</f>
        <v>838254976</v>
      </c>
      <c r="B2083" t="s">
        <v>2033</v>
      </c>
      <c r="C2083">
        <v>4.95</v>
      </c>
      <c r="D2083" t="str">
        <f t="shared" si="93"/>
        <v>270</v>
      </c>
    </row>
    <row r="2084" spans="1:5" x14ac:dyDescent="0.25">
      <c r="A2084" t="str">
        <f>"838254977"</f>
        <v>838254977</v>
      </c>
      <c r="B2084" t="s">
        <v>2034</v>
      </c>
      <c r="C2084">
        <v>11</v>
      </c>
      <c r="D2084" t="str">
        <f t="shared" si="93"/>
        <v>270</v>
      </c>
    </row>
    <row r="2085" spans="1:5" x14ac:dyDescent="0.25">
      <c r="A2085" t="str">
        <f>"838254978"</f>
        <v>838254978</v>
      </c>
      <c r="B2085" t="s">
        <v>2035</v>
      </c>
      <c r="C2085">
        <v>53.35</v>
      </c>
      <c r="D2085" t="str">
        <f t="shared" si="93"/>
        <v>270</v>
      </c>
    </row>
    <row r="2086" spans="1:5" x14ac:dyDescent="0.25">
      <c r="A2086" t="str">
        <f>"838254979"</f>
        <v>838254979</v>
      </c>
      <c r="B2086" t="s">
        <v>2036</v>
      </c>
      <c r="C2086">
        <v>23.1</v>
      </c>
      <c r="D2086" t="str">
        <f t="shared" si="93"/>
        <v>270</v>
      </c>
    </row>
    <row r="2087" spans="1:5" x14ac:dyDescent="0.25">
      <c r="A2087" t="str">
        <f>"838254980"</f>
        <v>838254980</v>
      </c>
      <c r="B2087" t="s">
        <v>2037</v>
      </c>
      <c r="C2087">
        <v>27.5</v>
      </c>
      <c r="D2087" t="str">
        <f t="shared" si="93"/>
        <v>270</v>
      </c>
      <c r="E2087" t="str">
        <f>"A6222"</f>
        <v>A6222</v>
      </c>
    </row>
    <row r="2088" spans="1:5" x14ac:dyDescent="0.25">
      <c r="A2088" t="str">
        <f>"838254981"</f>
        <v>838254981</v>
      </c>
      <c r="B2088" t="s">
        <v>2038</v>
      </c>
      <c r="C2088">
        <v>49.5</v>
      </c>
      <c r="D2088" t="str">
        <f t="shared" si="93"/>
        <v>270</v>
      </c>
    </row>
    <row r="2089" spans="1:5" x14ac:dyDescent="0.25">
      <c r="A2089" t="str">
        <f>"838254982"</f>
        <v>838254982</v>
      </c>
      <c r="B2089" t="s">
        <v>2039</v>
      </c>
      <c r="C2089">
        <v>6.93</v>
      </c>
      <c r="D2089" t="str">
        <f t="shared" si="93"/>
        <v>270</v>
      </c>
    </row>
    <row r="2090" spans="1:5" x14ac:dyDescent="0.25">
      <c r="A2090" t="str">
        <f>"838254983"</f>
        <v>838254983</v>
      </c>
      <c r="B2090" t="s">
        <v>2040</v>
      </c>
      <c r="C2090">
        <v>9.9</v>
      </c>
      <c r="D2090" t="str">
        <f t="shared" si="93"/>
        <v>270</v>
      </c>
    </row>
    <row r="2091" spans="1:5" x14ac:dyDescent="0.25">
      <c r="A2091" t="str">
        <f>"838254984"</f>
        <v>838254984</v>
      </c>
      <c r="B2091" t="s">
        <v>2041</v>
      </c>
      <c r="C2091">
        <v>8.8000000000000007</v>
      </c>
      <c r="D2091" t="str">
        <f t="shared" si="93"/>
        <v>270</v>
      </c>
    </row>
    <row r="2092" spans="1:5" x14ac:dyDescent="0.25">
      <c r="A2092" t="str">
        <f>"838254985"</f>
        <v>838254985</v>
      </c>
      <c r="B2092" t="s">
        <v>2042</v>
      </c>
      <c r="C2092">
        <v>55</v>
      </c>
      <c r="D2092" t="str">
        <f t="shared" si="93"/>
        <v>270</v>
      </c>
    </row>
    <row r="2093" spans="1:5" x14ac:dyDescent="0.25">
      <c r="A2093" t="str">
        <f>"838254986"</f>
        <v>838254986</v>
      </c>
      <c r="B2093" t="s">
        <v>2043</v>
      </c>
      <c r="C2093">
        <v>22</v>
      </c>
      <c r="D2093" t="str">
        <f t="shared" si="93"/>
        <v>270</v>
      </c>
    </row>
    <row r="2094" spans="1:5" x14ac:dyDescent="0.25">
      <c r="A2094" t="str">
        <f>"838254987"</f>
        <v>838254987</v>
      </c>
      <c r="B2094" t="s">
        <v>2044</v>
      </c>
      <c r="C2094">
        <v>49.23</v>
      </c>
      <c r="D2094" t="str">
        <f t="shared" si="93"/>
        <v>270</v>
      </c>
    </row>
    <row r="2095" spans="1:5" x14ac:dyDescent="0.25">
      <c r="A2095" t="str">
        <f>"838254988"</f>
        <v>838254988</v>
      </c>
      <c r="B2095" t="s">
        <v>2045</v>
      </c>
      <c r="C2095">
        <v>302.17</v>
      </c>
      <c r="D2095" t="str">
        <f t="shared" si="93"/>
        <v>270</v>
      </c>
    </row>
    <row r="2096" spans="1:5" x14ac:dyDescent="0.25">
      <c r="A2096" t="str">
        <f>"838254989"</f>
        <v>838254989</v>
      </c>
      <c r="B2096" t="s">
        <v>2046</v>
      </c>
      <c r="C2096" s="1">
        <v>15675</v>
      </c>
      <c r="D2096" t="str">
        <f>"272"</f>
        <v>272</v>
      </c>
    </row>
    <row r="2097" spans="1:5" x14ac:dyDescent="0.25">
      <c r="A2097" t="str">
        <f>"838254990"</f>
        <v>838254990</v>
      </c>
      <c r="B2097" t="s">
        <v>2047</v>
      </c>
      <c r="C2097">
        <v>880</v>
      </c>
      <c r="D2097" t="str">
        <f>"272"</f>
        <v>272</v>
      </c>
    </row>
    <row r="2098" spans="1:5" x14ac:dyDescent="0.25">
      <c r="A2098" t="str">
        <f>"838254991"</f>
        <v>838254991</v>
      </c>
      <c r="B2098" t="s">
        <v>2048</v>
      </c>
      <c r="C2098">
        <v>220</v>
      </c>
      <c r="D2098" t="str">
        <f>"272"</f>
        <v>272</v>
      </c>
    </row>
    <row r="2099" spans="1:5" x14ac:dyDescent="0.25">
      <c r="A2099" t="str">
        <f>"838270001"</f>
        <v>838270001</v>
      </c>
      <c r="B2099" t="s">
        <v>2049</v>
      </c>
      <c r="C2099">
        <v>71.5</v>
      </c>
      <c r="D2099" t="str">
        <f>"278"</f>
        <v>278</v>
      </c>
    </row>
    <row r="2100" spans="1:5" x14ac:dyDescent="0.25">
      <c r="A2100" t="str">
        <f>"838270002"</f>
        <v>838270002</v>
      </c>
      <c r="B2100" t="s">
        <v>2050</v>
      </c>
      <c r="C2100">
        <v>49.5</v>
      </c>
      <c r="D2100" t="str">
        <f>"270"</f>
        <v>270</v>
      </c>
    </row>
    <row r="2101" spans="1:5" x14ac:dyDescent="0.25">
      <c r="A2101" t="str">
        <f>"838270003"</f>
        <v>838270003</v>
      </c>
      <c r="B2101" t="s">
        <v>2051</v>
      </c>
      <c r="C2101">
        <v>49.5</v>
      </c>
      <c r="D2101" t="str">
        <f>"270"</f>
        <v>270</v>
      </c>
    </row>
    <row r="2102" spans="1:5" x14ac:dyDescent="0.25">
      <c r="A2102" t="str">
        <f>"838270004"</f>
        <v>838270004</v>
      </c>
      <c r="B2102" t="s">
        <v>2052</v>
      </c>
      <c r="C2102">
        <v>570.57000000000005</v>
      </c>
      <c r="D2102" t="str">
        <f t="shared" ref="D2102:D2109" si="94">"272"</f>
        <v>272</v>
      </c>
      <c r="E2102" t="str">
        <f t="shared" ref="E2102:E2109" si="95">"C1725"</f>
        <v>C1725</v>
      </c>
    </row>
    <row r="2103" spans="1:5" x14ac:dyDescent="0.25">
      <c r="A2103" t="str">
        <f>"838270005"</f>
        <v>838270005</v>
      </c>
      <c r="B2103" t="s">
        <v>2053</v>
      </c>
      <c r="C2103">
        <v>570.57000000000005</v>
      </c>
      <c r="D2103" t="str">
        <f t="shared" si="94"/>
        <v>272</v>
      </c>
      <c r="E2103" t="str">
        <f t="shared" si="95"/>
        <v>C1725</v>
      </c>
    </row>
    <row r="2104" spans="1:5" x14ac:dyDescent="0.25">
      <c r="A2104" t="str">
        <f>"838270006"</f>
        <v>838270006</v>
      </c>
      <c r="B2104" t="s">
        <v>2054</v>
      </c>
      <c r="C2104">
        <v>614.46</v>
      </c>
      <c r="D2104" t="str">
        <f t="shared" si="94"/>
        <v>272</v>
      </c>
      <c r="E2104" t="str">
        <f t="shared" si="95"/>
        <v>C1725</v>
      </c>
    </row>
    <row r="2105" spans="1:5" x14ac:dyDescent="0.25">
      <c r="A2105" t="str">
        <f>"838270007"</f>
        <v>838270007</v>
      </c>
      <c r="B2105" t="s">
        <v>2055</v>
      </c>
      <c r="C2105">
        <v>614.46</v>
      </c>
      <c r="D2105" t="str">
        <f t="shared" si="94"/>
        <v>272</v>
      </c>
      <c r="E2105" t="str">
        <f t="shared" si="95"/>
        <v>C1725</v>
      </c>
    </row>
    <row r="2106" spans="1:5" x14ac:dyDescent="0.25">
      <c r="A2106" t="str">
        <f>"838270008"</f>
        <v>838270008</v>
      </c>
      <c r="B2106" t="s">
        <v>2056</v>
      </c>
      <c r="C2106">
        <v>549.78</v>
      </c>
      <c r="D2106" t="str">
        <f t="shared" si="94"/>
        <v>272</v>
      </c>
      <c r="E2106" t="str">
        <f t="shared" si="95"/>
        <v>C1725</v>
      </c>
    </row>
    <row r="2107" spans="1:5" x14ac:dyDescent="0.25">
      <c r="A2107" t="str">
        <f>"838270009"</f>
        <v>838270009</v>
      </c>
      <c r="B2107" t="s">
        <v>2057</v>
      </c>
      <c r="C2107">
        <v>570.57000000000005</v>
      </c>
      <c r="D2107" t="str">
        <f t="shared" si="94"/>
        <v>272</v>
      </c>
      <c r="E2107" t="str">
        <f t="shared" si="95"/>
        <v>C1725</v>
      </c>
    </row>
    <row r="2108" spans="1:5" x14ac:dyDescent="0.25">
      <c r="A2108" t="str">
        <f>"838270010"</f>
        <v>838270010</v>
      </c>
      <c r="B2108" t="s">
        <v>2057</v>
      </c>
      <c r="C2108">
        <v>614.46</v>
      </c>
      <c r="D2108" t="str">
        <f t="shared" si="94"/>
        <v>272</v>
      </c>
      <c r="E2108" t="str">
        <f t="shared" si="95"/>
        <v>C1725</v>
      </c>
    </row>
    <row r="2109" spans="1:5" x14ac:dyDescent="0.25">
      <c r="A2109" t="str">
        <f>"838270011"</f>
        <v>838270011</v>
      </c>
      <c r="B2109" t="s">
        <v>2058</v>
      </c>
      <c r="C2109">
        <v>464.31</v>
      </c>
      <c r="D2109" t="str">
        <f t="shared" si="94"/>
        <v>272</v>
      </c>
      <c r="E2109" t="str">
        <f t="shared" si="95"/>
        <v>C1725</v>
      </c>
    </row>
    <row r="2110" spans="1:5" x14ac:dyDescent="0.25">
      <c r="A2110" t="str">
        <f>"838270012"</f>
        <v>838270012</v>
      </c>
      <c r="B2110" t="s">
        <v>2059</v>
      </c>
      <c r="C2110">
        <v>329.18</v>
      </c>
      <c r="D2110" t="str">
        <f>"278"</f>
        <v>278</v>
      </c>
      <c r="E2110" t="str">
        <f>"C1713"</f>
        <v>C1713</v>
      </c>
    </row>
    <row r="2111" spans="1:5" x14ac:dyDescent="0.25">
      <c r="A2111" t="str">
        <f>"838270013"</f>
        <v>838270013</v>
      </c>
      <c r="B2111" t="s">
        <v>2060</v>
      </c>
      <c r="C2111">
        <v>28.56</v>
      </c>
      <c r="D2111" t="str">
        <f>"270"</f>
        <v>270</v>
      </c>
      <c r="E2111" t="str">
        <f>"A9270"</f>
        <v>A9270</v>
      </c>
    </row>
    <row r="2112" spans="1:5" x14ac:dyDescent="0.25">
      <c r="A2112" t="str">
        <f>"838270014"</f>
        <v>838270014</v>
      </c>
      <c r="B2112" t="s">
        <v>2061</v>
      </c>
      <c r="C2112">
        <v>28.28</v>
      </c>
      <c r="D2112" t="str">
        <f>"270"</f>
        <v>270</v>
      </c>
    </row>
    <row r="2113" spans="1:5" x14ac:dyDescent="0.25">
      <c r="A2113" t="str">
        <f>"838270015"</f>
        <v>838270015</v>
      </c>
      <c r="B2113" t="s">
        <v>2062</v>
      </c>
      <c r="C2113">
        <v>661.82</v>
      </c>
      <c r="D2113" t="str">
        <f>"272"</f>
        <v>272</v>
      </c>
      <c r="E2113" t="str">
        <f>"C1726"</f>
        <v>C1726</v>
      </c>
    </row>
    <row r="2114" spans="1:5" x14ac:dyDescent="0.25">
      <c r="A2114" t="str">
        <f>"838270016"</f>
        <v>838270016</v>
      </c>
      <c r="B2114" t="s">
        <v>2063</v>
      </c>
      <c r="C2114">
        <v>878.58</v>
      </c>
      <c r="D2114" t="str">
        <f>"272"</f>
        <v>272</v>
      </c>
    </row>
    <row r="2115" spans="1:5" x14ac:dyDescent="0.25">
      <c r="A2115" t="str">
        <f>"838270017"</f>
        <v>838270017</v>
      </c>
      <c r="B2115" t="s">
        <v>2064</v>
      </c>
      <c r="C2115">
        <v>367.29</v>
      </c>
      <c r="D2115" t="str">
        <f>"271"</f>
        <v>271</v>
      </c>
    </row>
    <row r="2116" spans="1:5" x14ac:dyDescent="0.25">
      <c r="A2116" t="str">
        <f>"838270018"</f>
        <v>838270018</v>
      </c>
      <c r="B2116" t="s">
        <v>2065</v>
      </c>
      <c r="C2116">
        <v>367.29</v>
      </c>
      <c r="D2116" t="str">
        <f>"271"</f>
        <v>271</v>
      </c>
    </row>
    <row r="2117" spans="1:5" x14ac:dyDescent="0.25">
      <c r="A2117" t="str">
        <f>"838270019"</f>
        <v>838270019</v>
      </c>
      <c r="B2117" t="s">
        <v>2066</v>
      </c>
      <c r="C2117">
        <v>367.29</v>
      </c>
      <c r="D2117" t="str">
        <f>"306"</f>
        <v>306</v>
      </c>
    </row>
    <row r="2118" spans="1:5" x14ac:dyDescent="0.25">
      <c r="A2118" t="str">
        <f>"838270020"</f>
        <v>838270020</v>
      </c>
      <c r="B2118" t="s">
        <v>2067</v>
      </c>
      <c r="C2118">
        <v>40.74</v>
      </c>
      <c r="D2118" t="str">
        <f>"271"</f>
        <v>271</v>
      </c>
    </row>
    <row r="2119" spans="1:5" x14ac:dyDescent="0.25">
      <c r="A2119" t="str">
        <f>"838270021"</f>
        <v>838270021</v>
      </c>
      <c r="B2119" t="s">
        <v>2068</v>
      </c>
      <c r="C2119">
        <v>589.04999999999995</v>
      </c>
      <c r="D2119" t="str">
        <f>"272"</f>
        <v>272</v>
      </c>
    </row>
    <row r="2120" spans="1:5" x14ac:dyDescent="0.25">
      <c r="A2120" t="str">
        <f>"838270022"</f>
        <v>838270022</v>
      </c>
      <c r="B2120" t="s">
        <v>2069</v>
      </c>
      <c r="C2120" s="1">
        <v>3302.16</v>
      </c>
      <c r="D2120" t="str">
        <f>"272"</f>
        <v>272</v>
      </c>
    </row>
    <row r="2121" spans="1:5" x14ac:dyDescent="0.25">
      <c r="A2121" t="str">
        <f>"838270023"</f>
        <v>838270023</v>
      </c>
      <c r="B2121" t="s">
        <v>2070</v>
      </c>
      <c r="C2121">
        <v>367.29</v>
      </c>
      <c r="D2121" t="str">
        <f>"301"</f>
        <v>301</v>
      </c>
    </row>
    <row r="2122" spans="1:5" x14ac:dyDescent="0.25">
      <c r="A2122" t="str">
        <f>"838270024"</f>
        <v>838270024</v>
      </c>
      <c r="B2122" t="s">
        <v>2071</v>
      </c>
      <c r="C2122">
        <v>367.29</v>
      </c>
      <c r="D2122" t="str">
        <f>"302"</f>
        <v>302</v>
      </c>
    </row>
    <row r="2123" spans="1:5" x14ac:dyDescent="0.25">
      <c r="A2123" t="str">
        <f>"838270025"</f>
        <v>838270025</v>
      </c>
      <c r="B2123" t="s">
        <v>2072</v>
      </c>
      <c r="C2123">
        <v>367.29</v>
      </c>
      <c r="D2123" t="str">
        <f>"272"</f>
        <v>272</v>
      </c>
    </row>
    <row r="2124" spans="1:5" x14ac:dyDescent="0.25">
      <c r="A2124" t="str">
        <f>"838270026"</f>
        <v>838270026</v>
      </c>
      <c r="B2124" t="s">
        <v>2073</v>
      </c>
      <c r="C2124">
        <v>401.94</v>
      </c>
      <c r="D2124" t="str">
        <f>"300"</f>
        <v>300</v>
      </c>
    </row>
    <row r="2125" spans="1:5" x14ac:dyDescent="0.25">
      <c r="A2125" t="str">
        <f>"838270027"</f>
        <v>838270027</v>
      </c>
      <c r="B2125" t="s">
        <v>2074</v>
      </c>
      <c r="C2125">
        <v>367.29</v>
      </c>
      <c r="D2125" t="str">
        <f>"274"</f>
        <v>274</v>
      </c>
    </row>
    <row r="2126" spans="1:5" x14ac:dyDescent="0.25">
      <c r="A2126" t="str">
        <f>"838270028"</f>
        <v>838270028</v>
      </c>
      <c r="B2126" t="s">
        <v>2075</v>
      </c>
      <c r="C2126" s="1">
        <v>2214.14</v>
      </c>
      <c r="D2126" t="str">
        <f>"270"</f>
        <v>270</v>
      </c>
    </row>
    <row r="2127" spans="1:5" x14ac:dyDescent="0.25">
      <c r="A2127" t="str">
        <f>"838270029"</f>
        <v>838270029</v>
      </c>
      <c r="B2127" t="s">
        <v>1331</v>
      </c>
      <c r="C2127">
        <v>90.09</v>
      </c>
      <c r="D2127" t="str">
        <f>"271"</f>
        <v>271</v>
      </c>
    </row>
    <row r="2128" spans="1:5" x14ac:dyDescent="0.25">
      <c r="A2128" t="str">
        <f>"838270030"</f>
        <v>838270030</v>
      </c>
      <c r="B2128" t="s">
        <v>2076</v>
      </c>
      <c r="C2128">
        <v>137.5</v>
      </c>
      <c r="D2128" t="str">
        <f>"271"</f>
        <v>271</v>
      </c>
    </row>
    <row r="2129" spans="1:5" x14ac:dyDescent="0.25">
      <c r="A2129" t="str">
        <f>"838270031"</f>
        <v>838270031</v>
      </c>
      <c r="B2129" t="s">
        <v>2077</v>
      </c>
      <c r="C2129">
        <v>128.96</v>
      </c>
      <c r="D2129" t="str">
        <f>"270"</f>
        <v>270</v>
      </c>
    </row>
    <row r="2130" spans="1:5" x14ac:dyDescent="0.25">
      <c r="A2130" t="str">
        <f>"838270032"</f>
        <v>838270032</v>
      </c>
      <c r="B2130" t="s">
        <v>2078</v>
      </c>
      <c r="C2130">
        <v>128.96</v>
      </c>
      <c r="D2130" t="str">
        <f>"270"</f>
        <v>270</v>
      </c>
    </row>
    <row r="2131" spans="1:5" x14ac:dyDescent="0.25">
      <c r="A2131" t="str">
        <f>"838270033"</f>
        <v>838270033</v>
      </c>
      <c r="B2131" t="s">
        <v>2079</v>
      </c>
      <c r="C2131">
        <v>7.28</v>
      </c>
      <c r="D2131" t="str">
        <f>"272"</f>
        <v>272</v>
      </c>
    </row>
    <row r="2132" spans="1:5" x14ac:dyDescent="0.25">
      <c r="A2132" t="str">
        <f>"838270034"</f>
        <v>838270034</v>
      </c>
      <c r="B2132" t="s">
        <v>2080</v>
      </c>
      <c r="C2132" s="1">
        <v>1015.94</v>
      </c>
      <c r="D2132" t="str">
        <f>"272"</f>
        <v>272</v>
      </c>
    </row>
    <row r="2133" spans="1:5" x14ac:dyDescent="0.25">
      <c r="A2133" t="str">
        <f>"838270035"</f>
        <v>838270035</v>
      </c>
      <c r="B2133" t="s">
        <v>2081</v>
      </c>
      <c r="C2133">
        <v>467.31</v>
      </c>
      <c r="D2133" t="str">
        <f>"278"</f>
        <v>278</v>
      </c>
      <c r="E2133" t="str">
        <f>"C1713"</f>
        <v>C1713</v>
      </c>
    </row>
    <row r="2134" spans="1:5" x14ac:dyDescent="0.25">
      <c r="A2134" t="str">
        <f>"838270036"</f>
        <v>838270036</v>
      </c>
      <c r="B2134" t="s">
        <v>2082</v>
      </c>
      <c r="C2134">
        <v>266.62</v>
      </c>
      <c r="D2134" t="str">
        <f>"272"</f>
        <v>272</v>
      </c>
    </row>
    <row r="2135" spans="1:5" x14ac:dyDescent="0.25">
      <c r="A2135" t="str">
        <f>"838270037"</f>
        <v>838270037</v>
      </c>
      <c r="B2135" t="s">
        <v>2083</v>
      </c>
      <c r="C2135" s="1">
        <v>1262.31</v>
      </c>
      <c r="D2135" t="str">
        <f>"272"</f>
        <v>272</v>
      </c>
    </row>
    <row r="2136" spans="1:5" x14ac:dyDescent="0.25">
      <c r="A2136" t="str">
        <f>"838270038"</f>
        <v>838270038</v>
      </c>
      <c r="B2136" t="s">
        <v>2084</v>
      </c>
      <c r="C2136">
        <v>313.7</v>
      </c>
      <c r="D2136" t="str">
        <f>"278"</f>
        <v>278</v>
      </c>
      <c r="E2136" t="str">
        <f>"C1713"</f>
        <v>C1713</v>
      </c>
    </row>
    <row r="2137" spans="1:5" x14ac:dyDescent="0.25">
      <c r="A2137" t="str">
        <f>"838270039"</f>
        <v>838270039</v>
      </c>
      <c r="B2137" t="s">
        <v>2085</v>
      </c>
      <c r="C2137">
        <v>128.96</v>
      </c>
      <c r="D2137" t="str">
        <f>"270"</f>
        <v>270</v>
      </c>
    </row>
    <row r="2138" spans="1:5" x14ac:dyDescent="0.25">
      <c r="A2138" t="str">
        <f>"838270040"</f>
        <v>838270040</v>
      </c>
      <c r="B2138" t="s">
        <v>2086</v>
      </c>
      <c r="C2138">
        <v>128.96</v>
      </c>
      <c r="D2138" t="str">
        <f>"270"</f>
        <v>270</v>
      </c>
    </row>
    <row r="2139" spans="1:5" x14ac:dyDescent="0.25">
      <c r="A2139" t="str">
        <f>"838270041"</f>
        <v>838270041</v>
      </c>
      <c r="B2139" t="s">
        <v>2087</v>
      </c>
      <c r="C2139">
        <v>313.7</v>
      </c>
      <c r="D2139" t="str">
        <f>"278"</f>
        <v>278</v>
      </c>
      <c r="E2139" t="str">
        <f>"C1713"</f>
        <v>C1713</v>
      </c>
    </row>
    <row r="2140" spans="1:5" x14ac:dyDescent="0.25">
      <c r="A2140" t="str">
        <f>"838270042"</f>
        <v>838270042</v>
      </c>
      <c r="B2140" t="s">
        <v>2088</v>
      </c>
      <c r="C2140">
        <v>214.83</v>
      </c>
      <c r="D2140" t="str">
        <f>"271"</f>
        <v>271</v>
      </c>
    </row>
    <row r="2141" spans="1:5" x14ac:dyDescent="0.25">
      <c r="A2141" t="str">
        <f>"838270043"</f>
        <v>838270043</v>
      </c>
      <c r="B2141" t="s">
        <v>2089</v>
      </c>
      <c r="C2141">
        <v>17.329999999999998</v>
      </c>
      <c r="D2141" t="str">
        <f>"272"</f>
        <v>272</v>
      </c>
    </row>
    <row r="2142" spans="1:5" x14ac:dyDescent="0.25">
      <c r="A2142" t="str">
        <f>"838270044"</f>
        <v>838270044</v>
      </c>
      <c r="B2142" t="s">
        <v>2090</v>
      </c>
      <c r="C2142" s="1">
        <v>1100</v>
      </c>
      <c r="D2142" t="str">
        <f>"270"</f>
        <v>270</v>
      </c>
    </row>
    <row r="2143" spans="1:5" x14ac:dyDescent="0.25">
      <c r="A2143" t="str">
        <f>"838270045"</f>
        <v>838270045</v>
      </c>
      <c r="B2143" t="s">
        <v>2091</v>
      </c>
      <c r="C2143">
        <v>138.6</v>
      </c>
      <c r="D2143" t="str">
        <f>"270"</f>
        <v>270</v>
      </c>
    </row>
    <row r="2144" spans="1:5" x14ac:dyDescent="0.25">
      <c r="A2144" t="str">
        <f>"838270046"</f>
        <v>838270046</v>
      </c>
      <c r="B2144" t="s">
        <v>2092</v>
      </c>
      <c r="C2144">
        <v>208.53</v>
      </c>
      <c r="D2144" t="str">
        <f>"270"</f>
        <v>270</v>
      </c>
    </row>
    <row r="2145" spans="1:4" x14ac:dyDescent="0.25">
      <c r="A2145" t="str">
        <f>"838270047"</f>
        <v>838270047</v>
      </c>
      <c r="B2145" t="s">
        <v>2093</v>
      </c>
      <c r="C2145">
        <v>164.32</v>
      </c>
      <c r="D2145" t="str">
        <f>"270"</f>
        <v>270</v>
      </c>
    </row>
    <row r="2146" spans="1:4" x14ac:dyDescent="0.25">
      <c r="A2146" t="str">
        <f>"838270048"</f>
        <v>838270048</v>
      </c>
      <c r="B2146" t="s">
        <v>2094</v>
      </c>
      <c r="C2146">
        <v>459.12</v>
      </c>
      <c r="D2146" t="str">
        <f>"271"</f>
        <v>271</v>
      </c>
    </row>
    <row r="2147" spans="1:4" x14ac:dyDescent="0.25">
      <c r="A2147" t="str">
        <f>"838270049"</f>
        <v>838270049</v>
      </c>
      <c r="B2147" t="s">
        <v>2095</v>
      </c>
      <c r="C2147">
        <v>653.64</v>
      </c>
      <c r="D2147" t="str">
        <f>"272"</f>
        <v>272</v>
      </c>
    </row>
    <row r="2148" spans="1:4" x14ac:dyDescent="0.25">
      <c r="A2148" t="str">
        <f>"838270050"</f>
        <v>838270050</v>
      </c>
      <c r="B2148" t="s">
        <v>2096</v>
      </c>
      <c r="C2148">
        <v>395.01</v>
      </c>
      <c r="D2148" t="str">
        <f>"270"</f>
        <v>270</v>
      </c>
    </row>
    <row r="2149" spans="1:4" x14ac:dyDescent="0.25">
      <c r="A2149" t="str">
        <f>"838270051"</f>
        <v>838270051</v>
      </c>
      <c r="B2149" t="s">
        <v>2097</v>
      </c>
      <c r="C2149">
        <v>533.27</v>
      </c>
      <c r="D2149" t="str">
        <f>"272"</f>
        <v>272</v>
      </c>
    </row>
    <row r="2150" spans="1:4" x14ac:dyDescent="0.25">
      <c r="A2150" t="str">
        <f>"838270052"</f>
        <v>838270052</v>
      </c>
      <c r="B2150" t="s">
        <v>2098</v>
      </c>
      <c r="C2150">
        <v>31.88</v>
      </c>
      <c r="D2150" t="str">
        <f>"272"</f>
        <v>272</v>
      </c>
    </row>
    <row r="2151" spans="1:4" x14ac:dyDescent="0.25">
      <c r="A2151" t="str">
        <f>"838270053"</f>
        <v>838270053</v>
      </c>
      <c r="B2151" t="s">
        <v>2099</v>
      </c>
      <c r="C2151">
        <v>305.61</v>
      </c>
      <c r="D2151" t="str">
        <f>"272"</f>
        <v>272</v>
      </c>
    </row>
    <row r="2152" spans="1:4" x14ac:dyDescent="0.25">
      <c r="A2152" t="str">
        <f>"838270054"</f>
        <v>838270054</v>
      </c>
      <c r="B2152" t="s">
        <v>2100</v>
      </c>
      <c r="C2152">
        <v>77</v>
      </c>
      <c r="D2152" t="str">
        <f>"272"</f>
        <v>272</v>
      </c>
    </row>
    <row r="2153" spans="1:4" x14ac:dyDescent="0.25">
      <c r="A2153" t="str">
        <f>"838270055"</f>
        <v>838270055</v>
      </c>
      <c r="B2153" t="s">
        <v>2101</v>
      </c>
      <c r="C2153" s="1">
        <v>2222.41</v>
      </c>
      <c r="D2153" t="str">
        <f>"270"</f>
        <v>270</v>
      </c>
    </row>
    <row r="2154" spans="1:4" x14ac:dyDescent="0.25">
      <c r="A2154" t="str">
        <f>"838270056"</f>
        <v>838270056</v>
      </c>
      <c r="B2154" t="s">
        <v>2102</v>
      </c>
      <c r="C2154">
        <v>57.18</v>
      </c>
      <c r="D2154" t="str">
        <f>"272"</f>
        <v>272</v>
      </c>
    </row>
    <row r="2155" spans="1:4" x14ac:dyDescent="0.25">
      <c r="A2155" t="str">
        <f>"838270057"</f>
        <v>838270057</v>
      </c>
      <c r="B2155" t="s">
        <v>2103</v>
      </c>
      <c r="C2155">
        <v>119.87</v>
      </c>
      <c r="D2155" t="str">
        <f>"270"</f>
        <v>270</v>
      </c>
    </row>
    <row r="2156" spans="1:4" x14ac:dyDescent="0.25">
      <c r="A2156" t="str">
        <f>"838270058"</f>
        <v>838270058</v>
      </c>
      <c r="B2156" t="s">
        <v>2104</v>
      </c>
      <c r="C2156">
        <v>77.77</v>
      </c>
      <c r="D2156" t="str">
        <f>"270"</f>
        <v>270</v>
      </c>
    </row>
    <row r="2157" spans="1:4" x14ac:dyDescent="0.25">
      <c r="A2157" t="str">
        <f>"838270059"</f>
        <v>838270059</v>
      </c>
      <c r="B2157" t="s">
        <v>2105</v>
      </c>
      <c r="C2157">
        <v>113.31</v>
      </c>
      <c r="D2157" t="str">
        <f>"272"</f>
        <v>272</v>
      </c>
    </row>
    <row r="2158" spans="1:4" x14ac:dyDescent="0.25">
      <c r="A2158" t="str">
        <f>"838270060"</f>
        <v>838270060</v>
      </c>
      <c r="B2158" t="s">
        <v>2106</v>
      </c>
      <c r="C2158">
        <v>58.21</v>
      </c>
      <c r="D2158" t="str">
        <f>"270"</f>
        <v>270</v>
      </c>
    </row>
    <row r="2159" spans="1:4" x14ac:dyDescent="0.25">
      <c r="A2159" t="str">
        <f>"838270061"</f>
        <v>838270061</v>
      </c>
      <c r="B2159" t="s">
        <v>2107</v>
      </c>
      <c r="C2159">
        <v>123.71</v>
      </c>
      <c r="D2159" t="str">
        <f>"272"</f>
        <v>272</v>
      </c>
    </row>
    <row r="2160" spans="1:4" x14ac:dyDescent="0.25">
      <c r="A2160" t="str">
        <f>"838270062"</f>
        <v>838270062</v>
      </c>
      <c r="B2160" t="s">
        <v>2108</v>
      </c>
      <c r="C2160">
        <v>76.2</v>
      </c>
      <c r="D2160" t="str">
        <f>"270"</f>
        <v>270</v>
      </c>
    </row>
    <row r="2161" spans="1:4" x14ac:dyDescent="0.25">
      <c r="A2161" t="str">
        <f>"838270064"</f>
        <v>838270064</v>
      </c>
      <c r="B2161" t="s">
        <v>2109</v>
      </c>
      <c r="C2161">
        <v>64.989999999999995</v>
      </c>
      <c r="D2161" t="str">
        <f>"270"</f>
        <v>270</v>
      </c>
    </row>
    <row r="2162" spans="1:4" x14ac:dyDescent="0.25">
      <c r="A2162" t="str">
        <f>"838270065"</f>
        <v>838270065</v>
      </c>
      <c r="B2162" t="s">
        <v>2110</v>
      </c>
      <c r="C2162" s="1">
        <v>1455.3</v>
      </c>
      <c r="D2162" t="str">
        <f>"272"</f>
        <v>272</v>
      </c>
    </row>
    <row r="2163" spans="1:4" x14ac:dyDescent="0.25">
      <c r="A2163" t="str">
        <f>"838270066"</f>
        <v>838270066</v>
      </c>
      <c r="B2163" t="s">
        <v>2111</v>
      </c>
      <c r="C2163" s="1">
        <v>3654.88</v>
      </c>
      <c r="D2163" t="str">
        <f>"272"</f>
        <v>272</v>
      </c>
    </row>
    <row r="2164" spans="1:4" x14ac:dyDescent="0.25">
      <c r="A2164" t="str">
        <f>"838270067"</f>
        <v>838270067</v>
      </c>
      <c r="B2164" t="s">
        <v>2112</v>
      </c>
      <c r="C2164">
        <v>229.83</v>
      </c>
      <c r="D2164" t="str">
        <f>"270"</f>
        <v>270</v>
      </c>
    </row>
    <row r="2165" spans="1:4" x14ac:dyDescent="0.25">
      <c r="A2165" t="str">
        <f>"838270068"</f>
        <v>838270068</v>
      </c>
      <c r="B2165" t="s">
        <v>2113</v>
      </c>
      <c r="C2165">
        <v>344.42</v>
      </c>
      <c r="D2165" t="str">
        <f>"271"</f>
        <v>271</v>
      </c>
    </row>
    <row r="2166" spans="1:4" x14ac:dyDescent="0.25">
      <c r="A2166" t="str">
        <f>"838270069"</f>
        <v>838270069</v>
      </c>
      <c r="B2166" t="s">
        <v>2114</v>
      </c>
      <c r="C2166">
        <v>80.739999999999995</v>
      </c>
      <c r="D2166" t="str">
        <f>"272"</f>
        <v>272</v>
      </c>
    </row>
    <row r="2167" spans="1:4" x14ac:dyDescent="0.25">
      <c r="A2167" t="str">
        <f>"838270070"</f>
        <v>838270070</v>
      </c>
      <c r="B2167" t="s">
        <v>2115</v>
      </c>
      <c r="C2167">
        <v>71.5</v>
      </c>
      <c r="D2167" t="str">
        <f>"272"</f>
        <v>272</v>
      </c>
    </row>
    <row r="2168" spans="1:4" x14ac:dyDescent="0.25">
      <c r="A2168" t="str">
        <f>"838270071"</f>
        <v>838270071</v>
      </c>
      <c r="B2168" t="s">
        <v>2116</v>
      </c>
      <c r="C2168">
        <v>229.83</v>
      </c>
      <c r="D2168" t="str">
        <f>"270"</f>
        <v>270</v>
      </c>
    </row>
    <row r="2169" spans="1:4" x14ac:dyDescent="0.25">
      <c r="A2169" t="str">
        <f>"838270072"</f>
        <v>838270072</v>
      </c>
      <c r="B2169" t="s">
        <v>2117</v>
      </c>
      <c r="C2169">
        <v>170.83</v>
      </c>
      <c r="D2169" t="str">
        <f>"272"</f>
        <v>272</v>
      </c>
    </row>
    <row r="2170" spans="1:4" x14ac:dyDescent="0.25">
      <c r="A2170" t="str">
        <f>"838270073"</f>
        <v>838270073</v>
      </c>
      <c r="B2170" t="s">
        <v>2118</v>
      </c>
      <c r="C2170">
        <v>485.1</v>
      </c>
      <c r="D2170" t="str">
        <f t="shared" ref="D2170:D2187" si="96">"270"</f>
        <v>270</v>
      </c>
    </row>
    <row r="2171" spans="1:4" x14ac:dyDescent="0.25">
      <c r="A2171" t="str">
        <f>"838270074"</f>
        <v>838270074</v>
      </c>
      <c r="B2171" t="s">
        <v>2119</v>
      </c>
      <c r="C2171">
        <v>599.45000000000005</v>
      </c>
      <c r="D2171" t="str">
        <f t="shared" si="96"/>
        <v>270</v>
      </c>
    </row>
    <row r="2172" spans="1:4" x14ac:dyDescent="0.25">
      <c r="A2172" t="str">
        <f>"838270075"</f>
        <v>838270075</v>
      </c>
      <c r="B2172" t="s">
        <v>2120</v>
      </c>
      <c r="C2172">
        <v>328.26</v>
      </c>
      <c r="D2172" t="str">
        <f t="shared" si="96"/>
        <v>270</v>
      </c>
    </row>
    <row r="2173" spans="1:4" x14ac:dyDescent="0.25">
      <c r="A2173" t="str">
        <f>"838270076"</f>
        <v>838270076</v>
      </c>
      <c r="B2173" t="s">
        <v>2121</v>
      </c>
      <c r="C2173">
        <v>140.13999999999999</v>
      </c>
      <c r="D2173" t="str">
        <f t="shared" si="96"/>
        <v>270</v>
      </c>
    </row>
    <row r="2174" spans="1:4" x14ac:dyDescent="0.25">
      <c r="A2174" t="str">
        <f>"838270077"</f>
        <v>838270077</v>
      </c>
      <c r="B2174" t="s">
        <v>2122</v>
      </c>
      <c r="C2174">
        <v>399.96</v>
      </c>
      <c r="D2174" t="str">
        <f t="shared" si="96"/>
        <v>270</v>
      </c>
    </row>
    <row r="2175" spans="1:4" x14ac:dyDescent="0.25">
      <c r="A2175" t="str">
        <f>"838270078"</f>
        <v>838270078</v>
      </c>
      <c r="B2175" t="s">
        <v>2123</v>
      </c>
      <c r="C2175" s="1">
        <v>1658.61</v>
      </c>
      <c r="D2175" t="str">
        <f t="shared" si="96"/>
        <v>270</v>
      </c>
    </row>
    <row r="2176" spans="1:4" x14ac:dyDescent="0.25">
      <c r="A2176" t="str">
        <f>"838270079"</f>
        <v>838270079</v>
      </c>
      <c r="B2176" t="s">
        <v>2124</v>
      </c>
      <c r="C2176">
        <v>116.22</v>
      </c>
      <c r="D2176" t="str">
        <f t="shared" si="96"/>
        <v>270</v>
      </c>
    </row>
    <row r="2177" spans="1:4" x14ac:dyDescent="0.25">
      <c r="A2177" t="str">
        <f>"838270080"</f>
        <v>838270080</v>
      </c>
      <c r="B2177" t="s">
        <v>2125</v>
      </c>
      <c r="C2177">
        <v>633.6</v>
      </c>
      <c r="D2177" t="str">
        <f t="shared" si="96"/>
        <v>270</v>
      </c>
    </row>
    <row r="2178" spans="1:4" x14ac:dyDescent="0.25">
      <c r="A2178" t="str">
        <f>"838270081"</f>
        <v>838270081</v>
      </c>
      <c r="B2178" t="s">
        <v>2126</v>
      </c>
      <c r="C2178">
        <v>550.89</v>
      </c>
      <c r="D2178" t="str">
        <f t="shared" si="96"/>
        <v>270</v>
      </c>
    </row>
    <row r="2179" spans="1:4" x14ac:dyDescent="0.25">
      <c r="A2179" t="str">
        <f>"838270082"</f>
        <v>838270082</v>
      </c>
      <c r="B2179" t="s">
        <v>2127</v>
      </c>
      <c r="C2179" s="1">
        <v>1143.45</v>
      </c>
      <c r="D2179" t="str">
        <f t="shared" si="96"/>
        <v>270</v>
      </c>
    </row>
    <row r="2180" spans="1:4" x14ac:dyDescent="0.25">
      <c r="A2180" t="str">
        <f>"838270083"</f>
        <v>838270083</v>
      </c>
      <c r="B2180" t="s">
        <v>2128</v>
      </c>
      <c r="C2180" s="1">
        <v>1725.7</v>
      </c>
      <c r="D2180" t="str">
        <f t="shared" si="96"/>
        <v>270</v>
      </c>
    </row>
    <row r="2181" spans="1:4" x14ac:dyDescent="0.25">
      <c r="A2181" t="str">
        <f>"838270084"</f>
        <v>838270084</v>
      </c>
      <c r="B2181" t="s">
        <v>2129</v>
      </c>
      <c r="C2181">
        <v>70.59</v>
      </c>
      <c r="D2181" t="str">
        <f t="shared" si="96"/>
        <v>270</v>
      </c>
    </row>
    <row r="2182" spans="1:4" x14ac:dyDescent="0.25">
      <c r="A2182" t="str">
        <f>"838270085"</f>
        <v>838270085</v>
      </c>
      <c r="B2182" t="s">
        <v>2130</v>
      </c>
      <c r="C2182">
        <v>82.47</v>
      </c>
      <c r="D2182" t="str">
        <f t="shared" si="96"/>
        <v>270</v>
      </c>
    </row>
    <row r="2183" spans="1:4" x14ac:dyDescent="0.25">
      <c r="A2183" t="str">
        <f>"838270086"</f>
        <v>838270086</v>
      </c>
      <c r="B2183" t="s">
        <v>2131</v>
      </c>
      <c r="C2183">
        <v>87.08</v>
      </c>
      <c r="D2183" t="str">
        <f t="shared" si="96"/>
        <v>270</v>
      </c>
    </row>
    <row r="2184" spans="1:4" x14ac:dyDescent="0.25">
      <c r="A2184" t="str">
        <f>"838270087"</f>
        <v>838270087</v>
      </c>
      <c r="B2184" t="s">
        <v>2132</v>
      </c>
      <c r="C2184">
        <v>50.45</v>
      </c>
      <c r="D2184" t="str">
        <f t="shared" si="96"/>
        <v>270</v>
      </c>
    </row>
    <row r="2185" spans="1:4" x14ac:dyDescent="0.25">
      <c r="A2185" t="str">
        <f>"838270088"</f>
        <v>838270088</v>
      </c>
      <c r="B2185" t="s">
        <v>2133</v>
      </c>
      <c r="C2185">
        <v>60.68</v>
      </c>
      <c r="D2185" t="str">
        <f t="shared" si="96"/>
        <v>270</v>
      </c>
    </row>
    <row r="2186" spans="1:4" x14ac:dyDescent="0.25">
      <c r="A2186" t="str">
        <f>"838270089"</f>
        <v>838270089</v>
      </c>
      <c r="B2186" t="s">
        <v>2134</v>
      </c>
      <c r="C2186">
        <v>24.63</v>
      </c>
      <c r="D2186" t="str">
        <f t="shared" si="96"/>
        <v>270</v>
      </c>
    </row>
    <row r="2187" spans="1:4" x14ac:dyDescent="0.25">
      <c r="A2187" t="str">
        <f>"838270090"</f>
        <v>838270090</v>
      </c>
      <c r="B2187" t="s">
        <v>2135</v>
      </c>
      <c r="C2187">
        <v>878.58</v>
      </c>
      <c r="D2187" t="str">
        <f t="shared" si="96"/>
        <v>270</v>
      </c>
    </row>
    <row r="2188" spans="1:4" x14ac:dyDescent="0.25">
      <c r="A2188" t="str">
        <f>"838270091"</f>
        <v>838270091</v>
      </c>
      <c r="B2188" t="s">
        <v>2136</v>
      </c>
      <c r="C2188">
        <v>90.2</v>
      </c>
      <c r="D2188" t="str">
        <f>"272"</f>
        <v>272</v>
      </c>
    </row>
    <row r="2189" spans="1:4" x14ac:dyDescent="0.25">
      <c r="A2189" t="str">
        <f>"838270092"</f>
        <v>838270092</v>
      </c>
      <c r="B2189" t="s">
        <v>2137</v>
      </c>
      <c r="C2189">
        <v>275.66000000000003</v>
      </c>
      <c r="D2189" t="str">
        <f>"270"</f>
        <v>270</v>
      </c>
    </row>
    <row r="2190" spans="1:4" x14ac:dyDescent="0.25">
      <c r="A2190" t="str">
        <f>"838270093"</f>
        <v>838270093</v>
      </c>
      <c r="B2190" t="s">
        <v>2138</v>
      </c>
      <c r="C2190">
        <v>207.67</v>
      </c>
      <c r="D2190" t="str">
        <f>"270"</f>
        <v>270</v>
      </c>
    </row>
    <row r="2191" spans="1:4" x14ac:dyDescent="0.25">
      <c r="A2191" t="str">
        <f>"838270094"</f>
        <v>838270094</v>
      </c>
      <c r="B2191" t="s">
        <v>2139</v>
      </c>
      <c r="C2191">
        <v>60.98</v>
      </c>
      <c r="D2191" t="str">
        <f>"272"</f>
        <v>272</v>
      </c>
    </row>
    <row r="2192" spans="1:4" x14ac:dyDescent="0.25">
      <c r="A2192" t="str">
        <f>"838270095"</f>
        <v>838270095</v>
      </c>
      <c r="B2192" t="s">
        <v>2140</v>
      </c>
      <c r="C2192">
        <v>197.51</v>
      </c>
      <c r="D2192" t="str">
        <f>"270"</f>
        <v>270</v>
      </c>
    </row>
    <row r="2193" spans="1:5" x14ac:dyDescent="0.25">
      <c r="A2193" t="str">
        <f>"838270096"</f>
        <v>838270096</v>
      </c>
      <c r="B2193" t="s">
        <v>2141</v>
      </c>
      <c r="C2193">
        <v>38.47</v>
      </c>
      <c r="D2193" t="str">
        <f>"272"</f>
        <v>272</v>
      </c>
    </row>
    <row r="2194" spans="1:5" x14ac:dyDescent="0.25">
      <c r="A2194" t="str">
        <f>"838270097"</f>
        <v>838270097</v>
      </c>
      <c r="B2194" t="s">
        <v>2142</v>
      </c>
      <c r="C2194">
        <v>51.28</v>
      </c>
      <c r="D2194" t="str">
        <f>"272"</f>
        <v>272</v>
      </c>
    </row>
    <row r="2195" spans="1:5" x14ac:dyDescent="0.25">
      <c r="A2195" t="str">
        <f>"838270098"</f>
        <v>838270098</v>
      </c>
      <c r="B2195" t="s">
        <v>2143</v>
      </c>
      <c r="C2195">
        <v>486.2</v>
      </c>
      <c r="D2195" t="str">
        <f>"270"</f>
        <v>270</v>
      </c>
    </row>
    <row r="2196" spans="1:5" x14ac:dyDescent="0.25">
      <c r="A2196" t="str">
        <f>"838270099"</f>
        <v>838270099</v>
      </c>
      <c r="B2196" t="s">
        <v>2144</v>
      </c>
      <c r="C2196">
        <v>880</v>
      </c>
      <c r="D2196" t="str">
        <f>"272"</f>
        <v>272</v>
      </c>
    </row>
    <row r="2197" spans="1:5" x14ac:dyDescent="0.25">
      <c r="A2197" t="str">
        <f>"838270100"</f>
        <v>838270100</v>
      </c>
      <c r="B2197" t="s">
        <v>2145</v>
      </c>
      <c r="C2197">
        <v>441.82</v>
      </c>
      <c r="D2197" t="str">
        <f>"270"</f>
        <v>270</v>
      </c>
    </row>
    <row r="2198" spans="1:5" x14ac:dyDescent="0.25">
      <c r="A2198" t="str">
        <f>"838270101"</f>
        <v>838270101</v>
      </c>
      <c r="B2198" t="s">
        <v>2146</v>
      </c>
      <c r="C2198">
        <v>550</v>
      </c>
      <c r="D2198" t="str">
        <f>"272"</f>
        <v>272</v>
      </c>
      <c r="E2198" t="str">
        <f>"C1751"</f>
        <v>C1751</v>
      </c>
    </row>
    <row r="2199" spans="1:5" x14ac:dyDescent="0.25">
      <c r="A2199" t="str">
        <f>"838270102"</f>
        <v>838270102</v>
      </c>
      <c r="B2199" t="s">
        <v>2147</v>
      </c>
      <c r="C2199">
        <v>94.6</v>
      </c>
      <c r="D2199" t="str">
        <f>"271"</f>
        <v>271</v>
      </c>
    </row>
    <row r="2200" spans="1:5" x14ac:dyDescent="0.25">
      <c r="A2200" t="str">
        <f>"838270103"</f>
        <v>838270103</v>
      </c>
      <c r="B2200" t="s">
        <v>2148</v>
      </c>
      <c r="C2200">
        <v>55</v>
      </c>
      <c r="D2200" t="str">
        <f>"272"</f>
        <v>272</v>
      </c>
    </row>
    <row r="2201" spans="1:5" x14ac:dyDescent="0.25">
      <c r="A2201" t="str">
        <f>"838270104"</f>
        <v>838270104</v>
      </c>
      <c r="B2201" t="s">
        <v>2149</v>
      </c>
      <c r="C2201">
        <v>138.94999999999999</v>
      </c>
      <c r="D2201" t="str">
        <f>"271"</f>
        <v>271</v>
      </c>
    </row>
    <row r="2202" spans="1:5" x14ac:dyDescent="0.25">
      <c r="A2202" t="str">
        <f>"838270105"</f>
        <v>838270105</v>
      </c>
      <c r="B2202" t="s">
        <v>2150</v>
      </c>
      <c r="C2202">
        <v>290.39999999999998</v>
      </c>
      <c r="D2202" t="str">
        <f>"272"</f>
        <v>272</v>
      </c>
    </row>
    <row r="2203" spans="1:5" x14ac:dyDescent="0.25">
      <c r="A2203" t="str">
        <f>"838270106"</f>
        <v>838270106</v>
      </c>
      <c r="B2203" t="s">
        <v>2151</v>
      </c>
      <c r="C2203">
        <v>650.52</v>
      </c>
      <c r="D2203" t="str">
        <f>"272"</f>
        <v>272</v>
      </c>
      <c r="E2203" t="str">
        <f>"C1751"</f>
        <v>C1751</v>
      </c>
    </row>
    <row r="2204" spans="1:5" x14ac:dyDescent="0.25">
      <c r="A2204" t="str">
        <f>"838270107"</f>
        <v>838270107</v>
      </c>
      <c r="B2204" t="s">
        <v>2152</v>
      </c>
      <c r="C2204">
        <v>142.07</v>
      </c>
      <c r="D2204" t="str">
        <f>"270"</f>
        <v>270</v>
      </c>
    </row>
    <row r="2205" spans="1:5" x14ac:dyDescent="0.25">
      <c r="A2205" t="str">
        <f>"838270108"</f>
        <v>838270108</v>
      </c>
      <c r="B2205" t="s">
        <v>2153</v>
      </c>
      <c r="C2205">
        <v>513.16999999999996</v>
      </c>
      <c r="D2205" t="str">
        <f>"270"</f>
        <v>270</v>
      </c>
    </row>
    <row r="2206" spans="1:5" x14ac:dyDescent="0.25">
      <c r="A2206" t="str">
        <f>"838270109"</f>
        <v>838270109</v>
      </c>
      <c r="B2206" t="s">
        <v>2154</v>
      </c>
      <c r="C2206">
        <v>505.89</v>
      </c>
      <c r="D2206" t="str">
        <f>"270"</f>
        <v>270</v>
      </c>
    </row>
    <row r="2207" spans="1:5" x14ac:dyDescent="0.25">
      <c r="A2207" t="str">
        <f>"838270110"</f>
        <v>838270110</v>
      </c>
      <c r="B2207" t="s">
        <v>2155</v>
      </c>
      <c r="C2207">
        <v>346.21</v>
      </c>
      <c r="D2207" t="str">
        <f>"272"</f>
        <v>272</v>
      </c>
    </row>
    <row r="2208" spans="1:5" x14ac:dyDescent="0.25">
      <c r="A2208" t="str">
        <f>"838270111"</f>
        <v>838270111</v>
      </c>
      <c r="B2208" t="s">
        <v>2156</v>
      </c>
      <c r="C2208">
        <v>18.07</v>
      </c>
      <c r="D2208" t="str">
        <f>"270"</f>
        <v>270</v>
      </c>
    </row>
    <row r="2209" spans="1:4" x14ac:dyDescent="0.25">
      <c r="A2209" t="str">
        <f>"838270112"</f>
        <v>838270112</v>
      </c>
      <c r="B2209" t="s">
        <v>2157</v>
      </c>
      <c r="C2209" s="1">
        <v>2447.6799999999998</v>
      </c>
      <c r="D2209" t="str">
        <f>"270"</f>
        <v>270</v>
      </c>
    </row>
    <row r="2210" spans="1:4" x14ac:dyDescent="0.25">
      <c r="A2210" t="str">
        <f>"838270113"</f>
        <v>838270113</v>
      </c>
      <c r="B2210" t="s">
        <v>2158</v>
      </c>
      <c r="C2210">
        <v>61.34</v>
      </c>
      <c r="D2210" t="str">
        <f>"270"</f>
        <v>270</v>
      </c>
    </row>
    <row r="2211" spans="1:4" x14ac:dyDescent="0.25">
      <c r="A2211" t="str">
        <f>"838270114"</f>
        <v>838270114</v>
      </c>
      <c r="B2211" t="s">
        <v>2159</v>
      </c>
      <c r="C2211">
        <v>181.5</v>
      </c>
      <c r="D2211" t="str">
        <f>"272"</f>
        <v>272</v>
      </c>
    </row>
    <row r="2212" spans="1:4" x14ac:dyDescent="0.25">
      <c r="A2212" t="str">
        <f>"838270115"</f>
        <v>838270115</v>
      </c>
      <c r="B2212" t="s">
        <v>2160</v>
      </c>
      <c r="C2212">
        <v>277.2</v>
      </c>
      <c r="D2212" t="str">
        <f>"271"</f>
        <v>271</v>
      </c>
    </row>
    <row r="2213" spans="1:4" x14ac:dyDescent="0.25">
      <c r="A2213" t="str">
        <f>"838270116"</f>
        <v>838270116</v>
      </c>
      <c r="B2213" t="s">
        <v>2161</v>
      </c>
      <c r="C2213">
        <v>68.92</v>
      </c>
      <c r="D2213" t="str">
        <f>"270"</f>
        <v>270</v>
      </c>
    </row>
    <row r="2214" spans="1:4" x14ac:dyDescent="0.25">
      <c r="A2214" t="str">
        <f>"838270117"</f>
        <v>838270117</v>
      </c>
      <c r="B2214" t="s">
        <v>2162</v>
      </c>
      <c r="C2214">
        <v>415.8</v>
      </c>
      <c r="D2214" t="str">
        <f>"272"</f>
        <v>272</v>
      </c>
    </row>
    <row r="2215" spans="1:4" x14ac:dyDescent="0.25">
      <c r="A2215" t="str">
        <f>"838270118"</f>
        <v>838270118</v>
      </c>
      <c r="B2215" t="s">
        <v>2163</v>
      </c>
      <c r="C2215" s="1">
        <v>1092.21</v>
      </c>
      <c r="D2215" t="str">
        <f>"270"</f>
        <v>270</v>
      </c>
    </row>
    <row r="2216" spans="1:4" x14ac:dyDescent="0.25">
      <c r="A2216" t="str">
        <f>"838270119"</f>
        <v>838270119</v>
      </c>
      <c r="B2216" t="s">
        <v>2164</v>
      </c>
      <c r="C2216">
        <v>329.18</v>
      </c>
      <c r="D2216" t="str">
        <f>"270"</f>
        <v>270</v>
      </c>
    </row>
    <row r="2217" spans="1:4" x14ac:dyDescent="0.25">
      <c r="A2217" t="str">
        <f>"838270120"</f>
        <v>838270120</v>
      </c>
      <c r="B2217" t="s">
        <v>2165</v>
      </c>
      <c r="C2217">
        <v>26.69</v>
      </c>
      <c r="D2217" t="str">
        <f>"272"</f>
        <v>272</v>
      </c>
    </row>
    <row r="2218" spans="1:4" x14ac:dyDescent="0.25">
      <c r="A2218" t="str">
        <f>"838270121"</f>
        <v>838270121</v>
      </c>
      <c r="B2218" t="s">
        <v>2166</v>
      </c>
      <c r="C2218">
        <v>216.22</v>
      </c>
      <c r="D2218" t="str">
        <f>"272"</f>
        <v>272</v>
      </c>
    </row>
    <row r="2219" spans="1:4" x14ac:dyDescent="0.25">
      <c r="A2219" t="str">
        <f>"838270122"</f>
        <v>838270122</v>
      </c>
      <c r="B2219" t="s">
        <v>2167</v>
      </c>
      <c r="C2219" s="1">
        <v>2594.91</v>
      </c>
      <c r="D2219" t="str">
        <f t="shared" ref="D2219:D2224" si="97">"270"</f>
        <v>270</v>
      </c>
    </row>
    <row r="2220" spans="1:4" x14ac:dyDescent="0.25">
      <c r="A2220" t="str">
        <f>"838270123"</f>
        <v>838270123</v>
      </c>
      <c r="B2220" t="s">
        <v>2168</v>
      </c>
      <c r="C2220">
        <v>456.54</v>
      </c>
      <c r="D2220" t="str">
        <f t="shared" si="97"/>
        <v>270</v>
      </c>
    </row>
    <row r="2221" spans="1:4" x14ac:dyDescent="0.25">
      <c r="A2221" t="str">
        <f>"838270124"</f>
        <v>838270124</v>
      </c>
      <c r="B2221" t="s">
        <v>2169</v>
      </c>
      <c r="C2221">
        <v>103.95</v>
      </c>
      <c r="D2221" t="str">
        <f t="shared" si="97"/>
        <v>270</v>
      </c>
    </row>
    <row r="2222" spans="1:4" x14ac:dyDescent="0.25">
      <c r="A2222" t="str">
        <f>"838270125"</f>
        <v>838270125</v>
      </c>
      <c r="B2222" t="s">
        <v>2170</v>
      </c>
      <c r="C2222">
        <v>246.88</v>
      </c>
      <c r="D2222" t="str">
        <f t="shared" si="97"/>
        <v>270</v>
      </c>
    </row>
    <row r="2223" spans="1:4" x14ac:dyDescent="0.25">
      <c r="A2223" t="str">
        <f>"838270126"</f>
        <v>838270126</v>
      </c>
      <c r="B2223" t="s">
        <v>2171</v>
      </c>
      <c r="C2223">
        <v>182.95</v>
      </c>
      <c r="D2223" t="str">
        <f t="shared" si="97"/>
        <v>270</v>
      </c>
    </row>
    <row r="2224" spans="1:4" x14ac:dyDescent="0.25">
      <c r="A2224" t="str">
        <f>"838270127"</f>
        <v>838270127</v>
      </c>
      <c r="B2224" t="s">
        <v>2172</v>
      </c>
      <c r="C2224">
        <v>230.98</v>
      </c>
      <c r="D2224" t="str">
        <f t="shared" si="97"/>
        <v>270</v>
      </c>
    </row>
    <row r="2225" spans="1:5" x14ac:dyDescent="0.25">
      <c r="A2225" t="str">
        <f>"838270128"</f>
        <v>838270128</v>
      </c>
      <c r="B2225" t="s">
        <v>2173</v>
      </c>
      <c r="C2225">
        <v>321.20999999999998</v>
      </c>
      <c r="D2225" t="str">
        <f>"272"</f>
        <v>272</v>
      </c>
    </row>
    <row r="2226" spans="1:5" x14ac:dyDescent="0.25">
      <c r="A2226" t="str">
        <f>"838270129"</f>
        <v>838270129</v>
      </c>
      <c r="B2226" t="s">
        <v>2174</v>
      </c>
      <c r="C2226">
        <v>192.65</v>
      </c>
      <c r="D2226" t="str">
        <f>"270"</f>
        <v>270</v>
      </c>
    </row>
    <row r="2227" spans="1:5" x14ac:dyDescent="0.25">
      <c r="A2227" t="str">
        <f>"838270130"</f>
        <v>838270130</v>
      </c>
      <c r="B2227" t="s">
        <v>2175</v>
      </c>
      <c r="C2227">
        <v>71.5</v>
      </c>
      <c r="D2227" t="str">
        <f>"272"</f>
        <v>272</v>
      </c>
    </row>
    <row r="2228" spans="1:5" x14ac:dyDescent="0.25">
      <c r="A2228" t="str">
        <f>"838270131"</f>
        <v>838270131</v>
      </c>
      <c r="B2228" t="s">
        <v>2176</v>
      </c>
      <c r="C2228">
        <v>182.95</v>
      </c>
      <c r="D2228" t="str">
        <f>"270"</f>
        <v>270</v>
      </c>
    </row>
    <row r="2229" spans="1:5" x14ac:dyDescent="0.25">
      <c r="A2229" t="str">
        <f>"838270132"</f>
        <v>838270132</v>
      </c>
      <c r="B2229" t="s">
        <v>2177</v>
      </c>
      <c r="C2229">
        <v>52.67</v>
      </c>
      <c r="D2229" t="str">
        <f>"272"</f>
        <v>272</v>
      </c>
    </row>
    <row r="2230" spans="1:5" x14ac:dyDescent="0.25">
      <c r="A2230" t="str">
        <f>"838270133"</f>
        <v>838270133</v>
      </c>
      <c r="B2230" t="s">
        <v>2178</v>
      </c>
      <c r="C2230" s="1">
        <v>1646.84</v>
      </c>
      <c r="D2230" t="str">
        <f>"270"</f>
        <v>270</v>
      </c>
    </row>
    <row r="2231" spans="1:5" x14ac:dyDescent="0.25">
      <c r="A2231" t="str">
        <f>"838270134"</f>
        <v>838270134</v>
      </c>
      <c r="B2231" t="s">
        <v>2179</v>
      </c>
      <c r="C2231">
        <v>65.98</v>
      </c>
      <c r="D2231" t="str">
        <f>"278"</f>
        <v>278</v>
      </c>
      <c r="E2231" t="str">
        <f>"C1713"</f>
        <v>C1713</v>
      </c>
    </row>
    <row r="2232" spans="1:5" x14ac:dyDescent="0.25">
      <c r="A2232" t="str">
        <f>"838270135"</f>
        <v>838270135</v>
      </c>
      <c r="B2232" t="s">
        <v>2180</v>
      </c>
      <c r="C2232">
        <v>54.3</v>
      </c>
      <c r="D2232" t="str">
        <f>"270"</f>
        <v>270</v>
      </c>
    </row>
    <row r="2233" spans="1:5" x14ac:dyDescent="0.25">
      <c r="A2233" t="str">
        <f>"838270136"</f>
        <v>838270136</v>
      </c>
      <c r="B2233" t="s">
        <v>2181</v>
      </c>
      <c r="C2233" s="1">
        <v>1789.39</v>
      </c>
      <c r="D2233" t="str">
        <f>"270"</f>
        <v>270</v>
      </c>
    </row>
    <row r="2234" spans="1:5" x14ac:dyDescent="0.25">
      <c r="A2234" t="str">
        <f>"838270137"</f>
        <v>838270137</v>
      </c>
      <c r="B2234" t="s">
        <v>2182</v>
      </c>
      <c r="C2234">
        <v>249.7</v>
      </c>
      <c r="D2234" t="str">
        <f>"272"</f>
        <v>272</v>
      </c>
    </row>
    <row r="2235" spans="1:5" x14ac:dyDescent="0.25">
      <c r="A2235" t="str">
        <f>"838270138"</f>
        <v>838270138</v>
      </c>
      <c r="B2235" t="s">
        <v>2183</v>
      </c>
      <c r="C2235">
        <v>75.540000000000006</v>
      </c>
      <c r="D2235" t="str">
        <f>"270"</f>
        <v>270</v>
      </c>
    </row>
    <row r="2236" spans="1:5" x14ac:dyDescent="0.25">
      <c r="A2236" t="str">
        <f>"838270139"</f>
        <v>838270139</v>
      </c>
      <c r="B2236" t="s">
        <v>2184</v>
      </c>
      <c r="C2236">
        <v>283.44</v>
      </c>
      <c r="D2236" t="str">
        <f>"272"</f>
        <v>272</v>
      </c>
    </row>
    <row r="2237" spans="1:5" x14ac:dyDescent="0.25">
      <c r="A2237" t="str">
        <f>"838270140"</f>
        <v>838270140</v>
      </c>
      <c r="B2237" t="s">
        <v>2183</v>
      </c>
      <c r="C2237">
        <v>75.540000000000006</v>
      </c>
      <c r="D2237" t="str">
        <f>"270"</f>
        <v>270</v>
      </c>
    </row>
    <row r="2238" spans="1:5" x14ac:dyDescent="0.25">
      <c r="A2238" t="str">
        <f>"838270141"</f>
        <v>838270141</v>
      </c>
      <c r="B2238" t="s">
        <v>2185</v>
      </c>
      <c r="C2238" s="1">
        <v>1011.88</v>
      </c>
      <c r="D2238" t="str">
        <f>"272"</f>
        <v>272</v>
      </c>
    </row>
    <row r="2239" spans="1:5" x14ac:dyDescent="0.25">
      <c r="A2239" t="str">
        <f>"838270142"</f>
        <v>838270142</v>
      </c>
      <c r="B2239" t="s">
        <v>2186</v>
      </c>
      <c r="C2239">
        <v>58.73</v>
      </c>
      <c r="D2239" t="str">
        <f>"272"</f>
        <v>272</v>
      </c>
    </row>
    <row r="2240" spans="1:5" x14ac:dyDescent="0.25">
      <c r="A2240" t="str">
        <f>"838270143"</f>
        <v>838270143</v>
      </c>
      <c r="B2240" t="s">
        <v>2187</v>
      </c>
      <c r="C2240">
        <v>346.26</v>
      </c>
      <c r="D2240" t="str">
        <f>"272"</f>
        <v>272</v>
      </c>
    </row>
    <row r="2241" spans="1:5" x14ac:dyDescent="0.25">
      <c r="A2241" t="str">
        <f>"838270144"</f>
        <v>838270144</v>
      </c>
      <c r="B2241" t="s">
        <v>2188</v>
      </c>
      <c r="C2241">
        <v>3.75</v>
      </c>
      <c r="D2241" t="str">
        <f>"271"</f>
        <v>271</v>
      </c>
    </row>
    <row r="2242" spans="1:5" x14ac:dyDescent="0.25">
      <c r="A2242" t="str">
        <f>"838270145"</f>
        <v>838270145</v>
      </c>
      <c r="B2242" t="s">
        <v>2189</v>
      </c>
      <c r="C2242">
        <v>385</v>
      </c>
      <c r="D2242" t="str">
        <f>"272"</f>
        <v>272</v>
      </c>
    </row>
    <row r="2243" spans="1:5" x14ac:dyDescent="0.25">
      <c r="A2243" t="str">
        <f>"838270146"</f>
        <v>838270146</v>
      </c>
      <c r="B2243" t="s">
        <v>2190</v>
      </c>
      <c r="C2243">
        <v>171.59</v>
      </c>
      <c r="D2243" t="str">
        <f>"272"</f>
        <v>272</v>
      </c>
    </row>
    <row r="2244" spans="1:5" x14ac:dyDescent="0.25">
      <c r="A2244" t="str">
        <f>"838270147"</f>
        <v>838270147</v>
      </c>
      <c r="B2244" t="s">
        <v>2191</v>
      </c>
      <c r="C2244">
        <v>207.87</v>
      </c>
      <c r="D2244" t="str">
        <f>"274"</f>
        <v>274</v>
      </c>
      <c r="E2244" t="str">
        <f>"L4360"</f>
        <v>L4360</v>
      </c>
    </row>
    <row r="2245" spans="1:5" x14ac:dyDescent="0.25">
      <c r="A2245" t="str">
        <f>"838270148"</f>
        <v>838270148</v>
      </c>
      <c r="B2245" t="s">
        <v>2183</v>
      </c>
      <c r="C2245">
        <v>75.540000000000006</v>
      </c>
      <c r="D2245" t="str">
        <f>"270"</f>
        <v>270</v>
      </c>
    </row>
    <row r="2246" spans="1:5" x14ac:dyDescent="0.25">
      <c r="A2246" t="str">
        <f>"838270149"</f>
        <v>838270149</v>
      </c>
      <c r="B2246" t="s">
        <v>2192</v>
      </c>
      <c r="C2246" s="1">
        <v>3020.6</v>
      </c>
      <c r="D2246" t="str">
        <f>"270"</f>
        <v>270</v>
      </c>
    </row>
    <row r="2247" spans="1:5" x14ac:dyDescent="0.25">
      <c r="A2247" t="str">
        <f>"838270150"</f>
        <v>838270150</v>
      </c>
      <c r="B2247" t="s">
        <v>2193</v>
      </c>
      <c r="C2247">
        <v>788.88</v>
      </c>
      <c r="D2247" t="str">
        <f>"272"</f>
        <v>272</v>
      </c>
    </row>
    <row r="2248" spans="1:5" x14ac:dyDescent="0.25">
      <c r="A2248" t="str">
        <f>"838270151"</f>
        <v>838270151</v>
      </c>
      <c r="B2248" t="s">
        <v>2194</v>
      </c>
      <c r="C2248">
        <v>367.29</v>
      </c>
      <c r="D2248" t="str">
        <f>"270"</f>
        <v>270</v>
      </c>
    </row>
    <row r="2249" spans="1:5" x14ac:dyDescent="0.25">
      <c r="A2249" t="str">
        <f>"838270152"</f>
        <v>838270152</v>
      </c>
      <c r="B2249" t="s">
        <v>2195</v>
      </c>
      <c r="C2249">
        <v>87.67</v>
      </c>
      <c r="D2249" t="str">
        <f>"270"</f>
        <v>270</v>
      </c>
    </row>
    <row r="2250" spans="1:5" x14ac:dyDescent="0.25">
      <c r="A2250" t="str">
        <f>"838270153"</f>
        <v>838270153</v>
      </c>
      <c r="B2250" t="s">
        <v>2196</v>
      </c>
      <c r="C2250">
        <v>218.3</v>
      </c>
      <c r="D2250" t="str">
        <f t="shared" ref="D2250:D2256" si="98">"272"</f>
        <v>272</v>
      </c>
    </row>
    <row r="2251" spans="1:5" x14ac:dyDescent="0.25">
      <c r="A2251" t="str">
        <f>"838270154"</f>
        <v>838270154</v>
      </c>
      <c r="B2251" t="s">
        <v>2197</v>
      </c>
      <c r="C2251">
        <v>220</v>
      </c>
      <c r="D2251" t="str">
        <f t="shared" si="98"/>
        <v>272</v>
      </c>
    </row>
    <row r="2252" spans="1:5" x14ac:dyDescent="0.25">
      <c r="A2252" t="str">
        <f>"838270155"</f>
        <v>838270155</v>
      </c>
      <c r="B2252" t="s">
        <v>2198</v>
      </c>
      <c r="C2252">
        <v>654.89</v>
      </c>
      <c r="D2252" t="str">
        <f t="shared" si="98"/>
        <v>272</v>
      </c>
      <c r="E2252" t="str">
        <f>"C1769"</f>
        <v>C1769</v>
      </c>
    </row>
    <row r="2253" spans="1:5" x14ac:dyDescent="0.25">
      <c r="A2253" t="str">
        <f>"838270156"</f>
        <v>838270156</v>
      </c>
      <c r="B2253" t="s">
        <v>2199</v>
      </c>
      <c r="C2253">
        <v>424.78</v>
      </c>
      <c r="D2253" t="str">
        <f t="shared" si="98"/>
        <v>272</v>
      </c>
    </row>
    <row r="2254" spans="1:5" x14ac:dyDescent="0.25">
      <c r="A2254" t="str">
        <f>"838270157"</f>
        <v>838270157</v>
      </c>
      <c r="B2254" t="s">
        <v>2200</v>
      </c>
      <c r="C2254">
        <v>267.92</v>
      </c>
      <c r="D2254" t="str">
        <f t="shared" si="98"/>
        <v>272</v>
      </c>
    </row>
    <row r="2255" spans="1:5" x14ac:dyDescent="0.25">
      <c r="A2255" t="str">
        <f>"838270158"</f>
        <v>838270158</v>
      </c>
      <c r="B2255" t="s">
        <v>2201</v>
      </c>
      <c r="C2255">
        <v>337.22</v>
      </c>
      <c r="D2255" t="str">
        <f t="shared" si="98"/>
        <v>272</v>
      </c>
    </row>
    <row r="2256" spans="1:5" x14ac:dyDescent="0.25">
      <c r="A2256" t="str">
        <f>"838270159"</f>
        <v>838270159</v>
      </c>
      <c r="B2256" t="s">
        <v>2202</v>
      </c>
      <c r="C2256" s="1">
        <v>1112.6199999999999</v>
      </c>
      <c r="D2256" t="str">
        <f t="shared" si="98"/>
        <v>272</v>
      </c>
    </row>
    <row r="2257" spans="1:5" x14ac:dyDescent="0.25">
      <c r="A2257" t="str">
        <f>"838270160"</f>
        <v>838270160</v>
      </c>
      <c r="B2257" t="s">
        <v>2203</v>
      </c>
      <c r="C2257">
        <v>34.549999999999997</v>
      </c>
      <c r="D2257" t="str">
        <f>"271"</f>
        <v>271</v>
      </c>
    </row>
    <row r="2258" spans="1:5" x14ac:dyDescent="0.25">
      <c r="A2258" t="str">
        <f>"838270161"</f>
        <v>838270161</v>
      </c>
      <c r="B2258" t="s">
        <v>2204</v>
      </c>
      <c r="C2258">
        <v>51.63</v>
      </c>
      <c r="D2258" t="str">
        <f>"271"</f>
        <v>271</v>
      </c>
    </row>
    <row r="2259" spans="1:5" x14ac:dyDescent="0.25">
      <c r="A2259" t="str">
        <f>"838270162"</f>
        <v>838270162</v>
      </c>
      <c r="B2259" t="s">
        <v>2205</v>
      </c>
      <c r="C2259">
        <v>79.150000000000006</v>
      </c>
      <c r="D2259" t="str">
        <f>"271"</f>
        <v>271</v>
      </c>
    </row>
    <row r="2260" spans="1:5" x14ac:dyDescent="0.25">
      <c r="A2260" t="str">
        <f>"838270163"</f>
        <v>838270163</v>
      </c>
      <c r="B2260" t="s">
        <v>2206</v>
      </c>
      <c r="C2260">
        <v>87.67</v>
      </c>
      <c r="D2260" t="str">
        <f>"270"</f>
        <v>270</v>
      </c>
    </row>
    <row r="2261" spans="1:5" x14ac:dyDescent="0.25">
      <c r="A2261" t="str">
        <f>"838270164"</f>
        <v>838270164</v>
      </c>
      <c r="B2261" t="s">
        <v>2207</v>
      </c>
      <c r="C2261">
        <v>50.25</v>
      </c>
      <c r="D2261" t="str">
        <f>"272"</f>
        <v>272</v>
      </c>
      <c r="E2261" t="str">
        <f>"L0472"</f>
        <v>L0472</v>
      </c>
    </row>
    <row r="2262" spans="1:5" x14ac:dyDescent="0.25">
      <c r="A2262" t="str">
        <f>"838270165"</f>
        <v>838270165</v>
      </c>
      <c r="B2262" t="s">
        <v>2208</v>
      </c>
      <c r="C2262">
        <v>79.150000000000006</v>
      </c>
      <c r="D2262" t="str">
        <f>"271"</f>
        <v>271</v>
      </c>
    </row>
    <row r="2263" spans="1:5" x14ac:dyDescent="0.25">
      <c r="A2263" t="str">
        <f>"838270166"</f>
        <v>838270166</v>
      </c>
      <c r="B2263" t="s">
        <v>2209</v>
      </c>
      <c r="C2263">
        <v>502.43</v>
      </c>
      <c r="D2263" t="str">
        <f>"272"</f>
        <v>272</v>
      </c>
    </row>
    <row r="2264" spans="1:5" x14ac:dyDescent="0.25">
      <c r="A2264" t="str">
        <f>"838270167"</f>
        <v>838270167</v>
      </c>
      <c r="B2264" t="s">
        <v>2210</v>
      </c>
      <c r="C2264">
        <v>169.79</v>
      </c>
      <c r="D2264" t="str">
        <f>"272"</f>
        <v>272</v>
      </c>
    </row>
    <row r="2265" spans="1:5" x14ac:dyDescent="0.25">
      <c r="A2265" t="str">
        <f>"838270168"</f>
        <v>838270168</v>
      </c>
      <c r="B2265" t="s">
        <v>2211</v>
      </c>
      <c r="C2265">
        <v>145.53</v>
      </c>
      <c r="D2265" t="str">
        <f>"278"</f>
        <v>278</v>
      </c>
      <c r="E2265" t="str">
        <f>"C2625"</f>
        <v>C2625</v>
      </c>
    </row>
    <row r="2266" spans="1:5" x14ac:dyDescent="0.25">
      <c r="A2266" t="str">
        <f>"838270169"</f>
        <v>838270169</v>
      </c>
      <c r="B2266" t="s">
        <v>2212</v>
      </c>
      <c r="C2266">
        <v>145.53</v>
      </c>
      <c r="D2266" t="str">
        <f>"278"</f>
        <v>278</v>
      </c>
      <c r="E2266" t="str">
        <f>"C2625"</f>
        <v>C2625</v>
      </c>
    </row>
    <row r="2267" spans="1:5" x14ac:dyDescent="0.25">
      <c r="A2267" t="str">
        <f>"838270170"</f>
        <v>838270170</v>
      </c>
      <c r="B2267" t="s">
        <v>2213</v>
      </c>
      <c r="C2267">
        <v>550.94000000000005</v>
      </c>
      <c r="D2267" t="str">
        <f>"272"</f>
        <v>272</v>
      </c>
    </row>
    <row r="2268" spans="1:5" x14ac:dyDescent="0.25">
      <c r="A2268" t="str">
        <f>"838270171"</f>
        <v>838270171</v>
      </c>
      <c r="B2268" t="s">
        <v>2214</v>
      </c>
      <c r="C2268">
        <v>796.95</v>
      </c>
      <c r="D2268" t="str">
        <f>"272"</f>
        <v>272</v>
      </c>
      <c r="E2268" t="str">
        <f>"C1769"</f>
        <v>C1769</v>
      </c>
    </row>
    <row r="2269" spans="1:5" x14ac:dyDescent="0.25">
      <c r="A2269" t="str">
        <f>"838270172"</f>
        <v>838270172</v>
      </c>
      <c r="B2269" t="s">
        <v>2215</v>
      </c>
      <c r="C2269">
        <v>138.6</v>
      </c>
      <c r="D2269" t="str">
        <f>"271"</f>
        <v>271</v>
      </c>
      <c r="E2269" t="str">
        <f>"C1769"</f>
        <v>C1769</v>
      </c>
    </row>
    <row r="2270" spans="1:5" x14ac:dyDescent="0.25">
      <c r="A2270" t="str">
        <f>"838270173"</f>
        <v>838270173</v>
      </c>
      <c r="B2270" t="s">
        <v>2216</v>
      </c>
      <c r="C2270" s="1">
        <v>1354.82</v>
      </c>
      <c r="D2270" t="str">
        <f>"272"</f>
        <v>272</v>
      </c>
    </row>
    <row r="2271" spans="1:5" x14ac:dyDescent="0.25">
      <c r="A2271" t="str">
        <f>"838270174"</f>
        <v>838270174</v>
      </c>
      <c r="B2271" t="s">
        <v>2217</v>
      </c>
      <c r="C2271">
        <v>519.75</v>
      </c>
      <c r="D2271" t="str">
        <f>"272"</f>
        <v>272</v>
      </c>
    </row>
    <row r="2272" spans="1:5" x14ac:dyDescent="0.25">
      <c r="A2272" t="str">
        <f>"838270175"</f>
        <v>838270175</v>
      </c>
      <c r="B2272" t="s">
        <v>2218</v>
      </c>
      <c r="C2272">
        <v>448.44</v>
      </c>
      <c r="D2272" t="str">
        <f>"272"</f>
        <v>272</v>
      </c>
    </row>
    <row r="2273" spans="1:5" x14ac:dyDescent="0.25">
      <c r="A2273" t="str">
        <f>"838270176"</f>
        <v>838270176</v>
      </c>
      <c r="B2273" t="s">
        <v>2219</v>
      </c>
      <c r="C2273">
        <v>503.26</v>
      </c>
      <c r="D2273" t="str">
        <f>"272"</f>
        <v>272</v>
      </c>
    </row>
    <row r="2274" spans="1:5" x14ac:dyDescent="0.25">
      <c r="A2274" t="str">
        <f>"838270177"</f>
        <v>838270177</v>
      </c>
      <c r="B2274" t="s">
        <v>2220</v>
      </c>
      <c r="C2274">
        <v>87.67</v>
      </c>
      <c r="D2274" t="str">
        <f>"270"</f>
        <v>270</v>
      </c>
    </row>
    <row r="2275" spans="1:5" x14ac:dyDescent="0.25">
      <c r="A2275" t="str">
        <f>"838270178"</f>
        <v>838270178</v>
      </c>
      <c r="B2275" t="s">
        <v>2221</v>
      </c>
      <c r="C2275">
        <v>202.13</v>
      </c>
      <c r="D2275" t="str">
        <f t="shared" ref="D2275:D2281" si="99">"272"</f>
        <v>272</v>
      </c>
      <c r="E2275" t="str">
        <f t="shared" ref="E2275:E2281" si="100">"C1725"</f>
        <v>C1725</v>
      </c>
    </row>
    <row r="2276" spans="1:5" x14ac:dyDescent="0.25">
      <c r="A2276" t="str">
        <f>"838270179"</f>
        <v>838270179</v>
      </c>
      <c r="B2276" t="s">
        <v>2053</v>
      </c>
      <c r="C2276">
        <v>202.13</v>
      </c>
      <c r="D2276" t="str">
        <f t="shared" si="99"/>
        <v>272</v>
      </c>
      <c r="E2276" t="str">
        <f t="shared" si="100"/>
        <v>C1725</v>
      </c>
    </row>
    <row r="2277" spans="1:5" x14ac:dyDescent="0.25">
      <c r="A2277" t="str">
        <f>"838270180"</f>
        <v>838270180</v>
      </c>
      <c r="B2277" t="s">
        <v>2056</v>
      </c>
      <c r="C2277">
        <v>202.13</v>
      </c>
      <c r="D2277" t="str">
        <f t="shared" si="99"/>
        <v>272</v>
      </c>
      <c r="E2277" t="str">
        <f t="shared" si="100"/>
        <v>C1725</v>
      </c>
    </row>
    <row r="2278" spans="1:5" x14ac:dyDescent="0.25">
      <c r="A2278" t="str">
        <f>"838270181"</f>
        <v>838270181</v>
      </c>
      <c r="B2278" t="s">
        <v>2054</v>
      </c>
      <c r="C2278">
        <v>202.13</v>
      </c>
      <c r="D2278" t="str">
        <f t="shared" si="99"/>
        <v>272</v>
      </c>
      <c r="E2278" t="str">
        <f t="shared" si="100"/>
        <v>C1725</v>
      </c>
    </row>
    <row r="2279" spans="1:5" x14ac:dyDescent="0.25">
      <c r="A2279" t="str">
        <f>"838270182"</f>
        <v>838270182</v>
      </c>
      <c r="B2279" t="s">
        <v>2222</v>
      </c>
      <c r="C2279">
        <v>202.13</v>
      </c>
      <c r="D2279" t="str">
        <f t="shared" si="99"/>
        <v>272</v>
      </c>
      <c r="E2279" t="str">
        <f t="shared" si="100"/>
        <v>C1725</v>
      </c>
    </row>
    <row r="2280" spans="1:5" x14ac:dyDescent="0.25">
      <c r="A2280" t="str">
        <f>"838270183"</f>
        <v>838270183</v>
      </c>
      <c r="B2280" t="s">
        <v>2222</v>
      </c>
      <c r="C2280">
        <v>202.13</v>
      </c>
      <c r="D2280" t="str">
        <f t="shared" si="99"/>
        <v>272</v>
      </c>
      <c r="E2280" t="str">
        <f t="shared" si="100"/>
        <v>C1725</v>
      </c>
    </row>
    <row r="2281" spans="1:5" x14ac:dyDescent="0.25">
      <c r="A2281" t="str">
        <f>"838270184"</f>
        <v>838270184</v>
      </c>
      <c r="B2281" t="s">
        <v>2223</v>
      </c>
      <c r="C2281">
        <v>202.13</v>
      </c>
      <c r="D2281" t="str">
        <f t="shared" si="99"/>
        <v>272</v>
      </c>
      <c r="E2281" t="str">
        <f t="shared" si="100"/>
        <v>C1725</v>
      </c>
    </row>
    <row r="2282" spans="1:5" x14ac:dyDescent="0.25">
      <c r="A2282" t="str">
        <f>"838270185"</f>
        <v>838270185</v>
      </c>
      <c r="B2282" t="s">
        <v>2224</v>
      </c>
      <c r="C2282">
        <v>617.92999999999995</v>
      </c>
      <c r="D2282" t="str">
        <f>"278"</f>
        <v>278</v>
      </c>
      <c r="E2282" t="str">
        <f>"C1750"</f>
        <v>C1750</v>
      </c>
    </row>
    <row r="2283" spans="1:5" x14ac:dyDescent="0.25">
      <c r="A2283" t="str">
        <f>"838270186"</f>
        <v>838270186</v>
      </c>
      <c r="B2283" t="s">
        <v>2225</v>
      </c>
      <c r="C2283" s="1">
        <v>1489.95</v>
      </c>
      <c r="D2283" t="str">
        <f t="shared" ref="D2283:D2288" si="101">"272"</f>
        <v>272</v>
      </c>
    </row>
    <row r="2284" spans="1:5" x14ac:dyDescent="0.25">
      <c r="A2284" t="str">
        <f>"838270187"</f>
        <v>838270187</v>
      </c>
      <c r="B2284" t="s">
        <v>2226</v>
      </c>
      <c r="C2284">
        <v>176.12</v>
      </c>
      <c r="D2284" t="str">
        <f t="shared" si="101"/>
        <v>272</v>
      </c>
    </row>
    <row r="2285" spans="1:5" x14ac:dyDescent="0.25">
      <c r="A2285" t="str">
        <f>"838270188"</f>
        <v>838270188</v>
      </c>
      <c r="B2285" t="s">
        <v>2227</v>
      </c>
      <c r="C2285">
        <v>789.5</v>
      </c>
      <c r="D2285" t="str">
        <f t="shared" si="101"/>
        <v>272</v>
      </c>
    </row>
    <row r="2286" spans="1:5" x14ac:dyDescent="0.25">
      <c r="A2286" t="str">
        <f>"838270189"</f>
        <v>838270189</v>
      </c>
      <c r="B2286" t="s">
        <v>2228</v>
      </c>
      <c r="C2286" s="1">
        <v>1155.51</v>
      </c>
      <c r="D2286" t="str">
        <f t="shared" si="101"/>
        <v>272</v>
      </c>
    </row>
    <row r="2287" spans="1:5" x14ac:dyDescent="0.25">
      <c r="A2287" t="str">
        <f>"838270190"</f>
        <v>838270190</v>
      </c>
      <c r="B2287" t="s">
        <v>2229</v>
      </c>
      <c r="C2287">
        <v>430.63</v>
      </c>
      <c r="D2287" t="str">
        <f t="shared" si="101"/>
        <v>272</v>
      </c>
    </row>
    <row r="2288" spans="1:5" x14ac:dyDescent="0.25">
      <c r="A2288" t="str">
        <f>"838270191"</f>
        <v>838270191</v>
      </c>
      <c r="B2288" t="s">
        <v>2230</v>
      </c>
      <c r="C2288" s="1">
        <v>1313.99</v>
      </c>
      <c r="D2288" t="str">
        <f t="shared" si="101"/>
        <v>272</v>
      </c>
    </row>
    <row r="2289" spans="1:5" x14ac:dyDescent="0.25">
      <c r="A2289" t="str">
        <f>"838270192"</f>
        <v>838270192</v>
      </c>
      <c r="B2289" t="s">
        <v>2231</v>
      </c>
      <c r="C2289">
        <v>64.14</v>
      </c>
      <c r="D2289" t="str">
        <f>"270"</f>
        <v>270</v>
      </c>
    </row>
    <row r="2290" spans="1:5" x14ac:dyDescent="0.25">
      <c r="A2290" t="str">
        <f>"838270193"</f>
        <v>838270193</v>
      </c>
      <c r="B2290" t="s">
        <v>2232</v>
      </c>
      <c r="C2290">
        <v>389.91</v>
      </c>
      <c r="D2290" t="str">
        <f>"270"</f>
        <v>270</v>
      </c>
    </row>
    <row r="2291" spans="1:5" x14ac:dyDescent="0.25">
      <c r="A2291" t="str">
        <f>"838270194"</f>
        <v>838270194</v>
      </c>
      <c r="B2291" t="s">
        <v>2233</v>
      </c>
      <c r="C2291">
        <v>222.85</v>
      </c>
      <c r="D2291" t="str">
        <f>"270"</f>
        <v>270</v>
      </c>
    </row>
    <row r="2292" spans="1:5" x14ac:dyDescent="0.25">
      <c r="A2292" t="str">
        <f>"838270195"</f>
        <v>838270195</v>
      </c>
      <c r="B2292" t="s">
        <v>2234</v>
      </c>
      <c r="C2292">
        <v>687.18</v>
      </c>
      <c r="D2292" t="str">
        <f>"272"</f>
        <v>272</v>
      </c>
    </row>
    <row r="2293" spans="1:5" x14ac:dyDescent="0.25">
      <c r="A2293" t="str">
        <f>"838270196"</f>
        <v>838270196</v>
      </c>
      <c r="B2293" t="s">
        <v>2235</v>
      </c>
      <c r="C2293">
        <v>105.11</v>
      </c>
      <c r="D2293" t="str">
        <f>"272"</f>
        <v>272</v>
      </c>
    </row>
    <row r="2294" spans="1:5" x14ac:dyDescent="0.25">
      <c r="A2294" t="str">
        <f>"838270197"</f>
        <v>838270197</v>
      </c>
      <c r="B2294" t="s">
        <v>2236</v>
      </c>
      <c r="C2294">
        <v>623.70000000000005</v>
      </c>
      <c r="D2294" t="str">
        <f>"272"</f>
        <v>272</v>
      </c>
    </row>
    <row r="2295" spans="1:5" x14ac:dyDescent="0.25">
      <c r="A2295" t="str">
        <f>"838270198"</f>
        <v>838270198</v>
      </c>
      <c r="B2295" t="s">
        <v>2237</v>
      </c>
      <c r="C2295">
        <v>400.54</v>
      </c>
      <c r="D2295" t="str">
        <f>"270"</f>
        <v>270</v>
      </c>
    </row>
    <row r="2296" spans="1:5" x14ac:dyDescent="0.25">
      <c r="A2296" t="str">
        <f>"838270199"</f>
        <v>838270199</v>
      </c>
      <c r="B2296" t="s">
        <v>2238</v>
      </c>
      <c r="C2296">
        <v>270.77</v>
      </c>
      <c r="D2296" t="str">
        <f>"272"</f>
        <v>272</v>
      </c>
    </row>
    <row r="2297" spans="1:5" x14ac:dyDescent="0.25">
      <c r="A2297" t="str">
        <f>"838270200"</f>
        <v>838270200</v>
      </c>
      <c r="B2297" t="s">
        <v>2239</v>
      </c>
      <c r="C2297">
        <v>475.89</v>
      </c>
      <c r="D2297" t="str">
        <f>"272"</f>
        <v>272</v>
      </c>
      <c r="E2297" t="str">
        <f>"C1752"</f>
        <v>C1752</v>
      </c>
    </row>
    <row r="2298" spans="1:5" x14ac:dyDescent="0.25">
      <c r="A2298" t="str">
        <f>"838270201"</f>
        <v>838270201</v>
      </c>
      <c r="B2298" t="s">
        <v>2240</v>
      </c>
      <c r="C2298">
        <v>239.09</v>
      </c>
      <c r="D2298" t="str">
        <f>"270"</f>
        <v>270</v>
      </c>
    </row>
    <row r="2299" spans="1:5" x14ac:dyDescent="0.25">
      <c r="A2299" t="str">
        <f>"838270202"</f>
        <v>838270202</v>
      </c>
      <c r="B2299" t="s">
        <v>2241</v>
      </c>
      <c r="C2299">
        <v>814.28</v>
      </c>
      <c r="D2299" t="str">
        <f>"278"</f>
        <v>278</v>
      </c>
      <c r="E2299" t="str">
        <f>"C1726"</f>
        <v>C1726</v>
      </c>
    </row>
    <row r="2300" spans="1:5" x14ac:dyDescent="0.25">
      <c r="A2300" t="str">
        <f>"838270203"</f>
        <v>838270203</v>
      </c>
      <c r="B2300" t="s">
        <v>2242</v>
      </c>
      <c r="C2300">
        <v>606.38</v>
      </c>
      <c r="D2300" t="str">
        <f>"272"</f>
        <v>272</v>
      </c>
    </row>
    <row r="2301" spans="1:5" x14ac:dyDescent="0.25">
      <c r="A2301" t="str">
        <f>"838270204"</f>
        <v>838270204</v>
      </c>
      <c r="B2301" t="s">
        <v>2243</v>
      </c>
      <c r="C2301">
        <v>467.78</v>
      </c>
      <c r="D2301" t="str">
        <f>"272"</f>
        <v>272</v>
      </c>
    </row>
    <row r="2302" spans="1:5" x14ac:dyDescent="0.25">
      <c r="A2302" t="str">
        <f>"838270205"</f>
        <v>838270205</v>
      </c>
      <c r="B2302" t="s">
        <v>2244</v>
      </c>
      <c r="C2302">
        <v>467.78</v>
      </c>
      <c r="D2302" t="str">
        <f>"272"</f>
        <v>272</v>
      </c>
    </row>
    <row r="2303" spans="1:5" x14ac:dyDescent="0.25">
      <c r="A2303" t="str">
        <f>"838270206"</f>
        <v>838270206</v>
      </c>
      <c r="B2303" t="s">
        <v>2245</v>
      </c>
      <c r="C2303">
        <v>315.32</v>
      </c>
      <c r="D2303" t="str">
        <f>"272"</f>
        <v>272</v>
      </c>
    </row>
    <row r="2304" spans="1:5" x14ac:dyDescent="0.25">
      <c r="A2304" t="str">
        <f>"838270207"</f>
        <v>838270207</v>
      </c>
      <c r="B2304" t="s">
        <v>2246</v>
      </c>
      <c r="C2304">
        <v>159.97999999999999</v>
      </c>
      <c r="D2304" t="str">
        <f>"270"</f>
        <v>270</v>
      </c>
    </row>
    <row r="2305" spans="1:5" x14ac:dyDescent="0.25">
      <c r="A2305" t="str">
        <f>"838270208"</f>
        <v>838270208</v>
      </c>
      <c r="B2305" t="s">
        <v>2247</v>
      </c>
      <c r="C2305">
        <v>228.27</v>
      </c>
      <c r="D2305" t="str">
        <f>"270"</f>
        <v>270</v>
      </c>
    </row>
    <row r="2306" spans="1:5" x14ac:dyDescent="0.25">
      <c r="A2306" t="str">
        <f>"838270209"</f>
        <v>838270209</v>
      </c>
      <c r="B2306" t="s">
        <v>2248</v>
      </c>
      <c r="C2306">
        <v>6.96</v>
      </c>
      <c r="D2306" t="str">
        <f>"272"</f>
        <v>272</v>
      </c>
    </row>
    <row r="2307" spans="1:5" x14ac:dyDescent="0.25">
      <c r="A2307" t="str">
        <f>"838270210"</f>
        <v>838270210</v>
      </c>
      <c r="B2307" t="s">
        <v>2249</v>
      </c>
      <c r="C2307" s="1">
        <v>1100</v>
      </c>
      <c r="D2307" t="str">
        <f>"272"</f>
        <v>272</v>
      </c>
    </row>
    <row r="2308" spans="1:5" x14ac:dyDescent="0.25">
      <c r="A2308" t="str">
        <f>"838270211"</f>
        <v>838270211</v>
      </c>
      <c r="B2308" t="s">
        <v>2250</v>
      </c>
      <c r="C2308">
        <v>228.27</v>
      </c>
      <c r="D2308" t="str">
        <f>"270"</f>
        <v>270</v>
      </c>
    </row>
    <row r="2309" spans="1:5" x14ac:dyDescent="0.25">
      <c r="A2309" t="str">
        <f>"838270212"</f>
        <v>838270212</v>
      </c>
      <c r="B2309" t="s">
        <v>2251</v>
      </c>
      <c r="C2309">
        <v>57.38</v>
      </c>
      <c r="D2309" t="str">
        <f>"272"</f>
        <v>272</v>
      </c>
    </row>
    <row r="2310" spans="1:5" x14ac:dyDescent="0.25">
      <c r="A2310" t="str">
        <f>"838270213"</f>
        <v>838270213</v>
      </c>
      <c r="B2310" t="s">
        <v>2252</v>
      </c>
      <c r="C2310">
        <v>51.98</v>
      </c>
      <c r="D2310" t="str">
        <f>"272"</f>
        <v>272</v>
      </c>
      <c r="E2310" t="str">
        <f>"C1887"</f>
        <v>C1887</v>
      </c>
    </row>
    <row r="2311" spans="1:5" x14ac:dyDescent="0.25">
      <c r="A2311" t="str">
        <f>"838270214"</f>
        <v>838270214</v>
      </c>
      <c r="B2311" t="s">
        <v>2253</v>
      </c>
      <c r="C2311">
        <v>51.98</v>
      </c>
      <c r="D2311" t="str">
        <f>"272"</f>
        <v>272</v>
      </c>
      <c r="E2311" t="str">
        <f>"C1887"</f>
        <v>C1887</v>
      </c>
    </row>
    <row r="2312" spans="1:5" x14ac:dyDescent="0.25">
      <c r="A2312" t="str">
        <f>"838270215"</f>
        <v>838270215</v>
      </c>
      <c r="B2312" t="s">
        <v>2254</v>
      </c>
      <c r="C2312">
        <v>86.63</v>
      </c>
      <c r="D2312" t="str">
        <f>"272"</f>
        <v>272</v>
      </c>
      <c r="E2312" t="str">
        <f>"C1887"</f>
        <v>C1887</v>
      </c>
    </row>
    <row r="2313" spans="1:5" x14ac:dyDescent="0.25">
      <c r="A2313" t="str">
        <f>"838270216"</f>
        <v>838270216</v>
      </c>
      <c r="B2313" t="s">
        <v>2255</v>
      </c>
      <c r="C2313" s="1">
        <v>1226.6099999999999</v>
      </c>
      <c r="D2313" t="str">
        <f>"272"</f>
        <v>272</v>
      </c>
    </row>
    <row r="2314" spans="1:5" x14ac:dyDescent="0.25">
      <c r="A2314" t="str">
        <f>"838270217"</f>
        <v>838270217</v>
      </c>
      <c r="B2314" t="s">
        <v>2256</v>
      </c>
      <c r="C2314">
        <v>130.97999999999999</v>
      </c>
      <c r="D2314" t="str">
        <f>"270"</f>
        <v>270</v>
      </c>
    </row>
    <row r="2315" spans="1:5" x14ac:dyDescent="0.25">
      <c r="A2315" t="str">
        <f>"838270218"</f>
        <v>838270218</v>
      </c>
      <c r="B2315" t="s">
        <v>2257</v>
      </c>
      <c r="C2315">
        <v>454.78</v>
      </c>
      <c r="D2315" t="str">
        <f t="shared" ref="D2315:D2323" si="102">"272"</f>
        <v>272</v>
      </c>
      <c r="E2315" t="str">
        <f>"C1725"</f>
        <v>C1725</v>
      </c>
    </row>
    <row r="2316" spans="1:5" x14ac:dyDescent="0.25">
      <c r="A2316" t="str">
        <f>"838270219"</f>
        <v>838270219</v>
      </c>
      <c r="B2316" t="s">
        <v>2258</v>
      </c>
      <c r="C2316">
        <v>454.78</v>
      </c>
      <c r="D2316" t="str">
        <f t="shared" si="102"/>
        <v>272</v>
      </c>
      <c r="E2316" t="str">
        <f>"C1725"</f>
        <v>C1725</v>
      </c>
    </row>
    <row r="2317" spans="1:5" x14ac:dyDescent="0.25">
      <c r="A2317" t="str">
        <f>"838270220"</f>
        <v>838270220</v>
      </c>
      <c r="B2317" t="s">
        <v>2259</v>
      </c>
      <c r="C2317">
        <v>433.13</v>
      </c>
      <c r="D2317" t="str">
        <f t="shared" si="102"/>
        <v>272</v>
      </c>
      <c r="E2317" t="str">
        <f>"C1725"</f>
        <v>C1725</v>
      </c>
    </row>
    <row r="2318" spans="1:5" x14ac:dyDescent="0.25">
      <c r="A2318" t="str">
        <f>"838270221"</f>
        <v>838270221</v>
      </c>
      <c r="B2318" t="s">
        <v>2260</v>
      </c>
      <c r="C2318">
        <v>454.78</v>
      </c>
      <c r="D2318" t="str">
        <f t="shared" si="102"/>
        <v>272</v>
      </c>
      <c r="E2318" t="str">
        <f>"C1725"</f>
        <v>C1725</v>
      </c>
    </row>
    <row r="2319" spans="1:5" x14ac:dyDescent="0.25">
      <c r="A2319" t="str">
        <f>"838270223"</f>
        <v>838270223</v>
      </c>
      <c r="B2319" t="s">
        <v>2166</v>
      </c>
      <c r="C2319">
        <v>216.22</v>
      </c>
      <c r="D2319" t="str">
        <f t="shared" si="102"/>
        <v>272</v>
      </c>
    </row>
    <row r="2320" spans="1:5" x14ac:dyDescent="0.25">
      <c r="A2320" t="str">
        <f>"838270227"</f>
        <v>838270227</v>
      </c>
      <c r="B2320" t="s">
        <v>2261</v>
      </c>
      <c r="C2320">
        <v>80.739999999999995</v>
      </c>
      <c r="D2320" t="str">
        <f t="shared" si="102"/>
        <v>272</v>
      </c>
    </row>
    <row r="2321" spans="1:5" x14ac:dyDescent="0.25">
      <c r="A2321" t="str">
        <f>"838270231"</f>
        <v>838270231</v>
      </c>
      <c r="B2321" t="s">
        <v>2262</v>
      </c>
      <c r="C2321">
        <v>454.78</v>
      </c>
      <c r="D2321" t="str">
        <f t="shared" si="102"/>
        <v>272</v>
      </c>
      <c r="E2321" t="str">
        <f>"C1725"</f>
        <v>C1725</v>
      </c>
    </row>
    <row r="2322" spans="1:5" x14ac:dyDescent="0.25">
      <c r="A2322" t="str">
        <f>"838270232"</f>
        <v>838270232</v>
      </c>
      <c r="B2322" t="s">
        <v>2263</v>
      </c>
      <c r="C2322">
        <v>433.13</v>
      </c>
      <c r="D2322" t="str">
        <f t="shared" si="102"/>
        <v>272</v>
      </c>
    </row>
    <row r="2323" spans="1:5" x14ac:dyDescent="0.25">
      <c r="A2323" t="str">
        <f>"838270233"</f>
        <v>838270233</v>
      </c>
      <c r="B2323" t="s">
        <v>2264</v>
      </c>
      <c r="C2323">
        <v>801.28</v>
      </c>
      <c r="D2323" t="str">
        <f t="shared" si="102"/>
        <v>272</v>
      </c>
    </row>
    <row r="2324" spans="1:5" x14ac:dyDescent="0.25">
      <c r="A2324" t="str">
        <f>"838270234"</f>
        <v>838270234</v>
      </c>
      <c r="B2324" t="s">
        <v>2265</v>
      </c>
      <c r="C2324">
        <v>17.600000000000001</v>
      </c>
      <c r="D2324" t="str">
        <f>"271"</f>
        <v>271</v>
      </c>
      <c r="E2324" t="str">
        <f>"A9150"</f>
        <v>A9150</v>
      </c>
    </row>
    <row r="2325" spans="1:5" x14ac:dyDescent="0.25">
      <c r="A2325" t="str">
        <f>"838270235"</f>
        <v>838270235</v>
      </c>
      <c r="B2325" t="s">
        <v>2266</v>
      </c>
      <c r="C2325">
        <v>12.13</v>
      </c>
      <c r="D2325" t="str">
        <f>"270"</f>
        <v>270</v>
      </c>
      <c r="E2325" t="str">
        <f>"A6250"</f>
        <v>A6250</v>
      </c>
    </row>
    <row r="2326" spans="1:5" x14ac:dyDescent="0.25">
      <c r="A2326" t="str">
        <f>"838270236"</f>
        <v>838270236</v>
      </c>
      <c r="B2326" t="s">
        <v>2267</v>
      </c>
      <c r="C2326">
        <v>45.05</v>
      </c>
      <c r="D2326" t="str">
        <f>"271"</f>
        <v>271</v>
      </c>
    </row>
    <row r="2327" spans="1:5" x14ac:dyDescent="0.25">
      <c r="A2327" t="str">
        <f>"838270237"</f>
        <v>838270237</v>
      </c>
      <c r="B2327" t="s">
        <v>2268</v>
      </c>
      <c r="C2327">
        <v>624.94000000000005</v>
      </c>
      <c r="D2327" t="str">
        <f>"270"</f>
        <v>270</v>
      </c>
    </row>
    <row r="2328" spans="1:5" x14ac:dyDescent="0.25">
      <c r="A2328" t="str">
        <f>"838270238"</f>
        <v>838270238</v>
      </c>
      <c r="B2328" t="s">
        <v>2269</v>
      </c>
      <c r="C2328">
        <v>323.39999999999998</v>
      </c>
      <c r="D2328" t="str">
        <f>"272"</f>
        <v>272</v>
      </c>
    </row>
    <row r="2329" spans="1:5" x14ac:dyDescent="0.25">
      <c r="A2329" t="str">
        <f>"838270239"</f>
        <v>838270239</v>
      </c>
      <c r="B2329" t="s">
        <v>2270</v>
      </c>
      <c r="C2329">
        <v>271.17</v>
      </c>
      <c r="D2329" t="str">
        <f>"271"</f>
        <v>271</v>
      </c>
    </row>
    <row r="2330" spans="1:5" x14ac:dyDescent="0.25">
      <c r="A2330" t="str">
        <f>"838270240"</f>
        <v>838270240</v>
      </c>
      <c r="B2330" t="s">
        <v>2271</v>
      </c>
      <c r="C2330">
        <v>662.68</v>
      </c>
      <c r="D2330" t="str">
        <f>"272"</f>
        <v>272</v>
      </c>
    </row>
    <row r="2331" spans="1:5" x14ac:dyDescent="0.25">
      <c r="A2331" t="str">
        <f>"838270241"</f>
        <v>838270241</v>
      </c>
      <c r="B2331" t="s">
        <v>2272</v>
      </c>
      <c r="C2331">
        <v>467.78</v>
      </c>
      <c r="D2331" t="str">
        <f>"272"</f>
        <v>272</v>
      </c>
    </row>
    <row r="2332" spans="1:5" x14ac:dyDescent="0.25">
      <c r="A2332" t="str">
        <f>"838270242"</f>
        <v>838270242</v>
      </c>
      <c r="B2332" t="s">
        <v>2273</v>
      </c>
      <c r="C2332">
        <v>25.92</v>
      </c>
      <c r="D2332" t="str">
        <f>"271"</f>
        <v>271</v>
      </c>
    </row>
    <row r="2333" spans="1:5" x14ac:dyDescent="0.25">
      <c r="A2333" t="str">
        <f>"838270243"</f>
        <v>838270243</v>
      </c>
      <c r="B2333" t="s">
        <v>2274</v>
      </c>
      <c r="C2333">
        <v>26.69</v>
      </c>
      <c r="D2333" t="str">
        <f>"271"</f>
        <v>271</v>
      </c>
    </row>
    <row r="2334" spans="1:5" x14ac:dyDescent="0.25">
      <c r="A2334" t="str">
        <f>"838270244"</f>
        <v>838270244</v>
      </c>
      <c r="B2334" t="s">
        <v>2275</v>
      </c>
      <c r="C2334">
        <v>433.13</v>
      </c>
      <c r="D2334" t="str">
        <f t="shared" ref="D2334:D2340" si="103">"272"</f>
        <v>272</v>
      </c>
      <c r="E2334" t="str">
        <f>"C1725"</f>
        <v>C1725</v>
      </c>
    </row>
    <row r="2335" spans="1:5" x14ac:dyDescent="0.25">
      <c r="A2335" t="str">
        <f>"838270245"</f>
        <v>838270245</v>
      </c>
      <c r="B2335" t="s">
        <v>2276</v>
      </c>
      <c r="C2335">
        <v>433.13</v>
      </c>
      <c r="D2335" t="str">
        <f t="shared" si="103"/>
        <v>272</v>
      </c>
      <c r="E2335" t="str">
        <f>"C1725"</f>
        <v>C1725</v>
      </c>
    </row>
    <row r="2336" spans="1:5" x14ac:dyDescent="0.25">
      <c r="A2336" t="str">
        <f>"838270246"</f>
        <v>838270246</v>
      </c>
      <c r="B2336" t="s">
        <v>2277</v>
      </c>
      <c r="C2336">
        <v>131.66999999999999</v>
      </c>
      <c r="D2336" t="str">
        <f t="shared" si="103"/>
        <v>272</v>
      </c>
      <c r="E2336" t="str">
        <f>"C1769"</f>
        <v>C1769</v>
      </c>
    </row>
    <row r="2337" spans="1:5" x14ac:dyDescent="0.25">
      <c r="A2337" t="str">
        <f>"838270247"</f>
        <v>838270247</v>
      </c>
      <c r="B2337" t="s">
        <v>2278</v>
      </c>
      <c r="C2337">
        <v>131.66999999999999</v>
      </c>
      <c r="D2337" t="str">
        <f t="shared" si="103"/>
        <v>272</v>
      </c>
      <c r="E2337" t="str">
        <f>"C1769"</f>
        <v>C1769</v>
      </c>
    </row>
    <row r="2338" spans="1:5" x14ac:dyDescent="0.25">
      <c r="A2338" t="str">
        <f>"838270249"</f>
        <v>838270249</v>
      </c>
      <c r="B2338" t="s">
        <v>2279</v>
      </c>
      <c r="C2338">
        <v>18.71</v>
      </c>
      <c r="D2338" t="str">
        <f t="shared" si="103"/>
        <v>272</v>
      </c>
    </row>
    <row r="2339" spans="1:5" x14ac:dyDescent="0.25">
      <c r="A2339" t="str">
        <f>"838270250"</f>
        <v>838270250</v>
      </c>
      <c r="B2339" t="s">
        <v>2280</v>
      </c>
      <c r="C2339">
        <v>140.54</v>
      </c>
      <c r="D2339" t="str">
        <f t="shared" si="103"/>
        <v>272</v>
      </c>
      <c r="E2339" t="str">
        <f>"C1894"</f>
        <v>C1894</v>
      </c>
    </row>
    <row r="2340" spans="1:5" x14ac:dyDescent="0.25">
      <c r="A2340" t="str">
        <f>"838270251"</f>
        <v>838270251</v>
      </c>
      <c r="B2340" t="s">
        <v>2281</v>
      </c>
      <c r="C2340">
        <v>189.54</v>
      </c>
      <c r="D2340" t="str">
        <f t="shared" si="103"/>
        <v>272</v>
      </c>
      <c r="E2340" t="str">
        <f>"C1894"</f>
        <v>C1894</v>
      </c>
    </row>
    <row r="2341" spans="1:5" x14ac:dyDescent="0.25">
      <c r="A2341" t="str">
        <f>"838270252"</f>
        <v>838270252</v>
      </c>
      <c r="B2341" t="s">
        <v>2282</v>
      </c>
      <c r="C2341">
        <v>64.239999999999995</v>
      </c>
      <c r="D2341" t="str">
        <f>"270"</f>
        <v>270</v>
      </c>
    </row>
    <row r="2342" spans="1:5" x14ac:dyDescent="0.25">
      <c r="A2342" t="str">
        <f>"838270253"</f>
        <v>838270253</v>
      </c>
      <c r="B2342" t="s">
        <v>2283</v>
      </c>
      <c r="C2342">
        <v>675.68</v>
      </c>
      <c r="D2342" t="str">
        <f>"272"</f>
        <v>272</v>
      </c>
      <c r="E2342" t="str">
        <f>"C1894"</f>
        <v>C1894</v>
      </c>
    </row>
    <row r="2343" spans="1:5" x14ac:dyDescent="0.25">
      <c r="A2343" t="str">
        <f>"838270254"</f>
        <v>838270254</v>
      </c>
      <c r="B2343" t="s">
        <v>2284</v>
      </c>
      <c r="C2343">
        <v>675.68</v>
      </c>
      <c r="D2343" t="str">
        <f>"272"</f>
        <v>272</v>
      </c>
      <c r="E2343" t="str">
        <f>"C1894"</f>
        <v>C1894</v>
      </c>
    </row>
    <row r="2344" spans="1:5" x14ac:dyDescent="0.25">
      <c r="A2344" t="str">
        <f>"838270255"</f>
        <v>838270255</v>
      </c>
      <c r="B2344" t="s">
        <v>2285</v>
      </c>
      <c r="C2344">
        <v>675.68</v>
      </c>
      <c r="D2344" t="str">
        <f>"272"</f>
        <v>272</v>
      </c>
      <c r="E2344" t="str">
        <f>"C1894"</f>
        <v>C1894</v>
      </c>
    </row>
    <row r="2345" spans="1:5" x14ac:dyDescent="0.25">
      <c r="A2345" t="str">
        <f>"838270256"</f>
        <v>838270256</v>
      </c>
      <c r="B2345" t="s">
        <v>2286</v>
      </c>
      <c r="C2345">
        <v>675.68</v>
      </c>
      <c r="D2345" t="str">
        <f>"272"</f>
        <v>272</v>
      </c>
      <c r="E2345" t="str">
        <f>"C1894"</f>
        <v>C1894</v>
      </c>
    </row>
    <row r="2346" spans="1:5" x14ac:dyDescent="0.25">
      <c r="A2346" t="str">
        <f>"838270257"</f>
        <v>838270257</v>
      </c>
      <c r="B2346" t="s">
        <v>2287</v>
      </c>
      <c r="C2346">
        <v>125.37</v>
      </c>
      <c r="D2346" t="str">
        <f>"270"</f>
        <v>270</v>
      </c>
    </row>
    <row r="2347" spans="1:5" x14ac:dyDescent="0.25">
      <c r="A2347" t="str">
        <f>"838270258"</f>
        <v>838270258</v>
      </c>
      <c r="B2347" t="s">
        <v>2288</v>
      </c>
      <c r="C2347">
        <v>96.33</v>
      </c>
      <c r="D2347" t="str">
        <f t="shared" ref="D2347:D2354" si="104">"272"</f>
        <v>272</v>
      </c>
    </row>
    <row r="2348" spans="1:5" x14ac:dyDescent="0.25">
      <c r="A2348" t="str">
        <f>"838270259"</f>
        <v>838270259</v>
      </c>
      <c r="B2348" t="s">
        <v>2289</v>
      </c>
      <c r="C2348">
        <v>16.46</v>
      </c>
      <c r="D2348" t="str">
        <f t="shared" si="104"/>
        <v>272</v>
      </c>
    </row>
    <row r="2349" spans="1:5" x14ac:dyDescent="0.25">
      <c r="A2349" t="str">
        <f>"838270260"</f>
        <v>838270260</v>
      </c>
      <c r="B2349" t="s">
        <v>2290</v>
      </c>
      <c r="C2349">
        <v>454.78</v>
      </c>
      <c r="D2349" t="str">
        <f t="shared" si="104"/>
        <v>272</v>
      </c>
      <c r="E2349" t="str">
        <f>"C1725"</f>
        <v>C1725</v>
      </c>
    </row>
    <row r="2350" spans="1:5" x14ac:dyDescent="0.25">
      <c r="A2350" t="str">
        <f>"838270261"</f>
        <v>838270261</v>
      </c>
      <c r="B2350" t="s">
        <v>2291</v>
      </c>
      <c r="C2350">
        <v>454.78</v>
      </c>
      <c r="D2350" t="str">
        <f t="shared" si="104"/>
        <v>272</v>
      </c>
      <c r="E2350" t="str">
        <f>"C1725"</f>
        <v>C1725</v>
      </c>
    </row>
    <row r="2351" spans="1:5" x14ac:dyDescent="0.25">
      <c r="A2351" t="str">
        <f>"838270262"</f>
        <v>838270262</v>
      </c>
      <c r="B2351" t="s">
        <v>2292</v>
      </c>
      <c r="C2351">
        <v>454.78</v>
      </c>
      <c r="D2351" t="str">
        <f t="shared" si="104"/>
        <v>272</v>
      </c>
      <c r="E2351" t="str">
        <f>"C1725"</f>
        <v>C1725</v>
      </c>
    </row>
    <row r="2352" spans="1:5" x14ac:dyDescent="0.25">
      <c r="A2352" t="str">
        <f>"838270263"</f>
        <v>838270263</v>
      </c>
      <c r="B2352" t="s">
        <v>2293</v>
      </c>
      <c r="C2352">
        <v>537.55999999999995</v>
      </c>
      <c r="D2352" t="str">
        <f t="shared" si="104"/>
        <v>272</v>
      </c>
      <c r="E2352" t="str">
        <f>"C1757"</f>
        <v>C1757</v>
      </c>
    </row>
    <row r="2353" spans="1:5" x14ac:dyDescent="0.25">
      <c r="A2353" t="str">
        <f>"838270264"</f>
        <v>838270264</v>
      </c>
      <c r="B2353" t="s">
        <v>2294</v>
      </c>
      <c r="C2353">
        <v>272.58999999999997</v>
      </c>
      <c r="D2353" t="str">
        <f t="shared" si="104"/>
        <v>272</v>
      </c>
      <c r="E2353" t="str">
        <f>"C1757"</f>
        <v>C1757</v>
      </c>
    </row>
    <row r="2354" spans="1:5" x14ac:dyDescent="0.25">
      <c r="A2354" t="str">
        <f>"838270265"</f>
        <v>838270265</v>
      </c>
      <c r="B2354" t="s">
        <v>2295</v>
      </c>
      <c r="C2354">
        <v>272.58999999999997</v>
      </c>
      <c r="D2354" t="str">
        <f t="shared" si="104"/>
        <v>272</v>
      </c>
      <c r="E2354" t="str">
        <f>"C1757"</f>
        <v>C1757</v>
      </c>
    </row>
    <row r="2355" spans="1:5" x14ac:dyDescent="0.25">
      <c r="A2355" t="str">
        <f>"838270266"</f>
        <v>838270266</v>
      </c>
      <c r="B2355" t="s">
        <v>2296</v>
      </c>
      <c r="C2355">
        <v>299.89</v>
      </c>
      <c r="D2355" t="str">
        <f>"301"</f>
        <v>301</v>
      </c>
    </row>
    <row r="2356" spans="1:5" x14ac:dyDescent="0.25">
      <c r="A2356" t="str">
        <f>"838270267"</f>
        <v>838270267</v>
      </c>
      <c r="B2356" t="s">
        <v>2297</v>
      </c>
      <c r="C2356">
        <v>87.63</v>
      </c>
      <c r="D2356" t="str">
        <f>"270"</f>
        <v>270</v>
      </c>
    </row>
    <row r="2357" spans="1:5" x14ac:dyDescent="0.25">
      <c r="A2357" t="str">
        <f>"838270268"</f>
        <v>838270268</v>
      </c>
      <c r="B2357" t="s">
        <v>2298</v>
      </c>
      <c r="C2357">
        <v>200.7</v>
      </c>
      <c r="D2357" t="str">
        <f>"272"</f>
        <v>272</v>
      </c>
    </row>
    <row r="2358" spans="1:5" x14ac:dyDescent="0.25">
      <c r="A2358" t="str">
        <f>"838270269"</f>
        <v>838270269</v>
      </c>
      <c r="B2358" t="s">
        <v>2299</v>
      </c>
      <c r="C2358">
        <v>105.79</v>
      </c>
      <c r="D2358" t="str">
        <f>"270"</f>
        <v>270</v>
      </c>
    </row>
    <row r="2359" spans="1:5" x14ac:dyDescent="0.25">
      <c r="A2359" t="str">
        <f>"838270270"</f>
        <v>838270270</v>
      </c>
      <c r="B2359" t="s">
        <v>2300</v>
      </c>
      <c r="C2359">
        <v>42.79</v>
      </c>
      <c r="D2359" t="str">
        <f>"272"</f>
        <v>272</v>
      </c>
    </row>
    <row r="2360" spans="1:5" x14ac:dyDescent="0.25">
      <c r="A2360" t="str">
        <f>"838270271"</f>
        <v>838270271</v>
      </c>
      <c r="B2360" t="s">
        <v>2301</v>
      </c>
      <c r="C2360">
        <v>42.79</v>
      </c>
      <c r="D2360" t="str">
        <f>"272"</f>
        <v>272</v>
      </c>
    </row>
    <row r="2361" spans="1:5" x14ac:dyDescent="0.25">
      <c r="A2361" t="str">
        <f>"838270272"</f>
        <v>838270272</v>
      </c>
      <c r="B2361" t="s">
        <v>2302</v>
      </c>
      <c r="C2361">
        <v>6.72</v>
      </c>
      <c r="D2361" t="str">
        <f>"272"</f>
        <v>272</v>
      </c>
    </row>
    <row r="2362" spans="1:5" x14ac:dyDescent="0.25">
      <c r="A2362" t="str">
        <f>"838270273"</f>
        <v>838270273</v>
      </c>
      <c r="B2362" t="s">
        <v>2303</v>
      </c>
      <c r="C2362">
        <v>47.82</v>
      </c>
      <c r="D2362" t="str">
        <f>"272"</f>
        <v>272</v>
      </c>
    </row>
    <row r="2363" spans="1:5" x14ac:dyDescent="0.25">
      <c r="A2363" t="str">
        <f>"838270274"</f>
        <v>838270274</v>
      </c>
      <c r="B2363" t="s">
        <v>2304</v>
      </c>
      <c r="C2363">
        <v>146.47</v>
      </c>
      <c r="D2363" t="str">
        <f>"270"</f>
        <v>270</v>
      </c>
    </row>
    <row r="2364" spans="1:5" x14ac:dyDescent="0.25">
      <c r="A2364" t="str">
        <f>"838270275"</f>
        <v>838270275</v>
      </c>
      <c r="B2364" t="s">
        <v>2305</v>
      </c>
      <c r="C2364">
        <v>141.37</v>
      </c>
      <c r="D2364" t="str">
        <f>"272"</f>
        <v>272</v>
      </c>
      <c r="E2364" t="str">
        <f>"C1769"</f>
        <v>C1769</v>
      </c>
    </row>
    <row r="2365" spans="1:5" x14ac:dyDescent="0.25">
      <c r="A2365" t="str">
        <f>"838270276"</f>
        <v>838270276</v>
      </c>
      <c r="B2365" t="s">
        <v>2306</v>
      </c>
      <c r="C2365">
        <v>78.03</v>
      </c>
      <c r="D2365" t="str">
        <f>"272"</f>
        <v>272</v>
      </c>
    </row>
    <row r="2366" spans="1:5" x14ac:dyDescent="0.25">
      <c r="A2366" t="str">
        <f>"838270277"</f>
        <v>838270277</v>
      </c>
      <c r="B2366" t="s">
        <v>2307</v>
      </c>
      <c r="C2366">
        <v>78.03</v>
      </c>
      <c r="D2366" t="str">
        <f>"272"</f>
        <v>272</v>
      </c>
    </row>
    <row r="2367" spans="1:5" x14ac:dyDescent="0.25">
      <c r="A2367" t="str">
        <f>"838270278"</f>
        <v>838270278</v>
      </c>
      <c r="B2367" t="s">
        <v>2308</v>
      </c>
      <c r="C2367">
        <v>78.03</v>
      </c>
      <c r="D2367" t="str">
        <f>"272"</f>
        <v>272</v>
      </c>
    </row>
    <row r="2368" spans="1:5" x14ac:dyDescent="0.25">
      <c r="A2368" t="str">
        <f>"838270279"</f>
        <v>838270279</v>
      </c>
      <c r="B2368" t="s">
        <v>2309</v>
      </c>
      <c r="C2368">
        <v>939.02</v>
      </c>
      <c r="D2368" t="str">
        <f>"272"</f>
        <v>272</v>
      </c>
      <c r="E2368" t="str">
        <f>"C1725"</f>
        <v>C1725</v>
      </c>
    </row>
    <row r="2369" spans="1:5" x14ac:dyDescent="0.25">
      <c r="A2369" t="str">
        <f>"838270280"</f>
        <v>838270280</v>
      </c>
      <c r="B2369" t="s">
        <v>2310</v>
      </c>
      <c r="C2369">
        <v>22</v>
      </c>
      <c r="D2369" t="str">
        <f>"270"</f>
        <v>270</v>
      </c>
      <c r="E2369" t="str">
        <f>"A7002"</f>
        <v>A7002</v>
      </c>
    </row>
    <row r="2370" spans="1:5" x14ac:dyDescent="0.25">
      <c r="A2370" t="str">
        <f>"838270281"</f>
        <v>838270281</v>
      </c>
      <c r="B2370" t="s">
        <v>2311</v>
      </c>
      <c r="C2370">
        <v>142.55000000000001</v>
      </c>
      <c r="D2370" t="str">
        <f>"270"</f>
        <v>270</v>
      </c>
    </row>
    <row r="2371" spans="1:5" x14ac:dyDescent="0.25">
      <c r="A2371" t="str">
        <f>"838270282"</f>
        <v>838270282</v>
      </c>
      <c r="B2371" t="s">
        <v>2312</v>
      </c>
      <c r="C2371">
        <v>259.88</v>
      </c>
      <c r="D2371" t="str">
        <f>"272"</f>
        <v>272</v>
      </c>
    </row>
    <row r="2372" spans="1:5" x14ac:dyDescent="0.25">
      <c r="A2372" t="str">
        <f>"838270283"</f>
        <v>838270283</v>
      </c>
      <c r="B2372" t="s">
        <v>2313</v>
      </c>
      <c r="C2372">
        <v>39.85</v>
      </c>
      <c r="D2372" t="str">
        <f>"272"</f>
        <v>272</v>
      </c>
    </row>
    <row r="2373" spans="1:5" x14ac:dyDescent="0.25">
      <c r="A2373" t="str">
        <f>"838270284"</f>
        <v>838270284</v>
      </c>
      <c r="B2373" t="s">
        <v>2314</v>
      </c>
      <c r="C2373">
        <v>139.97999999999999</v>
      </c>
      <c r="D2373" t="str">
        <f>"272"</f>
        <v>272</v>
      </c>
    </row>
    <row r="2374" spans="1:5" x14ac:dyDescent="0.25">
      <c r="A2374" t="str">
        <f>"838270285"</f>
        <v>838270285</v>
      </c>
      <c r="B2374" t="s">
        <v>2315</v>
      </c>
      <c r="C2374">
        <v>285.52</v>
      </c>
      <c r="D2374" t="str">
        <f>"272"</f>
        <v>272</v>
      </c>
    </row>
    <row r="2375" spans="1:5" x14ac:dyDescent="0.25">
      <c r="A2375" t="str">
        <f>"838270286"</f>
        <v>838270286</v>
      </c>
      <c r="B2375" t="s">
        <v>2316</v>
      </c>
      <c r="C2375">
        <v>173.25</v>
      </c>
      <c r="D2375" t="str">
        <f>"272"</f>
        <v>272</v>
      </c>
      <c r="E2375" t="str">
        <f>"C1725"</f>
        <v>C1725</v>
      </c>
    </row>
    <row r="2376" spans="1:5" x14ac:dyDescent="0.25">
      <c r="A2376" t="str">
        <f>"838270287"</f>
        <v>838270287</v>
      </c>
      <c r="B2376" t="s">
        <v>2317</v>
      </c>
      <c r="C2376">
        <v>83.23</v>
      </c>
      <c r="D2376" t="str">
        <f>"270"</f>
        <v>270</v>
      </c>
    </row>
    <row r="2377" spans="1:5" x14ac:dyDescent="0.25">
      <c r="A2377" t="str">
        <f>"838270288"</f>
        <v>838270288</v>
      </c>
      <c r="B2377" t="s">
        <v>2318</v>
      </c>
      <c r="C2377">
        <v>13.2</v>
      </c>
      <c r="D2377" t="str">
        <f>"270"</f>
        <v>270</v>
      </c>
      <c r="E2377" t="str">
        <f>"B4035"</f>
        <v>B4035</v>
      </c>
    </row>
    <row r="2378" spans="1:5" x14ac:dyDescent="0.25">
      <c r="A2378" t="str">
        <f>"838270289"</f>
        <v>838270289</v>
      </c>
      <c r="B2378" t="s">
        <v>2319</v>
      </c>
      <c r="C2378">
        <v>72.7</v>
      </c>
      <c r="D2378" t="str">
        <f>"271"</f>
        <v>271</v>
      </c>
    </row>
    <row r="2379" spans="1:5" x14ac:dyDescent="0.25">
      <c r="A2379" t="str">
        <f>"838270290"</f>
        <v>838270290</v>
      </c>
      <c r="B2379" t="s">
        <v>2320</v>
      </c>
      <c r="C2379">
        <v>330</v>
      </c>
      <c r="D2379" t="str">
        <f>"270"</f>
        <v>270</v>
      </c>
    </row>
    <row r="2380" spans="1:5" x14ac:dyDescent="0.25">
      <c r="A2380" t="str">
        <f>"838270291"</f>
        <v>838270291</v>
      </c>
      <c r="B2380" t="s">
        <v>2321</v>
      </c>
      <c r="C2380">
        <v>35</v>
      </c>
      <c r="D2380" t="str">
        <f>"270"</f>
        <v>270</v>
      </c>
    </row>
    <row r="2381" spans="1:5" x14ac:dyDescent="0.25">
      <c r="A2381" t="str">
        <f>"838270292"</f>
        <v>838270292</v>
      </c>
      <c r="B2381" t="s">
        <v>2322</v>
      </c>
      <c r="C2381">
        <v>194.91</v>
      </c>
      <c r="D2381" t="str">
        <f>"270"</f>
        <v>270</v>
      </c>
    </row>
    <row r="2382" spans="1:5" x14ac:dyDescent="0.25">
      <c r="A2382" t="str">
        <f>"838270293"</f>
        <v>838270293</v>
      </c>
      <c r="B2382" t="s">
        <v>2323</v>
      </c>
      <c r="C2382" s="1">
        <v>2028.62</v>
      </c>
      <c r="D2382" t="str">
        <f>"270"</f>
        <v>270</v>
      </c>
    </row>
    <row r="2383" spans="1:5" x14ac:dyDescent="0.25">
      <c r="A2383" t="str">
        <f>"838270294"</f>
        <v>838270294</v>
      </c>
      <c r="B2383" t="s">
        <v>2324</v>
      </c>
      <c r="C2383">
        <v>222.77</v>
      </c>
      <c r="D2383" t="str">
        <f>"272"</f>
        <v>272</v>
      </c>
    </row>
    <row r="2384" spans="1:5" x14ac:dyDescent="0.25">
      <c r="A2384" t="str">
        <f>"838270295"</f>
        <v>838270295</v>
      </c>
      <c r="B2384" t="s">
        <v>2325</v>
      </c>
      <c r="C2384">
        <v>340.26</v>
      </c>
      <c r="D2384" t="str">
        <f>"272"</f>
        <v>272</v>
      </c>
    </row>
    <row r="2385" spans="1:5" x14ac:dyDescent="0.25">
      <c r="A2385" t="str">
        <f>"838270296"</f>
        <v>838270296</v>
      </c>
      <c r="B2385" t="s">
        <v>2326</v>
      </c>
      <c r="C2385">
        <v>363.13</v>
      </c>
      <c r="D2385" t="str">
        <f>"272"</f>
        <v>272</v>
      </c>
    </row>
    <row r="2386" spans="1:5" x14ac:dyDescent="0.25">
      <c r="A2386" t="str">
        <f>"838270297"</f>
        <v>838270297</v>
      </c>
      <c r="B2386" t="s">
        <v>2327</v>
      </c>
      <c r="C2386">
        <v>408.87</v>
      </c>
      <c r="D2386" t="str">
        <f>"272"</f>
        <v>272</v>
      </c>
    </row>
    <row r="2387" spans="1:5" x14ac:dyDescent="0.25">
      <c r="A2387" t="str">
        <f>"838270298"</f>
        <v>838270298</v>
      </c>
      <c r="B2387" t="s">
        <v>2328</v>
      </c>
      <c r="C2387">
        <v>408.87</v>
      </c>
      <c r="D2387" t="str">
        <f>"272"</f>
        <v>272</v>
      </c>
    </row>
    <row r="2388" spans="1:5" x14ac:dyDescent="0.25">
      <c r="A2388" t="str">
        <f>"838270299"</f>
        <v>838270299</v>
      </c>
      <c r="B2388" t="s">
        <v>2329</v>
      </c>
      <c r="C2388" s="1">
        <v>2134.35</v>
      </c>
      <c r="D2388" t="str">
        <f>"278"</f>
        <v>278</v>
      </c>
      <c r="E2388" t="str">
        <f>"C1713"</f>
        <v>C1713</v>
      </c>
    </row>
    <row r="2389" spans="1:5" x14ac:dyDescent="0.25">
      <c r="A2389" t="str">
        <f>"838270300"</f>
        <v>838270300</v>
      </c>
      <c r="B2389" t="s">
        <v>2330</v>
      </c>
      <c r="C2389">
        <v>124.74</v>
      </c>
      <c r="D2389" t="str">
        <f>"271"</f>
        <v>271</v>
      </c>
    </row>
    <row r="2390" spans="1:5" x14ac:dyDescent="0.25">
      <c r="A2390" t="str">
        <f>"838270301"</f>
        <v>838270301</v>
      </c>
      <c r="B2390" t="s">
        <v>2331</v>
      </c>
      <c r="C2390">
        <v>550</v>
      </c>
      <c r="D2390" t="str">
        <f>"270"</f>
        <v>270</v>
      </c>
    </row>
    <row r="2391" spans="1:5" x14ac:dyDescent="0.25">
      <c r="A2391" t="str">
        <f>"838270302"</f>
        <v>838270302</v>
      </c>
      <c r="B2391" t="s">
        <v>2332</v>
      </c>
      <c r="C2391">
        <v>13.2</v>
      </c>
      <c r="D2391" t="str">
        <f>"270"</f>
        <v>270</v>
      </c>
      <c r="E2391" t="str">
        <f>"A5061"</f>
        <v>A5061</v>
      </c>
    </row>
    <row r="2392" spans="1:5" x14ac:dyDescent="0.25">
      <c r="A2392" t="str">
        <f>"838270303"</f>
        <v>838270303</v>
      </c>
      <c r="B2392" t="s">
        <v>2333</v>
      </c>
      <c r="C2392">
        <v>109.01</v>
      </c>
      <c r="D2392" t="str">
        <f>"271"</f>
        <v>271</v>
      </c>
    </row>
    <row r="2393" spans="1:5" x14ac:dyDescent="0.25">
      <c r="A2393" t="str">
        <f>"838270304"</f>
        <v>838270304</v>
      </c>
      <c r="B2393" t="s">
        <v>2334</v>
      </c>
      <c r="C2393">
        <v>109.01</v>
      </c>
      <c r="D2393" t="str">
        <f>"271"</f>
        <v>271</v>
      </c>
    </row>
    <row r="2394" spans="1:5" x14ac:dyDescent="0.25">
      <c r="A2394" t="str">
        <f>"838270305"</f>
        <v>838270305</v>
      </c>
      <c r="B2394" t="s">
        <v>2335</v>
      </c>
      <c r="C2394">
        <v>12.96</v>
      </c>
      <c r="D2394" t="str">
        <f t="shared" ref="D2394:D2405" si="105">"272"</f>
        <v>272</v>
      </c>
    </row>
    <row r="2395" spans="1:5" x14ac:dyDescent="0.25">
      <c r="A2395" t="str">
        <f>"838270307"</f>
        <v>838270307</v>
      </c>
      <c r="B2395" t="s">
        <v>2336</v>
      </c>
      <c r="C2395">
        <v>12.89</v>
      </c>
      <c r="D2395" t="str">
        <f t="shared" si="105"/>
        <v>272</v>
      </c>
    </row>
    <row r="2396" spans="1:5" x14ac:dyDescent="0.25">
      <c r="A2396" t="str">
        <f>"838270308"</f>
        <v>838270308</v>
      </c>
      <c r="B2396" t="s">
        <v>2337</v>
      </c>
      <c r="C2396">
        <v>6.38</v>
      </c>
      <c r="D2396" t="str">
        <f t="shared" si="105"/>
        <v>272</v>
      </c>
    </row>
    <row r="2397" spans="1:5" x14ac:dyDescent="0.25">
      <c r="A2397" t="str">
        <f>"838270309"</f>
        <v>838270309</v>
      </c>
      <c r="B2397" t="s">
        <v>2338</v>
      </c>
      <c r="C2397">
        <v>18.440000000000001</v>
      </c>
      <c r="D2397" t="str">
        <f t="shared" si="105"/>
        <v>272</v>
      </c>
    </row>
    <row r="2398" spans="1:5" x14ac:dyDescent="0.25">
      <c r="A2398" t="str">
        <f>"838270310"</f>
        <v>838270310</v>
      </c>
      <c r="B2398" t="s">
        <v>2339</v>
      </c>
      <c r="C2398">
        <v>13.96</v>
      </c>
      <c r="D2398" t="str">
        <f t="shared" si="105"/>
        <v>272</v>
      </c>
    </row>
    <row r="2399" spans="1:5" x14ac:dyDescent="0.25">
      <c r="A2399" t="str">
        <f>"838270311"</f>
        <v>838270311</v>
      </c>
      <c r="B2399" t="s">
        <v>2340</v>
      </c>
      <c r="C2399">
        <v>30.91</v>
      </c>
      <c r="D2399" t="str">
        <f t="shared" si="105"/>
        <v>272</v>
      </c>
    </row>
    <row r="2400" spans="1:5" x14ac:dyDescent="0.25">
      <c r="A2400" t="str">
        <f>"838270312"</f>
        <v>838270312</v>
      </c>
      <c r="B2400" t="s">
        <v>2341</v>
      </c>
      <c r="C2400">
        <v>22.08</v>
      </c>
      <c r="D2400" t="str">
        <f t="shared" si="105"/>
        <v>272</v>
      </c>
    </row>
    <row r="2401" spans="1:5" x14ac:dyDescent="0.25">
      <c r="A2401" t="str">
        <f>"838270313"</f>
        <v>838270313</v>
      </c>
      <c r="B2401" t="s">
        <v>2342</v>
      </c>
      <c r="C2401">
        <v>12.89</v>
      </c>
      <c r="D2401" t="str">
        <f t="shared" si="105"/>
        <v>272</v>
      </c>
    </row>
    <row r="2402" spans="1:5" x14ac:dyDescent="0.25">
      <c r="A2402" t="str">
        <f>"838270314"</f>
        <v>838270314</v>
      </c>
      <c r="B2402" t="s">
        <v>2343</v>
      </c>
      <c r="C2402" s="1">
        <v>1522.14</v>
      </c>
      <c r="D2402" t="str">
        <f t="shared" si="105"/>
        <v>272</v>
      </c>
    </row>
    <row r="2403" spans="1:5" x14ac:dyDescent="0.25">
      <c r="A2403" t="str">
        <f>"838270315"</f>
        <v>838270315</v>
      </c>
      <c r="B2403" t="s">
        <v>2344</v>
      </c>
      <c r="C2403">
        <v>214.65</v>
      </c>
      <c r="D2403" t="str">
        <f t="shared" si="105"/>
        <v>272</v>
      </c>
    </row>
    <row r="2404" spans="1:5" x14ac:dyDescent="0.25">
      <c r="A2404" t="str">
        <f>"838270316"</f>
        <v>838270316</v>
      </c>
      <c r="B2404" t="s">
        <v>2345</v>
      </c>
      <c r="C2404">
        <v>928.62</v>
      </c>
      <c r="D2404" t="str">
        <f t="shared" si="105"/>
        <v>272</v>
      </c>
      <c r="E2404" t="str">
        <f>"C1725"</f>
        <v>C1725</v>
      </c>
    </row>
    <row r="2405" spans="1:5" x14ac:dyDescent="0.25">
      <c r="A2405" t="str">
        <f>"838270317"</f>
        <v>838270317</v>
      </c>
      <c r="B2405" t="s">
        <v>2346</v>
      </c>
      <c r="C2405">
        <v>316.52999999999997</v>
      </c>
      <c r="D2405" t="str">
        <f t="shared" si="105"/>
        <v>272</v>
      </c>
    </row>
    <row r="2406" spans="1:5" x14ac:dyDescent="0.25">
      <c r="A2406" t="str">
        <f>"838270318"</f>
        <v>838270318</v>
      </c>
      <c r="B2406" t="s">
        <v>2347</v>
      </c>
      <c r="C2406" s="1">
        <v>4002.08</v>
      </c>
      <c r="D2406" t="str">
        <f>"278"</f>
        <v>278</v>
      </c>
      <c r="E2406" t="str">
        <f>"C1713"</f>
        <v>C1713</v>
      </c>
    </row>
    <row r="2407" spans="1:5" x14ac:dyDescent="0.25">
      <c r="A2407" t="str">
        <f>"838270319"</f>
        <v>838270319</v>
      </c>
      <c r="B2407" t="s">
        <v>2348</v>
      </c>
      <c r="C2407">
        <v>120.34</v>
      </c>
      <c r="D2407" t="str">
        <f>"250"</f>
        <v>250</v>
      </c>
    </row>
    <row r="2408" spans="1:5" x14ac:dyDescent="0.25">
      <c r="A2408" t="str">
        <f>"838270320"</f>
        <v>838270320</v>
      </c>
      <c r="B2408" t="s">
        <v>2349</v>
      </c>
      <c r="C2408">
        <v>66.349999999999994</v>
      </c>
      <c r="D2408" t="str">
        <f>"312"</f>
        <v>312</v>
      </c>
    </row>
    <row r="2409" spans="1:5" x14ac:dyDescent="0.25">
      <c r="A2409" t="str">
        <f>"838270321"</f>
        <v>838270321</v>
      </c>
      <c r="B2409" t="s">
        <v>2350</v>
      </c>
      <c r="C2409">
        <v>176.55</v>
      </c>
      <c r="D2409" t="str">
        <f>"270"</f>
        <v>270</v>
      </c>
    </row>
    <row r="2410" spans="1:5" x14ac:dyDescent="0.25">
      <c r="A2410" t="str">
        <f>"838270322"</f>
        <v>838270322</v>
      </c>
      <c r="B2410" t="s">
        <v>2351</v>
      </c>
      <c r="C2410">
        <v>25.77</v>
      </c>
      <c r="D2410" t="str">
        <f>"272"</f>
        <v>272</v>
      </c>
    </row>
    <row r="2411" spans="1:5" x14ac:dyDescent="0.25">
      <c r="A2411" t="str">
        <f>"838270323"</f>
        <v>838270323</v>
      </c>
      <c r="B2411" t="s">
        <v>2352</v>
      </c>
      <c r="C2411" s="1">
        <v>1569.65</v>
      </c>
      <c r="D2411" t="str">
        <f>"270"</f>
        <v>270</v>
      </c>
      <c r="E2411" t="str">
        <f>"C1726"</f>
        <v>C1726</v>
      </c>
    </row>
    <row r="2412" spans="1:5" x14ac:dyDescent="0.25">
      <c r="A2412" t="str">
        <f>"838270324"</f>
        <v>838270324</v>
      </c>
      <c r="B2412" t="s">
        <v>2352</v>
      </c>
      <c r="C2412" s="1">
        <v>1424.12</v>
      </c>
      <c r="D2412" t="str">
        <f>"270"</f>
        <v>270</v>
      </c>
      <c r="E2412" t="str">
        <f>"C1726"</f>
        <v>C1726</v>
      </c>
    </row>
    <row r="2413" spans="1:5" x14ac:dyDescent="0.25">
      <c r="A2413" t="str">
        <f>"838270325"</f>
        <v>838270325</v>
      </c>
      <c r="B2413" t="s">
        <v>2353</v>
      </c>
      <c r="C2413">
        <v>8.8699999999999992</v>
      </c>
      <c r="D2413" t="str">
        <f t="shared" ref="D2413:D2420" si="106">"271"</f>
        <v>271</v>
      </c>
    </row>
    <row r="2414" spans="1:5" x14ac:dyDescent="0.25">
      <c r="A2414" t="str">
        <f>"838270326"</f>
        <v>838270326</v>
      </c>
      <c r="B2414" t="s">
        <v>2354</v>
      </c>
      <c r="C2414">
        <v>8.8699999999999992</v>
      </c>
      <c r="D2414" t="str">
        <f t="shared" si="106"/>
        <v>271</v>
      </c>
    </row>
    <row r="2415" spans="1:5" x14ac:dyDescent="0.25">
      <c r="A2415" t="str">
        <f>"838270327"</f>
        <v>838270327</v>
      </c>
      <c r="B2415" t="s">
        <v>2355</v>
      </c>
      <c r="C2415">
        <v>8.8699999999999992</v>
      </c>
      <c r="D2415" t="str">
        <f t="shared" si="106"/>
        <v>271</v>
      </c>
    </row>
    <row r="2416" spans="1:5" x14ac:dyDescent="0.25">
      <c r="A2416" t="str">
        <f>"838270328"</f>
        <v>838270328</v>
      </c>
      <c r="B2416" t="s">
        <v>2356</v>
      </c>
      <c r="C2416">
        <v>8.8699999999999992</v>
      </c>
      <c r="D2416" t="str">
        <f t="shared" si="106"/>
        <v>271</v>
      </c>
    </row>
    <row r="2417" spans="1:5" x14ac:dyDescent="0.25">
      <c r="A2417" t="str">
        <f>"838270329"</f>
        <v>838270329</v>
      </c>
      <c r="B2417" t="s">
        <v>2357</v>
      </c>
      <c r="C2417">
        <v>8.8699999999999992</v>
      </c>
      <c r="D2417" t="str">
        <f t="shared" si="106"/>
        <v>271</v>
      </c>
    </row>
    <row r="2418" spans="1:5" x14ac:dyDescent="0.25">
      <c r="A2418" t="str">
        <f>"838270330"</f>
        <v>838270330</v>
      </c>
      <c r="B2418" t="s">
        <v>2358</v>
      </c>
      <c r="C2418">
        <v>7.32</v>
      </c>
      <c r="D2418" t="str">
        <f t="shared" si="106"/>
        <v>271</v>
      </c>
    </row>
    <row r="2419" spans="1:5" x14ac:dyDescent="0.25">
      <c r="A2419" t="str">
        <f>"838270331"</f>
        <v>838270331</v>
      </c>
      <c r="B2419" t="s">
        <v>2359</v>
      </c>
      <c r="C2419">
        <v>3.5</v>
      </c>
      <c r="D2419" t="str">
        <f t="shared" si="106"/>
        <v>271</v>
      </c>
    </row>
    <row r="2420" spans="1:5" x14ac:dyDescent="0.25">
      <c r="A2420" t="str">
        <f>"838270332"</f>
        <v>838270332</v>
      </c>
      <c r="B2420" t="s">
        <v>2360</v>
      </c>
      <c r="C2420">
        <v>6.41</v>
      </c>
      <c r="D2420" t="str">
        <f t="shared" si="106"/>
        <v>271</v>
      </c>
    </row>
    <row r="2421" spans="1:5" x14ac:dyDescent="0.25">
      <c r="A2421" t="str">
        <f>"838270333"</f>
        <v>838270333</v>
      </c>
      <c r="B2421" t="s">
        <v>2361</v>
      </c>
      <c r="C2421">
        <v>198.89</v>
      </c>
      <c r="D2421" t="str">
        <f t="shared" ref="D2421:D2427" si="107">"270"</f>
        <v>270</v>
      </c>
      <c r="E2421" t="str">
        <f>"C1769"</f>
        <v>C1769</v>
      </c>
    </row>
    <row r="2422" spans="1:5" x14ac:dyDescent="0.25">
      <c r="A2422" t="str">
        <f>"838270334"</f>
        <v>838270334</v>
      </c>
      <c r="B2422" t="s">
        <v>2362</v>
      </c>
      <c r="C2422">
        <v>190.58</v>
      </c>
      <c r="D2422" t="str">
        <f t="shared" si="107"/>
        <v>270</v>
      </c>
      <c r="E2422" t="str">
        <f>"C1769"</f>
        <v>C1769</v>
      </c>
    </row>
    <row r="2423" spans="1:5" x14ac:dyDescent="0.25">
      <c r="A2423" t="str">
        <f>"838270335"</f>
        <v>838270335</v>
      </c>
      <c r="B2423" t="s">
        <v>2363</v>
      </c>
      <c r="C2423">
        <v>217.14</v>
      </c>
      <c r="D2423" t="str">
        <f t="shared" si="107"/>
        <v>270</v>
      </c>
    </row>
    <row r="2424" spans="1:5" x14ac:dyDescent="0.25">
      <c r="A2424" t="str">
        <f>"838270336"</f>
        <v>838270336</v>
      </c>
      <c r="B2424" t="s">
        <v>2364</v>
      </c>
      <c r="C2424">
        <v>170.5</v>
      </c>
      <c r="D2424" t="str">
        <f t="shared" si="107"/>
        <v>270</v>
      </c>
      <c r="E2424" t="str">
        <f>"A6550"</f>
        <v>A6550</v>
      </c>
    </row>
    <row r="2425" spans="1:5" x14ac:dyDescent="0.25">
      <c r="A2425" t="str">
        <f>"838270337"</f>
        <v>838270337</v>
      </c>
      <c r="B2425" t="s">
        <v>2365</v>
      </c>
      <c r="C2425">
        <v>128.21</v>
      </c>
      <c r="D2425" t="str">
        <f t="shared" si="107"/>
        <v>270</v>
      </c>
      <c r="E2425" t="str">
        <f>"A7000"</f>
        <v>A7000</v>
      </c>
    </row>
    <row r="2426" spans="1:5" x14ac:dyDescent="0.25">
      <c r="A2426" t="str">
        <f>"838270338"</f>
        <v>838270338</v>
      </c>
      <c r="B2426" t="s">
        <v>2366</v>
      </c>
      <c r="C2426">
        <v>349.68</v>
      </c>
      <c r="D2426" t="str">
        <f t="shared" si="107"/>
        <v>270</v>
      </c>
    </row>
    <row r="2427" spans="1:5" x14ac:dyDescent="0.25">
      <c r="A2427" t="str">
        <f>"838270339"</f>
        <v>838270339</v>
      </c>
      <c r="B2427" t="s">
        <v>2367</v>
      </c>
      <c r="C2427">
        <v>165</v>
      </c>
      <c r="D2427" t="str">
        <f t="shared" si="107"/>
        <v>270</v>
      </c>
    </row>
    <row r="2428" spans="1:5" x14ac:dyDescent="0.25">
      <c r="A2428" t="str">
        <f>"838270340"</f>
        <v>838270340</v>
      </c>
      <c r="B2428" t="s">
        <v>2368</v>
      </c>
      <c r="C2428">
        <v>69.3</v>
      </c>
      <c r="D2428" t="str">
        <f>"271"</f>
        <v>271</v>
      </c>
    </row>
    <row r="2429" spans="1:5" x14ac:dyDescent="0.25">
      <c r="A2429" t="str">
        <f>"838270341"</f>
        <v>838270341</v>
      </c>
      <c r="B2429" t="s">
        <v>2369</v>
      </c>
      <c r="C2429">
        <v>69.3</v>
      </c>
      <c r="D2429" t="str">
        <f>"271"</f>
        <v>271</v>
      </c>
    </row>
    <row r="2430" spans="1:5" x14ac:dyDescent="0.25">
      <c r="A2430" t="str">
        <f>"838270342"</f>
        <v>838270342</v>
      </c>
      <c r="B2430" t="s">
        <v>2370</v>
      </c>
      <c r="C2430">
        <v>69.3</v>
      </c>
      <c r="D2430" t="str">
        <f>"271"</f>
        <v>271</v>
      </c>
    </row>
    <row r="2431" spans="1:5" x14ac:dyDescent="0.25">
      <c r="A2431" t="str">
        <f>"838270343"</f>
        <v>838270343</v>
      </c>
      <c r="B2431" t="s">
        <v>2371</v>
      </c>
      <c r="C2431" s="1">
        <v>1266.29</v>
      </c>
      <c r="D2431" t="str">
        <f>"274"</f>
        <v>274</v>
      </c>
      <c r="E2431" t="str">
        <f>"L0472"</f>
        <v>L0472</v>
      </c>
    </row>
    <row r="2432" spans="1:5" x14ac:dyDescent="0.25">
      <c r="A2432" t="str">
        <f>"838270344"</f>
        <v>838270344</v>
      </c>
      <c r="B2432" t="s">
        <v>2372</v>
      </c>
      <c r="C2432" s="1">
        <v>3568.95</v>
      </c>
      <c r="D2432" t="str">
        <f>"270"</f>
        <v>270</v>
      </c>
      <c r="E2432" t="str">
        <f>"C1769"</f>
        <v>C1769</v>
      </c>
    </row>
    <row r="2433" spans="1:5" x14ac:dyDescent="0.25">
      <c r="A2433" t="str">
        <f>"838270345"</f>
        <v>838270345</v>
      </c>
      <c r="B2433" t="s">
        <v>2373</v>
      </c>
      <c r="C2433">
        <v>315.11</v>
      </c>
      <c r="D2433" t="str">
        <f>"274"</f>
        <v>274</v>
      </c>
      <c r="E2433" t="str">
        <f>"L8501"</f>
        <v>L8501</v>
      </c>
    </row>
    <row r="2434" spans="1:5" x14ac:dyDescent="0.25">
      <c r="A2434" t="str">
        <f>"838270346"</f>
        <v>838270346</v>
      </c>
      <c r="B2434" t="s">
        <v>2374</v>
      </c>
      <c r="C2434">
        <v>55.96</v>
      </c>
      <c r="D2434" t="str">
        <f>"270"</f>
        <v>270</v>
      </c>
    </row>
    <row r="2435" spans="1:5" x14ac:dyDescent="0.25">
      <c r="A2435" t="str">
        <f>"838270347"</f>
        <v>838270347</v>
      </c>
      <c r="B2435" t="s">
        <v>2375</v>
      </c>
      <c r="C2435">
        <v>55.96</v>
      </c>
      <c r="D2435" t="str">
        <f>"278"</f>
        <v>278</v>
      </c>
    </row>
    <row r="2436" spans="1:5" x14ac:dyDescent="0.25">
      <c r="A2436" t="str">
        <f>"838270348"</f>
        <v>838270348</v>
      </c>
      <c r="B2436" t="s">
        <v>2376</v>
      </c>
      <c r="C2436">
        <v>64.209999999999994</v>
      </c>
      <c r="D2436" t="str">
        <f>"250"</f>
        <v>250</v>
      </c>
    </row>
    <row r="2437" spans="1:5" x14ac:dyDescent="0.25">
      <c r="A2437" t="str">
        <f>"838270349"</f>
        <v>838270349</v>
      </c>
      <c r="B2437" t="s">
        <v>2377</v>
      </c>
      <c r="C2437">
        <v>10.99</v>
      </c>
      <c r="D2437" t="str">
        <f>"272"</f>
        <v>272</v>
      </c>
    </row>
    <row r="2438" spans="1:5" x14ac:dyDescent="0.25">
      <c r="A2438" t="str">
        <f>"838270350"</f>
        <v>838270350</v>
      </c>
      <c r="B2438" t="s">
        <v>2378</v>
      </c>
      <c r="C2438">
        <v>519.75</v>
      </c>
      <c r="D2438" t="str">
        <f>"270"</f>
        <v>270</v>
      </c>
      <c r="E2438" t="str">
        <f>"C1751"</f>
        <v>C1751</v>
      </c>
    </row>
    <row r="2439" spans="1:5" x14ac:dyDescent="0.25">
      <c r="A2439" t="str">
        <f>"838270351"</f>
        <v>838270351</v>
      </c>
      <c r="B2439" t="s">
        <v>2379</v>
      </c>
      <c r="C2439" s="1">
        <v>1628</v>
      </c>
      <c r="D2439" t="str">
        <f>"270"</f>
        <v>270</v>
      </c>
    </row>
    <row r="2440" spans="1:5" x14ac:dyDescent="0.25">
      <c r="A2440" t="str">
        <f>"838270352"</f>
        <v>838270352</v>
      </c>
      <c r="B2440" t="s">
        <v>2380</v>
      </c>
      <c r="C2440">
        <v>215.59</v>
      </c>
      <c r="D2440" t="str">
        <f>"274"</f>
        <v>274</v>
      </c>
      <c r="E2440" t="str">
        <f>"L4360"</f>
        <v>L4360</v>
      </c>
    </row>
    <row r="2441" spans="1:5" x14ac:dyDescent="0.25">
      <c r="A2441" t="str">
        <f>"838270355"</f>
        <v>838270355</v>
      </c>
      <c r="B2441" t="s">
        <v>2381</v>
      </c>
      <c r="C2441" s="1">
        <v>3260.4</v>
      </c>
      <c r="D2441" t="str">
        <f>"272"</f>
        <v>272</v>
      </c>
    </row>
    <row r="2442" spans="1:5" x14ac:dyDescent="0.25">
      <c r="A2442" t="str">
        <f>"838270356"</f>
        <v>838270356</v>
      </c>
      <c r="B2442" t="s">
        <v>2382</v>
      </c>
      <c r="C2442">
        <v>779.63</v>
      </c>
      <c r="D2442" t="str">
        <f>"272"</f>
        <v>272</v>
      </c>
    </row>
    <row r="2443" spans="1:5" x14ac:dyDescent="0.25">
      <c r="A2443" t="str">
        <f>"838270357"</f>
        <v>838270357</v>
      </c>
      <c r="B2443" t="s">
        <v>2383</v>
      </c>
      <c r="C2443">
        <v>779.63</v>
      </c>
      <c r="D2443" t="str">
        <f>"272"</f>
        <v>272</v>
      </c>
    </row>
    <row r="2444" spans="1:5" x14ac:dyDescent="0.25">
      <c r="A2444" t="str">
        <f>"838270358"</f>
        <v>838270358</v>
      </c>
      <c r="B2444" t="s">
        <v>2384</v>
      </c>
      <c r="C2444">
        <v>779.63</v>
      </c>
      <c r="D2444" t="str">
        <f>"272"</f>
        <v>272</v>
      </c>
    </row>
    <row r="2445" spans="1:5" x14ac:dyDescent="0.25">
      <c r="A2445" t="str">
        <f>"838270359"</f>
        <v>838270359</v>
      </c>
      <c r="B2445" t="s">
        <v>2385</v>
      </c>
      <c r="C2445" s="1">
        <v>1946.99</v>
      </c>
      <c r="D2445" t="str">
        <f>"278"</f>
        <v>278</v>
      </c>
    </row>
    <row r="2446" spans="1:5" x14ac:dyDescent="0.25">
      <c r="A2446" t="str">
        <f>"838270360"</f>
        <v>838270360</v>
      </c>
      <c r="B2446" t="s">
        <v>2386</v>
      </c>
      <c r="C2446" s="1">
        <v>1122.6600000000001</v>
      </c>
      <c r="D2446" t="str">
        <f>"278"</f>
        <v>278</v>
      </c>
    </row>
    <row r="2447" spans="1:5" x14ac:dyDescent="0.25">
      <c r="A2447" t="str">
        <f>"838270361"</f>
        <v>838270361</v>
      </c>
      <c r="B2447" t="s">
        <v>2387</v>
      </c>
      <c r="C2447">
        <v>942.48</v>
      </c>
      <c r="D2447" t="str">
        <f>"272"</f>
        <v>272</v>
      </c>
    </row>
    <row r="2448" spans="1:5" x14ac:dyDescent="0.25">
      <c r="A2448" t="str">
        <f>"838270362"</f>
        <v>838270362</v>
      </c>
      <c r="B2448" t="s">
        <v>2388</v>
      </c>
      <c r="C2448">
        <v>987.53</v>
      </c>
      <c r="D2448" t="str">
        <f>"270"</f>
        <v>270</v>
      </c>
    </row>
    <row r="2449" spans="1:5" x14ac:dyDescent="0.25">
      <c r="A2449" t="str">
        <f>"838270363"</f>
        <v>838270363</v>
      </c>
      <c r="B2449" t="s">
        <v>2389</v>
      </c>
      <c r="C2449">
        <v>987.53</v>
      </c>
      <c r="D2449" t="str">
        <f>"270"</f>
        <v>270</v>
      </c>
    </row>
    <row r="2450" spans="1:5" x14ac:dyDescent="0.25">
      <c r="A2450" t="str">
        <f>"838270364"</f>
        <v>838270364</v>
      </c>
      <c r="B2450" t="s">
        <v>2390</v>
      </c>
      <c r="C2450">
        <v>22</v>
      </c>
      <c r="D2450" t="str">
        <f>"272"</f>
        <v>272</v>
      </c>
    </row>
    <row r="2451" spans="1:5" x14ac:dyDescent="0.25">
      <c r="A2451" t="str">
        <f>"838270365"</f>
        <v>838270365</v>
      </c>
      <c r="B2451" t="s">
        <v>2391</v>
      </c>
      <c r="C2451">
        <v>173.25</v>
      </c>
      <c r="D2451" t="str">
        <f>"272"</f>
        <v>272</v>
      </c>
    </row>
    <row r="2452" spans="1:5" x14ac:dyDescent="0.25">
      <c r="A2452" t="str">
        <f>"838270366"</f>
        <v>838270366</v>
      </c>
      <c r="B2452" t="s">
        <v>2392</v>
      </c>
      <c r="C2452">
        <v>311.85000000000002</v>
      </c>
      <c r="D2452" t="str">
        <f>"272"</f>
        <v>272</v>
      </c>
    </row>
    <row r="2453" spans="1:5" x14ac:dyDescent="0.25">
      <c r="A2453" t="str">
        <f>"838270367"</f>
        <v>838270367</v>
      </c>
      <c r="B2453" t="s">
        <v>2393</v>
      </c>
      <c r="C2453">
        <v>762.3</v>
      </c>
      <c r="D2453" t="str">
        <f>"272"</f>
        <v>272</v>
      </c>
    </row>
    <row r="2454" spans="1:5" x14ac:dyDescent="0.25">
      <c r="A2454" t="str">
        <f>"838270368"</f>
        <v>838270368</v>
      </c>
      <c r="B2454" t="s">
        <v>2394</v>
      </c>
      <c r="C2454">
        <v>136.83000000000001</v>
      </c>
      <c r="D2454" t="str">
        <f>"312"</f>
        <v>312</v>
      </c>
      <c r="E2454" t="str">
        <f>"L0172"</f>
        <v>L0172</v>
      </c>
    </row>
    <row r="2455" spans="1:5" x14ac:dyDescent="0.25">
      <c r="A2455" t="str">
        <f>"838270369"</f>
        <v>838270369</v>
      </c>
      <c r="B2455" t="s">
        <v>2395</v>
      </c>
      <c r="C2455">
        <v>22</v>
      </c>
      <c r="D2455" t="str">
        <f>"270"</f>
        <v>270</v>
      </c>
    </row>
    <row r="2456" spans="1:5" x14ac:dyDescent="0.25">
      <c r="A2456" t="str">
        <f>"838270370"</f>
        <v>838270370</v>
      </c>
      <c r="B2456" t="s">
        <v>2396</v>
      </c>
      <c r="C2456">
        <v>760.22</v>
      </c>
      <c r="D2456" t="str">
        <f>"272"</f>
        <v>272</v>
      </c>
    </row>
    <row r="2457" spans="1:5" x14ac:dyDescent="0.25">
      <c r="A2457" t="str">
        <f>"838270371"</f>
        <v>838270371</v>
      </c>
      <c r="B2457" t="s">
        <v>2397</v>
      </c>
      <c r="C2457">
        <v>866.25</v>
      </c>
      <c r="D2457" t="str">
        <f>"270"</f>
        <v>270</v>
      </c>
    </row>
    <row r="2458" spans="1:5" x14ac:dyDescent="0.25">
      <c r="A2458" t="str">
        <f>"838270372"</f>
        <v>838270372</v>
      </c>
      <c r="B2458" t="s">
        <v>2398</v>
      </c>
      <c r="C2458">
        <v>935.55</v>
      </c>
      <c r="D2458" t="str">
        <f>"270"</f>
        <v>270</v>
      </c>
    </row>
    <row r="2459" spans="1:5" x14ac:dyDescent="0.25">
      <c r="A2459" t="str">
        <f>"838270373"</f>
        <v>838270373</v>
      </c>
      <c r="B2459" t="s">
        <v>2399</v>
      </c>
      <c r="C2459" s="1">
        <v>3898.13</v>
      </c>
      <c r="D2459" t="str">
        <f>"272"</f>
        <v>272</v>
      </c>
      <c r="E2459" t="str">
        <f>"C1726"</f>
        <v>C1726</v>
      </c>
    </row>
    <row r="2460" spans="1:5" x14ac:dyDescent="0.25">
      <c r="A2460" t="str">
        <f>"838270374"</f>
        <v>838270374</v>
      </c>
      <c r="B2460" t="s">
        <v>2400</v>
      </c>
      <c r="C2460">
        <v>498.96</v>
      </c>
      <c r="D2460" t="str">
        <f>"272"</f>
        <v>272</v>
      </c>
      <c r="E2460" t="str">
        <f>"C1769"</f>
        <v>C1769</v>
      </c>
    </row>
    <row r="2461" spans="1:5" x14ac:dyDescent="0.25">
      <c r="A2461" t="str">
        <f>"838270375"</f>
        <v>838270375</v>
      </c>
      <c r="B2461" t="s">
        <v>2401</v>
      </c>
      <c r="C2461">
        <v>16.5</v>
      </c>
      <c r="D2461" t="str">
        <f>"270"</f>
        <v>270</v>
      </c>
      <c r="E2461" t="str">
        <f>"A5061"</f>
        <v>A5061</v>
      </c>
    </row>
    <row r="2462" spans="1:5" x14ac:dyDescent="0.25">
      <c r="A2462" t="str">
        <f>"838270376"</f>
        <v>838270376</v>
      </c>
      <c r="B2462" t="s">
        <v>2402</v>
      </c>
      <c r="C2462">
        <v>59.4</v>
      </c>
      <c r="D2462" t="str">
        <f>"270"</f>
        <v>270</v>
      </c>
    </row>
    <row r="2463" spans="1:5" x14ac:dyDescent="0.25">
      <c r="A2463" t="str">
        <f>"838270377"</f>
        <v>838270377</v>
      </c>
      <c r="B2463" t="s">
        <v>2403</v>
      </c>
      <c r="C2463">
        <v>39.270000000000003</v>
      </c>
      <c r="D2463" t="str">
        <f>"271"</f>
        <v>271</v>
      </c>
    </row>
    <row r="2464" spans="1:5" x14ac:dyDescent="0.25">
      <c r="A2464" t="str">
        <f>"838270378"</f>
        <v>838270378</v>
      </c>
      <c r="B2464" t="s">
        <v>2404</v>
      </c>
      <c r="C2464">
        <v>315.32</v>
      </c>
      <c r="D2464" t="str">
        <f>"272"</f>
        <v>272</v>
      </c>
    </row>
    <row r="2465" spans="1:5" x14ac:dyDescent="0.25">
      <c r="A2465" t="str">
        <f>"838270379"</f>
        <v>838270379</v>
      </c>
      <c r="B2465" t="s">
        <v>2405</v>
      </c>
      <c r="C2465">
        <v>113.19</v>
      </c>
      <c r="D2465" t="str">
        <f>"272"</f>
        <v>272</v>
      </c>
    </row>
    <row r="2466" spans="1:5" x14ac:dyDescent="0.25">
      <c r="A2466" t="str">
        <f>"838270380"</f>
        <v>838270380</v>
      </c>
      <c r="B2466" t="s">
        <v>2406</v>
      </c>
      <c r="C2466">
        <v>113.19</v>
      </c>
      <c r="D2466" t="str">
        <f>"272"</f>
        <v>272</v>
      </c>
    </row>
    <row r="2467" spans="1:5" x14ac:dyDescent="0.25">
      <c r="A2467" t="str">
        <f>"838270381"</f>
        <v>838270381</v>
      </c>
      <c r="B2467" t="s">
        <v>2407</v>
      </c>
      <c r="C2467">
        <v>165</v>
      </c>
      <c r="D2467" t="str">
        <f>"272"</f>
        <v>272</v>
      </c>
    </row>
    <row r="2468" spans="1:5" x14ac:dyDescent="0.25">
      <c r="A2468" t="str">
        <f>"838270382"</f>
        <v>838270382</v>
      </c>
      <c r="B2468" t="s">
        <v>2408</v>
      </c>
      <c r="C2468">
        <v>533.61</v>
      </c>
      <c r="D2468" t="str">
        <f>"278"</f>
        <v>278</v>
      </c>
      <c r="E2468" t="str">
        <f>"C1750"</f>
        <v>C1750</v>
      </c>
    </row>
    <row r="2469" spans="1:5" x14ac:dyDescent="0.25">
      <c r="A2469" t="str">
        <f>"838270383"</f>
        <v>838270383</v>
      </c>
      <c r="B2469" t="s">
        <v>2409</v>
      </c>
      <c r="C2469">
        <v>565.95000000000005</v>
      </c>
      <c r="D2469" t="str">
        <f>"278"</f>
        <v>278</v>
      </c>
      <c r="E2469" t="str">
        <f>"C1750"</f>
        <v>C1750</v>
      </c>
    </row>
    <row r="2470" spans="1:5" x14ac:dyDescent="0.25">
      <c r="A2470" t="str">
        <f>"838270384"</f>
        <v>838270384</v>
      </c>
      <c r="B2470" t="s">
        <v>2410</v>
      </c>
      <c r="C2470">
        <v>51.98</v>
      </c>
      <c r="D2470" t="str">
        <f>"270"</f>
        <v>270</v>
      </c>
    </row>
    <row r="2471" spans="1:5" x14ac:dyDescent="0.25">
      <c r="A2471" t="str">
        <f>"838270385"</f>
        <v>838270385</v>
      </c>
      <c r="B2471" t="s">
        <v>2411</v>
      </c>
      <c r="C2471">
        <v>20.79</v>
      </c>
      <c r="D2471" t="str">
        <f t="shared" ref="D2471:D2476" si="108">"272"</f>
        <v>272</v>
      </c>
    </row>
    <row r="2472" spans="1:5" x14ac:dyDescent="0.25">
      <c r="A2472" t="str">
        <f>"838270386"</f>
        <v>838270386</v>
      </c>
      <c r="B2472" t="s">
        <v>2412</v>
      </c>
      <c r="C2472">
        <v>307.23</v>
      </c>
      <c r="D2472" t="str">
        <f t="shared" si="108"/>
        <v>272</v>
      </c>
      <c r="E2472" t="str">
        <f>"C1769"</f>
        <v>C1769</v>
      </c>
    </row>
    <row r="2473" spans="1:5" x14ac:dyDescent="0.25">
      <c r="A2473" t="str">
        <f>"838270387"</f>
        <v>838270387</v>
      </c>
      <c r="B2473" t="s">
        <v>2413</v>
      </c>
      <c r="C2473">
        <v>307.23</v>
      </c>
      <c r="D2473" t="str">
        <f t="shared" si="108"/>
        <v>272</v>
      </c>
      <c r="E2473" t="str">
        <f>"C1769"</f>
        <v>C1769</v>
      </c>
    </row>
    <row r="2474" spans="1:5" x14ac:dyDescent="0.25">
      <c r="A2474" t="str">
        <f>"838270388"</f>
        <v>838270388</v>
      </c>
      <c r="B2474" t="s">
        <v>2414</v>
      </c>
      <c r="C2474">
        <v>315.32</v>
      </c>
      <c r="D2474" t="str">
        <f t="shared" si="108"/>
        <v>272</v>
      </c>
      <c r="E2474" t="str">
        <f>"C1887"</f>
        <v>C1887</v>
      </c>
    </row>
    <row r="2475" spans="1:5" x14ac:dyDescent="0.25">
      <c r="A2475" t="str">
        <f>"838270389"</f>
        <v>838270389</v>
      </c>
      <c r="B2475" t="s">
        <v>2415</v>
      </c>
      <c r="C2475">
        <v>315.32</v>
      </c>
      <c r="D2475" t="str">
        <f t="shared" si="108"/>
        <v>272</v>
      </c>
      <c r="E2475" t="str">
        <f>"C1887"</f>
        <v>C1887</v>
      </c>
    </row>
    <row r="2476" spans="1:5" x14ac:dyDescent="0.25">
      <c r="A2476" t="str">
        <f>"838270390"</f>
        <v>838270390</v>
      </c>
      <c r="B2476" t="s">
        <v>2416</v>
      </c>
      <c r="C2476">
        <v>315.32</v>
      </c>
      <c r="D2476" t="str">
        <f t="shared" si="108"/>
        <v>272</v>
      </c>
      <c r="E2476" t="str">
        <f>"C1887"</f>
        <v>C1887</v>
      </c>
    </row>
    <row r="2477" spans="1:5" x14ac:dyDescent="0.25">
      <c r="A2477" t="str">
        <f>"838270391"</f>
        <v>838270391</v>
      </c>
      <c r="B2477" t="s">
        <v>2417</v>
      </c>
      <c r="C2477" s="1">
        <v>1939.25</v>
      </c>
      <c r="D2477" t="str">
        <f>"278"</f>
        <v>278</v>
      </c>
      <c r="E2477" t="str">
        <f>"C1880"</f>
        <v>C1880</v>
      </c>
    </row>
    <row r="2478" spans="1:5" x14ac:dyDescent="0.25">
      <c r="A2478" t="str">
        <f>"838270392"</f>
        <v>838270392</v>
      </c>
      <c r="B2478" t="s">
        <v>2418</v>
      </c>
      <c r="C2478" s="1">
        <v>1939.25</v>
      </c>
      <c r="D2478" t="str">
        <f>"278"</f>
        <v>278</v>
      </c>
      <c r="E2478" t="str">
        <f>"C1880"</f>
        <v>C1880</v>
      </c>
    </row>
    <row r="2479" spans="1:5" x14ac:dyDescent="0.25">
      <c r="A2479" t="str">
        <f>"838270393"</f>
        <v>838270393</v>
      </c>
      <c r="B2479" t="s">
        <v>2419</v>
      </c>
      <c r="C2479">
        <v>987.53</v>
      </c>
      <c r="D2479" t="str">
        <f>"278"</f>
        <v>278</v>
      </c>
      <c r="E2479" t="str">
        <f>"C1788"</f>
        <v>C1788</v>
      </c>
    </row>
    <row r="2480" spans="1:5" x14ac:dyDescent="0.25">
      <c r="A2480" t="str">
        <f>"838270394"</f>
        <v>838270394</v>
      </c>
      <c r="B2480" t="s">
        <v>2420</v>
      </c>
      <c r="C2480">
        <v>979.44</v>
      </c>
      <c r="D2480" t="str">
        <f t="shared" ref="D2480:D2493" si="109">"272"</f>
        <v>272</v>
      </c>
      <c r="E2480" t="str">
        <f>"C1751"</f>
        <v>C1751</v>
      </c>
    </row>
    <row r="2481" spans="1:5" x14ac:dyDescent="0.25">
      <c r="A2481" t="str">
        <f>"838270395"</f>
        <v>838270395</v>
      </c>
      <c r="B2481" t="s">
        <v>2421</v>
      </c>
      <c r="C2481">
        <v>962.12</v>
      </c>
      <c r="D2481" t="str">
        <f t="shared" si="109"/>
        <v>272</v>
      </c>
      <c r="E2481" t="str">
        <f>"C1751"</f>
        <v>C1751</v>
      </c>
    </row>
    <row r="2482" spans="1:5" x14ac:dyDescent="0.25">
      <c r="A2482" t="str">
        <f>"838270396"</f>
        <v>838270396</v>
      </c>
      <c r="B2482" t="s">
        <v>2422</v>
      </c>
      <c r="C2482">
        <v>464.31</v>
      </c>
      <c r="D2482" t="str">
        <f t="shared" si="109"/>
        <v>272</v>
      </c>
      <c r="E2482" t="str">
        <f>"C1751"</f>
        <v>C1751</v>
      </c>
    </row>
    <row r="2483" spans="1:5" x14ac:dyDescent="0.25">
      <c r="A2483" t="str">
        <f>"838270397"</f>
        <v>838270397</v>
      </c>
      <c r="B2483" t="s">
        <v>2423</v>
      </c>
      <c r="C2483">
        <v>5.08</v>
      </c>
      <c r="D2483" t="str">
        <f t="shared" si="109"/>
        <v>272</v>
      </c>
    </row>
    <row r="2484" spans="1:5" x14ac:dyDescent="0.25">
      <c r="A2484" t="str">
        <f>"838270398"</f>
        <v>838270398</v>
      </c>
      <c r="B2484" t="s">
        <v>2424</v>
      </c>
      <c r="C2484">
        <v>93.56</v>
      </c>
      <c r="D2484" t="str">
        <f t="shared" si="109"/>
        <v>272</v>
      </c>
      <c r="E2484" t="str">
        <f>"C1769"</f>
        <v>C1769</v>
      </c>
    </row>
    <row r="2485" spans="1:5" x14ac:dyDescent="0.25">
      <c r="A2485" t="str">
        <f>"838270399"</f>
        <v>838270399</v>
      </c>
      <c r="B2485" t="s">
        <v>2425</v>
      </c>
      <c r="C2485">
        <v>85.47</v>
      </c>
      <c r="D2485" t="str">
        <f t="shared" si="109"/>
        <v>272</v>
      </c>
      <c r="E2485" t="str">
        <f>"C1769"</f>
        <v>C1769</v>
      </c>
    </row>
    <row r="2486" spans="1:5" x14ac:dyDescent="0.25">
      <c r="A2486" t="str">
        <f>"838270400"</f>
        <v>838270400</v>
      </c>
      <c r="B2486" t="s">
        <v>2426</v>
      </c>
      <c r="C2486">
        <v>194.04</v>
      </c>
      <c r="D2486" t="str">
        <f t="shared" si="109"/>
        <v>272</v>
      </c>
      <c r="E2486" t="str">
        <f>"C1752"</f>
        <v>C1752</v>
      </c>
    </row>
    <row r="2487" spans="1:5" x14ac:dyDescent="0.25">
      <c r="A2487" t="str">
        <f>"838270401"</f>
        <v>838270401</v>
      </c>
      <c r="B2487" t="s">
        <v>2427</v>
      </c>
      <c r="C2487">
        <v>194.04</v>
      </c>
      <c r="D2487" t="str">
        <f t="shared" si="109"/>
        <v>272</v>
      </c>
      <c r="E2487" t="str">
        <f>"C1752"</f>
        <v>C1752</v>
      </c>
    </row>
    <row r="2488" spans="1:5" x14ac:dyDescent="0.25">
      <c r="A2488" t="str">
        <f>"838270402"</f>
        <v>838270402</v>
      </c>
      <c r="B2488" t="s">
        <v>2428</v>
      </c>
      <c r="C2488">
        <v>194.04</v>
      </c>
      <c r="D2488" t="str">
        <f t="shared" si="109"/>
        <v>272</v>
      </c>
      <c r="E2488" t="str">
        <f>"C1752"</f>
        <v>C1752</v>
      </c>
    </row>
    <row r="2489" spans="1:5" x14ac:dyDescent="0.25">
      <c r="A2489" t="str">
        <f>"838270403"</f>
        <v>838270403</v>
      </c>
      <c r="B2489" t="s">
        <v>2429</v>
      </c>
      <c r="C2489">
        <v>33.5</v>
      </c>
      <c r="D2489" t="str">
        <f t="shared" si="109"/>
        <v>272</v>
      </c>
    </row>
    <row r="2490" spans="1:5" x14ac:dyDescent="0.25">
      <c r="A2490" t="str">
        <f>"838270405"</f>
        <v>838270405</v>
      </c>
      <c r="B2490" t="s">
        <v>2430</v>
      </c>
      <c r="C2490">
        <v>20.100000000000001</v>
      </c>
      <c r="D2490" t="str">
        <f t="shared" si="109"/>
        <v>272</v>
      </c>
    </row>
    <row r="2491" spans="1:5" x14ac:dyDescent="0.25">
      <c r="A2491" t="str">
        <f>"838270406"</f>
        <v>838270406</v>
      </c>
      <c r="B2491" t="s">
        <v>2431</v>
      </c>
      <c r="C2491">
        <v>25.42</v>
      </c>
      <c r="D2491" t="str">
        <f t="shared" si="109"/>
        <v>272</v>
      </c>
    </row>
    <row r="2492" spans="1:5" x14ac:dyDescent="0.25">
      <c r="A2492" t="str">
        <f>"838270407"</f>
        <v>838270407</v>
      </c>
      <c r="B2492" t="s">
        <v>2432</v>
      </c>
      <c r="C2492">
        <v>25.42</v>
      </c>
      <c r="D2492" t="str">
        <f t="shared" si="109"/>
        <v>272</v>
      </c>
    </row>
    <row r="2493" spans="1:5" x14ac:dyDescent="0.25">
      <c r="A2493" t="str">
        <f>"838270408"</f>
        <v>838270408</v>
      </c>
      <c r="B2493" t="s">
        <v>2433</v>
      </c>
      <c r="C2493">
        <v>987.53</v>
      </c>
      <c r="D2493" t="str">
        <f t="shared" si="109"/>
        <v>272</v>
      </c>
    </row>
    <row r="2494" spans="1:5" x14ac:dyDescent="0.25">
      <c r="A2494" t="str">
        <f>"838270409"</f>
        <v>838270409</v>
      </c>
      <c r="B2494" t="s">
        <v>2434</v>
      </c>
      <c r="C2494" s="1">
        <v>3080</v>
      </c>
      <c r="D2494" t="str">
        <f>"270"</f>
        <v>270</v>
      </c>
    </row>
    <row r="2495" spans="1:5" x14ac:dyDescent="0.25">
      <c r="A2495" t="str">
        <f>"838270410"</f>
        <v>838270410</v>
      </c>
      <c r="B2495" t="s">
        <v>2435</v>
      </c>
      <c r="C2495">
        <v>198</v>
      </c>
      <c r="D2495" t="str">
        <f>"270"</f>
        <v>270</v>
      </c>
    </row>
    <row r="2496" spans="1:5" x14ac:dyDescent="0.25">
      <c r="A2496" t="str">
        <f>"838270411"</f>
        <v>838270411</v>
      </c>
      <c r="B2496" t="s">
        <v>2436</v>
      </c>
      <c r="C2496">
        <v>623.39</v>
      </c>
      <c r="D2496" t="str">
        <f>"272"</f>
        <v>272</v>
      </c>
    </row>
    <row r="2497" spans="1:5" x14ac:dyDescent="0.25">
      <c r="A2497" t="str">
        <f>"838270412"</f>
        <v>838270412</v>
      </c>
      <c r="B2497" t="s">
        <v>2437</v>
      </c>
      <c r="C2497" s="1">
        <v>1011.78</v>
      </c>
      <c r="D2497" t="str">
        <f>"272"</f>
        <v>272</v>
      </c>
      <c r="E2497" t="str">
        <f>"C1769"</f>
        <v>C1769</v>
      </c>
    </row>
    <row r="2498" spans="1:5" x14ac:dyDescent="0.25">
      <c r="A2498" t="str">
        <f>"838270413"</f>
        <v>838270413</v>
      </c>
      <c r="B2498" t="s">
        <v>2438</v>
      </c>
      <c r="C2498">
        <v>779.63</v>
      </c>
      <c r="D2498" t="str">
        <f>"272"</f>
        <v>272</v>
      </c>
    </row>
    <row r="2499" spans="1:5" x14ac:dyDescent="0.25">
      <c r="A2499" t="str">
        <f>"838270414"</f>
        <v>838270414</v>
      </c>
      <c r="B2499" t="s">
        <v>2439</v>
      </c>
      <c r="C2499">
        <v>155.93</v>
      </c>
      <c r="D2499" t="str">
        <f>"272"</f>
        <v>272</v>
      </c>
    </row>
    <row r="2500" spans="1:5" x14ac:dyDescent="0.25">
      <c r="A2500" t="str">
        <f>"838270415"</f>
        <v>838270415</v>
      </c>
      <c r="B2500" t="s">
        <v>2440</v>
      </c>
      <c r="C2500">
        <v>121.28</v>
      </c>
      <c r="D2500" t="str">
        <f>"272"</f>
        <v>272</v>
      </c>
    </row>
    <row r="2501" spans="1:5" x14ac:dyDescent="0.25">
      <c r="A2501" t="str">
        <f>"838270416"</f>
        <v>838270416</v>
      </c>
      <c r="B2501" t="s">
        <v>2441</v>
      </c>
      <c r="C2501" s="1">
        <v>1508.14</v>
      </c>
      <c r="D2501" t="str">
        <f>"278"</f>
        <v>278</v>
      </c>
      <c r="E2501" t="str">
        <f>"C1768"</f>
        <v>C1768</v>
      </c>
    </row>
    <row r="2502" spans="1:5" x14ac:dyDescent="0.25">
      <c r="A2502" t="str">
        <f>"838270417"</f>
        <v>838270417</v>
      </c>
      <c r="B2502" t="s">
        <v>2442</v>
      </c>
      <c r="C2502">
        <v>44.87</v>
      </c>
      <c r="D2502" t="str">
        <f>"301"</f>
        <v>301</v>
      </c>
    </row>
    <row r="2503" spans="1:5" x14ac:dyDescent="0.25">
      <c r="A2503" t="str">
        <f>"838270418"</f>
        <v>838270418</v>
      </c>
      <c r="B2503" t="s">
        <v>2443</v>
      </c>
      <c r="C2503">
        <v>968.47</v>
      </c>
      <c r="D2503" t="str">
        <f>"272"</f>
        <v>272</v>
      </c>
    </row>
    <row r="2504" spans="1:5" x14ac:dyDescent="0.25">
      <c r="A2504" t="str">
        <f>"838270419"</f>
        <v>838270419</v>
      </c>
      <c r="B2504" t="s">
        <v>2444</v>
      </c>
      <c r="C2504">
        <v>72.94</v>
      </c>
      <c r="D2504" t="str">
        <f>"270"</f>
        <v>270</v>
      </c>
    </row>
    <row r="2505" spans="1:5" x14ac:dyDescent="0.25">
      <c r="A2505" t="str">
        <f>"838270420"</f>
        <v>838270420</v>
      </c>
      <c r="B2505" t="s">
        <v>2445</v>
      </c>
      <c r="C2505">
        <v>653.5</v>
      </c>
      <c r="D2505" t="str">
        <f>"272"</f>
        <v>272</v>
      </c>
    </row>
    <row r="2506" spans="1:5" x14ac:dyDescent="0.25">
      <c r="A2506" t="str">
        <f>"838270421"</f>
        <v>838270421</v>
      </c>
      <c r="B2506" t="s">
        <v>2446</v>
      </c>
      <c r="C2506">
        <v>137.35</v>
      </c>
      <c r="D2506" t="str">
        <f>"270"</f>
        <v>270</v>
      </c>
    </row>
    <row r="2507" spans="1:5" x14ac:dyDescent="0.25">
      <c r="A2507" t="str">
        <f>"838270423"</f>
        <v>838270423</v>
      </c>
      <c r="B2507" t="s">
        <v>2447</v>
      </c>
      <c r="C2507">
        <v>343.05</v>
      </c>
      <c r="D2507" t="str">
        <f>"270"</f>
        <v>270</v>
      </c>
    </row>
    <row r="2508" spans="1:5" x14ac:dyDescent="0.25">
      <c r="A2508" t="str">
        <f>"838270424"</f>
        <v>838270424</v>
      </c>
      <c r="B2508" t="s">
        <v>2448</v>
      </c>
      <c r="C2508">
        <v>68.819999999999993</v>
      </c>
      <c r="D2508" t="str">
        <f>"270"</f>
        <v>270</v>
      </c>
    </row>
    <row r="2509" spans="1:5" x14ac:dyDescent="0.25">
      <c r="A2509" t="str">
        <f>"838270425"</f>
        <v>838270425</v>
      </c>
      <c r="B2509" t="s">
        <v>2449</v>
      </c>
      <c r="C2509">
        <v>346.5</v>
      </c>
      <c r="D2509" t="str">
        <f t="shared" ref="D2509:D2517" si="110">"272"</f>
        <v>272</v>
      </c>
    </row>
    <row r="2510" spans="1:5" x14ac:dyDescent="0.25">
      <c r="A2510" t="str">
        <f>"838270426"</f>
        <v>838270426</v>
      </c>
      <c r="B2510" t="s">
        <v>2450</v>
      </c>
      <c r="C2510" s="1">
        <v>1219.8599999999999</v>
      </c>
      <c r="D2510" t="str">
        <f t="shared" si="110"/>
        <v>272</v>
      </c>
    </row>
    <row r="2511" spans="1:5" x14ac:dyDescent="0.25">
      <c r="A2511" t="str">
        <f>"838270427"</f>
        <v>838270427</v>
      </c>
      <c r="B2511" t="s">
        <v>2451</v>
      </c>
      <c r="C2511">
        <v>364</v>
      </c>
      <c r="D2511" t="str">
        <f t="shared" si="110"/>
        <v>272</v>
      </c>
    </row>
    <row r="2512" spans="1:5" x14ac:dyDescent="0.25">
      <c r="A2512" t="str">
        <f>"838270428"</f>
        <v>838270428</v>
      </c>
      <c r="B2512" t="s">
        <v>2452</v>
      </c>
      <c r="C2512" s="1">
        <v>1832.12</v>
      </c>
      <c r="D2512" t="str">
        <f t="shared" si="110"/>
        <v>272</v>
      </c>
    </row>
    <row r="2513" spans="1:5" x14ac:dyDescent="0.25">
      <c r="A2513" t="str">
        <f>"838270429"</f>
        <v>838270429</v>
      </c>
      <c r="B2513" t="s">
        <v>2453</v>
      </c>
      <c r="C2513" s="1">
        <v>2946.69</v>
      </c>
      <c r="D2513" t="str">
        <f t="shared" si="110"/>
        <v>272</v>
      </c>
    </row>
    <row r="2514" spans="1:5" x14ac:dyDescent="0.25">
      <c r="A2514" t="str">
        <f>"838270430"</f>
        <v>838270430</v>
      </c>
      <c r="B2514" t="s">
        <v>2454</v>
      </c>
      <c r="C2514" s="1">
        <v>3105.51</v>
      </c>
      <c r="D2514" t="str">
        <f t="shared" si="110"/>
        <v>272</v>
      </c>
    </row>
    <row r="2515" spans="1:5" x14ac:dyDescent="0.25">
      <c r="A2515" t="str">
        <f>"838270431"</f>
        <v>838270431</v>
      </c>
      <c r="B2515" t="s">
        <v>2455</v>
      </c>
      <c r="C2515" s="1">
        <v>4220.08</v>
      </c>
      <c r="D2515" t="str">
        <f t="shared" si="110"/>
        <v>272</v>
      </c>
    </row>
    <row r="2516" spans="1:5" x14ac:dyDescent="0.25">
      <c r="A2516" t="str">
        <f>"838270432"</f>
        <v>838270432</v>
      </c>
      <c r="B2516" t="s">
        <v>2456</v>
      </c>
      <c r="C2516">
        <v>757.97</v>
      </c>
      <c r="D2516" t="str">
        <f t="shared" si="110"/>
        <v>272</v>
      </c>
    </row>
    <row r="2517" spans="1:5" x14ac:dyDescent="0.25">
      <c r="A2517" t="str">
        <f>"838270433"</f>
        <v>838270433</v>
      </c>
      <c r="B2517" t="s">
        <v>2457</v>
      </c>
      <c r="C2517" s="1">
        <v>1882.65</v>
      </c>
      <c r="D2517" t="str">
        <f t="shared" si="110"/>
        <v>272</v>
      </c>
    </row>
    <row r="2518" spans="1:5" x14ac:dyDescent="0.25">
      <c r="A2518" t="str">
        <f>"838270434"</f>
        <v>838270434</v>
      </c>
      <c r="B2518" t="s">
        <v>2458</v>
      </c>
      <c r="C2518" s="1">
        <v>1533.27</v>
      </c>
      <c r="D2518" t="str">
        <f>"278"</f>
        <v>278</v>
      </c>
      <c r="E2518" t="str">
        <f>"C1713"</f>
        <v>C1713</v>
      </c>
    </row>
    <row r="2519" spans="1:5" x14ac:dyDescent="0.25">
      <c r="A2519" t="str">
        <f>"838270435"</f>
        <v>838270435</v>
      </c>
      <c r="B2519" t="s">
        <v>2459</v>
      </c>
      <c r="C2519">
        <v>101.07</v>
      </c>
      <c r="D2519" t="str">
        <f>"278"</f>
        <v>278</v>
      </c>
      <c r="E2519" t="str">
        <f>"C1713"</f>
        <v>C1713</v>
      </c>
    </row>
    <row r="2520" spans="1:5" x14ac:dyDescent="0.25">
      <c r="A2520" t="str">
        <f>"838270436"</f>
        <v>838270436</v>
      </c>
      <c r="B2520" t="s">
        <v>2460</v>
      </c>
      <c r="C2520">
        <v>349.39</v>
      </c>
      <c r="D2520" t="str">
        <f>"272"</f>
        <v>272</v>
      </c>
    </row>
    <row r="2521" spans="1:5" x14ac:dyDescent="0.25">
      <c r="A2521" t="str">
        <f>"838270437"</f>
        <v>838270437</v>
      </c>
      <c r="B2521" t="s">
        <v>2461</v>
      </c>
      <c r="C2521">
        <v>896.57</v>
      </c>
      <c r="D2521" t="str">
        <f>"272"</f>
        <v>272</v>
      </c>
    </row>
    <row r="2522" spans="1:5" x14ac:dyDescent="0.25">
      <c r="A2522" t="str">
        <f>"838270438"</f>
        <v>838270438</v>
      </c>
      <c r="B2522" t="s">
        <v>2462</v>
      </c>
      <c r="C2522">
        <v>757.97</v>
      </c>
      <c r="D2522" t="str">
        <f>"270"</f>
        <v>270</v>
      </c>
    </row>
    <row r="2523" spans="1:5" x14ac:dyDescent="0.25">
      <c r="A2523" t="str">
        <f>"838270439"</f>
        <v>838270439</v>
      </c>
      <c r="B2523" t="s">
        <v>2463</v>
      </c>
      <c r="C2523" s="1">
        <v>1515.94</v>
      </c>
      <c r="D2523" t="str">
        <f>"270"</f>
        <v>270</v>
      </c>
    </row>
    <row r="2524" spans="1:5" x14ac:dyDescent="0.25">
      <c r="A2524" t="str">
        <f>"838270440"</f>
        <v>838270440</v>
      </c>
      <c r="B2524" t="s">
        <v>2464</v>
      </c>
      <c r="C2524" s="1">
        <v>4195.54</v>
      </c>
      <c r="D2524" t="str">
        <f>"270"</f>
        <v>270</v>
      </c>
    </row>
    <row r="2525" spans="1:5" x14ac:dyDescent="0.25">
      <c r="A2525" t="str">
        <f>"838270441"</f>
        <v>838270441</v>
      </c>
      <c r="B2525" t="s">
        <v>2465</v>
      </c>
      <c r="C2525" s="1">
        <v>3846.15</v>
      </c>
      <c r="D2525" t="str">
        <f>"270"</f>
        <v>270</v>
      </c>
    </row>
    <row r="2526" spans="1:5" x14ac:dyDescent="0.25">
      <c r="A2526" t="str">
        <f>"838270442"</f>
        <v>838270442</v>
      </c>
      <c r="B2526" t="s">
        <v>2466</v>
      </c>
      <c r="C2526" s="1">
        <v>2949.58</v>
      </c>
      <c r="D2526" t="str">
        <f>"270"</f>
        <v>270</v>
      </c>
    </row>
    <row r="2527" spans="1:5" x14ac:dyDescent="0.25">
      <c r="A2527" t="str">
        <f>"838270443"</f>
        <v>838270443</v>
      </c>
      <c r="B2527" t="s">
        <v>2467</v>
      </c>
      <c r="C2527" s="1">
        <v>2158.41</v>
      </c>
      <c r="D2527" t="str">
        <f t="shared" ref="D2527:D2544" si="111">"272"</f>
        <v>272</v>
      </c>
    </row>
    <row r="2528" spans="1:5" x14ac:dyDescent="0.25">
      <c r="A2528" t="str">
        <f>"838270444"</f>
        <v>838270444</v>
      </c>
      <c r="B2528" t="s">
        <v>2468</v>
      </c>
      <c r="C2528" s="1">
        <v>2659.39</v>
      </c>
      <c r="D2528" t="str">
        <f t="shared" si="111"/>
        <v>272</v>
      </c>
    </row>
    <row r="2529" spans="1:4" x14ac:dyDescent="0.25">
      <c r="A2529" t="str">
        <f>"838270445"</f>
        <v>838270445</v>
      </c>
      <c r="B2529" t="s">
        <v>2469</v>
      </c>
      <c r="C2529" s="1">
        <v>2659.39</v>
      </c>
      <c r="D2529" t="str">
        <f t="shared" si="111"/>
        <v>272</v>
      </c>
    </row>
    <row r="2530" spans="1:4" x14ac:dyDescent="0.25">
      <c r="A2530" t="str">
        <f>"838270446"</f>
        <v>838270446</v>
      </c>
      <c r="B2530" t="s">
        <v>2470</v>
      </c>
      <c r="C2530" s="1">
        <v>2659.39</v>
      </c>
      <c r="D2530" t="str">
        <f t="shared" si="111"/>
        <v>272</v>
      </c>
    </row>
    <row r="2531" spans="1:4" x14ac:dyDescent="0.25">
      <c r="A2531" t="str">
        <f>"838270447"</f>
        <v>838270447</v>
      </c>
      <c r="B2531" t="s">
        <v>2471</v>
      </c>
      <c r="C2531" s="1">
        <v>2659.39</v>
      </c>
      <c r="D2531" t="str">
        <f t="shared" si="111"/>
        <v>272</v>
      </c>
    </row>
    <row r="2532" spans="1:4" x14ac:dyDescent="0.25">
      <c r="A2532" t="str">
        <f>"838270448"</f>
        <v>838270448</v>
      </c>
      <c r="B2532" t="s">
        <v>2472</v>
      </c>
      <c r="C2532" s="1">
        <v>2777.78</v>
      </c>
      <c r="D2532" t="str">
        <f t="shared" si="111"/>
        <v>272</v>
      </c>
    </row>
    <row r="2533" spans="1:4" x14ac:dyDescent="0.25">
      <c r="A2533" t="str">
        <f>"838270449"</f>
        <v>838270449</v>
      </c>
      <c r="B2533" t="s">
        <v>2473</v>
      </c>
      <c r="C2533" s="1">
        <v>2777.78</v>
      </c>
      <c r="D2533" t="str">
        <f t="shared" si="111"/>
        <v>272</v>
      </c>
    </row>
    <row r="2534" spans="1:4" x14ac:dyDescent="0.25">
      <c r="A2534" t="str">
        <f>"838270450"</f>
        <v>838270450</v>
      </c>
      <c r="B2534" t="s">
        <v>2474</v>
      </c>
      <c r="C2534" s="1">
        <v>2936.59</v>
      </c>
      <c r="D2534" t="str">
        <f t="shared" si="111"/>
        <v>272</v>
      </c>
    </row>
    <row r="2535" spans="1:4" x14ac:dyDescent="0.25">
      <c r="A2535" t="str">
        <f>"838270451"</f>
        <v>838270451</v>
      </c>
      <c r="B2535" t="s">
        <v>2475</v>
      </c>
      <c r="C2535" s="1">
        <v>3665.68</v>
      </c>
      <c r="D2535" t="str">
        <f t="shared" si="111"/>
        <v>272</v>
      </c>
    </row>
    <row r="2536" spans="1:4" x14ac:dyDescent="0.25">
      <c r="A2536" t="str">
        <f>"838270452"</f>
        <v>838270452</v>
      </c>
      <c r="B2536" t="s">
        <v>2476</v>
      </c>
      <c r="C2536" s="1">
        <v>2158.41</v>
      </c>
      <c r="D2536" t="str">
        <f t="shared" si="111"/>
        <v>272</v>
      </c>
    </row>
    <row r="2537" spans="1:4" x14ac:dyDescent="0.25">
      <c r="A2537" t="str">
        <f>"838270453"</f>
        <v>838270453</v>
      </c>
      <c r="B2537" t="s">
        <v>2477</v>
      </c>
      <c r="C2537" s="1">
        <v>2659.39</v>
      </c>
      <c r="D2537" t="str">
        <f t="shared" si="111"/>
        <v>272</v>
      </c>
    </row>
    <row r="2538" spans="1:4" x14ac:dyDescent="0.25">
      <c r="A2538" t="str">
        <f>"838270454"</f>
        <v>838270454</v>
      </c>
      <c r="B2538" t="s">
        <v>2478</v>
      </c>
      <c r="C2538" s="1">
        <v>2659.39</v>
      </c>
      <c r="D2538" t="str">
        <f t="shared" si="111"/>
        <v>272</v>
      </c>
    </row>
    <row r="2539" spans="1:4" x14ac:dyDescent="0.25">
      <c r="A2539" t="str">
        <f>"838270455"</f>
        <v>838270455</v>
      </c>
      <c r="B2539" t="s">
        <v>2479</v>
      </c>
      <c r="C2539" s="1">
        <v>2659.39</v>
      </c>
      <c r="D2539" t="str">
        <f t="shared" si="111"/>
        <v>272</v>
      </c>
    </row>
    <row r="2540" spans="1:4" x14ac:dyDescent="0.25">
      <c r="A2540" t="str">
        <f>"838270456"</f>
        <v>838270456</v>
      </c>
      <c r="B2540" t="s">
        <v>2480</v>
      </c>
      <c r="C2540" s="1">
        <v>2659.39</v>
      </c>
      <c r="D2540" t="str">
        <f t="shared" si="111"/>
        <v>272</v>
      </c>
    </row>
    <row r="2541" spans="1:4" x14ac:dyDescent="0.25">
      <c r="A2541" t="str">
        <f>"838270457"</f>
        <v>838270457</v>
      </c>
      <c r="B2541" t="s">
        <v>2481</v>
      </c>
      <c r="C2541" s="1">
        <v>2777.78</v>
      </c>
      <c r="D2541" t="str">
        <f t="shared" si="111"/>
        <v>272</v>
      </c>
    </row>
    <row r="2542" spans="1:4" x14ac:dyDescent="0.25">
      <c r="A2542" t="str">
        <f>"838270458"</f>
        <v>838270458</v>
      </c>
      <c r="B2542" t="s">
        <v>2482</v>
      </c>
      <c r="C2542" s="1">
        <v>2777.78</v>
      </c>
      <c r="D2542" t="str">
        <f t="shared" si="111"/>
        <v>272</v>
      </c>
    </row>
    <row r="2543" spans="1:4" x14ac:dyDescent="0.25">
      <c r="A2543" t="str">
        <f>"838270459"</f>
        <v>838270459</v>
      </c>
      <c r="B2543" t="s">
        <v>2483</v>
      </c>
      <c r="C2543" s="1">
        <v>2936.59</v>
      </c>
      <c r="D2543" t="str">
        <f t="shared" si="111"/>
        <v>272</v>
      </c>
    </row>
    <row r="2544" spans="1:4" x14ac:dyDescent="0.25">
      <c r="A2544" t="str">
        <f>"838270460"</f>
        <v>838270460</v>
      </c>
      <c r="B2544" t="s">
        <v>2484</v>
      </c>
      <c r="C2544" s="1">
        <v>3665.68</v>
      </c>
      <c r="D2544" t="str">
        <f t="shared" si="111"/>
        <v>272</v>
      </c>
    </row>
    <row r="2545" spans="1:4" x14ac:dyDescent="0.25">
      <c r="A2545" t="str">
        <f>"838270461"</f>
        <v>838270461</v>
      </c>
      <c r="B2545" t="s">
        <v>2485</v>
      </c>
      <c r="C2545">
        <v>628.03</v>
      </c>
      <c r="D2545" t="str">
        <f>"270"</f>
        <v>270</v>
      </c>
    </row>
    <row r="2546" spans="1:4" x14ac:dyDescent="0.25">
      <c r="A2546" t="str">
        <f>"838270462"</f>
        <v>838270462</v>
      </c>
      <c r="B2546" t="s">
        <v>2486</v>
      </c>
      <c r="C2546">
        <v>628.03</v>
      </c>
      <c r="D2546" t="str">
        <f>"270"</f>
        <v>270</v>
      </c>
    </row>
    <row r="2547" spans="1:4" x14ac:dyDescent="0.25">
      <c r="A2547" t="str">
        <f>"838270463"</f>
        <v>838270463</v>
      </c>
      <c r="B2547" t="s">
        <v>2487</v>
      </c>
      <c r="C2547">
        <v>628.03</v>
      </c>
      <c r="D2547" t="str">
        <f t="shared" ref="D2547:D2552" si="112">"272"</f>
        <v>272</v>
      </c>
    </row>
    <row r="2548" spans="1:4" x14ac:dyDescent="0.25">
      <c r="A2548" t="str">
        <f>"838270464"</f>
        <v>838270464</v>
      </c>
      <c r="B2548" t="s">
        <v>2488</v>
      </c>
      <c r="C2548">
        <v>628.03</v>
      </c>
      <c r="D2548" t="str">
        <f t="shared" si="112"/>
        <v>272</v>
      </c>
    </row>
    <row r="2549" spans="1:4" x14ac:dyDescent="0.25">
      <c r="A2549" t="str">
        <f>"838270465"</f>
        <v>838270465</v>
      </c>
      <c r="B2549" t="s">
        <v>2489</v>
      </c>
      <c r="C2549">
        <v>776.74</v>
      </c>
      <c r="D2549" t="str">
        <f t="shared" si="112"/>
        <v>272</v>
      </c>
    </row>
    <row r="2550" spans="1:4" x14ac:dyDescent="0.25">
      <c r="A2550" t="str">
        <f>"838270466"</f>
        <v>838270466</v>
      </c>
      <c r="B2550" t="s">
        <v>2490</v>
      </c>
      <c r="C2550">
        <v>776.74</v>
      </c>
      <c r="D2550" t="str">
        <f t="shared" si="112"/>
        <v>272</v>
      </c>
    </row>
    <row r="2551" spans="1:4" x14ac:dyDescent="0.25">
      <c r="A2551" t="str">
        <f>"838270467"</f>
        <v>838270467</v>
      </c>
      <c r="B2551" t="s">
        <v>2491</v>
      </c>
      <c r="C2551">
        <v>150.15</v>
      </c>
      <c r="D2551" t="str">
        <f t="shared" si="112"/>
        <v>272</v>
      </c>
    </row>
    <row r="2552" spans="1:4" x14ac:dyDescent="0.25">
      <c r="A2552" t="str">
        <f>"838270468"</f>
        <v>838270468</v>
      </c>
      <c r="B2552" t="s">
        <v>2492</v>
      </c>
      <c r="C2552">
        <v>993.3</v>
      </c>
      <c r="D2552" t="str">
        <f t="shared" si="112"/>
        <v>272</v>
      </c>
    </row>
    <row r="2553" spans="1:4" x14ac:dyDescent="0.25">
      <c r="A2553" t="str">
        <f>"838270469"</f>
        <v>838270469</v>
      </c>
      <c r="B2553" t="s">
        <v>2493</v>
      </c>
      <c r="C2553">
        <v>661.24</v>
      </c>
      <c r="D2553" t="str">
        <f>"270"</f>
        <v>270</v>
      </c>
    </row>
    <row r="2554" spans="1:4" x14ac:dyDescent="0.25">
      <c r="A2554" t="str">
        <f>"838270470"</f>
        <v>838270470</v>
      </c>
      <c r="B2554" t="s">
        <v>2494</v>
      </c>
      <c r="C2554">
        <v>661.24</v>
      </c>
      <c r="D2554" t="str">
        <f>"270"</f>
        <v>270</v>
      </c>
    </row>
    <row r="2555" spans="1:4" x14ac:dyDescent="0.25">
      <c r="A2555" t="str">
        <f>"838270471"</f>
        <v>838270471</v>
      </c>
      <c r="B2555" t="s">
        <v>2495</v>
      </c>
      <c r="C2555">
        <v>319.07</v>
      </c>
      <c r="D2555" t="str">
        <f>"272"</f>
        <v>272</v>
      </c>
    </row>
    <row r="2556" spans="1:4" x14ac:dyDescent="0.25">
      <c r="A2556" t="str">
        <f>"838270472"</f>
        <v>838270472</v>
      </c>
      <c r="B2556" t="s">
        <v>2496</v>
      </c>
      <c r="C2556" s="1">
        <v>1508.72</v>
      </c>
      <c r="D2556" t="str">
        <f>"272"</f>
        <v>272</v>
      </c>
    </row>
    <row r="2557" spans="1:4" x14ac:dyDescent="0.25">
      <c r="A2557" t="str">
        <f>"838270473"</f>
        <v>838270473</v>
      </c>
      <c r="B2557" t="s">
        <v>2497</v>
      </c>
      <c r="C2557">
        <v>788.29</v>
      </c>
      <c r="D2557" t="str">
        <f>"272"</f>
        <v>272</v>
      </c>
    </row>
    <row r="2558" spans="1:4" x14ac:dyDescent="0.25">
      <c r="A2558" t="str">
        <f>"838270474"</f>
        <v>838270474</v>
      </c>
      <c r="B2558" t="s">
        <v>2498</v>
      </c>
      <c r="C2558" s="1">
        <v>2946.69</v>
      </c>
      <c r="D2558" t="str">
        <f>"270"</f>
        <v>270</v>
      </c>
    </row>
    <row r="2559" spans="1:4" x14ac:dyDescent="0.25">
      <c r="A2559" t="str">
        <f>"838270475"</f>
        <v>838270475</v>
      </c>
      <c r="B2559" t="s">
        <v>2499</v>
      </c>
      <c r="C2559" s="1">
        <v>2946.69</v>
      </c>
      <c r="D2559" t="str">
        <f t="shared" ref="D2559:D2583" si="113">"272"</f>
        <v>272</v>
      </c>
    </row>
    <row r="2560" spans="1:4" x14ac:dyDescent="0.25">
      <c r="A2560" t="str">
        <f>"838270476"</f>
        <v>838270476</v>
      </c>
      <c r="B2560" t="s">
        <v>2500</v>
      </c>
      <c r="C2560" s="1">
        <v>2158.41</v>
      </c>
      <c r="D2560" t="str">
        <f t="shared" si="113"/>
        <v>272</v>
      </c>
    </row>
    <row r="2561" spans="1:4" x14ac:dyDescent="0.25">
      <c r="A2561" t="str">
        <f>"838270477"</f>
        <v>838270477</v>
      </c>
      <c r="B2561" t="s">
        <v>2501</v>
      </c>
      <c r="C2561" s="1">
        <v>2946.69</v>
      </c>
      <c r="D2561" t="str">
        <f t="shared" si="113"/>
        <v>272</v>
      </c>
    </row>
    <row r="2562" spans="1:4" x14ac:dyDescent="0.25">
      <c r="A2562" t="str">
        <f>"838270478"</f>
        <v>838270478</v>
      </c>
      <c r="B2562" t="s">
        <v>2502</v>
      </c>
      <c r="C2562" s="1">
        <v>2946.69</v>
      </c>
      <c r="D2562" t="str">
        <f t="shared" si="113"/>
        <v>272</v>
      </c>
    </row>
    <row r="2563" spans="1:4" x14ac:dyDescent="0.25">
      <c r="A2563" t="str">
        <f>"838270479"</f>
        <v>838270479</v>
      </c>
      <c r="B2563" t="s">
        <v>2503</v>
      </c>
      <c r="C2563" s="1">
        <v>2786.44</v>
      </c>
      <c r="D2563" t="str">
        <f t="shared" si="113"/>
        <v>272</v>
      </c>
    </row>
    <row r="2564" spans="1:4" x14ac:dyDescent="0.25">
      <c r="A2564" t="str">
        <f>"838270480"</f>
        <v>838270480</v>
      </c>
      <c r="B2564" t="s">
        <v>2504</v>
      </c>
      <c r="C2564" s="1">
        <v>2786.44</v>
      </c>
      <c r="D2564" t="str">
        <f t="shared" si="113"/>
        <v>272</v>
      </c>
    </row>
    <row r="2565" spans="1:4" x14ac:dyDescent="0.25">
      <c r="A2565" t="str">
        <f>"838270481"</f>
        <v>838270481</v>
      </c>
      <c r="B2565" t="s">
        <v>2505</v>
      </c>
      <c r="C2565" s="1">
        <v>3414.47</v>
      </c>
      <c r="D2565" t="str">
        <f t="shared" si="113"/>
        <v>272</v>
      </c>
    </row>
    <row r="2566" spans="1:4" x14ac:dyDescent="0.25">
      <c r="A2566" t="str">
        <f>"838270482"</f>
        <v>838270482</v>
      </c>
      <c r="B2566" t="s">
        <v>2506</v>
      </c>
      <c r="C2566" s="1">
        <v>2777.78</v>
      </c>
      <c r="D2566" t="str">
        <f t="shared" si="113"/>
        <v>272</v>
      </c>
    </row>
    <row r="2567" spans="1:4" x14ac:dyDescent="0.25">
      <c r="A2567" t="str">
        <f>"838270483"</f>
        <v>838270483</v>
      </c>
      <c r="B2567" t="s">
        <v>2507</v>
      </c>
      <c r="C2567" s="1">
        <v>3665.68</v>
      </c>
      <c r="D2567" t="str">
        <f t="shared" si="113"/>
        <v>272</v>
      </c>
    </row>
    <row r="2568" spans="1:4" x14ac:dyDescent="0.25">
      <c r="A2568" t="str">
        <f>"838270484"</f>
        <v>838270484</v>
      </c>
      <c r="B2568" t="s">
        <v>2508</v>
      </c>
      <c r="C2568" s="1">
        <v>2158.41</v>
      </c>
      <c r="D2568" t="str">
        <f t="shared" si="113"/>
        <v>272</v>
      </c>
    </row>
    <row r="2569" spans="1:4" x14ac:dyDescent="0.25">
      <c r="A2569" t="str">
        <f>"838270485"</f>
        <v>838270485</v>
      </c>
      <c r="B2569" t="s">
        <v>2509</v>
      </c>
      <c r="C2569" s="1">
        <v>2946.69</v>
      </c>
      <c r="D2569" t="str">
        <f t="shared" si="113"/>
        <v>272</v>
      </c>
    </row>
    <row r="2570" spans="1:4" x14ac:dyDescent="0.25">
      <c r="A2570" t="str">
        <f>"838270486"</f>
        <v>838270486</v>
      </c>
      <c r="B2570" t="s">
        <v>2510</v>
      </c>
      <c r="C2570" s="1">
        <v>2946.69</v>
      </c>
      <c r="D2570" t="str">
        <f t="shared" si="113"/>
        <v>272</v>
      </c>
    </row>
    <row r="2571" spans="1:4" x14ac:dyDescent="0.25">
      <c r="A2571" t="str">
        <f>"838270487"</f>
        <v>838270487</v>
      </c>
      <c r="B2571" t="s">
        <v>2511</v>
      </c>
      <c r="C2571" s="1">
        <v>2786.44</v>
      </c>
      <c r="D2571" t="str">
        <f t="shared" si="113"/>
        <v>272</v>
      </c>
    </row>
    <row r="2572" spans="1:4" x14ac:dyDescent="0.25">
      <c r="A2572" t="str">
        <f>"838270488"</f>
        <v>838270488</v>
      </c>
      <c r="B2572" t="s">
        <v>2512</v>
      </c>
      <c r="C2572" s="1">
        <v>2786.44</v>
      </c>
      <c r="D2572" t="str">
        <f t="shared" si="113"/>
        <v>272</v>
      </c>
    </row>
    <row r="2573" spans="1:4" x14ac:dyDescent="0.25">
      <c r="A2573" t="str">
        <f>"838270489"</f>
        <v>838270489</v>
      </c>
      <c r="B2573" t="s">
        <v>2513</v>
      </c>
      <c r="C2573" s="1">
        <v>3414.47</v>
      </c>
      <c r="D2573" t="str">
        <f t="shared" si="113"/>
        <v>272</v>
      </c>
    </row>
    <row r="2574" spans="1:4" x14ac:dyDescent="0.25">
      <c r="A2574" t="str">
        <f>"838270490"</f>
        <v>838270490</v>
      </c>
      <c r="B2574" t="s">
        <v>2514</v>
      </c>
      <c r="C2574" s="1">
        <v>2777.78</v>
      </c>
      <c r="D2574" t="str">
        <f t="shared" si="113"/>
        <v>272</v>
      </c>
    </row>
    <row r="2575" spans="1:4" x14ac:dyDescent="0.25">
      <c r="A2575" t="str">
        <f>"838270491"</f>
        <v>838270491</v>
      </c>
      <c r="B2575" t="s">
        <v>2515</v>
      </c>
      <c r="C2575" s="1">
        <v>3665.68</v>
      </c>
      <c r="D2575" t="str">
        <f t="shared" si="113"/>
        <v>272</v>
      </c>
    </row>
    <row r="2576" spans="1:4" x14ac:dyDescent="0.25">
      <c r="A2576" t="str">
        <f>"838270492"</f>
        <v>838270492</v>
      </c>
      <c r="B2576" t="s">
        <v>2516</v>
      </c>
      <c r="C2576">
        <v>628.03</v>
      </c>
      <c r="D2576" t="str">
        <f t="shared" si="113"/>
        <v>272</v>
      </c>
    </row>
    <row r="2577" spans="1:5" x14ac:dyDescent="0.25">
      <c r="A2577" t="str">
        <f>"838270493"</f>
        <v>838270493</v>
      </c>
      <c r="B2577" t="s">
        <v>2517</v>
      </c>
      <c r="C2577">
        <v>628.03</v>
      </c>
      <c r="D2577" t="str">
        <f t="shared" si="113"/>
        <v>272</v>
      </c>
    </row>
    <row r="2578" spans="1:5" x14ac:dyDescent="0.25">
      <c r="A2578" t="str">
        <f>"838270494"</f>
        <v>838270494</v>
      </c>
      <c r="B2578" t="s">
        <v>2518</v>
      </c>
      <c r="C2578" s="1">
        <v>1508.72</v>
      </c>
      <c r="D2578" t="str">
        <f t="shared" si="113"/>
        <v>272</v>
      </c>
    </row>
    <row r="2579" spans="1:5" x14ac:dyDescent="0.25">
      <c r="A2579" t="str">
        <f>"838270495"</f>
        <v>838270495</v>
      </c>
      <c r="B2579" t="s">
        <v>2519</v>
      </c>
      <c r="C2579" s="1">
        <v>1781.59</v>
      </c>
      <c r="D2579" t="str">
        <f t="shared" si="113"/>
        <v>272</v>
      </c>
    </row>
    <row r="2580" spans="1:5" x14ac:dyDescent="0.25">
      <c r="A2580" t="str">
        <f>"838270496"</f>
        <v>838270496</v>
      </c>
      <c r="B2580" t="s">
        <v>2520</v>
      </c>
      <c r="C2580">
        <v>54.85</v>
      </c>
      <c r="D2580" t="str">
        <f t="shared" si="113"/>
        <v>272</v>
      </c>
    </row>
    <row r="2581" spans="1:5" x14ac:dyDescent="0.25">
      <c r="A2581" t="str">
        <f>"838270497"</f>
        <v>838270497</v>
      </c>
      <c r="B2581" t="s">
        <v>2521</v>
      </c>
      <c r="C2581">
        <v>27.48</v>
      </c>
      <c r="D2581" t="str">
        <f t="shared" si="113"/>
        <v>272</v>
      </c>
    </row>
    <row r="2582" spans="1:5" x14ac:dyDescent="0.25">
      <c r="A2582" t="str">
        <f>"838270498"</f>
        <v>838270498</v>
      </c>
      <c r="B2582" t="s">
        <v>2522</v>
      </c>
      <c r="C2582">
        <v>10.43</v>
      </c>
      <c r="D2582" t="str">
        <f t="shared" si="113"/>
        <v>272</v>
      </c>
    </row>
    <row r="2583" spans="1:5" x14ac:dyDescent="0.25">
      <c r="A2583" t="str">
        <f>"838270499"</f>
        <v>838270499</v>
      </c>
      <c r="B2583" t="s">
        <v>2523</v>
      </c>
      <c r="C2583">
        <v>11.99</v>
      </c>
      <c r="D2583" t="str">
        <f t="shared" si="113"/>
        <v>272</v>
      </c>
    </row>
    <row r="2584" spans="1:5" x14ac:dyDescent="0.25">
      <c r="A2584" t="str">
        <f>"838270500"</f>
        <v>838270500</v>
      </c>
      <c r="B2584" t="s">
        <v>2524</v>
      </c>
      <c r="C2584">
        <v>84.03</v>
      </c>
      <c r="D2584" t="str">
        <f t="shared" ref="D2584:D2591" si="114">"270"</f>
        <v>270</v>
      </c>
    </row>
    <row r="2585" spans="1:5" x14ac:dyDescent="0.25">
      <c r="A2585" t="str">
        <f>"838270501"</f>
        <v>838270501</v>
      </c>
      <c r="B2585" t="s">
        <v>2525</v>
      </c>
      <c r="C2585">
        <v>966.7</v>
      </c>
      <c r="D2585" t="str">
        <f t="shared" si="114"/>
        <v>270</v>
      </c>
    </row>
    <row r="2586" spans="1:5" x14ac:dyDescent="0.25">
      <c r="A2586" t="str">
        <f>"838270502"</f>
        <v>838270502</v>
      </c>
      <c r="B2586" t="s">
        <v>2526</v>
      </c>
      <c r="C2586">
        <v>48.51</v>
      </c>
      <c r="D2586" t="str">
        <f t="shared" si="114"/>
        <v>270</v>
      </c>
    </row>
    <row r="2587" spans="1:5" x14ac:dyDescent="0.25">
      <c r="A2587" t="str">
        <f>"838270503"</f>
        <v>838270503</v>
      </c>
      <c r="B2587" t="s">
        <v>2527</v>
      </c>
      <c r="C2587">
        <v>138.6</v>
      </c>
      <c r="D2587" t="str">
        <f t="shared" si="114"/>
        <v>270</v>
      </c>
    </row>
    <row r="2588" spans="1:5" x14ac:dyDescent="0.25">
      <c r="A2588" t="str">
        <f>"838270504"</f>
        <v>838270504</v>
      </c>
      <c r="B2588" t="s">
        <v>2528</v>
      </c>
      <c r="C2588">
        <v>138.6</v>
      </c>
      <c r="D2588" t="str">
        <f t="shared" si="114"/>
        <v>270</v>
      </c>
    </row>
    <row r="2589" spans="1:5" x14ac:dyDescent="0.25">
      <c r="A2589" t="str">
        <f>"838270505"</f>
        <v>838270505</v>
      </c>
      <c r="B2589" t="s">
        <v>2529</v>
      </c>
      <c r="C2589">
        <v>138.6</v>
      </c>
      <c r="D2589" t="str">
        <f t="shared" si="114"/>
        <v>270</v>
      </c>
    </row>
    <row r="2590" spans="1:5" x14ac:dyDescent="0.25">
      <c r="A2590" t="str">
        <f>"838270506"</f>
        <v>838270506</v>
      </c>
      <c r="B2590" t="s">
        <v>2530</v>
      </c>
      <c r="C2590">
        <v>48.51</v>
      </c>
      <c r="D2590" t="str">
        <f t="shared" si="114"/>
        <v>270</v>
      </c>
    </row>
    <row r="2591" spans="1:5" x14ac:dyDescent="0.25">
      <c r="A2591" t="str">
        <f>"838270507"</f>
        <v>838270507</v>
      </c>
      <c r="B2591" t="s">
        <v>2531</v>
      </c>
      <c r="C2591">
        <v>48.51</v>
      </c>
      <c r="D2591" t="str">
        <f t="shared" si="114"/>
        <v>270</v>
      </c>
    </row>
    <row r="2592" spans="1:5" x14ac:dyDescent="0.25">
      <c r="A2592" t="str">
        <f>"838270508"</f>
        <v>838270508</v>
      </c>
      <c r="B2592" t="s">
        <v>2532</v>
      </c>
      <c r="C2592">
        <v>46.78</v>
      </c>
      <c r="D2592" t="str">
        <f>"272"</f>
        <v>272</v>
      </c>
      <c r="E2592" t="str">
        <f>"C1769"</f>
        <v>C1769</v>
      </c>
    </row>
    <row r="2593" spans="1:5" x14ac:dyDescent="0.25">
      <c r="A2593" t="str">
        <f>"838270509"</f>
        <v>838270509</v>
      </c>
      <c r="B2593" t="s">
        <v>2533</v>
      </c>
      <c r="C2593" s="1">
        <v>1819.13</v>
      </c>
      <c r="D2593" t="str">
        <f>"272"</f>
        <v>272</v>
      </c>
      <c r="E2593" t="str">
        <f>"C1726"</f>
        <v>C1726</v>
      </c>
    </row>
    <row r="2594" spans="1:5" x14ac:dyDescent="0.25">
      <c r="A2594" t="str">
        <f>"838270510"</f>
        <v>838270510</v>
      </c>
      <c r="B2594" t="s">
        <v>2534</v>
      </c>
      <c r="C2594" s="1">
        <v>1819.13</v>
      </c>
      <c r="D2594" t="str">
        <f>"272"</f>
        <v>272</v>
      </c>
      <c r="E2594" t="str">
        <f>"C1726"</f>
        <v>C1726</v>
      </c>
    </row>
    <row r="2595" spans="1:5" x14ac:dyDescent="0.25">
      <c r="A2595" t="str">
        <f>"838270511"</f>
        <v>838270511</v>
      </c>
      <c r="B2595" t="s">
        <v>2535</v>
      </c>
      <c r="C2595">
        <v>561.33000000000004</v>
      </c>
      <c r="D2595" t="str">
        <f>"272"</f>
        <v>272</v>
      </c>
      <c r="E2595" t="str">
        <f>"C1769"</f>
        <v>C1769</v>
      </c>
    </row>
    <row r="2596" spans="1:5" x14ac:dyDescent="0.25">
      <c r="A2596" t="str">
        <f>"838270512"</f>
        <v>838270512</v>
      </c>
      <c r="B2596" t="s">
        <v>2536</v>
      </c>
      <c r="C2596">
        <v>651.41999999999996</v>
      </c>
      <c r="D2596" t="str">
        <f>"272"</f>
        <v>272</v>
      </c>
      <c r="E2596" t="str">
        <f>"C1769"</f>
        <v>C1769</v>
      </c>
    </row>
    <row r="2597" spans="1:5" x14ac:dyDescent="0.25">
      <c r="A2597" t="str">
        <f>"838270513"</f>
        <v>838270513</v>
      </c>
      <c r="B2597" t="s">
        <v>2537</v>
      </c>
      <c r="C2597">
        <v>279.8</v>
      </c>
      <c r="D2597" t="str">
        <f>"270"</f>
        <v>270</v>
      </c>
      <c r="E2597" t="str">
        <f>"C1769"</f>
        <v>C1769</v>
      </c>
    </row>
    <row r="2598" spans="1:5" x14ac:dyDescent="0.25">
      <c r="A2598" t="str">
        <f>"838270514"</f>
        <v>838270514</v>
      </c>
      <c r="B2598" t="s">
        <v>2538</v>
      </c>
      <c r="C2598">
        <v>84.03</v>
      </c>
      <c r="D2598" t="str">
        <f>"272"</f>
        <v>272</v>
      </c>
      <c r="E2598" t="str">
        <f>"C1887"</f>
        <v>C1887</v>
      </c>
    </row>
    <row r="2599" spans="1:5" x14ac:dyDescent="0.25">
      <c r="A2599" t="str">
        <f>"838270515"</f>
        <v>838270515</v>
      </c>
      <c r="B2599" t="s">
        <v>2539</v>
      </c>
      <c r="C2599">
        <v>83.89</v>
      </c>
      <c r="D2599" t="str">
        <f>"272"</f>
        <v>272</v>
      </c>
      <c r="E2599" t="str">
        <f>"C1769"</f>
        <v>C1769</v>
      </c>
    </row>
    <row r="2600" spans="1:5" x14ac:dyDescent="0.25">
      <c r="A2600" t="str">
        <f>"838270516"</f>
        <v>838270516</v>
      </c>
      <c r="B2600" t="s">
        <v>2540</v>
      </c>
      <c r="C2600">
        <v>661.82</v>
      </c>
      <c r="D2600" t="str">
        <f>"272"</f>
        <v>272</v>
      </c>
      <c r="E2600" t="str">
        <f>"C1887"</f>
        <v>C1887</v>
      </c>
    </row>
    <row r="2601" spans="1:5" x14ac:dyDescent="0.25">
      <c r="A2601" t="str">
        <f>"838270518"</f>
        <v>838270518</v>
      </c>
      <c r="B2601" t="s">
        <v>2541</v>
      </c>
      <c r="C2601">
        <v>37.83</v>
      </c>
      <c r="D2601" t="str">
        <f>"271"</f>
        <v>271</v>
      </c>
    </row>
    <row r="2602" spans="1:5" x14ac:dyDescent="0.25">
      <c r="A2602" t="str">
        <f>"838270519"</f>
        <v>838270519</v>
      </c>
      <c r="B2602" t="s">
        <v>2542</v>
      </c>
      <c r="C2602">
        <v>268.88</v>
      </c>
      <c r="D2602" t="str">
        <f>"272"</f>
        <v>272</v>
      </c>
      <c r="E2602" t="str">
        <f>"C1766"</f>
        <v>C1766</v>
      </c>
    </row>
    <row r="2603" spans="1:5" x14ac:dyDescent="0.25">
      <c r="A2603" t="str">
        <f>"838270520"</f>
        <v>838270520</v>
      </c>
      <c r="B2603" t="s">
        <v>2543</v>
      </c>
      <c r="C2603">
        <v>289.67</v>
      </c>
      <c r="D2603" t="str">
        <f>"272"</f>
        <v>272</v>
      </c>
      <c r="E2603" t="str">
        <f>"C1766"</f>
        <v>C1766</v>
      </c>
    </row>
    <row r="2604" spans="1:5" x14ac:dyDescent="0.25">
      <c r="A2604" t="str">
        <f>"838270521"</f>
        <v>838270521</v>
      </c>
      <c r="B2604" t="s">
        <v>2544</v>
      </c>
      <c r="C2604">
        <v>12.1</v>
      </c>
      <c r="D2604" t="str">
        <f>"271"</f>
        <v>271</v>
      </c>
    </row>
    <row r="2605" spans="1:5" x14ac:dyDescent="0.25">
      <c r="A2605" t="str">
        <f>"838270522"</f>
        <v>838270522</v>
      </c>
      <c r="B2605" t="s">
        <v>2545</v>
      </c>
      <c r="C2605">
        <v>43.35</v>
      </c>
      <c r="D2605" t="str">
        <f t="shared" ref="D2605:D2616" si="115">"272"</f>
        <v>272</v>
      </c>
    </row>
    <row r="2606" spans="1:5" x14ac:dyDescent="0.25">
      <c r="A2606" t="str">
        <f>"838270523"</f>
        <v>838270523</v>
      </c>
      <c r="B2606" t="s">
        <v>2546</v>
      </c>
      <c r="C2606">
        <v>47.58</v>
      </c>
      <c r="D2606" t="str">
        <f t="shared" si="115"/>
        <v>272</v>
      </c>
    </row>
    <row r="2607" spans="1:5" x14ac:dyDescent="0.25">
      <c r="A2607" t="str">
        <f>"838270524"</f>
        <v>838270524</v>
      </c>
      <c r="B2607" t="s">
        <v>2547</v>
      </c>
      <c r="C2607">
        <v>31.91</v>
      </c>
      <c r="D2607" t="str">
        <f t="shared" si="115"/>
        <v>272</v>
      </c>
    </row>
    <row r="2608" spans="1:5" x14ac:dyDescent="0.25">
      <c r="A2608" t="str">
        <f>"838270525"</f>
        <v>838270525</v>
      </c>
      <c r="B2608" t="s">
        <v>2548</v>
      </c>
      <c r="C2608">
        <v>58.66</v>
      </c>
      <c r="D2608" t="str">
        <f t="shared" si="115"/>
        <v>272</v>
      </c>
    </row>
    <row r="2609" spans="1:5" x14ac:dyDescent="0.25">
      <c r="A2609" t="str">
        <f>"838270526"</f>
        <v>838270526</v>
      </c>
      <c r="B2609" t="s">
        <v>2549</v>
      </c>
      <c r="C2609">
        <v>84.69</v>
      </c>
      <c r="D2609" t="str">
        <f t="shared" si="115"/>
        <v>272</v>
      </c>
    </row>
    <row r="2610" spans="1:5" x14ac:dyDescent="0.25">
      <c r="A2610" t="str">
        <f>"838270527"</f>
        <v>838270527</v>
      </c>
      <c r="B2610" t="s">
        <v>2550</v>
      </c>
      <c r="C2610">
        <v>103.95</v>
      </c>
      <c r="D2610" t="str">
        <f t="shared" si="115"/>
        <v>272</v>
      </c>
    </row>
    <row r="2611" spans="1:5" x14ac:dyDescent="0.25">
      <c r="A2611" t="str">
        <f>"838270528"</f>
        <v>838270528</v>
      </c>
      <c r="B2611" t="s">
        <v>2551</v>
      </c>
      <c r="C2611">
        <v>123.21</v>
      </c>
      <c r="D2611" t="str">
        <f t="shared" si="115"/>
        <v>272</v>
      </c>
    </row>
    <row r="2612" spans="1:5" x14ac:dyDescent="0.25">
      <c r="A2612" t="str">
        <f>"838270529"</f>
        <v>838270529</v>
      </c>
      <c r="B2612" t="s">
        <v>2552</v>
      </c>
      <c r="C2612">
        <v>152.22</v>
      </c>
      <c r="D2612" t="str">
        <f t="shared" si="115"/>
        <v>272</v>
      </c>
    </row>
    <row r="2613" spans="1:5" x14ac:dyDescent="0.25">
      <c r="A2613" t="str">
        <f>"838270530"</f>
        <v>838270530</v>
      </c>
      <c r="B2613" t="s">
        <v>2553</v>
      </c>
      <c r="C2613" s="1">
        <v>1540</v>
      </c>
      <c r="D2613" t="str">
        <f t="shared" si="115"/>
        <v>272</v>
      </c>
      <c r="E2613" t="str">
        <f>"C2627"</f>
        <v>C2627</v>
      </c>
    </row>
    <row r="2614" spans="1:5" x14ac:dyDescent="0.25">
      <c r="A2614" t="str">
        <f>"838270531"</f>
        <v>838270531</v>
      </c>
      <c r="B2614" t="s">
        <v>2554</v>
      </c>
      <c r="C2614">
        <v>181.05</v>
      </c>
      <c r="D2614" t="str">
        <f t="shared" si="115"/>
        <v>272</v>
      </c>
      <c r="E2614" t="str">
        <f>"C1769"</f>
        <v>C1769</v>
      </c>
    </row>
    <row r="2615" spans="1:5" x14ac:dyDescent="0.25">
      <c r="A2615" t="str">
        <f>"838270532"</f>
        <v>838270532</v>
      </c>
      <c r="B2615" t="s">
        <v>2555</v>
      </c>
      <c r="C2615">
        <v>29.28</v>
      </c>
      <c r="D2615" t="str">
        <f t="shared" si="115"/>
        <v>272</v>
      </c>
    </row>
    <row r="2616" spans="1:5" x14ac:dyDescent="0.25">
      <c r="A2616" t="str">
        <f>"838270533"</f>
        <v>838270533</v>
      </c>
      <c r="B2616" t="s">
        <v>2556</v>
      </c>
      <c r="C2616">
        <v>6.03</v>
      </c>
      <c r="D2616" t="str">
        <f t="shared" si="115"/>
        <v>272</v>
      </c>
    </row>
    <row r="2617" spans="1:5" x14ac:dyDescent="0.25">
      <c r="A2617" t="str">
        <f>"838270534"</f>
        <v>838270534</v>
      </c>
      <c r="B2617" t="s">
        <v>2557</v>
      </c>
      <c r="C2617">
        <v>651.41999999999996</v>
      </c>
      <c r="D2617" t="str">
        <f>"270"</f>
        <v>270</v>
      </c>
    </row>
    <row r="2618" spans="1:5" x14ac:dyDescent="0.25">
      <c r="A2618" t="str">
        <f>"838270535"</f>
        <v>838270535</v>
      </c>
      <c r="B2618" t="s">
        <v>2558</v>
      </c>
      <c r="C2618">
        <v>27.5</v>
      </c>
      <c r="D2618" t="str">
        <f>"271"</f>
        <v>271</v>
      </c>
    </row>
    <row r="2619" spans="1:5" x14ac:dyDescent="0.25">
      <c r="A2619" t="str">
        <f>"838270536"</f>
        <v>838270536</v>
      </c>
      <c r="B2619" t="s">
        <v>2559</v>
      </c>
      <c r="C2619">
        <v>15.98</v>
      </c>
      <c r="D2619" t="str">
        <f t="shared" ref="D2619:D2625" si="116">"272"</f>
        <v>272</v>
      </c>
    </row>
    <row r="2620" spans="1:5" x14ac:dyDescent="0.25">
      <c r="A2620" t="str">
        <f>"838270537"</f>
        <v>838270537</v>
      </c>
      <c r="B2620" t="s">
        <v>2560</v>
      </c>
      <c r="C2620">
        <v>3.72</v>
      </c>
      <c r="D2620" t="str">
        <f t="shared" si="116"/>
        <v>272</v>
      </c>
    </row>
    <row r="2621" spans="1:5" x14ac:dyDescent="0.25">
      <c r="A2621" t="str">
        <f>"838270538"</f>
        <v>838270538</v>
      </c>
      <c r="B2621" t="s">
        <v>2561</v>
      </c>
      <c r="C2621">
        <v>874.26</v>
      </c>
      <c r="D2621" t="str">
        <f t="shared" si="116"/>
        <v>272</v>
      </c>
      <c r="E2621" t="str">
        <f>"C2627"</f>
        <v>C2627</v>
      </c>
    </row>
    <row r="2622" spans="1:5" x14ac:dyDescent="0.25">
      <c r="A2622" t="str">
        <f>"838270539"</f>
        <v>838270539</v>
      </c>
      <c r="B2622" t="s">
        <v>2562</v>
      </c>
      <c r="C2622" s="1">
        <v>1133.06</v>
      </c>
      <c r="D2622" t="str">
        <f t="shared" si="116"/>
        <v>272</v>
      </c>
      <c r="E2622" t="str">
        <f>"C1752"</f>
        <v>C1752</v>
      </c>
    </row>
    <row r="2623" spans="1:5" x14ac:dyDescent="0.25">
      <c r="A2623" t="str">
        <f>"838270540"</f>
        <v>838270540</v>
      </c>
      <c r="B2623" t="s">
        <v>2563</v>
      </c>
      <c r="C2623">
        <v>121.28</v>
      </c>
      <c r="D2623" t="str">
        <f t="shared" si="116"/>
        <v>272</v>
      </c>
      <c r="E2623" t="str">
        <f>"C1887"</f>
        <v>C1887</v>
      </c>
    </row>
    <row r="2624" spans="1:5" x14ac:dyDescent="0.25">
      <c r="A2624" t="str">
        <f>"838270541"</f>
        <v>838270541</v>
      </c>
      <c r="B2624" t="s">
        <v>2564</v>
      </c>
      <c r="C2624">
        <v>121.28</v>
      </c>
      <c r="D2624" t="str">
        <f t="shared" si="116"/>
        <v>272</v>
      </c>
    </row>
    <row r="2625" spans="1:5" x14ac:dyDescent="0.25">
      <c r="A2625" t="str">
        <f>"838270542"</f>
        <v>838270542</v>
      </c>
      <c r="B2625" t="s">
        <v>2565</v>
      </c>
      <c r="C2625">
        <v>116.25</v>
      </c>
      <c r="D2625" t="str">
        <f t="shared" si="116"/>
        <v>272</v>
      </c>
      <c r="E2625" t="str">
        <f>"C1894"</f>
        <v>C1894</v>
      </c>
    </row>
    <row r="2626" spans="1:5" x14ac:dyDescent="0.25">
      <c r="A2626" t="str">
        <f>"838270544"</f>
        <v>838270544</v>
      </c>
      <c r="B2626" t="s">
        <v>2566</v>
      </c>
      <c r="C2626">
        <v>110.88</v>
      </c>
      <c r="D2626" t="str">
        <f>"410"</f>
        <v>410</v>
      </c>
    </row>
    <row r="2627" spans="1:5" x14ac:dyDescent="0.25">
      <c r="A2627" t="str">
        <f>"838270545"</f>
        <v>838270545</v>
      </c>
      <c r="B2627" t="s">
        <v>2567</v>
      </c>
      <c r="C2627">
        <v>102.92</v>
      </c>
      <c r="D2627" t="str">
        <f t="shared" ref="D2627:D2634" si="117">"272"</f>
        <v>272</v>
      </c>
      <c r="E2627" t="str">
        <f>"C1894"</f>
        <v>C1894</v>
      </c>
    </row>
    <row r="2628" spans="1:5" x14ac:dyDescent="0.25">
      <c r="A2628" t="str">
        <f>"838270546"</f>
        <v>838270546</v>
      </c>
      <c r="B2628" t="s">
        <v>2568</v>
      </c>
      <c r="C2628">
        <v>65.84</v>
      </c>
      <c r="D2628" t="str">
        <f t="shared" si="117"/>
        <v>272</v>
      </c>
      <c r="E2628" t="str">
        <f>"C1894"</f>
        <v>C1894</v>
      </c>
    </row>
    <row r="2629" spans="1:5" x14ac:dyDescent="0.25">
      <c r="A2629" t="str">
        <f>"838270547"</f>
        <v>838270547</v>
      </c>
      <c r="B2629" t="s">
        <v>2569</v>
      </c>
      <c r="C2629">
        <v>65.84</v>
      </c>
      <c r="D2629" t="str">
        <f t="shared" si="117"/>
        <v>272</v>
      </c>
      <c r="E2629" t="str">
        <f>"C1894"</f>
        <v>C1894</v>
      </c>
    </row>
    <row r="2630" spans="1:5" x14ac:dyDescent="0.25">
      <c r="A2630" t="str">
        <f>"838270548"</f>
        <v>838270548</v>
      </c>
      <c r="B2630" t="s">
        <v>2570</v>
      </c>
      <c r="C2630">
        <v>67.569999999999993</v>
      </c>
      <c r="D2630" t="str">
        <f t="shared" si="117"/>
        <v>272</v>
      </c>
      <c r="E2630" t="str">
        <f>"C1894"</f>
        <v>C1894</v>
      </c>
    </row>
    <row r="2631" spans="1:5" x14ac:dyDescent="0.25">
      <c r="A2631" t="str">
        <f>"838270549"</f>
        <v>838270549</v>
      </c>
      <c r="B2631" t="s">
        <v>2571</v>
      </c>
      <c r="C2631">
        <v>320.52</v>
      </c>
      <c r="D2631" t="str">
        <f t="shared" si="117"/>
        <v>272</v>
      </c>
      <c r="E2631" t="str">
        <f>"C1887"</f>
        <v>C1887</v>
      </c>
    </row>
    <row r="2632" spans="1:5" x14ac:dyDescent="0.25">
      <c r="A2632" t="str">
        <f>"838270550"</f>
        <v>838270550</v>
      </c>
      <c r="B2632" t="s">
        <v>2572</v>
      </c>
      <c r="C2632">
        <v>48.51</v>
      </c>
      <c r="D2632" t="str">
        <f t="shared" si="117"/>
        <v>272</v>
      </c>
      <c r="E2632" t="str">
        <f>"C1887"</f>
        <v>C1887</v>
      </c>
    </row>
    <row r="2633" spans="1:5" x14ac:dyDescent="0.25">
      <c r="A2633" t="str">
        <f>"838270551"</f>
        <v>838270551</v>
      </c>
      <c r="B2633" t="s">
        <v>2573</v>
      </c>
      <c r="C2633">
        <v>46.78</v>
      </c>
      <c r="D2633" t="str">
        <f t="shared" si="117"/>
        <v>272</v>
      </c>
      <c r="E2633" t="str">
        <f>"C1769"</f>
        <v>C1769</v>
      </c>
    </row>
    <row r="2634" spans="1:5" x14ac:dyDescent="0.25">
      <c r="A2634" t="str">
        <f>"838270552"</f>
        <v>838270552</v>
      </c>
      <c r="B2634" t="s">
        <v>2574</v>
      </c>
      <c r="C2634">
        <v>675.68</v>
      </c>
      <c r="D2634" t="str">
        <f t="shared" si="117"/>
        <v>272</v>
      </c>
      <c r="E2634" t="str">
        <f>"C1760"</f>
        <v>C1760</v>
      </c>
    </row>
    <row r="2635" spans="1:5" x14ac:dyDescent="0.25">
      <c r="A2635" t="str">
        <f>"838270553"</f>
        <v>838270553</v>
      </c>
      <c r="B2635" t="s">
        <v>2575</v>
      </c>
      <c r="C2635">
        <v>117.7</v>
      </c>
      <c r="D2635" t="str">
        <f t="shared" ref="D2635:D2642" si="118">"270"</f>
        <v>270</v>
      </c>
    </row>
    <row r="2636" spans="1:5" x14ac:dyDescent="0.25">
      <c r="A2636" t="str">
        <f>"838270554"</f>
        <v>838270554</v>
      </c>
      <c r="B2636" t="s">
        <v>2576</v>
      </c>
      <c r="C2636">
        <v>22.42</v>
      </c>
      <c r="D2636" t="str">
        <f t="shared" si="118"/>
        <v>270</v>
      </c>
      <c r="E2636" t="str">
        <f>"A6209"</f>
        <v>A6209</v>
      </c>
    </row>
    <row r="2637" spans="1:5" x14ac:dyDescent="0.25">
      <c r="A2637" t="str">
        <f>"838270555"</f>
        <v>838270555</v>
      </c>
      <c r="B2637" t="s">
        <v>2577</v>
      </c>
      <c r="C2637">
        <v>49.56</v>
      </c>
      <c r="D2637" t="str">
        <f t="shared" si="118"/>
        <v>270</v>
      </c>
      <c r="E2637" t="str">
        <f>"A6243"</f>
        <v>A6243</v>
      </c>
    </row>
    <row r="2638" spans="1:5" x14ac:dyDescent="0.25">
      <c r="A2638" t="str">
        <f>"838270557"</f>
        <v>838270557</v>
      </c>
      <c r="B2638" t="s">
        <v>2578</v>
      </c>
      <c r="C2638">
        <v>4.0599999999999996</v>
      </c>
      <c r="D2638" t="str">
        <f t="shared" si="118"/>
        <v>270</v>
      </c>
      <c r="E2638" t="str">
        <f>"A6203"</f>
        <v>A6203</v>
      </c>
    </row>
    <row r="2639" spans="1:5" x14ac:dyDescent="0.25">
      <c r="A2639" t="str">
        <f>"838270558"</f>
        <v>838270558</v>
      </c>
      <c r="B2639" t="s">
        <v>2579</v>
      </c>
      <c r="C2639">
        <v>2.46</v>
      </c>
      <c r="D2639" t="str">
        <f t="shared" si="118"/>
        <v>270</v>
      </c>
      <c r="E2639" t="str">
        <f>"A6203"</f>
        <v>A6203</v>
      </c>
    </row>
    <row r="2640" spans="1:5" x14ac:dyDescent="0.25">
      <c r="A2640" t="str">
        <f>"838270559"</f>
        <v>838270559</v>
      </c>
      <c r="B2640" t="s">
        <v>2580</v>
      </c>
      <c r="C2640">
        <v>11</v>
      </c>
      <c r="D2640" t="str">
        <f t="shared" si="118"/>
        <v>270</v>
      </c>
      <c r="E2640" t="str">
        <f>"A6203"</f>
        <v>A6203</v>
      </c>
    </row>
    <row r="2641" spans="1:5" x14ac:dyDescent="0.25">
      <c r="A2641" t="str">
        <f>"838270560"</f>
        <v>838270560</v>
      </c>
      <c r="B2641" t="s">
        <v>2581</v>
      </c>
      <c r="C2641">
        <v>12.65</v>
      </c>
      <c r="D2641" t="str">
        <f t="shared" si="118"/>
        <v>270</v>
      </c>
      <c r="E2641" t="str">
        <f>"A9270"</f>
        <v>A9270</v>
      </c>
    </row>
    <row r="2642" spans="1:5" x14ac:dyDescent="0.25">
      <c r="A2642" t="str">
        <f>"838270561"</f>
        <v>838270561</v>
      </c>
      <c r="B2642" t="s">
        <v>2582</v>
      </c>
      <c r="C2642">
        <v>7.62</v>
      </c>
      <c r="D2642" t="str">
        <f t="shared" si="118"/>
        <v>270</v>
      </c>
      <c r="E2642" t="str">
        <f>"A6196"</f>
        <v>A6196</v>
      </c>
    </row>
    <row r="2643" spans="1:5" x14ac:dyDescent="0.25">
      <c r="A2643" t="str">
        <f>"838270562"</f>
        <v>838270562</v>
      </c>
      <c r="B2643" t="s">
        <v>2583</v>
      </c>
      <c r="C2643">
        <v>571.73</v>
      </c>
      <c r="D2643" t="str">
        <f>"272"</f>
        <v>272</v>
      </c>
    </row>
    <row r="2644" spans="1:5" x14ac:dyDescent="0.25">
      <c r="A2644" t="str">
        <f>"838270563"</f>
        <v>838270563</v>
      </c>
      <c r="B2644" t="s">
        <v>2584</v>
      </c>
      <c r="C2644">
        <v>315.32</v>
      </c>
      <c r="D2644" t="str">
        <f>"272"</f>
        <v>272</v>
      </c>
    </row>
    <row r="2645" spans="1:5" x14ac:dyDescent="0.25">
      <c r="A2645" t="str">
        <f>"838270564"</f>
        <v>838270564</v>
      </c>
      <c r="B2645" t="s">
        <v>2585</v>
      </c>
      <c r="C2645">
        <v>21.31</v>
      </c>
      <c r="D2645" t="str">
        <f>"270"</f>
        <v>270</v>
      </c>
      <c r="E2645" t="str">
        <f>"A6198"</f>
        <v>A6198</v>
      </c>
    </row>
    <row r="2646" spans="1:5" x14ac:dyDescent="0.25">
      <c r="A2646" t="str">
        <f>"838270565"</f>
        <v>838270565</v>
      </c>
      <c r="B2646" t="s">
        <v>2414</v>
      </c>
      <c r="C2646">
        <v>315.32</v>
      </c>
      <c r="D2646" t="str">
        <f>"272"</f>
        <v>272</v>
      </c>
      <c r="E2646" t="str">
        <f>"C1887"</f>
        <v>C1887</v>
      </c>
    </row>
    <row r="2647" spans="1:5" x14ac:dyDescent="0.25">
      <c r="A2647" t="str">
        <f>"838270566"</f>
        <v>838270566</v>
      </c>
      <c r="B2647" t="s">
        <v>2416</v>
      </c>
      <c r="C2647">
        <v>315.32</v>
      </c>
      <c r="D2647" t="str">
        <f>"272"</f>
        <v>272</v>
      </c>
      <c r="E2647" t="str">
        <f>"C1887"</f>
        <v>C1887</v>
      </c>
    </row>
    <row r="2648" spans="1:5" x14ac:dyDescent="0.25">
      <c r="A2648" t="str">
        <f>"838270567"</f>
        <v>838270567</v>
      </c>
      <c r="B2648" t="s">
        <v>2586</v>
      </c>
      <c r="C2648">
        <v>33.5</v>
      </c>
      <c r="D2648" t="str">
        <f>"272"</f>
        <v>272</v>
      </c>
    </row>
    <row r="2649" spans="1:5" x14ac:dyDescent="0.25">
      <c r="A2649" t="str">
        <f>"838270568"</f>
        <v>838270568</v>
      </c>
      <c r="B2649" t="s">
        <v>2587</v>
      </c>
      <c r="C2649">
        <v>549.78</v>
      </c>
      <c r="D2649" t="str">
        <f>"272"</f>
        <v>272</v>
      </c>
      <c r="E2649" t="str">
        <f>"C1725"</f>
        <v>C1725</v>
      </c>
    </row>
    <row r="2650" spans="1:5" x14ac:dyDescent="0.25">
      <c r="A2650" t="str">
        <f>"838270570"</f>
        <v>838270570</v>
      </c>
      <c r="B2650" t="s">
        <v>2588</v>
      </c>
      <c r="C2650">
        <v>533.61</v>
      </c>
      <c r="D2650" t="str">
        <f>"278"</f>
        <v>278</v>
      </c>
      <c r="E2650" t="str">
        <f>"C1750"</f>
        <v>C1750</v>
      </c>
    </row>
    <row r="2651" spans="1:5" x14ac:dyDescent="0.25">
      <c r="A2651" t="str">
        <f>"838270571"</f>
        <v>838270571</v>
      </c>
      <c r="B2651" t="s">
        <v>2415</v>
      </c>
      <c r="C2651">
        <v>315.32</v>
      </c>
      <c r="D2651" t="str">
        <f>"272"</f>
        <v>272</v>
      </c>
      <c r="E2651" t="str">
        <f>"C1887"</f>
        <v>C1887</v>
      </c>
    </row>
    <row r="2652" spans="1:5" x14ac:dyDescent="0.25">
      <c r="A2652" t="str">
        <f>"838270572"</f>
        <v>838270572</v>
      </c>
      <c r="B2652" t="s">
        <v>2589</v>
      </c>
      <c r="C2652">
        <v>282.98</v>
      </c>
      <c r="D2652" t="str">
        <f>"250"</f>
        <v>250</v>
      </c>
    </row>
    <row r="2653" spans="1:5" x14ac:dyDescent="0.25">
      <c r="A2653" t="str">
        <f>"838270573"</f>
        <v>838270573</v>
      </c>
      <c r="B2653" t="s">
        <v>2590</v>
      </c>
      <c r="C2653">
        <v>550.39</v>
      </c>
      <c r="D2653" t="str">
        <f>"272"</f>
        <v>272</v>
      </c>
    </row>
    <row r="2654" spans="1:5" x14ac:dyDescent="0.25">
      <c r="A2654" t="str">
        <f>"838270574"</f>
        <v>838270574</v>
      </c>
      <c r="B2654" t="s">
        <v>2591</v>
      </c>
      <c r="C2654">
        <v>990</v>
      </c>
      <c r="D2654" t="str">
        <f>"272"</f>
        <v>272</v>
      </c>
    </row>
    <row r="2655" spans="1:5" x14ac:dyDescent="0.25">
      <c r="A2655" t="str">
        <f>"838270575"</f>
        <v>838270575</v>
      </c>
      <c r="B2655" t="s">
        <v>2592</v>
      </c>
      <c r="C2655" s="1">
        <v>5480.84</v>
      </c>
      <c r="D2655" t="str">
        <f>"270"</f>
        <v>270</v>
      </c>
    </row>
    <row r="2656" spans="1:5" x14ac:dyDescent="0.25">
      <c r="A2656" t="str">
        <f>"838270576"</f>
        <v>838270576</v>
      </c>
      <c r="B2656" t="s">
        <v>2593</v>
      </c>
      <c r="C2656">
        <v>288.75</v>
      </c>
      <c r="D2656" t="str">
        <f>"300"</f>
        <v>300</v>
      </c>
    </row>
    <row r="2657" spans="1:5" x14ac:dyDescent="0.25">
      <c r="A2657" t="str">
        <f>"838270577"</f>
        <v>838270577</v>
      </c>
      <c r="B2657" t="s">
        <v>2594</v>
      </c>
      <c r="C2657">
        <v>64.97</v>
      </c>
      <c r="D2657" t="str">
        <f>"272"</f>
        <v>272</v>
      </c>
    </row>
    <row r="2658" spans="1:5" x14ac:dyDescent="0.25">
      <c r="A2658" t="str">
        <f>"838270578"</f>
        <v>838270578</v>
      </c>
      <c r="B2658" t="s">
        <v>2595</v>
      </c>
      <c r="C2658">
        <v>180.47</v>
      </c>
      <c r="D2658" t="str">
        <f>"270"</f>
        <v>270</v>
      </c>
    </row>
    <row r="2659" spans="1:5" x14ac:dyDescent="0.25">
      <c r="A2659" t="str">
        <f>"838270579"</f>
        <v>838270579</v>
      </c>
      <c r="B2659" t="s">
        <v>2596</v>
      </c>
      <c r="C2659" s="1">
        <v>3925.2</v>
      </c>
      <c r="D2659" t="str">
        <f>"270"</f>
        <v>270</v>
      </c>
    </row>
    <row r="2660" spans="1:5" x14ac:dyDescent="0.25">
      <c r="A2660" t="str">
        <f>"838270580"</f>
        <v>838270580</v>
      </c>
      <c r="B2660" t="s">
        <v>2596</v>
      </c>
      <c r="C2660" s="1">
        <v>7850.39</v>
      </c>
      <c r="D2660" t="str">
        <f>"270"</f>
        <v>270</v>
      </c>
    </row>
    <row r="2661" spans="1:5" x14ac:dyDescent="0.25">
      <c r="A2661" t="str">
        <f>"838270581"</f>
        <v>838270581</v>
      </c>
      <c r="B2661" t="s">
        <v>2597</v>
      </c>
      <c r="C2661" s="1">
        <v>1212.75</v>
      </c>
      <c r="D2661" t="str">
        <f>"272"</f>
        <v>272</v>
      </c>
      <c r="E2661" t="str">
        <f t="shared" ref="E2661:E2669" si="119">"C1876"</f>
        <v>C1876</v>
      </c>
    </row>
    <row r="2662" spans="1:5" x14ac:dyDescent="0.25">
      <c r="A2662" t="str">
        <f>"838270582"</f>
        <v>838270582</v>
      </c>
      <c r="B2662" t="s">
        <v>2598</v>
      </c>
      <c r="C2662" s="1">
        <v>1212.75</v>
      </c>
      <c r="D2662" t="str">
        <f>"302"</f>
        <v>302</v>
      </c>
      <c r="E2662" t="str">
        <f t="shared" si="119"/>
        <v>C1876</v>
      </c>
    </row>
    <row r="2663" spans="1:5" x14ac:dyDescent="0.25">
      <c r="A2663" t="str">
        <f>"838270583"</f>
        <v>838270583</v>
      </c>
      <c r="B2663" t="s">
        <v>2599</v>
      </c>
      <c r="C2663">
        <v>433.13</v>
      </c>
      <c r="D2663" t="str">
        <f t="shared" ref="D2663:D2683" si="120">"272"</f>
        <v>272</v>
      </c>
      <c r="E2663" t="str">
        <f t="shared" si="119"/>
        <v>C1876</v>
      </c>
    </row>
    <row r="2664" spans="1:5" x14ac:dyDescent="0.25">
      <c r="A2664" t="str">
        <f>"838270584"</f>
        <v>838270584</v>
      </c>
      <c r="B2664" t="s">
        <v>2600</v>
      </c>
      <c r="C2664">
        <v>56.65</v>
      </c>
      <c r="D2664" t="str">
        <f t="shared" si="120"/>
        <v>272</v>
      </c>
      <c r="E2664" t="str">
        <f t="shared" si="119"/>
        <v>C1876</v>
      </c>
    </row>
    <row r="2665" spans="1:5" x14ac:dyDescent="0.25">
      <c r="A2665" t="str">
        <f>"838270585"</f>
        <v>838270585</v>
      </c>
      <c r="B2665" t="s">
        <v>2601</v>
      </c>
      <c r="C2665">
        <v>814.28</v>
      </c>
      <c r="D2665" t="str">
        <f t="shared" si="120"/>
        <v>272</v>
      </c>
      <c r="E2665" t="str">
        <f t="shared" si="119"/>
        <v>C1876</v>
      </c>
    </row>
    <row r="2666" spans="1:5" x14ac:dyDescent="0.25">
      <c r="A2666" t="str">
        <f>"838270586"</f>
        <v>838270586</v>
      </c>
      <c r="B2666" t="s">
        <v>2602</v>
      </c>
      <c r="C2666" s="1">
        <v>1212.75</v>
      </c>
      <c r="D2666" t="str">
        <f t="shared" si="120"/>
        <v>272</v>
      </c>
      <c r="E2666" t="str">
        <f t="shared" si="119"/>
        <v>C1876</v>
      </c>
    </row>
    <row r="2667" spans="1:5" x14ac:dyDescent="0.25">
      <c r="A2667" t="str">
        <f>"838270587"</f>
        <v>838270587</v>
      </c>
      <c r="B2667" t="s">
        <v>2603</v>
      </c>
      <c r="C2667">
        <v>415.8</v>
      </c>
      <c r="D2667" t="str">
        <f t="shared" si="120"/>
        <v>272</v>
      </c>
      <c r="E2667" t="str">
        <f t="shared" si="119"/>
        <v>C1876</v>
      </c>
    </row>
    <row r="2668" spans="1:5" x14ac:dyDescent="0.25">
      <c r="A2668" t="str">
        <f>"838270588"</f>
        <v>838270588</v>
      </c>
      <c r="B2668" t="s">
        <v>2604</v>
      </c>
      <c r="C2668">
        <v>415.8</v>
      </c>
      <c r="D2668" t="str">
        <f t="shared" si="120"/>
        <v>272</v>
      </c>
      <c r="E2668" t="str">
        <f t="shared" si="119"/>
        <v>C1876</v>
      </c>
    </row>
    <row r="2669" spans="1:5" x14ac:dyDescent="0.25">
      <c r="A2669" t="str">
        <f>"838270589"</f>
        <v>838270589</v>
      </c>
      <c r="B2669" t="s">
        <v>2605</v>
      </c>
      <c r="C2669" s="1">
        <v>3984.75</v>
      </c>
      <c r="D2669" t="str">
        <f t="shared" si="120"/>
        <v>272</v>
      </c>
      <c r="E2669" t="str">
        <f t="shared" si="119"/>
        <v>C1876</v>
      </c>
    </row>
    <row r="2670" spans="1:5" x14ac:dyDescent="0.25">
      <c r="A2670" t="str">
        <f>"838270590"</f>
        <v>838270590</v>
      </c>
      <c r="B2670" t="s">
        <v>2606</v>
      </c>
      <c r="C2670" s="1">
        <v>11261.25</v>
      </c>
      <c r="D2670" t="str">
        <f t="shared" si="120"/>
        <v>272</v>
      </c>
      <c r="E2670" t="str">
        <f>"C1724"</f>
        <v>C1724</v>
      </c>
    </row>
    <row r="2671" spans="1:5" x14ac:dyDescent="0.25">
      <c r="A2671" t="str">
        <f>"838270591"</f>
        <v>838270591</v>
      </c>
      <c r="B2671" t="s">
        <v>2607</v>
      </c>
      <c r="C2671" s="1">
        <v>11261.25</v>
      </c>
      <c r="D2671" t="str">
        <f t="shared" si="120"/>
        <v>272</v>
      </c>
      <c r="E2671" t="str">
        <f>"C1724"</f>
        <v>C1724</v>
      </c>
    </row>
    <row r="2672" spans="1:5" x14ac:dyDescent="0.25">
      <c r="A2672" t="str">
        <f>"838270592"</f>
        <v>838270592</v>
      </c>
      <c r="B2672" t="s">
        <v>2608</v>
      </c>
      <c r="C2672" s="1">
        <v>11261.25</v>
      </c>
      <c r="D2672" t="str">
        <f t="shared" si="120"/>
        <v>272</v>
      </c>
      <c r="E2672" t="str">
        <f>"C1724"</f>
        <v>C1724</v>
      </c>
    </row>
    <row r="2673" spans="1:5" x14ac:dyDescent="0.25">
      <c r="A2673" t="str">
        <f>"838270593"</f>
        <v>838270593</v>
      </c>
      <c r="B2673" t="s">
        <v>2609</v>
      </c>
      <c r="C2673" s="1">
        <v>11261.25</v>
      </c>
      <c r="D2673" t="str">
        <f t="shared" si="120"/>
        <v>272</v>
      </c>
      <c r="E2673" t="str">
        <f>"C1724"</f>
        <v>C1724</v>
      </c>
    </row>
    <row r="2674" spans="1:5" x14ac:dyDescent="0.25">
      <c r="A2674" t="str">
        <f>"838270594"</f>
        <v>838270594</v>
      </c>
      <c r="B2674" t="s">
        <v>2610</v>
      </c>
      <c r="C2674">
        <v>346.5</v>
      </c>
      <c r="D2674" t="str">
        <f t="shared" si="120"/>
        <v>272</v>
      </c>
      <c r="E2674" t="str">
        <f>"C1769"</f>
        <v>C1769</v>
      </c>
    </row>
    <row r="2675" spans="1:5" x14ac:dyDescent="0.25">
      <c r="A2675" t="str">
        <f>"838270595"</f>
        <v>838270595</v>
      </c>
      <c r="B2675" t="s">
        <v>2611</v>
      </c>
      <c r="C2675" s="1">
        <v>4331.25</v>
      </c>
      <c r="D2675" t="str">
        <f t="shared" si="120"/>
        <v>272</v>
      </c>
      <c r="E2675" t="str">
        <f>"C1880"</f>
        <v>C1880</v>
      </c>
    </row>
    <row r="2676" spans="1:5" x14ac:dyDescent="0.25">
      <c r="A2676" t="str">
        <f>"838270596"</f>
        <v>838270596</v>
      </c>
      <c r="B2676" t="s">
        <v>2612</v>
      </c>
      <c r="C2676" s="1">
        <v>1039.5</v>
      </c>
      <c r="D2676" t="str">
        <f t="shared" si="120"/>
        <v>272</v>
      </c>
      <c r="E2676" t="str">
        <f>"C1726"</f>
        <v>C1726</v>
      </c>
    </row>
    <row r="2677" spans="1:5" x14ac:dyDescent="0.25">
      <c r="A2677" t="str">
        <f>"838270597"</f>
        <v>838270597</v>
      </c>
      <c r="B2677" t="s">
        <v>2613</v>
      </c>
      <c r="C2677" s="1">
        <v>1155</v>
      </c>
      <c r="D2677" t="str">
        <f t="shared" si="120"/>
        <v>272</v>
      </c>
      <c r="E2677" t="str">
        <f>"C1726"</f>
        <v>C1726</v>
      </c>
    </row>
    <row r="2678" spans="1:5" x14ac:dyDescent="0.25">
      <c r="A2678" t="str">
        <f>"838270598"</f>
        <v>838270598</v>
      </c>
      <c r="B2678" t="s">
        <v>2614</v>
      </c>
      <c r="C2678" s="1">
        <v>1039.5</v>
      </c>
      <c r="D2678" t="str">
        <f t="shared" si="120"/>
        <v>272</v>
      </c>
      <c r="E2678" t="str">
        <f>"C1874"</f>
        <v>C1874</v>
      </c>
    </row>
    <row r="2679" spans="1:5" x14ac:dyDescent="0.25">
      <c r="A2679" t="str">
        <f>"838270599"</f>
        <v>838270599</v>
      </c>
      <c r="B2679" t="s">
        <v>2615</v>
      </c>
      <c r="C2679" s="1">
        <v>3984.75</v>
      </c>
      <c r="D2679" t="str">
        <f t="shared" si="120"/>
        <v>272</v>
      </c>
      <c r="E2679" t="str">
        <f>"C1874"</f>
        <v>C1874</v>
      </c>
    </row>
    <row r="2680" spans="1:5" x14ac:dyDescent="0.25">
      <c r="A2680" t="str">
        <f>"838270600"</f>
        <v>838270600</v>
      </c>
      <c r="B2680" t="s">
        <v>2616</v>
      </c>
      <c r="C2680" s="1">
        <v>3984.75</v>
      </c>
      <c r="D2680" t="str">
        <f t="shared" si="120"/>
        <v>272</v>
      </c>
      <c r="E2680" t="str">
        <f>"C1874"</f>
        <v>C1874</v>
      </c>
    </row>
    <row r="2681" spans="1:5" x14ac:dyDescent="0.25">
      <c r="A2681" t="str">
        <f>"838270601"</f>
        <v>838270601</v>
      </c>
      <c r="B2681" t="s">
        <v>2617</v>
      </c>
      <c r="C2681" s="1">
        <v>3984.75</v>
      </c>
      <c r="D2681" t="str">
        <f t="shared" si="120"/>
        <v>272</v>
      </c>
      <c r="E2681" t="str">
        <f>"C1874"</f>
        <v>C1874</v>
      </c>
    </row>
    <row r="2682" spans="1:5" x14ac:dyDescent="0.25">
      <c r="A2682" t="str">
        <f>"838270602"</f>
        <v>838270602</v>
      </c>
      <c r="B2682" t="s">
        <v>2618</v>
      </c>
      <c r="C2682">
        <v>433.13</v>
      </c>
      <c r="D2682" t="str">
        <f t="shared" si="120"/>
        <v>272</v>
      </c>
      <c r="E2682" t="str">
        <f>"C1769"</f>
        <v>C1769</v>
      </c>
    </row>
    <row r="2683" spans="1:5" x14ac:dyDescent="0.25">
      <c r="A2683" t="str">
        <f>"838270603"</f>
        <v>838270603</v>
      </c>
      <c r="B2683" t="s">
        <v>2619</v>
      </c>
      <c r="C2683">
        <v>264.45</v>
      </c>
      <c r="D2683" t="str">
        <f t="shared" si="120"/>
        <v>272</v>
      </c>
    </row>
    <row r="2684" spans="1:5" x14ac:dyDescent="0.25">
      <c r="A2684" t="str">
        <f>"838270604"</f>
        <v>838270604</v>
      </c>
      <c r="B2684" t="s">
        <v>2620</v>
      </c>
      <c r="C2684">
        <v>15.52</v>
      </c>
      <c r="D2684" t="str">
        <f t="shared" ref="D2684:D2720" si="121">"270"</f>
        <v>270</v>
      </c>
      <c r="E2684" t="str">
        <f>"A6250"</f>
        <v>A6250</v>
      </c>
    </row>
    <row r="2685" spans="1:5" x14ac:dyDescent="0.25">
      <c r="A2685" t="str">
        <f>"838270605"</f>
        <v>838270605</v>
      </c>
      <c r="B2685" t="s">
        <v>2621</v>
      </c>
      <c r="C2685">
        <v>27.5</v>
      </c>
      <c r="D2685" t="str">
        <f t="shared" si="121"/>
        <v>270</v>
      </c>
      <c r="E2685" t="str">
        <f>"A6213"</f>
        <v>A6213</v>
      </c>
    </row>
    <row r="2686" spans="1:5" x14ac:dyDescent="0.25">
      <c r="A2686" t="str">
        <f>"838270606"</f>
        <v>838270606</v>
      </c>
      <c r="B2686" t="s">
        <v>2622</v>
      </c>
      <c r="C2686">
        <v>34.58</v>
      </c>
      <c r="D2686" t="str">
        <f t="shared" si="121"/>
        <v>270</v>
      </c>
      <c r="E2686" t="str">
        <f>"A9270"</f>
        <v>A9270</v>
      </c>
    </row>
    <row r="2687" spans="1:5" x14ac:dyDescent="0.25">
      <c r="A2687" t="str">
        <f>"838270607"</f>
        <v>838270607</v>
      </c>
      <c r="B2687" t="s">
        <v>2623</v>
      </c>
      <c r="C2687">
        <v>135.28</v>
      </c>
      <c r="D2687" t="str">
        <f t="shared" si="121"/>
        <v>270</v>
      </c>
      <c r="E2687" t="str">
        <f>"L3670"</f>
        <v>L3670</v>
      </c>
    </row>
    <row r="2688" spans="1:5" x14ac:dyDescent="0.25">
      <c r="A2688" t="str">
        <f>"838270608"</f>
        <v>838270608</v>
      </c>
      <c r="B2688" t="s">
        <v>2624</v>
      </c>
      <c r="C2688">
        <v>770</v>
      </c>
      <c r="D2688" t="str">
        <f t="shared" si="121"/>
        <v>270</v>
      </c>
    </row>
    <row r="2689" spans="1:5" x14ac:dyDescent="0.25">
      <c r="A2689" t="str">
        <f>"838270609"</f>
        <v>838270609</v>
      </c>
      <c r="B2689" t="s">
        <v>2625</v>
      </c>
      <c r="C2689">
        <v>505.89</v>
      </c>
      <c r="D2689" t="str">
        <f t="shared" si="121"/>
        <v>270</v>
      </c>
    </row>
    <row r="2690" spans="1:5" x14ac:dyDescent="0.25">
      <c r="A2690" t="str">
        <f>"838270610"</f>
        <v>838270610</v>
      </c>
      <c r="B2690" t="s">
        <v>2626</v>
      </c>
      <c r="C2690">
        <v>381.84</v>
      </c>
      <c r="D2690" t="str">
        <f t="shared" si="121"/>
        <v>270</v>
      </c>
    </row>
    <row r="2691" spans="1:5" x14ac:dyDescent="0.25">
      <c r="A2691" t="str">
        <f>"838270611"</f>
        <v>838270611</v>
      </c>
      <c r="B2691" t="s">
        <v>2627</v>
      </c>
      <c r="C2691">
        <v>34.409999999999997</v>
      </c>
      <c r="D2691" t="str">
        <f t="shared" si="121"/>
        <v>270</v>
      </c>
      <c r="E2691" t="str">
        <f>"A6199"</f>
        <v>A6199</v>
      </c>
    </row>
    <row r="2692" spans="1:5" x14ac:dyDescent="0.25">
      <c r="A2692" t="str">
        <f>"838270612"</f>
        <v>838270612</v>
      </c>
      <c r="B2692" t="s">
        <v>2628</v>
      </c>
      <c r="C2692">
        <v>28.41</v>
      </c>
      <c r="D2692" t="str">
        <f t="shared" si="121"/>
        <v>270</v>
      </c>
      <c r="E2692" t="str">
        <f>"A6212"</f>
        <v>A6212</v>
      </c>
    </row>
    <row r="2693" spans="1:5" x14ac:dyDescent="0.25">
      <c r="A2693" t="str">
        <f>"838270613"</f>
        <v>838270613</v>
      </c>
      <c r="B2693" t="s">
        <v>2629</v>
      </c>
      <c r="C2693">
        <v>44</v>
      </c>
      <c r="D2693" t="str">
        <f t="shared" si="121"/>
        <v>270</v>
      </c>
      <c r="E2693" t="str">
        <f>"A6212"</f>
        <v>A6212</v>
      </c>
    </row>
    <row r="2694" spans="1:5" x14ac:dyDescent="0.25">
      <c r="A2694" t="str">
        <f>"838270614"</f>
        <v>838270614</v>
      </c>
      <c r="B2694" t="s">
        <v>2630</v>
      </c>
      <c r="C2694">
        <v>56.07</v>
      </c>
      <c r="D2694" t="str">
        <f t="shared" si="121"/>
        <v>270</v>
      </c>
      <c r="E2694" t="str">
        <f>"A6212"</f>
        <v>A6212</v>
      </c>
    </row>
    <row r="2695" spans="1:5" x14ac:dyDescent="0.25">
      <c r="A2695" t="str">
        <f>"838270615"</f>
        <v>838270615</v>
      </c>
      <c r="B2695" t="s">
        <v>2631</v>
      </c>
      <c r="C2695">
        <v>23.95</v>
      </c>
      <c r="D2695" t="str">
        <f t="shared" si="121"/>
        <v>270</v>
      </c>
      <c r="E2695" t="str">
        <f>"A6210"</f>
        <v>A6210</v>
      </c>
    </row>
    <row r="2696" spans="1:5" x14ac:dyDescent="0.25">
      <c r="A2696" t="str">
        <f>"838270616"</f>
        <v>838270616</v>
      </c>
      <c r="B2696" t="s">
        <v>2632</v>
      </c>
      <c r="C2696">
        <v>990.99</v>
      </c>
      <c r="D2696" t="str">
        <f t="shared" si="121"/>
        <v>270</v>
      </c>
    </row>
    <row r="2697" spans="1:5" x14ac:dyDescent="0.25">
      <c r="A2697" t="str">
        <f>"838270617"</f>
        <v>838270617</v>
      </c>
      <c r="B2697" t="s">
        <v>2633</v>
      </c>
      <c r="C2697">
        <v>82.47</v>
      </c>
      <c r="D2697" t="str">
        <f t="shared" si="121"/>
        <v>270</v>
      </c>
    </row>
    <row r="2698" spans="1:5" x14ac:dyDescent="0.25">
      <c r="A2698" t="str">
        <f>"838270618"</f>
        <v>838270618</v>
      </c>
      <c r="B2698" t="s">
        <v>2634</v>
      </c>
      <c r="C2698">
        <v>194.04</v>
      </c>
      <c r="D2698" t="str">
        <f t="shared" si="121"/>
        <v>270</v>
      </c>
    </row>
    <row r="2699" spans="1:5" x14ac:dyDescent="0.25">
      <c r="A2699" t="str">
        <f>"838270619"</f>
        <v>838270619</v>
      </c>
      <c r="B2699" t="s">
        <v>2635</v>
      </c>
      <c r="C2699">
        <v>99.61</v>
      </c>
      <c r="D2699" t="str">
        <f t="shared" si="121"/>
        <v>270</v>
      </c>
    </row>
    <row r="2700" spans="1:5" x14ac:dyDescent="0.25">
      <c r="A2700" t="str">
        <f>"838270620"</f>
        <v>838270620</v>
      </c>
      <c r="B2700" t="s">
        <v>2636</v>
      </c>
      <c r="C2700">
        <v>55</v>
      </c>
      <c r="D2700" t="str">
        <f t="shared" si="121"/>
        <v>270</v>
      </c>
    </row>
    <row r="2701" spans="1:5" x14ac:dyDescent="0.25">
      <c r="A2701" t="str">
        <f>"838270621"</f>
        <v>838270621</v>
      </c>
      <c r="B2701" t="s">
        <v>2637</v>
      </c>
      <c r="C2701">
        <v>322.32</v>
      </c>
      <c r="D2701" t="str">
        <f t="shared" si="121"/>
        <v>270</v>
      </c>
    </row>
    <row r="2702" spans="1:5" x14ac:dyDescent="0.25">
      <c r="A2702" t="str">
        <f>"838270622"</f>
        <v>838270622</v>
      </c>
      <c r="B2702" t="s">
        <v>2638</v>
      </c>
      <c r="C2702">
        <v>123.72</v>
      </c>
      <c r="D2702" t="str">
        <f t="shared" si="121"/>
        <v>270</v>
      </c>
    </row>
    <row r="2703" spans="1:5" x14ac:dyDescent="0.25">
      <c r="A2703" t="str">
        <f>"838270623"</f>
        <v>838270623</v>
      </c>
      <c r="B2703" t="s">
        <v>2639</v>
      </c>
      <c r="C2703">
        <v>110</v>
      </c>
      <c r="D2703" t="str">
        <f t="shared" si="121"/>
        <v>270</v>
      </c>
    </row>
    <row r="2704" spans="1:5" x14ac:dyDescent="0.25">
      <c r="A2704" t="str">
        <f>"838270624"</f>
        <v>838270624</v>
      </c>
      <c r="B2704" t="s">
        <v>2640</v>
      </c>
      <c r="C2704">
        <v>15.4</v>
      </c>
      <c r="D2704" t="str">
        <f t="shared" si="121"/>
        <v>270</v>
      </c>
    </row>
    <row r="2705" spans="1:5" x14ac:dyDescent="0.25">
      <c r="A2705" t="str">
        <f>"838270625"</f>
        <v>838270625</v>
      </c>
      <c r="B2705" t="s">
        <v>2641</v>
      </c>
      <c r="C2705">
        <v>80.98</v>
      </c>
      <c r="D2705" t="str">
        <f t="shared" si="121"/>
        <v>270</v>
      </c>
    </row>
    <row r="2706" spans="1:5" x14ac:dyDescent="0.25">
      <c r="A2706" t="str">
        <f>"838270626"</f>
        <v>838270626</v>
      </c>
      <c r="B2706" t="s">
        <v>2642</v>
      </c>
      <c r="C2706">
        <v>47.67</v>
      </c>
      <c r="D2706" t="str">
        <f t="shared" si="121"/>
        <v>270</v>
      </c>
    </row>
    <row r="2707" spans="1:5" x14ac:dyDescent="0.25">
      <c r="A2707" t="str">
        <f>"838270627"</f>
        <v>838270627</v>
      </c>
      <c r="B2707" t="s">
        <v>2643</v>
      </c>
      <c r="C2707">
        <v>8.83</v>
      </c>
      <c r="D2707" t="str">
        <f t="shared" si="121"/>
        <v>270</v>
      </c>
    </row>
    <row r="2708" spans="1:5" x14ac:dyDescent="0.25">
      <c r="A2708" t="str">
        <f>"838270628"</f>
        <v>838270628</v>
      </c>
      <c r="B2708" t="s">
        <v>2644</v>
      </c>
      <c r="C2708">
        <v>26.93</v>
      </c>
      <c r="D2708" t="str">
        <f t="shared" si="121"/>
        <v>270</v>
      </c>
    </row>
    <row r="2709" spans="1:5" x14ac:dyDescent="0.25">
      <c r="A2709" t="str">
        <f>"838270629"</f>
        <v>838270629</v>
      </c>
      <c r="B2709" t="s">
        <v>2645</v>
      </c>
      <c r="C2709">
        <v>357.5</v>
      </c>
      <c r="D2709" t="str">
        <f t="shared" si="121"/>
        <v>270</v>
      </c>
    </row>
    <row r="2710" spans="1:5" x14ac:dyDescent="0.25">
      <c r="A2710" t="str">
        <f>"838270630"</f>
        <v>838270630</v>
      </c>
      <c r="B2710" t="s">
        <v>2646</v>
      </c>
      <c r="C2710">
        <v>39.880000000000003</v>
      </c>
      <c r="D2710" t="str">
        <f t="shared" si="121"/>
        <v>270</v>
      </c>
    </row>
    <row r="2711" spans="1:5" x14ac:dyDescent="0.25">
      <c r="A2711" t="str">
        <f>"838270631"</f>
        <v>838270631</v>
      </c>
      <c r="B2711" t="s">
        <v>2647</v>
      </c>
      <c r="C2711">
        <v>76.709999999999994</v>
      </c>
      <c r="D2711" t="str">
        <f t="shared" si="121"/>
        <v>270</v>
      </c>
    </row>
    <row r="2712" spans="1:5" x14ac:dyDescent="0.25">
      <c r="A2712" t="str">
        <f>"838270632"</f>
        <v>838270632</v>
      </c>
      <c r="B2712" t="s">
        <v>2648</v>
      </c>
      <c r="C2712">
        <v>107.18</v>
      </c>
      <c r="D2712" t="str">
        <f t="shared" si="121"/>
        <v>270</v>
      </c>
    </row>
    <row r="2713" spans="1:5" x14ac:dyDescent="0.25">
      <c r="A2713" t="str">
        <f>"838270633"</f>
        <v>838270633</v>
      </c>
      <c r="B2713" t="s">
        <v>2649</v>
      </c>
      <c r="C2713">
        <v>48.35</v>
      </c>
      <c r="D2713" t="str">
        <f t="shared" si="121"/>
        <v>270</v>
      </c>
    </row>
    <row r="2714" spans="1:5" x14ac:dyDescent="0.25">
      <c r="A2714" t="str">
        <f>"838270634"</f>
        <v>838270634</v>
      </c>
      <c r="B2714" t="s">
        <v>2650</v>
      </c>
      <c r="C2714">
        <v>89.76</v>
      </c>
      <c r="D2714" t="str">
        <f t="shared" si="121"/>
        <v>270</v>
      </c>
    </row>
    <row r="2715" spans="1:5" x14ac:dyDescent="0.25">
      <c r="A2715" t="str">
        <f>"838270635"</f>
        <v>838270635</v>
      </c>
      <c r="B2715" t="s">
        <v>2651</v>
      </c>
      <c r="C2715">
        <v>575.19000000000005</v>
      </c>
      <c r="D2715" t="str">
        <f t="shared" si="121"/>
        <v>270</v>
      </c>
    </row>
    <row r="2716" spans="1:5" x14ac:dyDescent="0.25">
      <c r="A2716" t="str">
        <f>"838270636"</f>
        <v>838270636</v>
      </c>
      <c r="B2716" t="s">
        <v>2652</v>
      </c>
      <c r="C2716">
        <v>162.86000000000001</v>
      </c>
      <c r="D2716" t="str">
        <f t="shared" si="121"/>
        <v>270</v>
      </c>
    </row>
    <row r="2717" spans="1:5" x14ac:dyDescent="0.25">
      <c r="A2717" t="str">
        <f>"838270637"</f>
        <v>838270637</v>
      </c>
      <c r="B2717" t="s">
        <v>2653</v>
      </c>
      <c r="C2717">
        <v>204.23</v>
      </c>
      <c r="D2717" t="str">
        <f t="shared" si="121"/>
        <v>270</v>
      </c>
    </row>
    <row r="2718" spans="1:5" x14ac:dyDescent="0.25">
      <c r="A2718" t="str">
        <f>"838270638"</f>
        <v>838270638</v>
      </c>
      <c r="B2718" t="s">
        <v>2654</v>
      </c>
      <c r="C2718" s="1">
        <v>1992.38</v>
      </c>
      <c r="D2718" t="str">
        <f t="shared" si="121"/>
        <v>270</v>
      </c>
    </row>
    <row r="2719" spans="1:5" x14ac:dyDescent="0.25">
      <c r="A2719" t="str">
        <f>"838270639"</f>
        <v>838270639</v>
      </c>
      <c r="B2719" t="s">
        <v>2655</v>
      </c>
      <c r="C2719">
        <v>165</v>
      </c>
      <c r="D2719" t="str">
        <f t="shared" si="121"/>
        <v>270</v>
      </c>
      <c r="E2719" t="str">
        <f>"E0191"</f>
        <v>E0191</v>
      </c>
    </row>
    <row r="2720" spans="1:5" x14ac:dyDescent="0.25">
      <c r="A2720" t="str">
        <f>"838270640"</f>
        <v>838270640</v>
      </c>
      <c r="B2720" t="s">
        <v>2656</v>
      </c>
      <c r="C2720">
        <v>47.51</v>
      </c>
      <c r="D2720" t="str">
        <f t="shared" si="121"/>
        <v>270</v>
      </c>
      <c r="E2720" t="str">
        <f>"A4570"</f>
        <v>A4570</v>
      </c>
    </row>
    <row r="2721" spans="1:5" x14ac:dyDescent="0.25">
      <c r="A2721" t="str">
        <f>"838270642"</f>
        <v>838270642</v>
      </c>
      <c r="B2721" t="s">
        <v>2657</v>
      </c>
      <c r="C2721">
        <v>794.27</v>
      </c>
      <c r="D2721" t="str">
        <f>"272"</f>
        <v>272</v>
      </c>
      <c r="E2721" t="str">
        <f>"C1751"</f>
        <v>C1751</v>
      </c>
    </row>
    <row r="2722" spans="1:5" x14ac:dyDescent="0.25">
      <c r="A2722" t="str">
        <f>"838270643"</f>
        <v>838270643</v>
      </c>
      <c r="B2722" t="s">
        <v>2658</v>
      </c>
      <c r="C2722">
        <v>452.76</v>
      </c>
      <c r="D2722" t="str">
        <f>"272"</f>
        <v>272</v>
      </c>
    </row>
    <row r="2723" spans="1:5" x14ac:dyDescent="0.25">
      <c r="A2723" t="str">
        <f>"838270644"</f>
        <v>838270644</v>
      </c>
      <c r="B2723" t="s">
        <v>2659</v>
      </c>
      <c r="C2723">
        <v>339.57</v>
      </c>
      <c r="D2723" t="str">
        <f>"272"</f>
        <v>272</v>
      </c>
    </row>
    <row r="2724" spans="1:5" x14ac:dyDescent="0.25">
      <c r="A2724" t="str">
        <f>"838270647"</f>
        <v>838270647</v>
      </c>
      <c r="B2724" t="s">
        <v>2660</v>
      </c>
      <c r="C2724">
        <v>282.98</v>
      </c>
      <c r="D2724" t="str">
        <f>"278"</f>
        <v>278</v>
      </c>
    </row>
    <row r="2725" spans="1:5" x14ac:dyDescent="0.25">
      <c r="A2725" t="str">
        <f>"838270648"</f>
        <v>838270648</v>
      </c>
      <c r="B2725" t="s">
        <v>2661</v>
      </c>
      <c r="C2725">
        <v>34.65</v>
      </c>
      <c r="D2725" t="str">
        <f>"274"</f>
        <v>274</v>
      </c>
      <c r="E2725" t="str">
        <f>"L3670"</f>
        <v>L3670</v>
      </c>
    </row>
    <row r="2726" spans="1:5" x14ac:dyDescent="0.25">
      <c r="A2726" t="str">
        <f>"838270649"</f>
        <v>838270649</v>
      </c>
      <c r="B2726" t="s">
        <v>2662</v>
      </c>
      <c r="C2726">
        <v>80.849999999999994</v>
      </c>
      <c r="D2726" t="str">
        <f>"272"</f>
        <v>272</v>
      </c>
    </row>
    <row r="2727" spans="1:5" x14ac:dyDescent="0.25">
      <c r="A2727" t="str">
        <f>"838270650"</f>
        <v>838270650</v>
      </c>
      <c r="B2727" t="s">
        <v>2663</v>
      </c>
      <c r="C2727" s="1">
        <v>3860.49</v>
      </c>
      <c r="D2727" t="str">
        <f>"278"</f>
        <v>278</v>
      </c>
    </row>
    <row r="2728" spans="1:5" x14ac:dyDescent="0.25">
      <c r="A2728" t="str">
        <f>"838270651"</f>
        <v>838270651</v>
      </c>
      <c r="B2728" t="s">
        <v>2664</v>
      </c>
      <c r="C2728">
        <v>315.01</v>
      </c>
      <c r="D2728" t="str">
        <f>"270"</f>
        <v>270</v>
      </c>
    </row>
    <row r="2729" spans="1:5" x14ac:dyDescent="0.25">
      <c r="A2729" t="str">
        <f>"838270653"</f>
        <v>838270653</v>
      </c>
      <c r="B2729" t="s">
        <v>1701</v>
      </c>
      <c r="C2729">
        <v>63.53</v>
      </c>
      <c r="D2729" t="str">
        <f>"271"</f>
        <v>271</v>
      </c>
    </row>
    <row r="2730" spans="1:5" x14ac:dyDescent="0.25">
      <c r="A2730" t="str">
        <f>"838270662"</f>
        <v>838270662</v>
      </c>
      <c r="B2730" t="s">
        <v>2665</v>
      </c>
      <c r="C2730">
        <v>315.32</v>
      </c>
      <c r="D2730" t="str">
        <f>"272"</f>
        <v>272</v>
      </c>
    </row>
    <row r="2731" spans="1:5" x14ac:dyDescent="0.25">
      <c r="A2731" t="str">
        <f>"838270669"</f>
        <v>838270669</v>
      </c>
      <c r="B2731" t="s">
        <v>2666</v>
      </c>
      <c r="C2731">
        <v>571.73</v>
      </c>
      <c r="D2731" t="str">
        <f>"272"</f>
        <v>272</v>
      </c>
    </row>
    <row r="2732" spans="1:5" x14ac:dyDescent="0.25">
      <c r="A2732" t="str">
        <f>"838270671"</f>
        <v>838270671</v>
      </c>
      <c r="B2732" t="s">
        <v>2667</v>
      </c>
      <c r="C2732">
        <v>259.88</v>
      </c>
      <c r="D2732" t="str">
        <f>"272"</f>
        <v>272</v>
      </c>
    </row>
    <row r="2733" spans="1:5" x14ac:dyDescent="0.25">
      <c r="A2733" t="str">
        <f>"838270672"</f>
        <v>838270672</v>
      </c>
      <c r="B2733" t="s">
        <v>2668</v>
      </c>
      <c r="C2733">
        <v>69.3</v>
      </c>
      <c r="D2733" t="str">
        <f>"278"</f>
        <v>278</v>
      </c>
      <c r="E2733" t="str">
        <f>"C1713"</f>
        <v>C1713</v>
      </c>
    </row>
    <row r="2734" spans="1:5" x14ac:dyDescent="0.25">
      <c r="A2734" t="str">
        <f>"838270674"</f>
        <v>838270674</v>
      </c>
      <c r="B2734" t="s">
        <v>2669</v>
      </c>
      <c r="C2734">
        <v>51.98</v>
      </c>
      <c r="D2734" t="str">
        <f>"271"</f>
        <v>271</v>
      </c>
    </row>
    <row r="2735" spans="1:5" x14ac:dyDescent="0.25">
      <c r="A2735" t="str">
        <f>"838270680"</f>
        <v>838270680</v>
      </c>
      <c r="B2735" t="s">
        <v>2670</v>
      </c>
      <c r="C2735">
        <v>440</v>
      </c>
      <c r="D2735" t="str">
        <f t="shared" ref="D2735:D2760" si="122">"270"</f>
        <v>270</v>
      </c>
    </row>
    <row r="2736" spans="1:5" x14ac:dyDescent="0.25">
      <c r="A2736" t="str">
        <f>"838270702"</f>
        <v>838270702</v>
      </c>
      <c r="B2736" t="s">
        <v>2671</v>
      </c>
      <c r="C2736">
        <v>22</v>
      </c>
      <c r="D2736" t="str">
        <f t="shared" si="122"/>
        <v>270</v>
      </c>
    </row>
    <row r="2737" spans="1:4" x14ac:dyDescent="0.25">
      <c r="A2737" t="str">
        <f>"838270703"</f>
        <v>838270703</v>
      </c>
      <c r="B2737" t="s">
        <v>2672</v>
      </c>
      <c r="C2737">
        <v>178.48</v>
      </c>
      <c r="D2737" t="str">
        <f t="shared" si="122"/>
        <v>270</v>
      </c>
    </row>
    <row r="2738" spans="1:4" x14ac:dyDescent="0.25">
      <c r="A2738" t="str">
        <f>"838270704"</f>
        <v>838270704</v>
      </c>
      <c r="B2738" t="s">
        <v>2673</v>
      </c>
      <c r="C2738">
        <v>75.900000000000006</v>
      </c>
      <c r="D2738" t="str">
        <f t="shared" si="122"/>
        <v>270</v>
      </c>
    </row>
    <row r="2739" spans="1:4" x14ac:dyDescent="0.25">
      <c r="A2739" t="str">
        <f>"838270705"</f>
        <v>838270705</v>
      </c>
      <c r="B2739" t="s">
        <v>2674</v>
      </c>
      <c r="C2739">
        <v>54.51</v>
      </c>
      <c r="D2739" t="str">
        <f t="shared" si="122"/>
        <v>270</v>
      </c>
    </row>
    <row r="2740" spans="1:4" x14ac:dyDescent="0.25">
      <c r="A2740" t="str">
        <f>"838270707"</f>
        <v>838270707</v>
      </c>
      <c r="B2740" t="s">
        <v>2675</v>
      </c>
      <c r="C2740">
        <v>14.19</v>
      </c>
      <c r="D2740" t="str">
        <f t="shared" si="122"/>
        <v>270</v>
      </c>
    </row>
    <row r="2741" spans="1:4" x14ac:dyDescent="0.25">
      <c r="A2741" t="str">
        <f>"838270710"</f>
        <v>838270710</v>
      </c>
      <c r="B2741" t="s">
        <v>2676</v>
      </c>
      <c r="C2741">
        <v>31.9</v>
      </c>
      <c r="D2741" t="str">
        <f t="shared" si="122"/>
        <v>270</v>
      </c>
    </row>
    <row r="2742" spans="1:4" x14ac:dyDescent="0.25">
      <c r="A2742" t="str">
        <f>"838270711"</f>
        <v>838270711</v>
      </c>
      <c r="B2742" t="s">
        <v>2677</v>
      </c>
      <c r="C2742">
        <v>11.28</v>
      </c>
      <c r="D2742" t="str">
        <f t="shared" si="122"/>
        <v>270</v>
      </c>
    </row>
    <row r="2743" spans="1:4" x14ac:dyDescent="0.25">
      <c r="A2743" t="str">
        <f>"838270712"</f>
        <v>838270712</v>
      </c>
      <c r="B2743" t="s">
        <v>2678</v>
      </c>
      <c r="C2743">
        <v>46.75</v>
      </c>
      <c r="D2743" t="str">
        <f t="shared" si="122"/>
        <v>270</v>
      </c>
    </row>
    <row r="2744" spans="1:4" x14ac:dyDescent="0.25">
      <c r="A2744" t="str">
        <f>"838270713"</f>
        <v>838270713</v>
      </c>
      <c r="B2744" t="s">
        <v>2679</v>
      </c>
      <c r="C2744">
        <v>10.23</v>
      </c>
      <c r="D2744" t="str">
        <f t="shared" si="122"/>
        <v>270</v>
      </c>
    </row>
    <row r="2745" spans="1:4" x14ac:dyDescent="0.25">
      <c r="A2745" t="str">
        <f>"838270714"</f>
        <v>838270714</v>
      </c>
      <c r="B2745" t="s">
        <v>2680</v>
      </c>
      <c r="C2745">
        <v>11.17</v>
      </c>
      <c r="D2745" t="str">
        <f t="shared" si="122"/>
        <v>270</v>
      </c>
    </row>
    <row r="2746" spans="1:4" x14ac:dyDescent="0.25">
      <c r="A2746" t="str">
        <f>"838270800"</f>
        <v>838270800</v>
      </c>
      <c r="B2746" t="s">
        <v>2681</v>
      </c>
      <c r="C2746">
        <v>550</v>
      </c>
      <c r="D2746" t="str">
        <f t="shared" si="122"/>
        <v>270</v>
      </c>
    </row>
    <row r="2747" spans="1:4" x14ac:dyDescent="0.25">
      <c r="A2747" t="str">
        <f>"838270801"</f>
        <v>838270801</v>
      </c>
      <c r="B2747" t="s">
        <v>2682</v>
      </c>
      <c r="C2747">
        <v>18.149999999999999</v>
      </c>
      <c r="D2747" t="str">
        <f t="shared" si="122"/>
        <v>270</v>
      </c>
    </row>
    <row r="2748" spans="1:4" x14ac:dyDescent="0.25">
      <c r="A2748" t="str">
        <f>"838270802"</f>
        <v>838270802</v>
      </c>
      <c r="B2748" t="s">
        <v>2683</v>
      </c>
      <c r="C2748">
        <v>17.71</v>
      </c>
      <c r="D2748" t="str">
        <f t="shared" si="122"/>
        <v>270</v>
      </c>
    </row>
    <row r="2749" spans="1:4" x14ac:dyDescent="0.25">
      <c r="A2749" t="str">
        <f>"838270803"</f>
        <v>838270803</v>
      </c>
      <c r="B2749" t="s">
        <v>2672</v>
      </c>
      <c r="C2749">
        <v>356.95</v>
      </c>
      <c r="D2749" t="str">
        <f t="shared" si="122"/>
        <v>270</v>
      </c>
    </row>
    <row r="2750" spans="1:4" x14ac:dyDescent="0.25">
      <c r="A2750" t="str">
        <f>"838270804"</f>
        <v>838270804</v>
      </c>
      <c r="B2750" t="s">
        <v>2684</v>
      </c>
      <c r="C2750">
        <v>65.45</v>
      </c>
      <c r="D2750" t="str">
        <f t="shared" si="122"/>
        <v>270</v>
      </c>
    </row>
    <row r="2751" spans="1:4" x14ac:dyDescent="0.25">
      <c r="A2751" t="str">
        <f>"838270805"</f>
        <v>838270805</v>
      </c>
      <c r="B2751" t="s">
        <v>2685</v>
      </c>
      <c r="C2751">
        <v>73.7</v>
      </c>
      <c r="D2751" t="str">
        <f t="shared" si="122"/>
        <v>270</v>
      </c>
    </row>
    <row r="2752" spans="1:4" x14ac:dyDescent="0.25">
      <c r="A2752" t="str">
        <f>"838270806"</f>
        <v>838270806</v>
      </c>
      <c r="B2752" t="s">
        <v>2686</v>
      </c>
      <c r="C2752">
        <v>75.349999999999994</v>
      </c>
      <c r="D2752" t="str">
        <f t="shared" si="122"/>
        <v>270</v>
      </c>
    </row>
    <row r="2753" spans="1:4" x14ac:dyDescent="0.25">
      <c r="A2753" t="str">
        <f>"838270807"</f>
        <v>838270807</v>
      </c>
      <c r="B2753" t="s">
        <v>2675</v>
      </c>
      <c r="C2753">
        <v>28.38</v>
      </c>
      <c r="D2753" t="str">
        <f t="shared" si="122"/>
        <v>270</v>
      </c>
    </row>
    <row r="2754" spans="1:4" x14ac:dyDescent="0.25">
      <c r="A2754" t="str">
        <f>"838270808"</f>
        <v>838270808</v>
      </c>
      <c r="B2754" t="s">
        <v>2687</v>
      </c>
      <c r="C2754">
        <v>74.8</v>
      </c>
      <c r="D2754" t="str">
        <f t="shared" si="122"/>
        <v>270</v>
      </c>
    </row>
    <row r="2755" spans="1:4" x14ac:dyDescent="0.25">
      <c r="A2755" t="str">
        <f>"838270809"</f>
        <v>838270809</v>
      </c>
      <c r="B2755" t="s">
        <v>2688</v>
      </c>
      <c r="C2755">
        <v>8.91</v>
      </c>
      <c r="D2755" t="str">
        <f t="shared" si="122"/>
        <v>270</v>
      </c>
    </row>
    <row r="2756" spans="1:4" x14ac:dyDescent="0.25">
      <c r="A2756" t="str">
        <f>"83827081"</f>
        <v>83827081</v>
      </c>
      <c r="B2756" t="s">
        <v>2689</v>
      </c>
      <c r="C2756">
        <v>6.38</v>
      </c>
      <c r="D2756" t="str">
        <f t="shared" si="122"/>
        <v>270</v>
      </c>
    </row>
    <row r="2757" spans="1:4" x14ac:dyDescent="0.25">
      <c r="A2757" t="str">
        <f>"838270811"</f>
        <v>838270811</v>
      </c>
      <c r="B2757" t="s">
        <v>2690</v>
      </c>
      <c r="C2757">
        <v>28.05</v>
      </c>
      <c r="D2757" t="str">
        <f t="shared" si="122"/>
        <v>270</v>
      </c>
    </row>
    <row r="2758" spans="1:4" x14ac:dyDescent="0.25">
      <c r="A2758" t="str">
        <f>"838270812"</f>
        <v>838270812</v>
      </c>
      <c r="B2758" t="s">
        <v>2691</v>
      </c>
      <c r="C2758">
        <v>19.8</v>
      </c>
      <c r="D2758" t="str">
        <f t="shared" si="122"/>
        <v>270</v>
      </c>
    </row>
    <row r="2759" spans="1:4" x14ac:dyDescent="0.25">
      <c r="A2759" t="str">
        <f>"838270813"</f>
        <v>838270813</v>
      </c>
      <c r="B2759" t="s">
        <v>2679</v>
      </c>
      <c r="C2759">
        <v>20.46</v>
      </c>
      <c r="D2759" t="str">
        <f t="shared" si="122"/>
        <v>270</v>
      </c>
    </row>
    <row r="2760" spans="1:4" x14ac:dyDescent="0.25">
      <c r="A2760" t="str">
        <f>"838270814"</f>
        <v>838270814</v>
      </c>
      <c r="B2760" t="s">
        <v>2680</v>
      </c>
      <c r="C2760">
        <v>22.33</v>
      </c>
      <c r="D2760" t="str">
        <f t="shared" si="122"/>
        <v>270</v>
      </c>
    </row>
    <row r="2761" spans="1:4" x14ac:dyDescent="0.25">
      <c r="A2761" t="str">
        <f>"838270815"</f>
        <v>838270815</v>
      </c>
      <c r="B2761" t="s">
        <v>2692</v>
      </c>
      <c r="C2761" s="1">
        <v>16269</v>
      </c>
      <c r="D2761" t="str">
        <f>"760"</f>
        <v>760</v>
      </c>
    </row>
    <row r="2762" spans="1:4" x14ac:dyDescent="0.25">
      <c r="A2762" t="str">
        <f>"838270816"</f>
        <v>838270816</v>
      </c>
      <c r="B2762" t="s">
        <v>2693</v>
      </c>
      <c r="C2762" s="1">
        <v>2200</v>
      </c>
      <c r="D2762" t="str">
        <f>"270"</f>
        <v>270</v>
      </c>
    </row>
    <row r="2763" spans="1:4" x14ac:dyDescent="0.25">
      <c r="A2763" t="str">
        <f>"838270817"</f>
        <v>838270817</v>
      </c>
      <c r="B2763" t="s">
        <v>2694</v>
      </c>
      <c r="C2763">
        <v>12.32</v>
      </c>
      <c r="D2763" t="str">
        <f>"272"</f>
        <v>272</v>
      </c>
    </row>
    <row r="2764" spans="1:4" x14ac:dyDescent="0.25">
      <c r="A2764" t="str">
        <f>"838270818"</f>
        <v>838270818</v>
      </c>
      <c r="B2764" t="s">
        <v>2695</v>
      </c>
      <c r="C2764">
        <v>660</v>
      </c>
      <c r="D2764" t="str">
        <f>"760"</f>
        <v>760</v>
      </c>
    </row>
    <row r="2765" spans="1:4" x14ac:dyDescent="0.25">
      <c r="A2765" t="str">
        <f>"838270819"</f>
        <v>838270819</v>
      </c>
      <c r="B2765" t="s">
        <v>2696</v>
      </c>
      <c r="C2765">
        <v>174.24</v>
      </c>
      <c r="D2765" t="str">
        <f>"270"</f>
        <v>270</v>
      </c>
    </row>
    <row r="2766" spans="1:4" x14ac:dyDescent="0.25">
      <c r="A2766" t="str">
        <f>"838270820"</f>
        <v>838270820</v>
      </c>
      <c r="B2766" t="s">
        <v>2697</v>
      </c>
      <c r="C2766">
        <v>3.08</v>
      </c>
      <c r="D2766" t="str">
        <f>"270"</f>
        <v>270</v>
      </c>
    </row>
    <row r="2767" spans="1:4" x14ac:dyDescent="0.25">
      <c r="A2767" t="str">
        <f>"838270821"</f>
        <v>838270821</v>
      </c>
      <c r="B2767" t="s">
        <v>2698</v>
      </c>
      <c r="C2767" s="1">
        <v>4400</v>
      </c>
      <c r="D2767" t="str">
        <f>"360"</f>
        <v>360</v>
      </c>
    </row>
    <row r="2768" spans="1:4" x14ac:dyDescent="0.25">
      <c r="A2768" t="str">
        <f>"838270822"</f>
        <v>838270822</v>
      </c>
      <c r="B2768" t="s">
        <v>2699</v>
      </c>
      <c r="C2768" s="1">
        <v>1430.22</v>
      </c>
      <c r="D2768" t="str">
        <f>"270"</f>
        <v>270</v>
      </c>
    </row>
    <row r="2769" spans="1:4" x14ac:dyDescent="0.25">
      <c r="A2769" t="str">
        <f>"838270823"</f>
        <v>838270823</v>
      </c>
      <c r="B2769" t="s">
        <v>2700</v>
      </c>
      <c r="C2769">
        <v>779.35</v>
      </c>
      <c r="D2769" t="str">
        <f>"360"</f>
        <v>360</v>
      </c>
    </row>
    <row r="2770" spans="1:4" x14ac:dyDescent="0.25">
      <c r="A2770" t="str">
        <f>"838270889"</f>
        <v>838270889</v>
      </c>
      <c r="B2770" t="s">
        <v>2701</v>
      </c>
      <c r="C2770">
        <v>227.54</v>
      </c>
      <c r="D2770" t="str">
        <f>"272"</f>
        <v>272</v>
      </c>
    </row>
    <row r="2771" spans="1:4" x14ac:dyDescent="0.25">
      <c r="A2771" t="str">
        <f>"838270890"</f>
        <v>838270890</v>
      </c>
      <c r="B2771" t="s">
        <v>2702</v>
      </c>
      <c r="C2771">
        <v>214.83</v>
      </c>
      <c r="D2771" t="str">
        <f>"272"</f>
        <v>272</v>
      </c>
    </row>
    <row r="2772" spans="1:4" x14ac:dyDescent="0.25">
      <c r="A2772" t="str">
        <f>"838270891"</f>
        <v>838270891</v>
      </c>
      <c r="B2772" t="s">
        <v>2703</v>
      </c>
      <c r="C2772">
        <v>214.83</v>
      </c>
      <c r="D2772" t="str">
        <f>"272"</f>
        <v>272</v>
      </c>
    </row>
    <row r="2773" spans="1:4" x14ac:dyDescent="0.25">
      <c r="A2773" t="str">
        <f>"838270892"</f>
        <v>838270892</v>
      </c>
      <c r="B2773" t="s">
        <v>2704</v>
      </c>
      <c r="C2773">
        <v>194.62</v>
      </c>
      <c r="D2773" t="str">
        <f>"272"</f>
        <v>272</v>
      </c>
    </row>
    <row r="2774" spans="1:4" x14ac:dyDescent="0.25">
      <c r="A2774" t="str">
        <f>"838270893"</f>
        <v>838270893</v>
      </c>
      <c r="B2774" t="s">
        <v>2705</v>
      </c>
      <c r="C2774">
        <v>61.22</v>
      </c>
      <c r="D2774" t="str">
        <f>"271"</f>
        <v>271</v>
      </c>
    </row>
    <row r="2775" spans="1:4" x14ac:dyDescent="0.25">
      <c r="A2775" t="str">
        <f>"838270895"</f>
        <v>838270895</v>
      </c>
      <c r="B2775" t="s">
        <v>2706</v>
      </c>
      <c r="C2775">
        <v>67.28</v>
      </c>
      <c r="D2775" t="str">
        <f>"272"</f>
        <v>272</v>
      </c>
    </row>
    <row r="2776" spans="1:4" x14ac:dyDescent="0.25">
      <c r="A2776" t="str">
        <f>"838270896"</f>
        <v>838270896</v>
      </c>
      <c r="B2776" t="s">
        <v>2707</v>
      </c>
      <c r="C2776">
        <v>629.32000000000005</v>
      </c>
      <c r="D2776" t="str">
        <f>"270"</f>
        <v>270</v>
      </c>
    </row>
    <row r="2777" spans="1:4" x14ac:dyDescent="0.25">
      <c r="A2777" t="str">
        <f>"838270897"</f>
        <v>838270897</v>
      </c>
      <c r="B2777" t="s">
        <v>2708</v>
      </c>
      <c r="C2777">
        <v>323.39999999999998</v>
      </c>
      <c r="D2777" t="str">
        <f t="shared" ref="D2777:D2786" si="123">"272"</f>
        <v>272</v>
      </c>
    </row>
    <row r="2778" spans="1:4" x14ac:dyDescent="0.25">
      <c r="A2778" t="str">
        <f>"838270898"</f>
        <v>838270898</v>
      </c>
      <c r="B2778" t="s">
        <v>2709</v>
      </c>
      <c r="C2778">
        <v>323.39999999999998</v>
      </c>
      <c r="D2778" t="str">
        <f t="shared" si="123"/>
        <v>272</v>
      </c>
    </row>
    <row r="2779" spans="1:4" x14ac:dyDescent="0.25">
      <c r="A2779" t="str">
        <f>"838270899"</f>
        <v>838270899</v>
      </c>
      <c r="B2779" t="s">
        <v>2710</v>
      </c>
      <c r="C2779">
        <v>323.39999999999998</v>
      </c>
      <c r="D2779" t="str">
        <f t="shared" si="123"/>
        <v>272</v>
      </c>
    </row>
    <row r="2780" spans="1:4" x14ac:dyDescent="0.25">
      <c r="A2780" t="str">
        <f>"838270900"</f>
        <v>838270900</v>
      </c>
      <c r="B2780" t="s">
        <v>2711</v>
      </c>
      <c r="C2780">
        <v>98.18</v>
      </c>
      <c r="D2780" t="str">
        <f t="shared" si="123"/>
        <v>272</v>
      </c>
    </row>
    <row r="2781" spans="1:4" x14ac:dyDescent="0.25">
      <c r="A2781" t="str">
        <f>"838270901"</f>
        <v>838270901</v>
      </c>
      <c r="B2781" t="s">
        <v>2712</v>
      </c>
      <c r="C2781">
        <v>150.15</v>
      </c>
      <c r="D2781" t="str">
        <f t="shared" si="123"/>
        <v>272</v>
      </c>
    </row>
    <row r="2782" spans="1:4" x14ac:dyDescent="0.25">
      <c r="A2782" t="str">
        <f>"838270903"</f>
        <v>838270903</v>
      </c>
      <c r="B2782" t="s">
        <v>2713</v>
      </c>
      <c r="C2782">
        <v>132.54</v>
      </c>
      <c r="D2782" t="str">
        <f t="shared" si="123"/>
        <v>272</v>
      </c>
    </row>
    <row r="2783" spans="1:4" x14ac:dyDescent="0.25">
      <c r="A2783" t="str">
        <f>"838270904"</f>
        <v>838270904</v>
      </c>
      <c r="B2783" t="s">
        <v>2714</v>
      </c>
      <c r="C2783">
        <v>239.09</v>
      </c>
      <c r="D2783" t="str">
        <f t="shared" si="123"/>
        <v>272</v>
      </c>
    </row>
    <row r="2784" spans="1:4" x14ac:dyDescent="0.25">
      <c r="A2784" t="str">
        <f>"838270905"</f>
        <v>838270905</v>
      </c>
      <c r="B2784" t="s">
        <v>2715</v>
      </c>
      <c r="C2784">
        <v>337.26</v>
      </c>
      <c r="D2784" t="str">
        <f t="shared" si="123"/>
        <v>272</v>
      </c>
    </row>
    <row r="2785" spans="1:5" x14ac:dyDescent="0.25">
      <c r="A2785" t="str">
        <f>"838270993"</f>
        <v>838270993</v>
      </c>
      <c r="B2785" t="s">
        <v>2716</v>
      </c>
      <c r="C2785">
        <v>198.89</v>
      </c>
      <c r="D2785" t="str">
        <f t="shared" si="123"/>
        <v>272</v>
      </c>
    </row>
    <row r="2786" spans="1:5" x14ac:dyDescent="0.25">
      <c r="A2786" t="str">
        <f>"838270998"</f>
        <v>838270998</v>
      </c>
      <c r="B2786" t="s">
        <v>2717</v>
      </c>
      <c r="C2786">
        <v>27.5</v>
      </c>
      <c r="D2786" t="str">
        <f t="shared" si="123"/>
        <v>272</v>
      </c>
    </row>
    <row r="2787" spans="1:5" x14ac:dyDescent="0.25">
      <c r="A2787" t="str">
        <f>"838271000"</f>
        <v>838271000</v>
      </c>
      <c r="B2787" t="s">
        <v>2718</v>
      </c>
      <c r="C2787">
        <v>23.1</v>
      </c>
      <c r="D2787" t="str">
        <f>"270"</f>
        <v>270</v>
      </c>
    </row>
    <row r="2788" spans="1:5" x14ac:dyDescent="0.25">
      <c r="A2788" t="str">
        <f>"838271001"</f>
        <v>838271001</v>
      </c>
      <c r="B2788" t="s">
        <v>2719</v>
      </c>
      <c r="C2788">
        <v>47.12</v>
      </c>
      <c r="D2788" t="str">
        <f>"271"</f>
        <v>271</v>
      </c>
    </row>
    <row r="2789" spans="1:5" x14ac:dyDescent="0.25">
      <c r="A2789" t="str">
        <f>"838271002"</f>
        <v>838271002</v>
      </c>
      <c r="B2789" t="s">
        <v>2720</v>
      </c>
      <c r="C2789">
        <v>47.12</v>
      </c>
      <c r="D2789" t="str">
        <f>"271"</f>
        <v>271</v>
      </c>
    </row>
    <row r="2790" spans="1:5" x14ac:dyDescent="0.25">
      <c r="A2790" t="str">
        <f>"838271007"</f>
        <v>838271007</v>
      </c>
      <c r="B2790" t="s">
        <v>2721</v>
      </c>
      <c r="C2790">
        <v>47.12</v>
      </c>
      <c r="D2790" t="str">
        <f>"271"</f>
        <v>271</v>
      </c>
    </row>
    <row r="2791" spans="1:5" x14ac:dyDescent="0.25">
      <c r="A2791" t="str">
        <f>"838271009"</f>
        <v>838271009</v>
      </c>
      <c r="B2791" t="s">
        <v>2722</v>
      </c>
      <c r="C2791">
        <v>417.24</v>
      </c>
      <c r="D2791" t="str">
        <f>"272"</f>
        <v>272</v>
      </c>
    </row>
    <row r="2792" spans="1:5" x14ac:dyDescent="0.25">
      <c r="A2792" t="str">
        <f>"838271010"</f>
        <v>838271010</v>
      </c>
      <c r="B2792" t="s">
        <v>2723</v>
      </c>
      <c r="C2792">
        <v>55</v>
      </c>
      <c r="D2792" t="str">
        <f>"270"</f>
        <v>270</v>
      </c>
    </row>
    <row r="2793" spans="1:5" x14ac:dyDescent="0.25">
      <c r="A2793" t="str">
        <f>"838271011"</f>
        <v>838271011</v>
      </c>
      <c r="B2793" t="s">
        <v>2724</v>
      </c>
      <c r="C2793" s="1">
        <v>1656.27</v>
      </c>
      <c r="D2793" t="str">
        <f>"278"</f>
        <v>278</v>
      </c>
      <c r="E2793" t="str">
        <f>"C1768"</f>
        <v>C1768</v>
      </c>
    </row>
    <row r="2794" spans="1:5" x14ac:dyDescent="0.25">
      <c r="A2794" t="str">
        <f>"838271012"</f>
        <v>838271012</v>
      </c>
      <c r="B2794" t="s">
        <v>2725</v>
      </c>
      <c r="C2794">
        <v>52.61</v>
      </c>
      <c r="D2794" t="str">
        <f>"272"</f>
        <v>272</v>
      </c>
    </row>
    <row r="2795" spans="1:5" x14ac:dyDescent="0.25">
      <c r="A2795" t="str">
        <f>"838271027"</f>
        <v>838271027</v>
      </c>
      <c r="B2795" t="s">
        <v>2726</v>
      </c>
      <c r="C2795">
        <v>48.51</v>
      </c>
      <c r="D2795" t="str">
        <f>"272"</f>
        <v>272</v>
      </c>
    </row>
    <row r="2796" spans="1:5" x14ac:dyDescent="0.25">
      <c r="A2796" t="str">
        <f>"838271030"</f>
        <v>838271030</v>
      </c>
      <c r="B2796" t="s">
        <v>2727</v>
      </c>
      <c r="C2796">
        <v>363.13</v>
      </c>
      <c r="D2796" t="str">
        <f>"272"</f>
        <v>272</v>
      </c>
      <c r="E2796" t="str">
        <f>"C1757"</f>
        <v>C1757</v>
      </c>
    </row>
    <row r="2797" spans="1:5" x14ac:dyDescent="0.25">
      <c r="A2797" t="str">
        <f>"838271033"</f>
        <v>838271033</v>
      </c>
      <c r="B2797" t="s">
        <v>2728</v>
      </c>
      <c r="C2797">
        <v>34.65</v>
      </c>
      <c r="D2797" t="str">
        <f>"272"</f>
        <v>272</v>
      </c>
    </row>
    <row r="2798" spans="1:5" x14ac:dyDescent="0.25">
      <c r="A2798" t="str">
        <f>"838271045"</f>
        <v>838271045</v>
      </c>
      <c r="B2798" t="s">
        <v>2729</v>
      </c>
      <c r="C2798">
        <v>259.88</v>
      </c>
      <c r="D2798" t="str">
        <f>"271"</f>
        <v>271</v>
      </c>
    </row>
    <row r="2799" spans="1:5" x14ac:dyDescent="0.25">
      <c r="A2799" t="str">
        <f>"838271048"</f>
        <v>838271048</v>
      </c>
      <c r="B2799" t="s">
        <v>2730</v>
      </c>
      <c r="C2799">
        <v>138.6</v>
      </c>
      <c r="D2799" t="str">
        <f>"278"</f>
        <v>278</v>
      </c>
    </row>
    <row r="2800" spans="1:5" x14ac:dyDescent="0.25">
      <c r="A2800" t="str">
        <f>"838271051"</f>
        <v>838271051</v>
      </c>
      <c r="B2800" t="s">
        <v>2731</v>
      </c>
      <c r="C2800">
        <v>40.049999999999997</v>
      </c>
      <c r="D2800" t="str">
        <f t="shared" ref="D2800:D2805" si="124">"272"</f>
        <v>272</v>
      </c>
    </row>
    <row r="2801" spans="1:5" x14ac:dyDescent="0.25">
      <c r="A2801" t="str">
        <f>"838271057"</f>
        <v>838271057</v>
      </c>
      <c r="B2801" t="s">
        <v>2732</v>
      </c>
      <c r="C2801" s="1">
        <v>1082.74</v>
      </c>
      <c r="D2801" t="str">
        <f t="shared" si="124"/>
        <v>272</v>
      </c>
    </row>
    <row r="2802" spans="1:5" x14ac:dyDescent="0.25">
      <c r="A2802" t="str">
        <f>"838271060"</f>
        <v>838271060</v>
      </c>
      <c r="B2802" t="s">
        <v>2733</v>
      </c>
      <c r="C2802">
        <v>245.32</v>
      </c>
      <c r="D2802" t="str">
        <f t="shared" si="124"/>
        <v>272</v>
      </c>
    </row>
    <row r="2803" spans="1:5" x14ac:dyDescent="0.25">
      <c r="A2803" t="str">
        <f>"838271063"</f>
        <v>838271063</v>
      </c>
      <c r="B2803" t="s">
        <v>2734</v>
      </c>
      <c r="C2803">
        <v>415.8</v>
      </c>
      <c r="D2803" t="str">
        <f t="shared" si="124"/>
        <v>272</v>
      </c>
    </row>
    <row r="2804" spans="1:5" x14ac:dyDescent="0.25">
      <c r="A2804" t="str">
        <f>"838271064"</f>
        <v>838271064</v>
      </c>
      <c r="B2804" t="s">
        <v>2735</v>
      </c>
      <c r="C2804">
        <v>74.84</v>
      </c>
      <c r="D2804" t="str">
        <f t="shared" si="124"/>
        <v>272</v>
      </c>
    </row>
    <row r="2805" spans="1:5" x14ac:dyDescent="0.25">
      <c r="A2805" t="str">
        <f>"838271066"</f>
        <v>838271066</v>
      </c>
      <c r="B2805" t="s">
        <v>2736</v>
      </c>
      <c r="C2805">
        <v>109.29</v>
      </c>
      <c r="D2805" t="str">
        <f t="shared" si="124"/>
        <v>272</v>
      </c>
    </row>
    <row r="2806" spans="1:5" x14ac:dyDescent="0.25">
      <c r="A2806" t="str">
        <f>"838271072"</f>
        <v>838271072</v>
      </c>
      <c r="B2806" t="s">
        <v>2737</v>
      </c>
      <c r="C2806">
        <v>220</v>
      </c>
      <c r="D2806" t="str">
        <f>"270"</f>
        <v>270</v>
      </c>
    </row>
    <row r="2807" spans="1:5" x14ac:dyDescent="0.25">
      <c r="A2807" t="str">
        <f>"838271075"</f>
        <v>838271075</v>
      </c>
      <c r="B2807" t="s">
        <v>2738</v>
      </c>
      <c r="C2807">
        <v>495</v>
      </c>
      <c r="D2807" t="str">
        <f>"270"</f>
        <v>270</v>
      </c>
    </row>
    <row r="2808" spans="1:5" x14ac:dyDescent="0.25">
      <c r="A2808" t="str">
        <f>"838271078"</f>
        <v>838271078</v>
      </c>
      <c r="B2808" t="s">
        <v>2739</v>
      </c>
      <c r="C2808">
        <v>71.5</v>
      </c>
      <c r="D2808" t="str">
        <f>"270"</f>
        <v>270</v>
      </c>
    </row>
    <row r="2809" spans="1:5" x14ac:dyDescent="0.25">
      <c r="A2809" t="str">
        <f>"838271093"</f>
        <v>838271093</v>
      </c>
      <c r="B2809" t="s">
        <v>2740</v>
      </c>
      <c r="C2809">
        <v>291.48</v>
      </c>
      <c r="D2809" t="str">
        <f>"272"</f>
        <v>272</v>
      </c>
    </row>
    <row r="2810" spans="1:5" x14ac:dyDescent="0.25">
      <c r="A2810" t="str">
        <f>"838271096"</f>
        <v>838271096</v>
      </c>
      <c r="B2810" t="s">
        <v>2741</v>
      </c>
      <c r="C2810">
        <v>415.8</v>
      </c>
      <c r="D2810" t="str">
        <f>"272"</f>
        <v>272</v>
      </c>
    </row>
    <row r="2811" spans="1:5" x14ac:dyDescent="0.25">
      <c r="A2811" t="str">
        <f>"838271099"</f>
        <v>838271099</v>
      </c>
      <c r="B2811" t="s">
        <v>2742</v>
      </c>
      <c r="C2811">
        <v>767.84</v>
      </c>
      <c r="D2811" t="str">
        <f>"272"</f>
        <v>272</v>
      </c>
    </row>
    <row r="2812" spans="1:5" x14ac:dyDescent="0.25">
      <c r="A2812" t="str">
        <f>"838271102"</f>
        <v>838271102</v>
      </c>
      <c r="B2812" t="s">
        <v>2743</v>
      </c>
      <c r="C2812">
        <v>365.9</v>
      </c>
      <c r="D2812" t="str">
        <f>"272"</f>
        <v>272</v>
      </c>
    </row>
    <row r="2813" spans="1:5" x14ac:dyDescent="0.25">
      <c r="A2813" t="str">
        <f>"838271105"</f>
        <v>838271105</v>
      </c>
      <c r="B2813" t="s">
        <v>2744</v>
      </c>
      <c r="C2813">
        <v>100.76</v>
      </c>
      <c r="D2813" t="str">
        <f>"272"</f>
        <v>272</v>
      </c>
    </row>
    <row r="2814" spans="1:5" x14ac:dyDescent="0.25">
      <c r="A2814" t="str">
        <f>"838271107"</f>
        <v>838271107</v>
      </c>
      <c r="B2814" t="s">
        <v>2745</v>
      </c>
      <c r="C2814">
        <v>8.5</v>
      </c>
      <c r="D2814" t="str">
        <f>"271"</f>
        <v>271</v>
      </c>
    </row>
    <row r="2815" spans="1:5" x14ac:dyDescent="0.25">
      <c r="A2815" t="str">
        <f>"838271111"</f>
        <v>838271111</v>
      </c>
      <c r="B2815" t="s">
        <v>2746</v>
      </c>
      <c r="C2815">
        <v>942.21</v>
      </c>
      <c r="D2815" t="str">
        <f>"278"</f>
        <v>278</v>
      </c>
      <c r="E2815" t="str">
        <f>"C2617"</f>
        <v>C2617</v>
      </c>
    </row>
    <row r="2816" spans="1:5" x14ac:dyDescent="0.25">
      <c r="A2816" t="str">
        <f>"838271114"</f>
        <v>838271114</v>
      </c>
      <c r="B2816" t="s">
        <v>2747</v>
      </c>
      <c r="C2816">
        <v>85.8</v>
      </c>
      <c r="D2816" t="str">
        <f>"272"</f>
        <v>272</v>
      </c>
    </row>
    <row r="2817" spans="1:4" x14ac:dyDescent="0.25">
      <c r="A2817" t="str">
        <f>"838271127"</f>
        <v>838271127</v>
      </c>
      <c r="B2817" t="s">
        <v>1331</v>
      </c>
      <c r="C2817">
        <v>90.09</v>
      </c>
      <c r="D2817" t="str">
        <f>"271"</f>
        <v>271</v>
      </c>
    </row>
    <row r="2818" spans="1:4" x14ac:dyDescent="0.25">
      <c r="A2818" t="str">
        <f>"838271129"</f>
        <v>838271129</v>
      </c>
      <c r="B2818" t="s">
        <v>2748</v>
      </c>
      <c r="C2818">
        <v>415.8</v>
      </c>
      <c r="D2818" t="str">
        <f>"272"</f>
        <v>272</v>
      </c>
    </row>
    <row r="2819" spans="1:4" x14ac:dyDescent="0.25">
      <c r="A2819" t="str">
        <f>"838271131"</f>
        <v>838271131</v>
      </c>
      <c r="B2819" t="s">
        <v>2749</v>
      </c>
      <c r="C2819">
        <v>69.3</v>
      </c>
      <c r="D2819" t="str">
        <f>"271"</f>
        <v>271</v>
      </c>
    </row>
    <row r="2820" spans="1:4" x14ac:dyDescent="0.25">
      <c r="A2820" t="str">
        <f>"838271132"</f>
        <v>838271132</v>
      </c>
      <c r="B2820" t="s">
        <v>2750</v>
      </c>
      <c r="C2820">
        <v>22.18</v>
      </c>
      <c r="D2820" t="str">
        <f>"272"</f>
        <v>272</v>
      </c>
    </row>
    <row r="2821" spans="1:4" x14ac:dyDescent="0.25">
      <c r="A2821" t="str">
        <f>"838271133"</f>
        <v>838271133</v>
      </c>
      <c r="B2821" t="s">
        <v>2751</v>
      </c>
      <c r="C2821">
        <v>145.21</v>
      </c>
      <c r="D2821" t="str">
        <f>"272"</f>
        <v>272</v>
      </c>
    </row>
    <row r="2822" spans="1:4" x14ac:dyDescent="0.25">
      <c r="A2822" t="str">
        <f>"838271137"</f>
        <v>838271137</v>
      </c>
      <c r="B2822" t="s">
        <v>2050</v>
      </c>
      <c r="C2822">
        <v>55</v>
      </c>
      <c r="D2822" t="str">
        <f>"272"</f>
        <v>272</v>
      </c>
    </row>
    <row r="2823" spans="1:4" x14ac:dyDescent="0.25">
      <c r="A2823" t="str">
        <f>"838271138"</f>
        <v>838271138</v>
      </c>
      <c r="B2823" t="s">
        <v>2752</v>
      </c>
      <c r="C2823">
        <v>228.8</v>
      </c>
      <c r="D2823" t="str">
        <f>"272"</f>
        <v>272</v>
      </c>
    </row>
    <row r="2824" spans="1:4" x14ac:dyDescent="0.25">
      <c r="A2824" t="str">
        <f>"838271141"</f>
        <v>838271141</v>
      </c>
      <c r="B2824" t="s">
        <v>2753</v>
      </c>
      <c r="C2824">
        <v>88</v>
      </c>
      <c r="D2824" t="str">
        <f>"272"</f>
        <v>272</v>
      </c>
    </row>
    <row r="2825" spans="1:4" x14ac:dyDescent="0.25">
      <c r="A2825" t="str">
        <f>"838271153"</f>
        <v>838271153</v>
      </c>
      <c r="B2825" t="s">
        <v>2754</v>
      </c>
      <c r="C2825">
        <v>110</v>
      </c>
      <c r="D2825" t="str">
        <f>"270"</f>
        <v>270</v>
      </c>
    </row>
    <row r="2826" spans="1:4" x14ac:dyDescent="0.25">
      <c r="A2826" t="str">
        <f>"838271156"</f>
        <v>838271156</v>
      </c>
      <c r="B2826" t="s">
        <v>2755</v>
      </c>
      <c r="C2826">
        <v>232.85</v>
      </c>
      <c r="D2826" t="str">
        <f>"272"</f>
        <v>272</v>
      </c>
    </row>
    <row r="2827" spans="1:4" x14ac:dyDescent="0.25">
      <c r="A2827" t="str">
        <f>"838271157"</f>
        <v>838271157</v>
      </c>
      <c r="B2827" t="s">
        <v>2756</v>
      </c>
      <c r="C2827">
        <v>55.88</v>
      </c>
      <c r="D2827" t="str">
        <f>"272"</f>
        <v>272</v>
      </c>
    </row>
    <row r="2828" spans="1:4" x14ac:dyDescent="0.25">
      <c r="A2828" t="str">
        <f>"838271159"</f>
        <v>838271159</v>
      </c>
      <c r="B2828" t="s">
        <v>2757</v>
      </c>
      <c r="C2828">
        <v>207.9</v>
      </c>
      <c r="D2828" t="str">
        <f>"272"</f>
        <v>272</v>
      </c>
    </row>
    <row r="2829" spans="1:4" x14ac:dyDescent="0.25">
      <c r="A2829" t="str">
        <f>"838271162"</f>
        <v>838271162</v>
      </c>
      <c r="B2829" t="s">
        <v>2758</v>
      </c>
      <c r="C2829">
        <v>162.58000000000001</v>
      </c>
      <c r="D2829" t="str">
        <f>"272"</f>
        <v>272</v>
      </c>
    </row>
    <row r="2830" spans="1:4" x14ac:dyDescent="0.25">
      <c r="A2830" t="str">
        <f>"838271173"</f>
        <v>838271173</v>
      </c>
      <c r="B2830" t="s">
        <v>2759</v>
      </c>
      <c r="C2830">
        <v>42.13</v>
      </c>
      <c r="D2830" t="str">
        <f>"271"</f>
        <v>271</v>
      </c>
    </row>
    <row r="2831" spans="1:4" x14ac:dyDescent="0.25">
      <c r="A2831" t="str">
        <f>"838271186"</f>
        <v>838271186</v>
      </c>
      <c r="B2831" t="s">
        <v>2760</v>
      </c>
      <c r="C2831">
        <v>27.06</v>
      </c>
      <c r="D2831" t="str">
        <f>"270"</f>
        <v>270</v>
      </c>
    </row>
    <row r="2832" spans="1:4" x14ac:dyDescent="0.25">
      <c r="A2832" t="str">
        <f>"838271189"</f>
        <v>838271189</v>
      </c>
      <c r="B2832" t="s">
        <v>2761</v>
      </c>
      <c r="C2832">
        <v>6.49</v>
      </c>
      <c r="D2832" t="str">
        <f>"270"</f>
        <v>270</v>
      </c>
    </row>
    <row r="2833" spans="1:4" x14ac:dyDescent="0.25">
      <c r="A2833" t="str">
        <f>"838271195"</f>
        <v>838271195</v>
      </c>
      <c r="B2833" t="s">
        <v>2762</v>
      </c>
      <c r="C2833">
        <v>658.35</v>
      </c>
      <c r="D2833" t="str">
        <f>"272"</f>
        <v>272</v>
      </c>
    </row>
    <row r="2834" spans="1:4" x14ac:dyDescent="0.25">
      <c r="A2834" t="str">
        <f>"838271202"</f>
        <v>838271202</v>
      </c>
      <c r="B2834" t="s">
        <v>2763</v>
      </c>
      <c r="C2834">
        <v>38.81</v>
      </c>
      <c r="D2834" t="str">
        <f>"270"</f>
        <v>270</v>
      </c>
    </row>
    <row r="2835" spans="1:4" x14ac:dyDescent="0.25">
      <c r="A2835" t="str">
        <f>"838271205"</f>
        <v>838271205</v>
      </c>
      <c r="B2835" t="s">
        <v>1722</v>
      </c>
      <c r="C2835">
        <v>55.79</v>
      </c>
      <c r="D2835" t="str">
        <f>"270"</f>
        <v>270</v>
      </c>
    </row>
    <row r="2836" spans="1:4" x14ac:dyDescent="0.25">
      <c r="A2836" t="str">
        <f>"838271206"</f>
        <v>838271206</v>
      </c>
      <c r="B2836" t="s">
        <v>2764</v>
      </c>
      <c r="C2836">
        <v>13.95</v>
      </c>
      <c r="D2836" t="str">
        <f>"270"</f>
        <v>270</v>
      </c>
    </row>
    <row r="2837" spans="1:4" x14ac:dyDescent="0.25">
      <c r="A2837" t="str">
        <f>"838271208"</f>
        <v>838271208</v>
      </c>
      <c r="B2837" t="s">
        <v>2765</v>
      </c>
      <c r="C2837">
        <v>448.14</v>
      </c>
      <c r="D2837" t="str">
        <f>"272"</f>
        <v>272</v>
      </c>
    </row>
    <row r="2838" spans="1:4" x14ac:dyDescent="0.25">
      <c r="A2838" t="str">
        <f>"838271209"</f>
        <v>838271209</v>
      </c>
      <c r="B2838" t="s">
        <v>2766</v>
      </c>
      <c r="C2838">
        <v>34.65</v>
      </c>
      <c r="D2838" t="str">
        <f>"271"</f>
        <v>271</v>
      </c>
    </row>
    <row r="2839" spans="1:4" x14ac:dyDescent="0.25">
      <c r="A2839" t="str">
        <f>"838271220"</f>
        <v>838271220</v>
      </c>
      <c r="B2839" t="s">
        <v>2767</v>
      </c>
      <c r="C2839">
        <v>630.63</v>
      </c>
      <c r="D2839" t="str">
        <f>"272"</f>
        <v>272</v>
      </c>
    </row>
    <row r="2840" spans="1:4" x14ac:dyDescent="0.25">
      <c r="A2840" t="str">
        <f>"838271225"</f>
        <v>838271225</v>
      </c>
      <c r="B2840" t="s">
        <v>2768</v>
      </c>
      <c r="C2840">
        <v>108.39</v>
      </c>
      <c r="D2840" t="str">
        <f>"272"</f>
        <v>272</v>
      </c>
    </row>
    <row r="2841" spans="1:4" x14ac:dyDescent="0.25">
      <c r="A2841" t="str">
        <f>"838271228"</f>
        <v>838271228</v>
      </c>
      <c r="B2841" t="s">
        <v>2769</v>
      </c>
      <c r="C2841">
        <v>110.61</v>
      </c>
      <c r="D2841" t="str">
        <f>"278"</f>
        <v>278</v>
      </c>
    </row>
    <row r="2842" spans="1:4" x14ac:dyDescent="0.25">
      <c r="A2842" t="str">
        <f>"838271231"</f>
        <v>838271231</v>
      </c>
      <c r="B2842" t="s">
        <v>495</v>
      </c>
      <c r="C2842">
        <v>65</v>
      </c>
      <c r="D2842" t="str">
        <f>"272"</f>
        <v>272</v>
      </c>
    </row>
    <row r="2843" spans="1:4" x14ac:dyDescent="0.25">
      <c r="A2843" t="str">
        <f>"838271246"</f>
        <v>838271246</v>
      </c>
      <c r="B2843" t="s">
        <v>2770</v>
      </c>
      <c r="C2843">
        <v>65.84</v>
      </c>
      <c r="D2843" t="str">
        <f>"272"</f>
        <v>272</v>
      </c>
    </row>
    <row r="2844" spans="1:4" x14ac:dyDescent="0.25">
      <c r="A2844" t="str">
        <f>"838271249"</f>
        <v>838271249</v>
      </c>
      <c r="B2844" t="s">
        <v>2771</v>
      </c>
      <c r="C2844">
        <v>31.19</v>
      </c>
      <c r="D2844" t="str">
        <f>"271"</f>
        <v>271</v>
      </c>
    </row>
    <row r="2845" spans="1:4" x14ac:dyDescent="0.25">
      <c r="A2845" t="str">
        <f>"838271252"</f>
        <v>838271252</v>
      </c>
      <c r="B2845" t="s">
        <v>2772</v>
      </c>
      <c r="C2845">
        <v>105.11</v>
      </c>
      <c r="D2845" t="str">
        <f>"271"</f>
        <v>271</v>
      </c>
    </row>
    <row r="2846" spans="1:4" x14ac:dyDescent="0.25">
      <c r="A2846" t="str">
        <f>"838271264"</f>
        <v>838271264</v>
      </c>
      <c r="B2846" t="s">
        <v>2773</v>
      </c>
      <c r="C2846">
        <v>20.79</v>
      </c>
      <c r="D2846" t="str">
        <f t="shared" ref="D2846:D2855" si="125">"272"</f>
        <v>272</v>
      </c>
    </row>
    <row r="2847" spans="1:4" x14ac:dyDescent="0.25">
      <c r="A2847" t="str">
        <f>"838271267"</f>
        <v>838271267</v>
      </c>
      <c r="B2847" t="s">
        <v>2774</v>
      </c>
      <c r="C2847">
        <v>34.65</v>
      </c>
      <c r="D2847" t="str">
        <f t="shared" si="125"/>
        <v>272</v>
      </c>
    </row>
    <row r="2848" spans="1:4" x14ac:dyDescent="0.25">
      <c r="A2848" t="str">
        <f>"838271270"</f>
        <v>838271270</v>
      </c>
      <c r="B2848" t="s">
        <v>2775</v>
      </c>
      <c r="C2848">
        <v>51.28</v>
      </c>
      <c r="D2848" t="str">
        <f t="shared" si="125"/>
        <v>272</v>
      </c>
    </row>
    <row r="2849" spans="1:5" x14ac:dyDescent="0.25">
      <c r="A2849" t="str">
        <f>"838271279"</f>
        <v>838271279</v>
      </c>
      <c r="B2849" t="s">
        <v>2776</v>
      </c>
      <c r="C2849">
        <v>325.70999999999998</v>
      </c>
      <c r="D2849" t="str">
        <f t="shared" si="125"/>
        <v>272</v>
      </c>
    </row>
    <row r="2850" spans="1:5" x14ac:dyDescent="0.25">
      <c r="A2850" t="str">
        <f>"838271351"</f>
        <v>838271351</v>
      </c>
      <c r="B2850" t="s">
        <v>2777</v>
      </c>
      <c r="C2850">
        <v>22.87</v>
      </c>
      <c r="D2850" t="str">
        <f t="shared" si="125"/>
        <v>272</v>
      </c>
    </row>
    <row r="2851" spans="1:5" x14ac:dyDescent="0.25">
      <c r="A2851" t="str">
        <f>"838271357"</f>
        <v>838271357</v>
      </c>
      <c r="B2851" t="s">
        <v>2778</v>
      </c>
      <c r="C2851">
        <v>41.31</v>
      </c>
      <c r="D2851" t="str">
        <f t="shared" si="125"/>
        <v>272</v>
      </c>
    </row>
    <row r="2852" spans="1:5" x14ac:dyDescent="0.25">
      <c r="A2852" t="str">
        <f>"838271360"</f>
        <v>838271360</v>
      </c>
      <c r="B2852" t="s">
        <v>504</v>
      </c>
      <c r="C2852">
        <v>130.01</v>
      </c>
      <c r="D2852" t="str">
        <f t="shared" si="125"/>
        <v>272</v>
      </c>
    </row>
    <row r="2853" spans="1:5" x14ac:dyDescent="0.25">
      <c r="A2853" t="str">
        <f>"838271363"</f>
        <v>838271363</v>
      </c>
      <c r="B2853" t="s">
        <v>2779</v>
      </c>
      <c r="C2853">
        <v>54.2</v>
      </c>
      <c r="D2853" t="str">
        <f t="shared" si="125"/>
        <v>272</v>
      </c>
    </row>
    <row r="2854" spans="1:5" x14ac:dyDescent="0.25">
      <c r="A2854" t="str">
        <f>"838271366"</f>
        <v>838271366</v>
      </c>
      <c r="B2854" t="s">
        <v>2780</v>
      </c>
      <c r="C2854">
        <v>54.2</v>
      </c>
      <c r="D2854" t="str">
        <f t="shared" si="125"/>
        <v>272</v>
      </c>
    </row>
    <row r="2855" spans="1:5" x14ac:dyDescent="0.25">
      <c r="A2855" t="str">
        <f>"838271369"</f>
        <v>838271369</v>
      </c>
      <c r="B2855" t="s">
        <v>2781</v>
      </c>
      <c r="C2855">
        <v>69.3</v>
      </c>
      <c r="D2855" t="str">
        <f t="shared" si="125"/>
        <v>272</v>
      </c>
    </row>
    <row r="2856" spans="1:5" x14ac:dyDescent="0.25">
      <c r="A2856" t="str">
        <f>"838271372"</f>
        <v>838271372</v>
      </c>
      <c r="B2856" t="s">
        <v>2782</v>
      </c>
      <c r="C2856">
        <v>48.65</v>
      </c>
      <c r="D2856" t="str">
        <f>"270"</f>
        <v>270</v>
      </c>
    </row>
    <row r="2857" spans="1:5" x14ac:dyDescent="0.25">
      <c r="A2857" t="str">
        <f>"838271378"</f>
        <v>838271378</v>
      </c>
      <c r="B2857" t="s">
        <v>2783</v>
      </c>
      <c r="C2857">
        <v>82.5</v>
      </c>
      <c r="D2857" t="str">
        <f>"270"</f>
        <v>270</v>
      </c>
    </row>
    <row r="2858" spans="1:5" x14ac:dyDescent="0.25">
      <c r="A2858" t="str">
        <f>"838271387"</f>
        <v>838271387</v>
      </c>
      <c r="B2858" t="s">
        <v>2784</v>
      </c>
      <c r="C2858">
        <v>108.25</v>
      </c>
      <c r="D2858" t="str">
        <f>"272"</f>
        <v>272</v>
      </c>
    </row>
    <row r="2859" spans="1:5" x14ac:dyDescent="0.25">
      <c r="A2859" t="str">
        <f>"838271390"</f>
        <v>838271390</v>
      </c>
      <c r="B2859" t="s">
        <v>2785</v>
      </c>
      <c r="C2859" s="1">
        <v>1553.48</v>
      </c>
      <c r="D2859" t="str">
        <f>"272"</f>
        <v>272</v>
      </c>
      <c r="E2859" t="str">
        <f>"C1726"</f>
        <v>C1726</v>
      </c>
    </row>
    <row r="2860" spans="1:5" x14ac:dyDescent="0.25">
      <c r="A2860" t="str">
        <f>"838271408"</f>
        <v>838271408</v>
      </c>
      <c r="B2860" t="s">
        <v>2786</v>
      </c>
      <c r="C2860">
        <v>548.86</v>
      </c>
      <c r="D2860" t="str">
        <f>"272"</f>
        <v>272</v>
      </c>
    </row>
    <row r="2861" spans="1:5" x14ac:dyDescent="0.25">
      <c r="A2861" t="str">
        <f>"838271411"</f>
        <v>838271411</v>
      </c>
      <c r="B2861" t="s">
        <v>2787</v>
      </c>
      <c r="C2861">
        <v>21.63</v>
      </c>
      <c r="D2861" t="str">
        <f>"271"</f>
        <v>271</v>
      </c>
    </row>
    <row r="2862" spans="1:5" x14ac:dyDescent="0.25">
      <c r="A2862" t="str">
        <f>"838271414"</f>
        <v>838271414</v>
      </c>
      <c r="B2862" t="s">
        <v>2788</v>
      </c>
      <c r="C2862">
        <v>541.38</v>
      </c>
      <c r="D2862" t="str">
        <f>"272"</f>
        <v>272</v>
      </c>
    </row>
    <row r="2863" spans="1:5" x14ac:dyDescent="0.25">
      <c r="A2863" t="str">
        <f>"838271420"</f>
        <v>838271420</v>
      </c>
      <c r="B2863" t="s">
        <v>2789</v>
      </c>
      <c r="C2863">
        <v>246.16</v>
      </c>
      <c r="D2863" t="str">
        <f>"272"</f>
        <v>272</v>
      </c>
    </row>
    <row r="2864" spans="1:5" x14ac:dyDescent="0.25">
      <c r="A2864" t="str">
        <f>"838271423"</f>
        <v>838271423</v>
      </c>
      <c r="B2864" t="s">
        <v>2790</v>
      </c>
      <c r="C2864" s="1">
        <v>1495.15</v>
      </c>
      <c r="D2864" t="str">
        <f>"272"</f>
        <v>272</v>
      </c>
    </row>
    <row r="2865" spans="1:5" x14ac:dyDescent="0.25">
      <c r="A2865" t="str">
        <f>"838271426"</f>
        <v>838271426</v>
      </c>
      <c r="B2865" t="s">
        <v>2791</v>
      </c>
      <c r="C2865" s="1">
        <v>1472.63</v>
      </c>
      <c r="D2865" t="str">
        <f>"272"</f>
        <v>272</v>
      </c>
    </row>
    <row r="2866" spans="1:5" x14ac:dyDescent="0.25">
      <c r="A2866" t="str">
        <f>"838271429"</f>
        <v>838271429</v>
      </c>
      <c r="B2866" t="s">
        <v>2792</v>
      </c>
      <c r="C2866">
        <v>451.58</v>
      </c>
      <c r="D2866" t="str">
        <f>"272"</f>
        <v>272</v>
      </c>
    </row>
    <row r="2867" spans="1:5" x14ac:dyDescent="0.25">
      <c r="A2867" t="str">
        <f>"838271449"</f>
        <v>838271449</v>
      </c>
      <c r="B2867" t="s">
        <v>2793</v>
      </c>
      <c r="C2867" s="1">
        <v>14391.3</v>
      </c>
      <c r="D2867" t="str">
        <f>"278"</f>
        <v>278</v>
      </c>
      <c r="E2867" t="str">
        <f>"C1713"</f>
        <v>C1713</v>
      </c>
    </row>
    <row r="2868" spans="1:5" x14ac:dyDescent="0.25">
      <c r="A2868" t="str">
        <f>"838271452"</f>
        <v>838271452</v>
      </c>
      <c r="B2868" t="s">
        <v>2794</v>
      </c>
      <c r="C2868" s="1">
        <v>2231.46</v>
      </c>
      <c r="D2868" t="str">
        <f>"278"</f>
        <v>278</v>
      </c>
    </row>
    <row r="2869" spans="1:5" x14ac:dyDescent="0.25">
      <c r="A2869" t="str">
        <f>"838271454"</f>
        <v>838271454</v>
      </c>
      <c r="B2869" t="s">
        <v>2795</v>
      </c>
      <c r="C2869">
        <v>161.69999999999999</v>
      </c>
      <c r="D2869" t="str">
        <f>"272"</f>
        <v>272</v>
      </c>
    </row>
    <row r="2870" spans="1:5" x14ac:dyDescent="0.25">
      <c r="A2870" t="str">
        <f>"838271455"</f>
        <v>838271455</v>
      </c>
      <c r="B2870" t="s">
        <v>2796</v>
      </c>
      <c r="C2870" s="1">
        <v>1172.33</v>
      </c>
      <c r="D2870" t="str">
        <f t="shared" ref="D2870:D2877" si="126">"278"</f>
        <v>278</v>
      </c>
      <c r="E2870" t="str">
        <f>"C1776"</f>
        <v>C1776</v>
      </c>
    </row>
    <row r="2871" spans="1:5" x14ac:dyDescent="0.25">
      <c r="A2871" t="str">
        <f>"838271457"</f>
        <v>838271457</v>
      </c>
      <c r="B2871" t="s">
        <v>2797</v>
      </c>
      <c r="C2871" s="1">
        <v>2858.63</v>
      </c>
      <c r="D2871" t="str">
        <f t="shared" si="126"/>
        <v>278</v>
      </c>
      <c r="E2871" t="str">
        <f>"C1776"</f>
        <v>C1776</v>
      </c>
    </row>
    <row r="2872" spans="1:5" x14ac:dyDescent="0.25">
      <c r="A2872" t="str">
        <f>"838271465"</f>
        <v>838271465</v>
      </c>
      <c r="B2872" t="s">
        <v>2798</v>
      </c>
      <c r="C2872">
        <v>676.79</v>
      </c>
      <c r="D2872" t="str">
        <f t="shared" si="126"/>
        <v>278</v>
      </c>
      <c r="E2872" t="str">
        <f>"C1713"</f>
        <v>C1713</v>
      </c>
    </row>
    <row r="2873" spans="1:5" x14ac:dyDescent="0.25">
      <c r="A2873" t="str">
        <f>"838271468"</f>
        <v>838271468</v>
      </c>
      <c r="B2873" t="s">
        <v>2799</v>
      </c>
      <c r="C2873">
        <v>118.55</v>
      </c>
      <c r="D2873" t="str">
        <f t="shared" si="126"/>
        <v>278</v>
      </c>
      <c r="E2873" t="str">
        <f>"C1713"</f>
        <v>C1713</v>
      </c>
    </row>
    <row r="2874" spans="1:5" x14ac:dyDescent="0.25">
      <c r="A2874" t="str">
        <f>"838271471"</f>
        <v>838271471</v>
      </c>
      <c r="B2874" t="s">
        <v>2800</v>
      </c>
      <c r="C2874">
        <v>49.06</v>
      </c>
      <c r="D2874" t="str">
        <f t="shared" si="126"/>
        <v>278</v>
      </c>
      <c r="E2874" t="str">
        <f>"C1713"</f>
        <v>C1713</v>
      </c>
    </row>
    <row r="2875" spans="1:5" x14ac:dyDescent="0.25">
      <c r="A2875" t="str">
        <f>"838271474"</f>
        <v>838271474</v>
      </c>
      <c r="B2875" t="s">
        <v>2801</v>
      </c>
      <c r="C2875" s="1">
        <v>1407.63</v>
      </c>
      <c r="D2875" t="str">
        <f t="shared" si="126"/>
        <v>278</v>
      </c>
    </row>
    <row r="2876" spans="1:5" x14ac:dyDescent="0.25">
      <c r="A2876" t="str">
        <f>"838271477"</f>
        <v>838271477</v>
      </c>
      <c r="B2876" t="s">
        <v>2802</v>
      </c>
      <c r="C2876">
        <v>39.5</v>
      </c>
      <c r="D2876" t="str">
        <f t="shared" si="126"/>
        <v>278</v>
      </c>
      <c r="E2876" t="str">
        <f>"C1713"</f>
        <v>C1713</v>
      </c>
    </row>
    <row r="2877" spans="1:5" x14ac:dyDescent="0.25">
      <c r="A2877" t="str">
        <f>"838271480"</f>
        <v>838271480</v>
      </c>
      <c r="B2877" t="s">
        <v>2803</v>
      </c>
      <c r="C2877">
        <v>363.83</v>
      </c>
      <c r="D2877" t="str">
        <f t="shared" si="126"/>
        <v>278</v>
      </c>
      <c r="E2877" t="str">
        <f>"C1713"</f>
        <v>C1713</v>
      </c>
    </row>
    <row r="2878" spans="1:5" x14ac:dyDescent="0.25">
      <c r="A2878" t="str">
        <f>"838271483"</f>
        <v>838271483</v>
      </c>
      <c r="B2878" t="s">
        <v>2804</v>
      </c>
      <c r="C2878">
        <v>95.78</v>
      </c>
      <c r="D2878" t="str">
        <f>"272"</f>
        <v>272</v>
      </c>
    </row>
    <row r="2879" spans="1:5" x14ac:dyDescent="0.25">
      <c r="A2879" t="str">
        <f>"838271489"</f>
        <v>838271489</v>
      </c>
      <c r="B2879" t="s">
        <v>2805</v>
      </c>
      <c r="C2879">
        <v>36.04</v>
      </c>
      <c r="D2879" t="str">
        <f t="shared" ref="D2879:D2885" si="127">"271"</f>
        <v>271</v>
      </c>
    </row>
    <row r="2880" spans="1:5" x14ac:dyDescent="0.25">
      <c r="A2880" t="str">
        <f>"838271492"</f>
        <v>838271492</v>
      </c>
      <c r="B2880" t="s">
        <v>2806</v>
      </c>
      <c r="C2880">
        <v>63.76</v>
      </c>
      <c r="D2880" t="str">
        <f t="shared" si="127"/>
        <v>271</v>
      </c>
    </row>
    <row r="2881" spans="1:5" x14ac:dyDescent="0.25">
      <c r="A2881" t="str">
        <f>"838271495"</f>
        <v>838271495</v>
      </c>
      <c r="B2881" t="s">
        <v>2749</v>
      </c>
      <c r="C2881">
        <v>69.3</v>
      </c>
      <c r="D2881" t="str">
        <f t="shared" si="127"/>
        <v>271</v>
      </c>
    </row>
    <row r="2882" spans="1:5" x14ac:dyDescent="0.25">
      <c r="A2882" t="str">
        <f>"838271498"</f>
        <v>838271498</v>
      </c>
      <c r="B2882" t="s">
        <v>2807</v>
      </c>
      <c r="C2882">
        <v>69.3</v>
      </c>
      <c r="D2882" t="str">
        <f t="shared" si="127"/>
        <v>271</v>
      </c>
    </row>
    <row r="2883" spans="1:5" x14ac:dyDescent="0.25">
      <c r="A2883" t="str">
        <f>"838271501"</f>
        <v>838271501</v>
      </c>
      <c r="B2883" t="s">
        <v>2808</v>
      </c>
      <c r="C2883">
        <v>69.3</v>
      </c>
      <c r="D2883" t="str">
        <f t="shared" si="127"/>
        <v>271</v>
      </c>
    </row>
    <row r="2884" spans="1:5" x14ac:dyDescent="0.25">
      <c r="A2884" t="str">
        <f>"838271504"</f>
        <v>838271504</v>
      </c>
      <c r="B2884" t="s">
        <v>2809</v>
      </c>
      <c r="C2884">
        <v>69.3</v>
      </c>
      <c r="D2884" t="str">
        <f t="shared" si="127"/>
        <v>271</v>
      </c>
    </row>
    <row r="2885" spans="1:5" x14ac:dyDescent="0.25">
      <c r="A2885" t="str">
        <f>"838271507"</f>
        <v>838271507</v>
      </c>
      <c r="B2885" t="s">
        <v>2809</v>
      </c>
      <c r="C2885">
        <v>69.3</v>
      </c>
      <c r="D2885" t="str">
        <f t="shared" si="127"/>
        <v>271</v>
      </c>
    </row>
    <row r="2886" spans="1:5" x14ac:dyDescent="0.25">
      <c r="A2886" t="str">
        <f>"838271509"</f>
        <v>838271509</v>
      </c>
      <c r="B2886" t="s">
        <v>2810</v>
      </c>
      <c r="C2886" s="1">
        <v>1455.3</v>
      </c>
      <c r="D2886" t="str">
        <f>"278"</f>
        <v>278</v>
      </c>
    </row>
    <row r="2887" spans="1:5" x14ac:dyDescent="0.25">
      <c r="A2887" t="str">
        <f>"838271510"</f>
        <v>838271510</v>
      </c>
      <c r="B2887" t="s">
        <v>2811</v>
      </c>
      <c r="C2887">
        <v>69.3</v>
      </c>
      <c r="D2887" t="str">
        <f>"271"</f>
        <v>271</v>
      </c>
    </row>
    <row r="2888" spans="1:5" x14ac:dyDescent="0.25">
      <c r="A2888" t="str">
        <f>"838271513"</f>
        <v>838271513</v>
      </c>
      <c r="B2888" t="s">
        <v>2812</v>
      </c>
      <c r="C2888">
        <v>69.3</v>
      </c>
      <c r="D2888" t="str">
        <f>"271"</f>
        <v>271</v>
      </c>
    </row>
    <row r="2889" spans="1:5" x14ac:dyDescent="0.25">
      <c r="A2889" t="str">
        <f>"838271515"</f>
        <v>838271515</v>
      </c>
      <c r="B2889" t="s">
        <v>2813</v>
      </c>
      <c r="C2889">
        <v>467.31</v>
      </c>
      <c r="D2889" t="str">
        <f>"278"</f>
        <v>278</v>
      </c>
      <c r="E2889" t="str">
        <f>"C1713"</f>
        <v>C1713</v>
      </c>
    </row>
    <row r="2890" spans="1:5" x14ac:dyDescent="0.25">
      <c r="A2890" t="str">
        <f>"838271517"</f>
        <v>838271517</v>
      </c>
      <c r="B2890" t="s">
        <v>2814</v>
      </c>
      <c r="C2890">
        <v>313.7</v>
      </c>
      <c r="D2890" t="str">
        <f>"278"</f>
        <v>278</v>
      </c>
      <c r="E2890" t="str">
        <f>"C1713"</f>
        <v>C1713</v>
      </c>
    </row>
    <row r="2891" spans="1:5" x14ac:dyDescent="0.25">
      <c r="A2891" t="str">
        <f>"838271521"</f>
        <v>838271521</v>
      </c>
      <c r="B2891" t="s">
        <v>2815</v>
      </c>
      <c r="C2891" s="1">
        <v>1932.32</v>
      </c>
      <c r="D2891" t="str">
        <f>"278"</f>
        <v>278</v>
      </c>
    </row>
    <row r="2892" spans="1:5" x14ac:dyDescent="0.25">
      <c r="A2892" t="str">
        <f>"838271523"</f>
        <v>838271523</v>
      </c>
      <c r="B2892" t="s">
        <v>2816</v>
      </c>
      <c r="C2892">
        <v>646.79999999999995</v>
      </c>
      <c r="D2892" t="str">
        <f>"278"</f>
        <v>278</v>
      </c>
    </row>
    <row r="2893" spans="1:5" x14ac:dyDescent="0.25">
      <c r="A2893" t="str">
        <f>"838271524"</f>
        <v>838271524</v>
      </c>
      <c r="B2893" t="s">
        <v>2817</v>
      </c>
      <c r="C2893" s="1">
        <v>2263.8000000000002</v>
      </c>
      <c r="D2893" t="str">
        <f>"278"</f>
        <v>278</v>
      </c>
      <c r="E2893" t="str">
        <f>"C1713"</f>
        <v>C1713</v>
      </c>
    </row>
    <row r="2894" spans="1:5" x14ac:dyDescent="0.25">
      <c r="A2894" t="str">
        <f>"838271540"</f>
        <v>838271540</v>
      </c>
      <c r="B2894" t="s">
        <v>2818</v>
      </c>
      <c r="C2894">
        <v>714.63</v>
      </c>
      <c r="D2894" t="str">
        <f>"250"</f>
        <v>250</v>
      </c>
    </row>
    <row r="2895" spans="1:5" x14ac:dyDescent="0.25">
      <c r="A2895" t="str">
        <f>"838271543"</f>
        <v>838271543</v>
      </c>
      <c r="B2895" t="s">
        <v>2819</v>
      </c>
      <c r="C2895">
        <v>73.459999999999994</v>
      </c>
      <c r="D2895" t="str">
        <f>"272"</f>
        <v>272</v>
      </c>
    </row>
    <row r="2896" spans="1:5" x14ac:dyDescent="0.25">
      <c r="A2896" t="str">
        <f>"838271546"</f>
        <v>838271546</v>
      </c>
      <c r="B2896" t="s">
        <v>2820</v>
      </c>
      <c r="C2896">
        <v>37.42</v>
      </c>
      <c r="D2896" t="str">
        <f>"271"</f>
        <v>271</v>
      </c>
    </row>
    <row r="2897" spans="1:5" x14ac:dyDescent="0.25">
      <c r="A2897" t="str">
        <f>"838271549"</f>
        <v>838271549</v>
      </c>
      <c r="B2897" t="s">
        <v>2821</v>
      </c>
      <c r="C2897">
        <v>22</v>
      </c>
      <c r="D2897" t="str">
        <f>"271"</f>
        <v>271</v>
      </c>
    </row>
    <row r="2898" spans="1:5" x14ac:dyDescent="0.25">
      <c r="A2898" t="str">
        <f>"838271550"</f>
        <v>838271550</v>
      </c>
      <c r="B2898" t="s">
        <v>2822</v>
      </c>
      <c r="C2898">
        <v>104.68</v>
      </c>
      <c r="D2898" t="str">
        <f>"272"</f>
        <v>272</v>
      </c>
    </row>
    <row r="2899" spans="1:5" x14ac:dyDescent="0.25">
      <c r="A2899" t="str">
        <f>"838271551"</f>
        <v>838271551</v>
      </c>
      <c r="B2899" t="s">
        <v>2823</v>
      </c>
      <c r="C2899">
        <v>152.24</v>
      </c>
      <c r="D2899" t="str">
        <f>"272"</f>
        <v>272</v>
      </c>
    </row>
    <row r="2900" spans="1:5" x14ac:dyDescent="0.25">
      <c r="A2900" t="str">
        <f>"838271553"</f>
        <v>838271553</v>
      </c>
      <c r="B2900" t="s">
        <v>2824</v>
      </c>
      <c r="C2900">
        <v>209.53</v>
      </c>
      <c r="D2900" t="str">
        <f>"272"</f>
        <v>272</v>
      </c>
    </row>
    <row r="2901" spans="1:5" x14ac:dyDescent="0.25">
      <c r="A2901" t="str">
        <f>"838271554"</f>
        <v>838271554</v>
      </c>
      <c r="B2901" t="s">
        <v>2825</v>
      </c>
      <c r="C2901">
        <v>228.66</v>
      </c>
      <c r="D2901" t="str">
        <f>"272"</f>
        <v>272</v>
      </c>
    </row>
    <row r="2902" spans="1:5" x14ac:dyDescent="0.25">
      <c r="A2902" t="str">
        <f>"838271556"</f>
        <v>838271556</v>
      </c>
      <c r="B2902" t="s">
        <v>2826</v>
      </c>
      <c r="C2902" s="1">
        <v>2417.42</v>
      </c>
      <c r="D2902" t="str">
        <f>"278"</f>
        <v>278</v>
      </c>
      <c r="E2902" t="str">
        <f>"C1713"</f>
        <v>C1713</v>
      </c>
    </row>
    <row r="2903" spans="1:5" x14ac:dyDescent="0.25">
      <c r="A2903" t="str">
        <f>"838271557"</f>
        <v>838271557</v>
      </c>
      <c r="B2903" t="s">
        <v>2827</v>
      </c>
      <c r="C2903" s="1">
        <v>1455.3</v>
      </c>
      <c r="D2903" t="str">
        <f>"270"</f>
        <v>270</v>
      </c>
    </row>
    <row r="2904" spans="1:5" x14ac:dyDescent="0.25">
      <c r="A2904" t="str">
        <f>"838271560"</f>
        <v>838271560</v>
      </c>
      <c r="B2904" t="s">
        <v>2828</v>
      </c>
      <c r="C2904" s="1">
        <v>1615.85</v>
      </c>
      <c r="D2904" t="str">
        <f>"278"</f>
        <v>278</v>
      </c>
    </row>
    <row r="2905" spans="1:5" x14ac:dyDescent="0.25">
      <c r="A2905" t="str">
        <f>"838271561"</f>
        <v>838271561</v>
      </c>
      <c r="B2905" t="s">
        <v>2829</v>
      </c>
      <c r="C2905">
        <v>94.25</v>
      </c>
      <c r="D2905" t="str">
        <f>"272"</f>
        <v>272</v>
      </c>
    </row>
    <row r="2906" spans="1:5" x14ac:dyDescent="0.25">
      <c r="A2906" t="str">
        <f>"838271563"</f>
        <v>838271563</v>
      </c>
      <c r="B2906" t="s">
        <v>2830</v>
      </c>
      <c r="C2906" s="1">
        <v>4042.5</v>
      </c>
      <c r="D2906" t="str">
        <f>"278"</f>
        <v>278</v>
      </c>
    </row>
    <row r="2907" spans="1:5" x14ac:dyDescent="0.25">
      <c r="A2907" t="str">
        <f>"838271567"</f>
        <v>838271567</v>
      </c>
      <c r="B2907" t="s">
        <v>2831</v>
      </c>
      <c r="C2907">
        <v>26.33</v>
      </c>
      <c r="D2907" t="str">
        <f t="shared" ref="D2907:D2912" si="128">"271"</f>
        <v>271</v>
      </c>
    </row>
    <row r="2908" spans="1:5" x14ac:dyDescent="0.25">
      <c r="A2908" t="str">
        <f>"838271570"</f>
        <v>838271570</v>
      </c>
      <c r="B2908" t="s">
        <v>2832</v>
      </c>
      <c r="C2908">
        <v>225.92</v>
      </c>
      <c r="D2908" t="str">
        <f t="shared" si="128"/>
        <v>271</v>
      </c>
    </row>
    <row r="2909" spans="1:5" x14ac:dyDescent="0.25">
      <c r="A2909" t="str">
        <f>"838271573"</f>
        <v>838271573</v>
      </c>
      <c r="B2909" t="s">
        <v>2833</v>
      </c>
      <c r="C2909">
        <v>85.93</v>
      </c>
      <c r="D2909" t="str">
        <f t="shared" si="128"/>
        <v>271</v>
      </c>
    </row>
    <row r="2910" spans="1:5" x14ac:dyDescent="0.25">
      <c r="A2910" t="str">
        <f>"838271579"</f>
        <v>838271579</v>
      </c>
      <c r="B2910" t="s">
        <v>2834</v>
      </c>
      <c r="C2910">
        <v>59.6</v>
      </c>
      <c r="D2910" t="str">
        <f t="shared" si="128"/>
        <v>271</v>
      </c>
    </row>
    <row r="2911" spans="1:5" x14ac:dyDescent="0.25">
      <c r="A2911" t="str">
        <f>"838271580"</f>
        <v>838271580</v>
      </c>
      <c r="B2911" t="s">
        <v>2835</v>
      </c>
      <c r="C2911">
        <v>44.24</v>
      </c>
      <c r="D2911" t="str">
        <f t="shared" si="128"/>
        <v>271</v>
      </c>
    </row>
    <row r="2912" spans="1:5" x14ac:dyDescent="0.25">
      <c r="A2912" t="str">
        <f>"838271582"</f>
        <v>838271582</v>
      </c>
      <c r="B2912" t="s">
        <v>2836</v>
      </c>
      <c r="C2912">
        <v>70.69</v>
      </c>
      <c r="D2912" t="str">
        <f t="shared" si="128"/>
        <v>271</v>
      </c>
    </row>
    <row r="2913" spans="1:5" x14ac:dyDescent="0.25">
      <c r="A2913" t="str">
        <f>"838271585"</f>
        <v>838271585</v>
      </c>
      <c r="B2913" t="s">
        <v>2837</v>
      </c>
      <c r="C2913">
        <v>189.88</v>
      </c>
      <c r="D2913" t="str">
        <f>"272"</f>
        <v>272</v>
      </c>
    </row>
    <row r="2914" spans="1:5" x14ac:dyDescent="0.25">
      <c r="A2914" t="str">
        <f>"838271588"</f>
        <v>838271588</v>
      </c>
      <c r="B2914" t="s">
        <v>2838</v>
      </c>
      <c r="C2914">
        <v>146.91999999999999</v>
      </c>
      <c r="D2914" t="str">
        <f>"272"</f>
        <v>272</v>
      </c>
    </row>
    <row r="2915" spans="1:5" x14ac:dyDescent="0.25">
      <c r="A2915" t="str">
        <f>"838271612"</f>
        <v>838271612</v>
      </c>
      <c r="B2915" t="s">
        <v>2839</v>
      </c>
      <c r="C2915">
        <v>145.53</v>
      </c>
      <c r="D2915" t="str">
        <f>"272"</f>
        <v>272</v>
      </c>
    </row>
    <row r="2916" spans="1:5" x14ac:dyDescent="0.25">
      <c r="A2916" t="str">
        <f>"838271657"</f>
        <v>838271657</v>
      </c>
      <c r="B2916" t="s">
        <v>2840</v>
      </c>
      <c r="C2916">
        <v>38.81</v>
      </c>
      <c r="D2916" t="str">
        <f>"274"</f>
        <v>274</v>
      </c>
      <c r="E2916" t="str">
        <f>"L3908"</f>
        <v>L3908</v>
      </c>
    </row>
    <row r="2917" spans="1:5" x14ac:dyDescent="0.25">
      <c r="A2917" t="str">
        <f>"838271663"</f>
        <v>838271663</v>
      </c>
      <c r="B2917" t="s">
        <v>2841</v>
      </c>
      <c r="C2917">
        <v>107.27</v>
      </c>
      <c r="D2917" t="str">
        <f>"272"</f>
        <v>272</v>
      </c>
    </row>
    <row r="2918" spans="1:5" x14ac:dyDescent="0.25">
      <c r="A2918" t="str">
        <f>"838271675"</f>
        <v>838271675</v>
      </c>
      <c r="B2918" t="s">
        <v>2842</v>
      </c>
      <c r="C2918">
        <v>99</v>
      </c>
      <c r="D2918" t="str">
        <f>"270"</f>
        <v>270</v>
      </c>
    </row>
    <row r="2919" spans="1:5" x14ac:dyDescent="0.25">
      <c r="A2919" t="str">
        <f>"838271684"</f>
        <v>838271684</v>
      </c>
      <c r="B2919" t="s">
        <v>2843</v>
      </c>
      <c r="C2919">
        <v>33.26</v>
      </c>
      <c r="D2919" t="str">
        <f>"272"</f>
        <v>272</v>
      </c>
    </row>
    <row r="2920" spans="1:5" x14ac:dyDescent="0.25">
      <c r="A2920" t="str">
        <f>"838271687"</f>
        <v>838271687</v>
      </c>
      <c r="B2920" t="s">
        <v>2844</v>
      </c>
      <c r="C2920">
        <v>33.26</v>
      </c>
      <c r="D2920" t="str">
        <f>"272"</f>
        <v>272</v>
      </c>
    </row>
    <row r="2921" spans="1:5" x14ac:dyDescent="0.25">
      <c r="A2921" t="str">
        <f>"838271690"</f>
        <v>838271690</v>
      </c>
      <c r="B2921" t="s">
        <v>2845</v>
      </c>
      <c r="C2921">
        <v>33.26</v>
      </c>
      <c r="D2921" t="str">
        <f>"272"</f>
        <v>272</v>
      </c>
    </row>
    <row r="2922" spans="1:5" x14ac:dyDescent="0.25">
      <c r="A2922" t="str">
        <f>"838271693"</f>
        <v>838271693</v>
      </c>
      <c r="B2922" t="s">
        <v>2846</v>
      </c>
      <c r="C2922">
        <v>33.26</v>
      </c>
      <c r="D2922" t="str">
        <f>"272"</f>
        <v>272</v>
      </c>
    </row>
    <row r="2923" spans="1:5" x14ac:dyDescent="0.25">
      <c r="A2923" t="str">
        <f>"838271699"</f>
        <v>838271699</v>
      </c>
      <c r="B2923" t="s">
        <v>2847</v>
      </c>
      <c r="C2923" s="1">
        <v>1299.3800000000001</v>
      </c>
      <c r="D2923" t="str">
        <f>"250"</f>
        <v>250</v>
      </c>
      <c r="E2923" t="str">
        <f>"C1768"</f>
        <v>C1768</v>
      </c>
    </row>
    <row r="2924" spans="1:5" x14ac:dyDescent="0.25">
      <c r="A2924" t="str">
        <f>"838271705"</f>
        <v>838271705</v>
      </c>
      <c r="B2924" t="s">
        <v>2848</v>
      </c>
      <c r="C2924">
        <v>34.65</v>
      </c>
      <c r="D2924" t="str">
        <f>"271"</f>
        <v>271</v>
      </c>
    </row>
    <row r="2925" spans="1:5" x14ac:dyDescent="0.25">
      <c r="A2925" t="str">
        <f>"838271708"</f>
        <v>838271708</v>
      </c>
      <c r="B2925" t="s">
        <v>2849</v>
      </c>
      <c r="C2925">
        <v>76.23</v>
      </c>
      <c r="D2925" t="str">
        <f>"271"</f>
        <v>271</v>
      </c>
    </row>
    <row r="2926" spans="1:5" x14ac:dyDescent="0.25">
      <c r="A2926" t="str">
        <f>"838271709"</f>
        <v>838271709</v>
      </c>
      <c r="B2926" t="s">
        <v>2850</v>
      </c>
      <c r="C2926">
        <v>76.23</v>
      </c>
      <c r="D2926" t="str">
        <f>"271"</f>
        <v>271</v>
      </c>
    </row>
    <row r="2927" spans="1:5" x14ac:dyDescent="0.25">
      <c r="A2927" t="str">
        <f>"838271710"</f>
        <v>838271710</v>
      </c>
      <c r="B2927" t="s">
        <v>2851</v>
      </c>
      <c r="C2927">
        <v>76.23</v>
      </c>
      <c r="D2927" t="str">
        <f>"271"</f>
        <v>271</v>
      </c>
    </row>
    <row r="2928" spans="1:5" x14ac:dyDescent="0.25">
      <c r="A2928" t="str">
        <f>"838271711"</f>
        <v>838271711</v>
      </c>
      <c r="B2928" t="s">
        <v>2852</v>
      </c>
      <c r="C2928">
        <v>116.42</v>
      </c>
      <c r="D2928" t="str">
        <f>"272"</f>
        <v>272</v>
      </c>
    </row>
    <row r="2929" spans="1:5" x14ac:dyDescent="0.25">
      <c r="A2929" t="str">
        <f>"838271714"</f>
        <v>838271714</v>
      </c>
      <c r="B2929" t="s">
        <v>2853</v>
      </c>
      <c r="C2929">
        <v>224.53</v>
      </c>
      <c r="D2929" t="str">
        <f>"272"</f>
        <v>272</v>
      </c>
    </row>
    <row r="2930" spans="1:5" x14ac:dyDescent="0.25">
      <c r="A2930" t="str">
        <f>"838271717"</f>
        <v>838271717</v>
      </c>
      <c r="B2930" t="s">
        <v>2854</v>
      </c>
      <c r="C2930">
        <v>489.26</v>
      </c>
      <c r="D2930" t="str">
        <f>"272"</f>
        <v>272</v>
      </c>
    </row>
    <row r="2931" spans="1:5" x14ac:dyDescent="0.25">
      <c r="A2931" t="str">
        <f>"838271720"</f>
        <v>838271720</v>
      </c>
      <c r="B2931" t="s">
        <v>2855</v>
      </c>
      <c r="C2931">
        <v>207.9</v>
      </c>
      <c r="D2931" t="str">
        <f>"250"</f>
        <v>250</v>
      </c>
    </row>
    <row r="2932" spans="1:5" x14ac:dyDescent="0.25">
      <c r="A2932" t="str">
        <f>"838271723"</f>
        <v>838271723</v>
      </c>
      <c r="B2932" t="s">
        <v>2856</v>
      </c>
      <c r="C2932">
        <v>669.44</v>
      </c>
      <c r="D2932" t="str">
        <f t="shared" ref="D2932:D2989" si="129">"272"</f>
        <v>272</v>
      </c>
      <c r="E2932" t="str">
        <f>"C1751"</f>
        <v>C1751</v>
      </c>
    </row>
    <row r="2933" spans="1:5" x14ac:dyDescent="0.25">
      <c r="A2933" t="str">
        <f>"838271726"</f>
        <v>838271726</v>
      </c>
      <c r="B2933" t="s">
        <v>2857</v>
      </c>
      <c r="C2933">
        <v>16.63</v>
      </c>
      <c r="D2933" t="str">
        <f t="shared" si="129"/>
        <v>272</v>
      </c>
    </row>
    <row r="2934" spans="1:5" x14ac:dyDescent="0.25">
      <c r="A2934" t="str">
        <f>"838271729"</f>
        <v>838271729</v>
      </c>
      <c r="B2934" t="s">
        <v>2858</v>
      </c>
      <c r="C2934">
        <v>194.88</v>
      </c>
      <c r="D2934" t="str">
        <f t="shared" si="129"/>
        <v>272</v>
      </c>
    </row>
    <row r="2935" spans="1:5" x14ac:dyDescent="0.25">
      <c r="A2935" t="str">
        <f>"838271735"</f>
        <v>838271735</v>
      </c>
      <c r="B2935" t="s">
        <v>2859</v>
      </c>
      <c r="C2935">
        <v>257.38</v>
      </c>
      <c r="D2935" t="str">
        <f t="shared" si="129"/>
        <v>272</v>
      </c>
    </row>
    <row r="2936" spans="1:5" x14ac:dyDescent="0.25">
      <c r="A2936" t="str">
        <f>"838271738"</f>
        <v>838271738</v>
      </c>
      <c r="B2936" t="s">
        <v>2860</v>
      </c>
      <c r="C2936">
        <v>76.23</v>
      </c>
      <c r="D2936" t="str">
        <f t="shared" si="129"/>
        <v>272</v>
      </c>
    </row>
    <row r="2937" spans="1:5" x14ac:dyDescent="0.25">
      <c r="A2937" t="str">
        <f>"838271741"</f>
        <v>838271741</v>
      </c>
      <c r="B2937" t="s">
        <v>2861</v>
      </c>
      <c r="C2937">
        <v>76.23</v>
      </c>
      <c r="D2937" t="str">
        <f t="shared" si="129"/>
        <v>272</v>
      </c>
    </row>
    <row r="2938" spans="1:5" x14ac:dyDescent="0.25">
      <c r="A2938" t="str">
        <f>"838271744"</f>
        <v>838271744</v>
      </c>
      <c r="B2938" t="s">
        <v>2862</v>
      </c>
      <c r="C2938">
        <v>61.61</v>
      </c>
      <c r="D2938" t="str">
        <f t="shared" si="129"/>
        <v>272</v>
      </c>
    </row>
    <row r="2939" spans="1:5" x14ac:dyDescent="0.25">
      <c r="A2939" t="str">
        <f>"838271747"</f>
        <v>838271747</v>
      </c>
      <c r="B2939" t="s">
        <v>2863</v>
      </c>
      <c r="C2939">
        <v>76.23</v>
      </c>
      <c r="D2939" t="str">
        <f t="shared" si="129"/>
        <v>272</v>
      </c>
    </row>
    <row r="2940" spans="1:5" x14ac:dyDescent="0.25">
      <c r="A2940" t="str">
        <f>"838271750"</f>
        <v>838271750</v>
      </c>
      <c r="B2940" t="s">
        <v>2864</v>
      </c>
      <c r="C2940">
        <v>76.23</v>
      </c>
      <c r="D2940" t="str">
        <f t="shared" si="129"/>
        <v>272</v>
      </c>
    </row>
    <row r="2941" spans="1:5" x14ac:dyDescent="0.25">
      <c r="A2941" t="str">
        <f>"838271753"</f>
        <v>838271753</v>
      </c>
      <c r="B2941" t="s">
        <v>2865</v>
      </c>
      <c r="C2941">
        <v>76.23</v>
      </c>
      <c r="D2941" t="str">
        <f t="shared" si="129"/>
        <v>272</v>
      </c>
    </row>
    <row r="2942" spans="1:5" x14ac:dyDescent="0.25">
      <c r="A2942" t="str">
        <f>"838271765"</f>
        <v>838271765</v>
      </c>
      <c r="B2942" t="s">
        <v>2866</v>
      </c>
      <c r="C2942">
        <v>492.03</v>
      </c>
      <c r="D2942" t="str">
        <f t="shared" si="129"/>
        <v>272</v>
      </c>
      <c r="E2942" t="str">
        <f>"C1757"</f>
        <v>C1757</v>
      </c>
    </row>
    <row r="2943" spans="1:5" x14ac:dyDescent="0.25">
      <c r="A2943" t="str">
        <f>"838271768"</f>
        <v>838271768</v>
      </c>
      <c r="B2943" t="s">
        <v>2867</v>
      </c>
      <c r="C2943">
        <v>40.19</v>
      </c>
      <c r="D2943" t="str">
        <f t="shared" si="129"/>
        <v>272</v>
      </c>
    </row>
    <row r="2944" spans="1:5" x14ac:dyDescent="0.25">
      <c r="A2944" t="str">
        <f>"838271771"</f>
        <v>838271771</v>
      </c>
      <c r="B2944" t="s">
        <v>2868</v>
      </c>
      <c r="C2944">
        <v>281.5</v>
      </c>
      <c r="D2944" t="str">
        <f t="shared" si="129"/>
        <v>272</v>
      </c>
    </row>
    <row r="2945" spans="1:5" x14ac:dyDescent="0.25">
      <c r="A2945" t="str">
        <f>"838271774"</f>
        <v>838271774</v>
      </c>
      <c r="B2945" t="s">
        <v>2869</v>
      </c>
      <c r="C2945">
        <v>679.14</v>
      </c>
      <c r="D2945" t="str">
        <f t="shared" si="129"/>
        <v>272</v>
      </c>
    </row>
    <row r="2946" spans="1:5" x14ac:dyDescent="0.25">
      <c r="A2946" t="str">
        <f>"838271777"</f>
        <v>838271777</v>
      </c>
      <c r="B2946" t="s">
        <v>2870</v>
      </c>
      <c r="C2946">
        <v>679.14</v>
      </c>
      <c r="D2946" t="str">
        <f t="shared" si="129"/>
        <v>272</v>
      </c>
    </row>
    <row r="2947" spans="1:5" x14ac:dyDescent="0.25">
      <c r="A2947" t="str">
        <f>"838271780"</f>
        <v>838271780</v>
      </c>
      <c r="B2947" t="s">
        <v>2871</v>
      </c>
      <c r="C2947">
        <v>679.14</v>
      </c>
      <c r="D2947" t="str">
        <f t="shared" si="129"/>
        <v>272</v>
      </c>
    </row>
    <row r="2948" spans="1:5" x14ac:dyDescent="0.25">
      <c r="A2948" t="str">
        <f>"838271783"</f>
        <v>838271783</v>
      </c>
      <c r="B2948" t="s">
        <v>2872</v>
      </c>
      <c r="C2948">
        <v>679.14</v>
      </c>
      <c r="D2948" t="str">
        <f t="shared" si="129"/>
        <v>272</v>
      </c>
    </row>
    <row r="2949" spans="1:5" x14ac:dyDescent="0.25">
      <c r="A2949" t="str">
        <f>"838271786"</f>
        <v>838271786</v>
      </c>
      <c r="B2949" t="s">
        <v>2873</v>
      </c>
      <c r="C2949">
        <v>679.14</v>
      </c>
      <c r="D2949" t="str">
        <f t="shared" si="129"/>
        <v>272</v>
      </c>
    </row>
    <row r="2950" spans="1:5" x14ac:dyDescent="0.25">
      <c r="A2950" t="str">
        <f>"838271789"</f>
        <v>838271789</v>
      </c>
      <c r="B2950" t="s">
        <v>2874</v>
      </c>
      <c r="C2950">
        <v>679.14</v>
      </c>
      <c r="D2950" t="str">
        <f t="shared" si="129"/>
        <v>272</v>
      </c>
    </row>
    <row r="2951" spans="1:5" x14ac:dyDescent="0.25">
      <c r="A2951" t="str">
        <f>"838271792"</f>
        <v>838271792</v>
      </c>
      <c r="B2951" t="s">
        <v>2875</v>
      </c>
      <c r="C2951">
        <v>679.14</v>
      </c>
      <c r="D2951" t="str">
        <f t="shared" si="129"/>
        <v>272</v>
      </c>
    </row>
    <row r="2952" spans="1:5" x14ac:dyDescent="0.25">
      <c r="A2952" t="str">
        <f>"838271795"</f>
        <v>838271795</v>
      </c>
      <c r="B2952" t="s">
        <v>2876</v>
      </c>
      <c r="C2952">
        <v>679.14</v>
      </c>
      <c r="D2952" t="str">
        <f t="shared" si="129"/>
        <v>272</v>
      </c>
    </row>
    <row r="2953" spans="1:5" x14ac:dyDescent="0.25">
      <c r="A2953" t="str">
        <f>"838271798"</f>
        <v>838271798</v>
      </c>
      <c r="B2953" t="s">
        <v>2877</v>
      </c>
      <c r="C2953">
        <v>679.14</v>
      </c>
      <c r="D2953" t="str">
        <f t="shared" si="129"/>
        <v>272</v>
      </c>
    </row>
    <row r="2954" spans="1:5" x14ac:dyDescent="0.25">
      <c r="A2954" t="str">
        <f>"838271801"</f>
        <v>838271801</v>
      </c>
      <c r="B2954" t="s">
        <v>2878</v>
      </c>
      <c r="C2954">
        <v>679.14</v>
      </c>
      <c r="D2954" t="str">
        <f t="shared" si="129"/>
        <v>272</v>
      </c>
    </row>
    <row r="2955" spans="1:5" x14ac:dyDescent="0.25">
      <c r="A2955" t="str">
        <f>"838271804"</f>
        <v>838271804</v>
      </c>
      <c r="B2955" t="s">
        <v>2879</v>
      </c>
      <c r="C2955">
        <v>679.14</v>
      </c>
      <c r="D2955" t="str">
        <f t="shared" si="129"/>
        <v>272</v>
      </c>
    </row>
    <row r="2956" spans="1:5" x14ac:dyDescent="0.25">
      <c r="A2956" t="str">
        <f>"838271807"</f>
        <v>838271807</v>
      </c>
      <c r="B2956" t="s">
        <v>2880</v>
      </c>
      <c r="C2956">
        <v>227.3</v>
      </c>
      <c r="D2956" t="str">
        <f t="shared" si="129"/>
        <v>272</v>
      </c>
      <c r="E2956" t="str">
        <f>"C1726"</f>
        <v>C1726</v>
      </c>
    </row>
    <row r="2957" spans="1:5" x14ac:dyDescent="0.25">
      <c r="A2957" t="str">
        <f>"838271813"</f>
        <v>838271813</v>
      </c>
      <c r="B2957" t="s">
        <v>2881</v>
      </c>
      <c r="C2957">
        <v>76.23</v>
      </c>
      <c r="D2957" t="str">
        <f t="shared" si="129"/>
        <v>272</v>
      </c>
    </row>
    <row r="2958" spans="1:5" x14ac:dyDescent="0.25">
      <c r="A2958" t="str">
        <f>"838271816"</f>
        <v>838271816</v>
      </c>
      <c r="B2958" t="s">
        <v>2882</v>
      </c>
      <c r="C2958">
        <v>76.23</v>
      </c>
      <c r="D2958" t="str">
        <f t="shared" si="129"/>
        <v>272</v>
      </c>
    </row>
    <row r="2959" spans="1:5" x14ac:dyDescent="0.25">
      <c r="A2959" t="str">
        <f>"838271819"</f>
        <v>838271819</v>
      </c>
      <c r="B2959" t="s">
        <v>2883</v>
      </c>
      <c r="C2959">
        <v>76.23</v>
      </c>
      <c r="D2959" t="str">
        <f t="shared" si="129"/>
        <v>272</v>
      </c>
    </row>
    <row r="2960" spans="1:5" x14ac:dyDescent="0.25">
      <c r="A2960" t="str">
        <f>"838271822"</f>
        <v>838271822</v>
      </c>
      <c r="B2960" t="s">
        <v>2884</v>
      </c>
      <c r="C2960">
        <v>76.23</v>
      </c>
      <c r="D2960" t="str">
        <f t="shared" si="129"/>
        <v>272</v>
      </c>
    </row>
    <row r="2961" spans="1:5" x14ac:dyDescent="0.25">
      <c r="A2961" t="str">
        <f>"838271825"</f>
        <v>838271825</v>
      </c>
      <c r="B2961" t="s">
        <v>2885</v>
      </c>
      <c r="C2961">
        <v>76.23</v>
      </c>
      <c r="D2961" t="str">
        <f t="shared" si="129"/>
        <v>272</v>
      </c>
    </row>
    <row r="2962" spans="1:5" x14ac:dyDescent="0.25">
      <c r="A2962" t="str">
        <f>"838271828"</f>
        <v>838271828</v>
      </c>
      <c r="B2962" t="s">
        <v>2886</v>
      </c>
      <c r="C2962">
        <v>62.37</v>
      </c>
      <c r="D2962" t="str">
        <f t="shared" si="129"/>
        <v>272</v>
      </c>
    </row>
    <row r="2963" spans="1:5" x14ac:dyDescent="0.25">
      <c r="A2963" t="str">
        <f>"838271831"</f>
        <v>838271831</v>
      </c>
      <c r="B2963" t="s">
        <v>2887</v>
      </c>
      <c r="C2963">
        <v>76.23</v>
      </c>
      <c r="D2963" t="str">
        <f t="shared" si="129"/>
        <v>272</v>
      </c>
    </row>
    <row r="2964" spans="1:5" x14ac:dyDescent="0.25">
      <c r="A2964" t="str">
        <f>"838271834"</f>
        <v>838271834</v>
      </c>
      <c r="B2964" t="s">
        <v>2888</v>
      </c>
      <c r="C2964">
        <v>76.23</v>
      </c>
      <c r="D2964" t="str">
        <f t="shared" si="129"/>
        <v>272</v>
      </c>
    </row>
    <row r="2965" spans="1:5" x14ac:dyDescent="0.25">
      <c r="A2965" t="str">
        <f>"838271837"</f>
        <v>838271837</v>
      </c>
      <c r="B2965" t="s">
        <v>2889</v>
      </c>
      <c r="C2965">
        <v>77.62</v>
      </c>
      <c r="D2965" t="str">
        <f t="shared" si="129"/>
        <v>272</v>
      </c>
    </row>
    <row r="2966" spans="1:5" x14ac:dyDescent="0.25">
      <c r="A2966" t="str">
        <f>"838271840"</f>
        <v>838271840</v>
      </c>
      <c r="B2966" t="s">
        <v>2890</v>
      </c>
      <c r="C2966">
        <v>77.62</v>
      </c>
      <c r="D2966" t="str">
        <f t="shared" si="129"/>
        <v>272</v>
      </c>
    </row>
    <row r="2967" spans="1:5" x14ac:dyDescent="0.25">
      <c r="A2967" t="str">
        <f>"838271843"</f>
        <v>838271843</v>
      </c>
      <c r="B2967" t="s">
        <v>2891</v>
      </c>
      <c r="C2967">
        <v>77.62</v>
      </c>
      <c r="D2967" t="str">
        <f t="shared" si="129"/>
        <v>272</v>
      </c>
    </row>
    <row r="2968" spans="1:5" x14ac:dyDescent="0.25">
      <c r="A2968" t="str">
        <f>"838271846"</f>
        <v>838271846</v>
      </c>
      <c r="B2968" t="s">
        <v>2892</v>
      </c>
      <c r="C2968">
        <v>77.62</v>
      </c>
      <c r="D2968" t="str">
        <f t="shared" si="129"/>
        <v>272</v>
      </c>
    </row>
    <row r="2969" spans="1:5" x14ac:dyDescent="0.25">
      <c r="A2969" t="str">
        <f>"838271849"</f>
        <v>838271849</v>
      </c>
      <c r="B2969" t="s">
        <v>2893</v>
      </c>
      <c r="C2969">
        <v>98.41</v>
      </c>
      <c r="D2969" t="str">
        <f t="shared" si="129"/>
        <v>272</v>
      </c>
    </row>
    <row r="2970" spans="1:5" x14ac:dyDescent="0.25">
      <c r="A2970" t="str">
        <f>"838271852"</f>
        <v>838271852</v>
      </c>
      <c r="B2970" t="s">
        <v>2894</v>
      </c>
      <c r="C2970">
        <v>98.41</v>
      </c>
      <c r="D2970" t="str">
        <f t="shared" si="129"/>
        <v>272</v>
      </c>
    </row>
    <row r="2971" spans="1:5" x14ac:dyDescent="0.25">
      <c r="A2971" t="str">
        <f>"838271855"</f>
        <v>838271855</v>
      </c>
      <c r="B2971" t="s">
        <v>2895</v>
      </c>
      <c r="C2971">
        <v>98.41</v>
      </c>
      <c r="D2971" t="str">
        <f t="shared" si="129"/>
        <v>272</v>
      </c>
    </row>
    <row r="2972" spans="1:5" x14ac:dyDescent="0.25">
      <c r="A2972" t="str">
        <f>"838271858"</f>
        <v>838271858</v>
      </c>
      <c r="B2972" t="s">
        <v>2896</v>
      </c>
      <c r="C2972">
        <v>98.41</v>
      </c>
      <c r="D2972" t="str">
        <f t="shared" si="129"/>
        <v>272</v>
      </c>
    </row>
    <row r="2973" spans="1:5" x14ac:dyDescent="0.25">
      <c r="A2973" t="str">
        <f>"838271861"</f>
        <v>838271861</v>
      </c>
      <c r="B2973" t="s">
        <v>2897</v>
      </c>
      <c r="C2973">
        <v>379.07</v>
      </c>
      <c r="D2973" t="str">
        <f t="shared" si="129"/>
        <v>272</v>
      </c>
    </row>
    <row r="2974" spans="1:5" x14ac:dyDescent="0.25">
      <c r="A2974" t="str">
        <f>"838271864"</f>
        <v>838271864</v>
      </c>
      <c r="B2974" t="s">
        <v>2898</v>
      </c>
      <c r="C2974">
        <v>78.17</v>
      </c>
      <c r="D2974" t="str">
        <f t="shared" si="129"/>
        <v>272</v>
      </c>
      <c r="E2974" t="str">
        <f>"C1894"</f>
        <v>C1894</v>
      </c>
    </row>
    <row r="2975" spans="1:5" x14ac:dyDescent="0.25">
      <c r="A2975" t="str">
        <f>"838271870"</f>
        <v>838271870</v>
      </c>
      <c r="B2975" t="s">
        <v>2899</v>
      </c>
      <c r="C2975">
        <v>62.37</v>
      </c>
      <c r="D2975" t="str">
        <f t="shared" si="129"/>
        <v>272</v>
      </c>
    </row>
    <row r="2976" spans="1:5" x14ac:dyDescent="0.25">
      <c r="A2976" t="str">
        <f>"838271873"</f>
        <v>838271873</v>
      </c>
      <c r="B2976" t="s">
        <v>2900</v>
      </c>
      <c r="C2976">
        <v>62.37</v>
      </c>
      <c r="D2976" t="str">
        <f t="shared" si="129"/>
        <v>272</v>
      </c>
    </row>
    <row r="2977" spans="1:5" x14ac:dyDescent="0.25">
      <c r="A2977" t="str">
        <f>"838271876"</f>
        <v>838271876</v>
      </c>
      <c r="B2977" t="s">
        <v>2901</v>
      </c>
      <c r="C2977">
        <v>62.37</v>
      </c>
      <c r="D2977" t="str">
        <f t="shared" si="129"/>
        <v>272</v>
      </c>
    </row>
    <row r="2978" spans="1:5" x14ac:dyDescent="0.25">
      <c r="A2978" t="str">
        <f>"838271879"</f>
        <v>838271879</v>
      </c>
      <c r="B2978" t="s">
        <v>2902</v>
      </c>
      <c r="C2978">
        <v>62.37</v>
      </c>
      <c r="D2978" t="str">
        <f t="shared" si="129"/>
        <v>272</v>
      </c>
    </row>
    <row r="2979" spans="1:5" x14ac:dyDescent="0.25">
      <c r="A2979" t="str">
        <f>"838271882"</f>
        <v>838271882</v>
      </c>
      <c r="B2979" t="s">
        <v>2903</v>
      </c>
      <c r="C2979">
        <v>62.37</v>
      </c>
      <c r="D2979" t="str">
        <f t="shared" si="129"/>
        <v>272</v>
      </c>
    </row>
    <row r="2980" spans="1:5" x14ac:dyDescent="0.25">
      <c r="A2980" t="str">
        <f>"838271885"</f>
        <v>838271885</v>
      </c>
      <c r="B2980" t="s">
        <v>2904</v>
      </c>
      <c r="C2980">
        <v>62.37</v>
      </c>
      <c r="D2980" t="str">
        <f t="shared" si="129"/>
        <v>272</v>
      </c>
    </row>
    <row r="2981" spans="1:5" x14ac:dyDescent="0.25">
      <c r="A2981" t="str">
        <f>"838271888"</f>
        <v>838271888</v>
      </c>
      <c r="B2981" t="s">
        <v>2905</v>
      </c>
      <c r="C2981">
        <v>62.37</v>
      </c>
      <c r="D2981" t="str">
        <f t="shared" si="129"/>
        <v>272</v>
      </c>
    </row>
    <row r="2982" spans="1:5" x14ac:dyDescent="0.25">
      <c r="A2982" t="str">
        <f>"838271891"</f>
        <v>838271891</v>
      </c>
      <c r="B2982" t="s">
        <v>2906</v>
      </c>
      <c r="C2982">
        <v>94.25</v>
      </c>
      <c r="D2982" t="str">
        <f t="shared" si="129"/>
        <v>272</v>
      </c>
    </row>
    <row r="2983" spans="1:5" x14ac:dyDescent="0.25">
      <c r="A2983" t="str">
        <f>"838271894"</f>
        <v>838271894</v>
      </c>
      <c r="B2983" t="s">
        <v>2907</v>
      </c>
      <c r="C2983">
        <v>94.25</v>
      </c>
      <c r="D2983" t="str">
        <f t="shared" si="129"/>
        <v>272</v>
      </c>
    </row>
    <row r="2984" spans="1:5" x14ac:dyDescent="0.25">
      <c r="A2984" t="str">
        <f>"838271900"</f>
        <v>838271900</v>
      </c>
      <c r="B2984" t="s">
        <v>2908</v>
      </c>
      <c r="C2984">
        <v>59.6</v>
      </c>
      <c r="D2984" t="str">
        <f t="shared" si="129"/>
        <v>272</v>
      </c>
    </row>
    <row r="2985" spans="1:5" x14ac:dyDescent="0.25">
      <c r="A2985" t="str">
        <f>"838271901"</f>
        <v>838271901</v>
      </c>
      <c r="B2985" t="s">
        <v>2909</v>
      </c>
      <c r="C2985">
        <v>62.37</v>
      </c>
      <c r="D2985" t="str">
        <f t="shared" si="129"/>
        <v>272</v>
      </c>
    </row>
    <row r="2986" spans="1:5" x14ac:dyDescent="0.25">
      <c r="A2986" t="str">
        <f>"838271903"</f>
        <v>838271903</v>
      </c>
      <c r="B2986" t="s">
        <v>2910</v>
      </c>
      <c r="C2986">
        <v>91.48</v>
      </c>
      <c r="D2986" t="str">
        <f t="shared" si="129"/>
        <v>272</v>
      </c>
    </row>
    <row r="2987" spans="1:5" x14ac:dyDescent="0.25">
      <c r="A2987" t="str">
        <f>"838271906"</f>
        <v>838271906</v>
      </c>
      <c r="B2987" t="s">
        <v>2911</v>
      </c>
      <c r="C2987">
        <v>650.03</v>
      </c>
      <c r="D2987" t="str">
        <f t="shared" si="129"/>
        <v>272</v>
      </c>
      <c r="E2987" t="str">
        <f>"C1751"</f>
        <v>C1751</v>
      </c>
    </row>
    <row r="2988" spans="1:5" x14ac:dyDescent="0.25">
      <c r="A2988" t="str">
        <f>"838271912"</f>
        <v>838271912</v>
      </c>
      <c r="B2988" t="s">
        <v>2912</v>
      </c>
      <c r="C2988">
        <v>437.98</v>
      </c>
      <c r="D2988" t="str">
        <f t="shared" si="129"/>
        <v>272</v>
      </c>
      <c r="E2988" t="str">
        <f>"C1894"</f>
        <v>C1894</v>
      </c>
    </row>
    <row r="2989" spans="1:5" x14ac:dyDescent="0.25">
      <c r="A2989" t="str">
        <f>"838271918"</f>
        <v>838271918</v>
      </c>
      <c r="B2989" t="s">
        <v>2913</v>
      </c>
      <c r="C2989">
        <v>389.88</v>
      </c>
      <c r="D2989" t="str">
        <f t="shared" si="129"/>
        <v>272</v>
      </c>
    </row>
    <row r="2990" spans="1:5" x14ac:dyDescent="0.25">
      <c r="A2990" t="str">
        <f>"838271921"</f>
        <v>838271921</v>
      </c>
      <c r="B2990" t="s">
        <v>2914</v>
      </c>
      <c r="C2990" s="1">
        <v>1650</v>
      </c>
      <c r="D2990" t="str">
        <f>"278"</f>
        <v>278</v>
      </c>
      <c r="E2990" t="str">
        <f>"C1750"</f>
        <v>C1750</v>
      </c>
    </row>
    <row r="2991" spans="1:5" x14ac:dyDescent="0.25">
      <c r="A2991" t="str">
        <f>"838271927"</f>
        <v>838271927</v>
      </c>
      <c r="B2991" t="s">
        <v>2915</v>
      </c>
      <c r="C2991">
        <v>10.95</v>
      </c>
      <c r="D2991" t="str">
        <f t="shared" ref="D2991:D3001" si="130">"272"</f>
        <v>272</v>
      </c>
    </row>
    <row r="2992" spans="1:5" x14ac:dyDescent="0.25">
      <c r="A2992" t="str">
        <f>"838271930"</f>
        <v>838271930</v>
      </c>
      <c r="B2992" t="s">
        <v>2916</v>
      </c>
      <c r="C2992">
        <v>98.41</v>
      </c>
      <c r="D2992" t="str">
        <f t="shared" si="130"/>
        <v>272</v>
      </c>
    </row>
    <row r="2993" spans="1:5" x14ac:dyDescent="0.25">
      <c r="A2993" t="str">
        <f>"838271936"</f>
        <v>838271936</v>
      </c>
      <c r="B2993" t="s">
        <v>2917</v>
      </c>
      <c r="C2993">
        <v>308.67</v>
      </c>
      <c r="D2993" t="str">
        <f t="shared" si="130"/>
        <v>272</v>
      </c>
    </row>
    <row r="2994" spans="1:5" x14ac:dyDescent="0.25">
      <c r="A2994" t="str">
        <f>"838271954"</f>
        <v>838271954</v>
      </c>
      <c r="B2994" t="s">
        <v>2918</v>
      </c>
      <c r="C2994">
        <v>250.92</v>
      </c>
      <c r="D2994" t="str">
        <f t="shared" si="130"/>
        <v>272</v>
      </c>
    </row>
    <row r="2995" spans="1:5" x14ac:dyDescent="0.25">
      <c r="A2995" t="str">
        <f>"838271960"</f>
        <v>838271960</v>
      </c>
      <c r="B2995" t="s">
        <v>2919</v>
      </c>
      <c r="C2995">
        <v>541.38</v>
      </c>
      <c r="D2995" t="str">
        <f t="shared" si="130"/>
        <v>272</v>
      </c>
      <c r="E2995" t="str">
        <f>"C1751"</f>
        <v>C1751</v>
      </c>
    </row>
    <row r="2996" spans="1:5" x14ac:dyDescent="0.25">
      <c r="A2996" t="str">
        <f>"838271963"</f>
        <v>838271963</v>
      </c>
      <c r="B2996" t="s">
        <v>2920</v>
      </c>
      <c r="C2996">
        <v>644.49</v>
      </c>
      <c r="D2996" t="str">
        <f t="shared" si="130"/>
        <v>272</v>
      </c>
      <c r="E2996" t="str">
        <f>"C1751"</f>
        <v>C1751</v>
      </c>
    </row>
    <row r="2997" spans="1:5" x14ac:dyDescent="0.25">
      <c r="A2997" t="str">
        <f>"838271969"</f>
        <v>838271969</v>
      </c>
      <c r="B2997" t="s">
        <v>2921</v>
      </c>
      <c r="C2997">
        <v>51.79</v>
      </c>
      <c r="D2997" t="str">
        <f t="shared" si="130"/>
        <v>272</v>
      </c>
    </row>
    <row r="2998" spans="1:5" x14ac:dyDescent="0.25">
      <c r="A2998" t="str">
        <f>"838271972"</f>
        <v>838271972</v>
      </c>
      <c r="B2998" t="s">
        <v>2922</v>
      </c>
      <c r="C2998">
        <v>58.81</v>
      </c>
      <c r="D2998" t="str">
        <f t="shared" si="130"/>
        <v>272</v>
      </c>
    </row>
    <row r="2999" spans="1:5" x14ac:dyDescent="0.25">
      <c r="A2999" t="str">
        <f>"838271978"</f>
        <v>838271978</v>
      </c>
      <c r="B2999" t="s">
        <v>2923</v>
      </c>
      <c r="C2999">
        <v>66.53</v>
      </c>
      <c r="D2999" t="str">
        <f t="shared" si="130"/>
        <v>272</v>
      </c>
    </row>
    <row r="3000" spans="1:5" x14ac:dyDescent="0.25">
      <c r="A3000" t="str">
        <f>"838271981"</f>
        <v>838271981</v>
      </c>
      <c r="B3000" t="s">
        <v>2924</v>
      </c>
      <c r="C3000">
        <v>170.48</v>
      </c>
      <c r="D3000" t="str">
        <f t="shared" si="130"/>
        <v>272</v>
      </c>
      <c r="E3000" t="str">
        <f>"C1758"</f>
        <v>C1758</v>
      </c>
    </row>
    <row r="3001" spans="1:5" x14ac:dyDescent="0.25">
      <c r="A3001" t="str">
        <f>"838271984"</f>
        <v>838271984</v>
      </c>
      <c r="B3001" t="s">
        <v>2925</v>
      </c>
      <c r="C3001">
        <v>154</v>
      </c>
      <c r="D3001" t="str">
        <f t="shared" si="130"/>
        <v>272</v>
      </c>
      <c r="E3001" t="str">
        <f>"C1758"</f>
        <v>C1758</v>
      </c>
    </row>
    <row r="3002" spans="1:5" x14ac:dyDescent="0.25">
      <c r="A3002" t="str">
        <f>"838272002"</f>
        <v>838272002</v>
      </c>
      <c r="B3002" t="s">
        <v>2926</v>
      </c>
      <c r="C3002">
        <v>138.6</v>
      </c>
      <c r="D3002" t="str">
        <f>"271"</f>
        <v>271</v>
      </c>
    </row>
    <row r="3003" spans="1:5" x14ac:dyDescent="0.25">
      <c r="A3003" t="str">
        <f>"838272003"</f>
        <v>838272003</v>
      </c>
      <c r="B3003" t="s">
        <v>2927</v>
      </c>
      <c r="C3003">
        <v>21.63</v>
      </c>
      <c r="D3003" t="str">
        <f>"272"</f>
        <v>272</v>
      </c>
    </row>
    <row r="3004" spans="1:5" x14ac:dyDescent="0.25">
      <c r="A3004" t="str">
        <f>"838272006"</f>
        <v>838272006</v>
      </c>
      <c r="B3004" t="s">
        <v>2928</v>
      </c>
      <c r="C3004" s="1">
        <v>1732.5</v>
      </c>
      <c r="D3004" t="str">
        <f>"801"</f>
        <v>801</v>
      </c>
      <c r="E3004" t="str">
        <f>"C1750"</f>
        <v>C1750</v>
      </c>
    </row>
    <row r="3005" spans="1:5" x14ac:dyDescent="0.25">
      <c r="A3005" t="str">
        <f>"838272023"</f>
        <v>838272023</v>
      </c>
      <c r="B3005" t="s">
        <v>2929</v>
      </c>
      <c r="C3005">
        <v>15.25</v>
      </c>
      <c r="D3005" t="str">
        <f>"274"</f>
        <v>274</v>
      </c>
      <c r="E3005" t="str">
        <f>"L3670"</f>
        <v>L3670</v>
      </c>
    </row>
    <row r="3006" spans="1:5" x14ac:dyDescent="0.25">
      <c r="A3006" t="str">
        <f>"838272038"</f>
        <v>838272038</v>
      </c>
      <c r="B3006" t="s">
        <v>2930</v>
      </c>
      <c r="C3006">
        <v>69.3</v>
      </c>
      <c r="D3006" t="str">
        <f>"274"</f>
        <v>274</v>
      </c>
      <c r="E3006" t="str">
        <f>"L3650"</f>
        <v>L3650</v>
      </c>
    </row>
    <row r="3007" spans="1:5" x14ac:dyDescent="0.25">
      <c r="A3007" t="str">
        <f>"838272040"</f>
        <v>838272040</v>
      </c>
      <c r="B3007" t="s">
        <v>2931</v>
      </c>
      <c r="C3007">
        <v>33.26</v>
      </c>
      <c r="D3007" t="str">
        <f>"272"</f>
        <v>272</v>
      </c>
    </row>
    <row r="3008" spans="1:5" x14ac:dyDescent="0.25">
      <c r="A3008" t="str">
        <f>"838272041"</f>
        <v>838272041</v>
      </c>
      <c r="B3008" t="s">
        <v>2932</v>
      </c>
      <c r="C3008">
        <v>11.09</v>
      </c>
      <c r="D3008" t="str">
        <f>"272"</f>
        <v>272</v>
      </c>
    </row>
    <row r="3009" spans="1:4" x14ac:dyDescent="0.25">
      <c r="A3009" t="str">
        <f>"838272042"</f>
        <v>838272042</v>
      </c>
      <c r="B3009" t="s">
        <v>2933</v>
      </c>
      <c r="C3009">
        <v>54.2</v>
      </c>
      <c r="D3009" t="str">
        <f>"272"</f>
        <v>272</v>
      </c>
    </row>
    <row r="3010" spans="1:4" x14ac:dyDescent="0.25">
      <c r="A3010" t="str">
        <f>"838272047"</f>
        <v>838272047</v>
      </c>
      <c r="B3010" t="s">
        <v>2934</v>
      </c>
      <c r="C3010">
        <v>30.91</v>
      </c>
      <c r="D3010" t="str">
        <f>"272"</f>
        <v>272</v>
      </c>
    </row>
    <row r="3011" spans="1:4" x14ac:dyDescent="0.25">
      <c r="A3011" t="str">
        <f>"838272062"</f>
        <v>838272062</v>
      </c>
      <c r="B3011" t="s">
        <v>2935</v>
      </c>
      <c r="C3011">
        <v>41.58</v>
      </c>
      <c r="D3011" t="str">
        <f>"271"</f>
        <v>271</v>
      </c>
    </row>
    <row r="3012" spans="1:4" x14ac:dyDescent="0.25">
      <c r="A3012" t="str">
        <f>"838272093"</f>
        <v>838272093</v>
      </c>
      <c r="B3012" t="s">
        <v>2936</v>
      </c>
      <c r="C3012">
        <v>241.63</v>
      </c>
      <c r="D3012" t="str">
        <f t="shared" ref="D3012:D3053" si="131">"272"</f>
        <v>272</v>
      </c>
    </row>
    <row r="3013" spans="1:4" x14ac:dyDescent="0.25">
      <c r="A3013" t="str">
        <f>"838272096"</f>
        <v>838272096</v>
      </c>
      <c r="B3013" t="s">
        <v>2937</v>
      </c>
      <c r="C3013">
        <v>146.22</v>
      </c>
      <c r="D3013" t="str">
        <f t="shared" si="131"/>
        <v>272</v>
      </c>
    </row>
    <row r="3014" spans="1:4" x14ac:dyDescent="0.25">
      <c r="A3014" t="str">
        <f>"838272099"</f>
        <v>838272099</v>
      </c>
      <c r="B3014" t="s">
        <v>2938</v>
      </c>
      <c r="C3014">
        <v>21.63</v>
      </c>
      <c r="D3014" t="str">
        <f t="shared" si="131"/>
        <v>272</v>
      </c>
    </row>
    <row r="3015" spans="1:4" x14ac:dyDescent="0.25">
      <c r="A3015" t="str">
        <f>"838272104"</f>
        <v>838272104</v>
      </c>
      <c r="B3015" t="s">
        <v>2939</v>
      </c>
      <c r="C3015">
        <v>33</v>
      </c>
      <c r="D3015" t="str">
        <f t="shared" si="131"/>
        <v>272</v>
      </c>
    </row>
    <row r="3016" spans="1:4" x14ac:dyDescent="0.25">
      <c r="A3016" t="str">
        <f>"838272106"</f>
        <v>838272106</v>
      </c>
      <c r="B3016" t="s">
        <v>2940</v>
      </c>
      <c r="C3016">
        <v>102.22</v>
      </c>
      <c r="D3016" t="str">
        <f t="shared" si="131"/>
        <v>272</v>
      </c>
    </row>
    <row r="3017" spans="1:4" x14ac:dyDescent="0.25">
      <c r="A3017" t="str">
        <f>"838272108"</f>
        <v>838272108</v>
      </c>
      <c r="B3017" t="s">
        <v>2941</v>
      </c>
      <c r="C3017">
        <v>10.95</v>
      </c>
      <c r="D3017" t="str">
        <f t="shared" si="131"/>
        <v>272</v>
      </c>
    </row>
    <row r="3018" spans="1:4" x14ac:dyDescent="0.25">
      <c r="A3018" t="str">
        <f>"838272114"</f>
        <v>838272114</v>
      </c>
      <c r="B3018" t="s">
        <v>2942</v>
      </c>
      <c r="C3018">
        <v>58.21</v>
      </c>
      <c r="D3018" t="str">
        <f t="shared" si="131"/>
        <v>272</v>
      </c>
    </row>
    <row r="3019" spans="1:4" x14ac:dyDescent="0.25">
      <c r="A3019" t="str">
        <f>"838272117"</f>
        <v>838272117</v>
      </c>
      <c r="B3019" t="s">
        <v>2943</v>
      </c>
      <c r="C3019">
        <v>76.23</v>
      </c>
      <c r="D3019" t="str">
        <f t="shared" si="131"/>
        <v>272</v>
      </c>
    </row>
    <row r="3020" spans="1:4" x14ac:dyDescent="0.25">
      <c r="A3020" t="str">
        <f>"838272120"</f>
        <v>838272120</v>
      </c>
      <c r="B3020" t="s">
        <v>2944</v>
      </c>
      <c r="C3020">
        <v>62.37</v>
      </c>
      <c r="D3020" t="str">
        <f t="shared" si="131"/>
        <v>272</v>
      </c>
    </row>
    <row r="3021" spans="1:4" x14ac:dyDescent="0.25">
      <c r="A3021" t="str">
        <f>"838272123"</f>
        <v>838272123</v>
      </c>
      <c r="B3021" t="s">
        <v>2945</v>
      </c>
      <c r="C3021">
        <v>48.35</v>
      </c>
      <c r="D3021" t="str">
        <f t="shared" si="131"/>
        <v>272</v>
      </c>
    </row>
    <row r="3022" spans="1:4" x14ac:dyDescent="0.25">
      <c r="A3022" t="str">
        <f>"838272126"</f>
        <v>838272126</v>
      </c>
      <c r="B3022" t="s">
        <v>2946</v>
      </c>
      <c r="C3022">
        <v>62.37</v>
      </c>
      <c r="D3022" t="str">
        <f t="shared" si="131"/>
        <v>272</v>
      </c>
    </row>
    <row r="3023" spans="1:4" x14ac:dyDescent="0.25">
      <c r="A3023" t="str">
        <f>"838272138"</f>
        <v>838272138</v>
      </c>
      <c r="B3023" t="s">
        <v>2947</v>
      </c>
      <c r="C3023">
        <v>10.95</v>
      </c>
      <c r="D3023" t="str">
        <f t="shared" si="131"/>
        <v>272</v>
      </c>
    </row>
    <row r="3024" spans="1:4" x14ac:dyDescent="0.25">
      <c r="A3024" t="str">
        <f>"838272141"</f>
        <v>838272141</v>
      </c>
      <c r="B3024" t="s">
        <v>2948</v>
      </c>
      <c r="C3024">
        <v>10.95</v>
      </c>
      <c r="D3024" t="str">
        <f t="shared" si="131"/>
        <v>272</v>
      </c>
    </row>
    <row r="3025" spans="1:4" x14ac:dyDescent="0.25">
      <c r="A3025" t="str">
        <f>"838272144"</f>
        <v>838272144</v>
      </c>
      <c r="B3025" t="s">
        <v>2949</v>
      </c>
      <c r="C3025">
        <v>27.5</v>
      </c>
      <c r="D3025" t="str">
        <f t="shared" si="131"/>
        <v>272</v>
      </c>
    </row>
    <row r="3026" spans="1:4" x14ac:dyDescent="0.25">
      <c r="A3026" t="str">
        <f>"838272147"</f>
        <v>838272147</v>
      </c>
      <c r="B3026" t="s">
        <v>2950</v>
      </c>
      <c r="C3026">
        <v>29.11</v>
      </c>
      <c r="D3026" t="str">
        <f t="shared" si="131"/>
        <v>272</v>
      </c>
    </row>
    <row r="3027" spans="1:4" x14ac:dyDescent="0.25">
      <c r="A3027" t="str">
        <f>"838272150"</f>
        <v>838272150</v>
      </c>
      <c r="B3027" t="s">
        <v>2951</v>
      </c>
      <c r="C3027">
        <v>37.42</v>
      </c>
      <c r="D3027" t="str">
        <f t="shared" si="131"/>
        <v>272</v>
      </c>
    </row>
    <row r="3028" spans="1:4" x14ac:dyDescent="0.25">
      <c r="A3028" t="str">
        <f>"838272153"</f>
        <v>838272153</v>
      </c>
      <c r="B3028" t="s">
        <v>2952</v>
      </c>
      <c r="C3028">
        <v>103.95</v>
      </c>
      <c r="D3028" t="str">
        <f t="shared" si="131"/>
        <v>272</v>
      </c>
    </row>
    <row r="3029" spans="1:4" x14ac:dyDescent="0.25">
      <c r="A3029" t="str">
        <f>"838272156"</f>
        <v>838272156</v>
      </c>
      <c r="B3029" t="s">
        <v>2953</v>
      </c>
      <c r="C3029">
        <v>41.58</v>
      </c>
      <c r="D3029" t="str">
        <f t="shared" si="131"/>
        <v>272</v>
      </c>
    </row>
    <row r="3030" spans="1:4" x14ac:dyDescent="0.25">
      <c r="A3030" t="str">
        <f>"838272159"</f>
        <v>838272159</v>
      </c>
      <c r="B3030" t="s">
        <v>2954</v>
      </c>
      <c r="C3030">
        <v>83.16</v>
      </c>
      <c r="D3030" t="str">
        <f t="shared" si="131"/>
        <v>272</v>
      </c>
    </row>
    <row r="3031" spans="1:4" x14ac:dyDescent="0.25">
      <c r="A3031" t="str">
        <f>"838272162"</f>
        <v>838272162</v>
      </c>
      <c r="B3031" t="s">
        <v>2955</v>
      </c>
      <c r="C3031">
        <v>55.44</v>
      </c>
      <c r="D3031" t="str">
        <f t="shared" si="131"/>
        <v>272</v>
      </c>
    </row>
    <row r="3032" spans="1:4" x14ac:dyDescent="0.25">
      <c r="A3032" t="str">
        <f>"838272165"</f>
        <v>838272165</v>
      </c>
      <c r="B3032" t="s">
        <v>2956</v>
      </c>
      <c r="C3032">
        <v>103.95</v>
      </c>
      <c r="D3032" t="str">
        <f t="shared" si="131"/>
        <v>272</v>
      </c>
    </row>
    <row r="3033" spans="1:4" x14ac:dyDescent="0.25">
      <c r="A3033" t="str">
        <f>"838272168"</f>
        <v>838272168</v>
      </c>
      <c r="B3033" t="s">
        <v>2957</v>
      </c>
      <c r="C3033">
        <v>24.95</v>
      </c>
      <c r="D3033" t="str">
        <f t="shared" si="131"/>
        <v>272</v>
      </c>
    </row>
    <row r="3034" spans="1:4" x14ac:dyDescent="0.25">
      <c r="A3034" t="str">
        <f>"838272171"</f>
        <v>838272171</v>
      </c>
      <c r="B3034" t="s">
        <v>2958</v>
      </c>
      <c r="C3034">
        <v>15.71</v>
      </c>
      <c r="D3034" t="str">
        <f t="shared" si="131"/>
        <v>272</v>
      </c>
    </row>
    <row r="3035" spans="1:4" x14ac:dyDescent="0.25">
      <c r="A3035" t="str">
        <f>"838272174"</f>
        <v>838272174</v>
      </c>
      <c r="B3035" t="s">
        <v>2959</v>
      </c>
      <c r="C3035">
        <v>35.76</v>
      </c>
      <c r="D3035" t="str">
        <f t="shared" si="131"/>
        <v>272</v>
      </c>
    </row>
    <row r="3036" spans="1:4" x14ac:dyDescent="0.25">
      <c r="A3036" t="str">
        <f>"838272177"</f>
        <v>838272177</v>
      </c>
      <c r="B3036" t="s">
        <v>2960</v>
      </c>
      <c r="C3036">
        <v>10.95</v>
      </c>
      <c r="D3036" t="str">
        <f t="shared" si="131"/>
        <v>272</v>
      </c>
    </row>
    <row r="3037" spans="1:4" x14ac:dyDescent="0.25">
      <c r="A3037" t="str">
        <f>"838272180"</f>
        <v>838272180</v>
      </c>
      <c r="B3037" t="s">
        <v>2961</v>
      </c>
      <c r="C3037">
        <v>22.03</v>
      </c>
      <c r="D3037" t="str">
        <f t="shared" si="131"/>
        <v>272</v>
      </c>
    </row>
    <row r="3038" spans="1:4" x14ac:dyDescent="0.25">
      <c r="A3038" t="str">
        <f>"838272183"</f>
        <v>838272183</v>
      </c>
      <c r="B3038" t="s">
        <v>2962</v>
      </c>
      <c r="C3038">
        <v>22.03</v>
      </c>
      <c r="D3038" t="str">
        <f t="shared" si="131"/>
        <v>272</v>
      </c>
    </row>
    <row r="3039" spans="1:4" x14ac:dyDescent="0.25">
      <c r="A3039" t="str">
        <f>"838272186"</f>
        <v>838272186</v>
      </c>
      <c r="B3039" t="s">
        <v>2963</v>
      </c>
      <c r="C3039">
        <v>22</v>
      </c>
      <c r="D3039" t="str">
        <f t="shared" si="131"/>
        <v>272</v>
      </c>
    </row>
    <row r="3040" spans="1:4" x14ac:dyDescent="0.25">
      <c r="A3040" t="str">
        <f>"838272189"</f>
        <v>838272189</v>
      </c>
      <c r="B3040" t="s">
        <v>2964</v>
      </c>
      <c r="C3040">
        <v>10.95</v>
      </c>
      <c r="D3040" t="str">
        <f t="shared" si="131"/>
        <v>272</v>
      </c>
    </row>
    <row r="3041" spans="1:5" x14ac:dyDescent="0.25">
      <c r="A3041" t="str">
        <f>"838272192"</f>
        <v>838272192</v>
      </c>
      <c r="B3041" t="s">
        <v>2965</v>
      </c>
      <c r="C3041">
        <v>22</v>
      </c>
      <c r="D3041" t="str">
        <f t="shared" si="131"/>
        <v>272</v>
      </c>
    </row>
    <row r="3042" spans="1:5" x14ac:dyDescent="0.25">
      <c r="A3042" t="str">
        <f>"838272204"</f>
        <v>838272204</v>
      </c>
      <c r="B3042" t="s">
        <v>2966</v>
      </c>
      <c r="C3042">
        <v>56.49</v>
      </c>
      <c r="D3042" t="str">
        <f t="shared" si="131"/>
        <v>272</v>
      </c>
    </row>
    <row r="3043" spans="1:5" x14ac:dyDescent="0.25">
      <c r="A3043" t="str">
        <f>"838272207"</f>
        <v>838272207</v>
      </c>
      <c r="B3043" t="s">
        <v>2967</v>
      </c>
      <c r="C3043">
        <v>62.37</v>
      </c>
      <c r="D3043" t="str">
        <f t="shared" si="131"/>
        <v>272</v>
      </c>
    </row>
    <row r="3044" spans="1:5" x14ac:dyDescent="0.25">
      <c r="A3044" t="str">
        <f>"838272210"</f>
        <v>838272210</v>
      </c>
      <c r="B3044" t="s">
        <v>2968</v>
      </c>
      <c r="C3044">
        <v>584.75</v>
      </c>
      <c r="D3044" t="str">
        <f t="shared" si="131"/>
        <v>272</v>
      </c>
    </row>
    <row r="3045" spans="1:5" x14ac:dyDescent="0.25">
      <c r="A3045" t="str">
        <f>"838272216"</f>
        <v>838272216</v>
      </c>
      <c r="B3045" t="s">
        <v>2969</v>
      </c>
      <c r="C3045">
        <v>207.9</v>
      </c>
      <c r="D3045" t="str">
        <f t="shared" si="131"/>
        <v>272</v>
      </c>
    </row>
    <row r="3046" spans="1:5" x14ac:dyDescent="0.25">
      <c r="A3046" t="str">
        <f>"838272228"</f>
        <v>838272228</v>
      </c>
      <c r="B3046" t="s">
        <v>2970</v>
      </c>
      <c r="C3046">
        <v>49.6</v>
      </c>
      <c r="D3046" t="str">
        <f t="shared" si="131"/>
        <v>272</v>
      </c>
    </row>
    <row r="3047" spans="1:5" x14ac:dyDescent="0.25">
      <c r="A3047" t="str">
        <f>"838272258"</f>
        <v>838272258</v>
      </c>
      <c r="B3047" t="s">
        <v>2971</v>
      </c>
      <c r="C3047">
        <v>277.2</v>
      </c>
      <c r="D3047" t="str">
        <f t="shared" si="131"/>
        <v>272</v>
      </c>
    </row>
    <row r="3048" spans="1:5" x14ac:dyDescent="0.25">
      <c r="A3048" t="str">
        <f>"838272261"</f>
        <v>838272261</v>
      </c>
      <c r="B3048" t="s">
        <v>2972</v>
      </c>
      <c r="C3048">
        <v>363.83</v>
      </c>
      <c r="D3048" t="str">
        <f t="shared" si="131"/>
        <v>272</v>
      </c>
    </row>
    <row r="3049" spans="1:5" x14ac:dyDescent="0.25">
      <c r="A3049" t="str">
        <f>"838272264"</f>
        <v>838272264</v>
      </c>
      <c r="B3049" t="s">
        <v>2973</v>
      </c>
      <c r="C3049">
        <v>379.07</v>
      </c>
      <c r="D3049" t="str">
        <f t="shared" si="131"/>
        <v>272</v>
      </c>
    </row>
    <row r="3050" spans="1:5" x14ac:dyDescent="0.25">
      <c r="A3050" t="str">
        <f>"838272276"</f>
        <v>838272276</v>
      </c>
      <c r="B3050" t="s">
        <v>2974</v>
      </c>
      <c r="C3050">
        <v>10.95</v>
      </c>
      <c r="D3050" t="str">
        <f t="shared" si="131"/>
        <v>272</v>
      </c>
    </row>
    <row r="3051" spans="1:5" x14ac:dyDescent="0.25">
      <c r="A3051" t="str">
        <f>"838272320"</f>
        <v>838272320</v>
      </c>
      <c r="B3051" t="s">
        <v>2975</v>
      </c>
      <c r="C3051">
        <v>55</v>
      </c>
      <c r="D3051" t="str">
        <f t="shared" si="131"/>
        <v>272</v>
      </c>
    </row>
    <row r="3052" spans="1:5" x14ac:dyDescent="0.25">
      <c r="A3052" t="str">
        <f>"838272324"</f>
        <v>838272324</v>
      </c>
      <c r="B3052" t="s">
        <v>2976</v>
      </c>
      <c r="C3052">
        <v>6.93</v>
      </c>
      <c r="D3052" t="str">
        <f t="shared" si="131"/>
        <v>272</v>
      </c>
    </row>
    <row r="3053" spans="1:5" x14ac:dyDescent="0.25">
      <c r="A3053" t="str">
        <f>"838272327"</f>
        <v>838272327</v>
      </c>
      <c r="B3053" t="s">
        <v>2977</v>
      </c>
      <c r="C3053">
        <v>6.93</v>
      </c>
      <c r="D3053" t="str">
        <f t="shared" si="131"/>
        <v>272</v>
      </c>
    </row>
    <row r="3054" spans="1:5" x14ac:dyDescent="0.25">
      <c r="A3054" t="str">
        <f>"838272378"</f>
        <v>838272378</v>
      </c>
      <c r="B3054" t="s">
        <v>2978</v>
      </c>
      <c r="C3054">
        <v>70.41</v>
      </c>
      <c r="D3054" t="str">
        <f>"274"</f>
        <v>274</v>
      </c>
      <c r="E3054" t="str">
        <f>"L3670"</f>
        <v>L3670</v>
      </c>
    </row>
    <row r="3055" spans="1:5" x14ac:dyDescent="0.25">
      <c r="A3055" t="str">
        <f>"838272379"</f>
        <v>838272379</v>
      </c>
      <c r="B3055" t="s">
        <v>2979</v>
      </c>
      <c r="C3055">
        <v>155.82</v>
      </c>
      <c r="D3055" t="str">
        <f>"274"</f>
        <v>274</v>
      </c>
      <c r="E3055" t="str">
        <f>"L3670"</f>
        <v>L3670</v>
      </c>
    </row>
    <row r="3056" spans="1:5" x14ac:dyDescent="0.25">
      <c r="A3056" t="str">
        <f>"838272380"</f>
        <v>838272380</v>
      </c>
      <c r="B3056" t="s">
        <v>2980</v>
      </c>
      <c r="C3056">
        <v>155.82</v>
      </c>
      <c r="D3056" t="str">
        <f>"274"</f>
        <v>274</v>
      </c>
      <c r="E3056" t="str">
        <f>"L3670"</f>
        <v>L3670</v>
      </c>
    </row>
    <row r="3057" spans="1:5" x14ac:dyDescent="0.25">
      <c r="A3057" t="str">
        <f>"838272381"</f>
        <v>838272381</v>
      </c>
      <c r="B3057" t="s">
        <v>2981</v>
      </c>
      <c r="C3057">
        <v>194.88</v>
      </c>
      <c r="D3057" t="str">
        <f>"272"</f>
        <v>272</v>
      </c>
    </row>
    <row r="3058" spans="1:5" x14ac:dyDescent="0.25">
      <c r="A3058" t="str">
        <f>"838272382"</f>
        <v>838272382</v>
      </c>
      <c r="B3058" t="s">
        <v>2982</v>
      </c>
      <c r="C3058">
        <v>155.82</v>
      </c>
      <c r="D3058" t="str">
        <f>"274"</f>
        <v>274</v>
      </c>
      <c r="E3058" t="str">
        <f>"L3670"</f>
        <v>L3670</v>
      </c>
    </row>
    <row r="3059" spans="1:5" x14ac:dyDescent="0.25">
      <c r="A3059" t="str">
        <f>"838272383"</f>
        <v>838272383</v>
      </c>
      <c r="B3059" t="s">
        <v>2983</v>
      </c>
      <c r="C3059">
        <v>205.99</v>
      </c>
      <c r="D3059" t="str">
        <f>"274"</f>
        <v>274</v>
      </c>
      <c r="E3059" t="str">
        <f>"L1830"</f>
        <v>L1830</v>
      </c>
    </row>
    <row r="3060" spans="1:5" x14ac:dyDescent="0.25">
      <c r="A3060" t="str">
        <f>"838272384"</f>
        <v>838272384</v>
      </c>
      <c r="B3060" t="s">
        <v>2984</v>
      </c>
      <c r="C3060">
        <v>49.9</v>
      </c>
      <c r="D3060" t="str">
        <f>"272"</f>
        <v>272</v>
      </c>
    </row>
    <row r="3061" spans="1:5" x14ac:dyDescent="0.25">
      <c r="A3061" t="str">
        <f>"838272385"</f>
        <v>838272385</v>
      </c>
      <c r="B3061" t="s">
        <v>2985</v>
      </c>
      <c r="C3061">
        <v>205.99</v>
      </c>
      <c r="D3061" t="str">
        <f>"274"</f>
        <v>274</v>
      </c>
      <c r="E3061" t="str">
        <f>"L1830"</f>
        <v>L1830</v>
      </c>
    </row>
    <row r="3062" spans="1:5" x14ac:dyDescent="0.25">
      <c r="A3062" t="str">
        <f>"838272386"</f>
        <v>838272386</v>
      </c>
      <c r="B3062" t="s">
        <v>2986</v>
      </c>
      <c r="C3062">
        <v>205.99</v>
      </c>
      <c r="D3062" t="str">
        <f>"274"</f>
        <v>274</v>
      </c>
      <c r="E3062" t="str">
        <f>"L1830"</f>
        <v>L1830</v>
      </c>
    </row>
    <row r="3063" spans="1:5" x14ac:dyDescent="0.25">
      <c r="A3063" t="str">
        <f>"838272387"</f>
        <v>838272387</v>
      </c>
      <c r="B3063" t="s">
        <v>2987</v>
      </c>
      <c r="C3063">
        <v>221.76</v>
      </c>
      <c r="D3063" t="str">
        <f>"272"</f>
        <v>272</v>
      </c>
    </row>
    <row r="3064" spans="1:5" x14ac:dyDescent="0.25">
      <c r="A3064" t="str">
        <f>"838272388"</f>
        <v>838272388</v>
      </c>
      <c r="B3064" t="s">
        <v>2988</v>
      </c>
      <c r="C3064">
        <v>144.13999999999999</v>
      </c>
      <c r="D3064" t="str">
        <f>"274"</f>
        <v>274</v>
      </c>
      <c r="E3064" t="str">
        <f>"L1830"</f>
        <v>L1830</v>
      </c>
    </row>
    <row r="3065" spans="1:5" x14ac:dyDescent="0.25">
      <c r="A3065" t="str">
        <f>"838272389"</f>
        <v>838272389</v>
      </c>
      <c r="B3065" t="s">
        <v>2989</v>
      </c>
      <c r="C3065">
        <v>121.28</v>
      </c>
      <c r="D3065" t="str">
        <f t="shared" ref="D3065:D3070" si="132">"272"</f>
        <v>272</v>
      </c>
    </row>
    <row r="3066" spans="1:5" x14ac:dyDescent="0.25">
      <c r="A3066" t="str">
        <f>"838272396"</f>
        <v>838272396</v>
      </c>
      <c r="B3066" t="s">
        <v>2990</v>
      </c>
      <c r="C3066">
        <v>155.93</v>
      </c>
      <c r="D3066" t="str">
        <f t="shared" si="132"/>
        <v>272</v>
      </c>
    </row>
    <row r="3067" spans="1:5" x14ac:dyDescent="0.25">
      <c r="A3067" t="str">
        <f>"838272399"</f>
        <v>838272399</v>
      </c>
      <c r="B3067" t="s">
        <v>2991</v>
      </c>
      <c r="C3067">
        <v>103.95</v>
      </c>
      <c r="D3067" t="str">
        <f t="shared" si="132"/>
        <v>272</v>
      </c>
    </row>
    <row r="3068" spans="1:5" x14ac:dyDescent="0.25">
      <c r="A3068" t="str">
        <f>"838272408"</f>
        <v>838272408</v>
      </c>
      <c r="B3068" t="s">
        <v>2992</v>
      </c>
      <c r="C3068">
        <v>29.94</v>
      </c>
      <c r="D3068" t="str">
        <f t="shared" si="132"/>
        <v>272</v>
      </c>
    </row>
    <row r="3069" spans="1:5" x14ac:dyDescent="0.25">
      <c r="A3069" t="str">
        <f>"838272411"</f>
        <v>838272411</v>
      </c>
      <c r="B3069" t="s">
        <v>2993</v>
      </c>
      <c r="C3069">
        <v>21.63</v>
      </c>
      <c r="D3069" t="str">
        <f t="shared" si="132"/>
        <v>272</v>
      </c>
    </row>
    <row r="3070" spans="1:5" x14ac:dyDescent="0.25">
      <c r="A3070" t="str">
        <f>"838272435"</f>
        <v>838272435</v>
      </c>
      <c r="B3070" t="s">
        <v>2994</v>
      </c>
      <c r="C3070" s="1">
        <v>5414.13</v>
      </c>
      <c r="D3070" t="str">
        <f t="shared" si="132"/>
        <v>272</v>
      </c>
    </row>
    <row r="3071" spans="1:5" x14ac:dyDescent="0.25">
      <c r="A3071" t="str">
        <f>"838272447"</f>
        <v>838272447</v>
      </c>
      <c r="B3071" t="s">
        <v>2995</v>
      </c>
      <c r="C3071">
        <v>38.5</v>
      </c>
      <c r="D3071" t="str">
        <f>"270"</f>
        <v>270</v>
      </c>
    </row>
    <row r="3072" spans="1:5" x14ac:dyDescent="0.25">
      <c r="A3072" t="str">
        <f>"838273003"</f>
        <v>838273003</v>
      </c>
      <c r="B3072" t="s">
        <v>2996</v>
      </c>
      <c r="C3072">
        <v>66.430000000000007</v>
      </c>
      <c r="D3072" t="str">
        <f>"272"</f>
        <v>272</v>
      </c>
    </row>
    <row r="3073" spans="1:5" x14ac:dyDescent="0.25">
      <c r="A3073" t="str">
        <f>"838273006"</f>
        <v>838273006</v>
      </c>
      <c r="B3073" t="s">
        <v>2997</v>
      </c>
      <c r="C3073">
        <v>67.22</v>
      </c>
      <c r="D3073" t="str">
        <f>"272"</f>
        <v>272</v>
      </c>
    </row>
    <row r="3074" spans="1:5" x14ac:dyDescent="0.25">
      <c r="A3074" t="str">
        <f>"838273009"</f>
        <v>838273009</v>
      </c>
      <c r="B3074" t="s">
        <v>2998</v>
      </c>
      <c r="C3074">
        <v>48.3</v>
      </c>
      <c r="D3074" t="str">
        <f>"271"</f>
        <v>271</v>
      </c>
    </row>
    <row r="3075" spans="1:5" x14ac:dyDescent="0.25">
      <c r="A3075" t="str">
        <f>"838273012"</f>
        <v>838273012</v>
      </c>
      <c r="B3075" t="s">
        <v>2999</v>
      </c>
      <c r="C3075">
        <v>67.91</v>
      </c>
      <c r="D3075" t="str">
        <f>"274"</f>
        <v>274</v>
      </c>
      <c r="E3075" t="str">
        <f>"L0472"</f>
        <v>L0472</v>
      </c>
    </row>
    <row r="3076" spans="1:5" x14ac:dyDescent="0.25">
      <c r="A3076" t="str">
        <f>"838273021"</f>
        <v>838273021</v>
      </c>
      <c r="B3076" t="s">
        <v>3000</v>
      </c>
      <c r="C3076">
        <v>115.5</v>
      </c>
      <c r="D3076" t="str">
        <f>"272"</f>
        <v>272</v>
      </c>
    </row>
    <row r="3077" spans="1:5" x14ac:dyDescent="0.25">
      <c r="A3077" t="str">
        <f>"838273023"</f>
        <v>838273023</v>
      </c>
      <c r="B3077" t="s">
        <v>3001</v>
      </c>
      <c r="C3077">
        <v>40.26</v>
      </c>
      <c r="D3077" t="str">
        <f>"272"</f>
        <v>272</v>
      </c>
    </row>
    <row r="3078" spans="1:5" x14ac:dyDescent="0.25">
      <c r="A3078" t="str">
        <f>"838273030"</f>
        <v>838273030</v>
      </c>
      <c r="B3078" t="s">
        <v>3002</v>
      </c>
      <c r="C3078">
        <v>263.33999999999997</v>
      </c>
      <c r="D3078" t="str">
        <f>"271"</f>
        <v>271</v>
      </c>
    </row>
    <row r="3079" spans="1:5" x14ac:dyDescent="0.25">
      <c r="A3079" t="str">
        <f>"838273036"</f>
        <v>838273036</v>
      </c>
      <c r="B3079" t="s">
        <v>3003</v>
      </c>
      <c r="C3079">
        <v>58.63</v>
      </c>
      <c r="D3079" t="str">
        <f>"271"</f>
        <v>271</v>
      </c>
    </row>
    <row r="3080" spans="1:5" x14ac:dyDescent="0.25">
      <c r="A3080" t="str">
        <f>"838273039"</f>
        <v>838273039</v>
      </c>
      <c r="B3080" t="s">
        <v>3004</v>
      </c>
      <c r="C3080">
        <v>58.63</v>
      </c>
      <c r="D3080" t="str">
        <f>"271"</f>
        <v>271</v>
      </c>
    </row>
    <row r="3081" spans="1:5" x14ac:dyDescent="0.25">
      <c r="A3081" t="str">
        <f>"838273040"</f>
        <v>838273040</v>
      </c>
      <c r="B3081" t="s">
        <v>3005</v>
      </c>
      <c r="C3081">
        <v>99.55</v>
      </c>
      <c r="D3081" t="str">
        <f>"272"</f>
        <v>272</v>
      </c>
    </row>
    <row r="3082" spans="1:5" x14ac:dyDescent="0.25">
      <c r="A3082" t="str">
        <f>"838273041"</f>
        <v>838273041</v>
      </c>
      <c r="B3082" t="s">
        <v>3006</v>
      </c>
      <c r="C3082">
        <v>99.55</v>
      </c>
      <c r="D3082" t="str">
        <f>"272"</f>
        <v>272</v>
      </c>
    </row>
    <row r="3083" spans="1:5" x14ac:dyDescent="0.25">
      <c r="A3083" t="str">
        <f>"838273042"</f>
        <v>838273042</v>
      </c>
      <c r="B3083" t="s">
        <v>3007</v>
      </c>
      <c r="C3083" s="1">
        <v>1045</v>
      </c>
      <c r="D3083" t="str">
        <f>"272"</f>
        <v>272</v>
      </c>
    </row>
    <row r="3084" spans="1:5" x14ac:dyDescent="0.25">
      <c r="A3084" t="str">
        <f>"838273043"</f>
        <v>838273043</v>
      </c>
      <c r="B3084" t="s">
        <v>3008</v>
      </c>
      <c r="C3084">
        <v>241.44</v>
      </c>
      <c r="D3084" t="str">
        <f>"272"</f>
        <v>272</v>
      </c>
    </row>
    <row r="3085" spans="1:5" x14ac:dyDescent="0.25">
      <c r="A3085" t="str">
        <f>"838273044"</f>
        <v>838273044</v>
      </c>
      <c r="B3085" t="s">
        <v>3009</v>
      </c>
      <c r="C3085">
        <v>369.44</v>
      </c>
      <c r="D3085" t="str">
        <f>"272"</f>
        <v>272</v>
      </c>
    </row>
    <row r="3086" spans="1:5" x14ac:dyDescent="0.25">
      <c r="A3086" t="str">
        <f>"838273045"</f>
        <v>838273045</v>
      </c>
      <c r="B3086" t="s">
        <v>3010</v>
      </c>
      <c r="C3086">
        <v>94.35</v>
      </c>
      <c r="D3086" t="str">
        <f>"271"</f>
        <v>271</v>
      </c>
    </row>
    <row r="3087" spans="1:5" x14ac:dyDescent="0.25">
      <c r="A3087" t="str">
        <f>"838273048"</f>
        <v>838273048</v>
      </c>
      <c r="B3087" t="s">
        <v>3011</v>
      </c>
      <c r="C3087">
        <v>195.14</v>
      </c>
      <c r="D3087" t="str">
        <f>"272"</f>
        <v>272</v>
      </c>
    </row>
    <row r="3088" spans="1:5" x14ac:dyDescent="0.25">
      <c r="A3088" t="str">
        <f>"838273051"</f>
        <v>838273051</v>
      </c>
      <c r="B3088" t="s">
        <v>3012</v>
      </c>
      <c r="C3088">
        <v>164.2</v>
      </c>
      <c r="D3088" t="str">
        <f>"272"</f>
        <v>272</v>
      </c>
    </row>
    <row r="3089" spans="1:4" x14ac:dyDescent="0.25">
      <c r="A3089" t="str">
        <f>"838273057"</f>
        <v>838273057</v>
      </c>
      <c r="B3089" t="s">
        <v>3013</v>
      </c>
      <c r="C3089">
        <v>50.75</v>
      </c>
      <c r="D3089" t="str">
        <f>"271"</f>
        <v>271</v>
      </c>
    </row>
    <row r="3090" spans="1:4" x14ac:dyDescent="0.25">
      <c r="A3090" t="str">
        <f>"838273082"</f>
        <v>838273082</v>
      </c>
      <c r="B3090" t="s">
        <v>3014</v>
      </c>
      <c r="C3090">
        <v>85.93</v>
      </c>
      <c r="D3090" t="str">
        <f>"271"</f>
        <v>271</v>
      </c>
    </row>
    <row r="3091" spans="1:4" x14ac:dyDescent="0.25">
      <c r="A3091" t="str">
        <f>"838273083"</f>
        <v>838273083</v>
      </c>
      <c r="B3091" t="s">
        <v>3015</v>
      </c>
      <c r="C3091">
        <v>85.93</v>
      </c>
      <c r="D3091" t="str">
        <f>"271"</f>
        <v>271</v>
      </c>
    </row>
    <row r="3092" spans="1:4" x14ac:dyDescent="0.25">
      <c r="A3092" t="str">
        <f>"838273084"</f>
        <v>838273084</v>
      </c>
      <c r="B3092" t="s">
        <v>3016</v>
      </c>
      <c r="C3092">
        <v>68.150000000000006</v>
      </c>
      <c r="D3092" t="str">
        <f t="shared" ref="D3092:D3099" si="133">"272"</f>
        <v>272</v>
      </c>
    </row>
    <row r="3093" spans="1:4" x14ac:dyDescent="0.25">
      <c r="A3093" t="str">
        <f>"838273087"</f>
        <v>838273087</v>
      </c>
      <c r="B3093" t="s">
        <v>3017</v>
      </c>
      <c r="C3093">
        <v>38.950000000000003</v>
      </c>
      <c r="D3093" t="str">
        <f t="shared" si="133"/>
        <v>272</v>
      </c>
    </row>
    <row r="3094" spans="1:4" x14ac:dyDescent="0.25">
      <c r="A3094" t="str">
        <f>"838273090"</f>
        <v>838273090</v>
      </c>
      <c r="B3094" t="s">
        <v>3018</v>
      </c>
      <c r="C3094">
        <v>80.540000000000006</v>
      </c>
      <c r="D3094" t="str">
        <f t="shared" si="133"/>
        <v>272</v>
      </c>
    </row>
    <row r="3095" spans="1:4" x14ac:dyDescent="0.25">
      <c r="A3095" t="str">
        <f>"838273099"</f>
        <v>838273099</v>
      </c>
      <c r="B3095" t="s">
        <v>3019</v>
      </c>
      <c r="C3095">
        <v>34.65</v>
      </c>
      <c r="D3095" t="str">
        <f t="shared" si="133"/>
        <v>272</v>
      </c>
    </row>
    <row r="3096" spans="1:4" x14ac:dyDescent="0.25">
      <c r="A3096" t="str">
        <f>"838273105"</f>
        <v>838273105</v>
      </c>
      <c r="B3096" t="s">
        <v>3020</v>
      </c>
      <c r="C3096">
        <v>58.41</v>
      </c>
      <c r="D3096" t="str">
        <f t="shared" si="133"/>
        <v>272</v>
      </c>
    </row>
    <row r="3097" spans="1:4" x14ac:dyDescent="0.25">
      <c r="A3097" t="str">
        <f>"838273108"</f>
        <v>838273108</v>
      </c>
      <c r="B3097" t="s">
        <v>3021</v>
      </c>
      <c r="C3097">
        <v>21.63</v>
      </c>
      <c r="D3097" t="str">
        <f t="shared" si="133"/>
        <v>272</v>
      </c>
    </row>
    <row r="3098" spans="1:4" x14ac:dyDescent="0.25">
      <c r="A3098" t="str">
        <f>"838273111"</f>
        <v>838273111</v>
      </c>
      <c r="B3098" t="s">
        <v>3022</v>
      </c>
      <c r="C3098">
        <v>21.63</v>
      </c>
      <c r="D3098" t="str">
        <f t="shared" si="133"/>
        <v>272</v>
      </c>
    </row>
    <row r="3099" spans="1:4" x14ac:dyDescent="0.25">
      <c r="A3099" t="str">
        <f>"838273114"</f>
        <v>838273114</v>
      </c>
      <c r="B3099" t="s">
        <v>3023</v>
      </c>
      <c r="C3099">
        <v>21.63</v>
      </c>
      <c r="D3099" t="str">
        <f t="shared" si="133"/>
        <v>272</v>
      </c>
    </row>
    <row r="3100" spans="1:4" x14ac:dyDescent="0.25">
      <c r="A3100" t="str">
        <f>"838273123"</f>
        <v>838273123</v>
      </c>
      <c r="B3100" t="s">
        <v>3024</v>
      </c>
      <c r="C3100">
        <v>238.25</v>
      </c>
      <c r="D3100" t="str">
        <f t="shared" ref="D3100:D3113" si="134">"271"</f>
        <v>271</v>
      </c>
    </row>
    <row r="3101" spans="1:4" x14ac:dyDescent="0.25">
      <c r="A3101" t="str">
        <f>"838273126"</f>
        <v>838273126</v>
      </c>
      <c r="B3101" t="s">
        <v>3025</v>
      </c>
      <c r="C3101">
        <v>21.63</v>
      </c>
      <c r="D3101" t="str">
        <f t="shared" si="134"/>
        <v>271</v>
      </c>
    </row>
    <row r="3102" spans="1:4" x14ac:dyDescent="0.25">
      <c r="A3102" t="str">
        <f>"838273129"</f>
        <v>838273129</v>
      </c>
      <c r="B3102" t="s">
        <v>3026</v>
      </c>
      <c r="C3102">
        <v>19.260000000000002</v>
      </c>
      <c r="D3102" t="str">
        <f t="shared" si="134"/>
        <v>271</v>
      </c>
    </row>
    <row r="3103" spans="1:4" x14ac:dyDescent="0.25">
      <c r="A3103" t="str">
        <f>"838273132"</f>
        <v>838273132</v>
      </c>
      <c r="B3103" t="s">
        <v>3027</v>
      </c>
      <c r="C3103">
        <v>21.63</v>
      </c>
      <c r="D3103" t="str">
        <f t="shared" si="134"/>
        <v>271</v>
      </c>
    </row>
    <row r="3104" spans="1:4" x14ac:dyDescent="0.25">
      <c r="A3104" t="str">
        <f>"838273135"</f>
        <v>838273135</v>
      </c>
      <c r="B3104" t="s">
        <v>3028</v>
      </c>
      <c r="C3104">
        <v>21.63</v>
      </c>
      <c r="D3104" t="str">
        <f t="shared" si="134"/>
        <v>271</v>
      </c>
    </row>
    <row r="3105" spans="1:4" x14ac:dyDescent="0.25">
      <c r="A3105" t="str">
        <f>"838273138"</f>
        <v>838273138</v>
      </c>
      <c r="B3105" t="s">
        <v>3029</v>
      </c>
      <c r="C3105">
        <v>54.2</v>
      </c>
      <c r="D3105" t="str">
        <f t="shared" si="134"/>
        <v>271</v>
      </c>
    </row>
    <row r="3106" spans="1:4" x14ac:dyDescent="0.25">
      <c r="A3106" t="str">
        <f>"838273141"</f>
        <v>838273141</v>
      </c>
      <c r="B3106" t="s">
        <v>3030</v>
      </c>
      <c r="C3106">
        <v>21.63</v>
      </c>
      <c r="D3106" t="str">
        <f t="shared" si="134"/>
        <v>271</v>
      </c>
    </row>
    <row r="3107" spans="1:4" x14ac:dyDescent="0.25">
      <c r="A3107" t="str">
        <f>"838273144"</f>
        <v>838273144</v>
      </c>
      <c r="B3107" t="s">
        <v>3031</v>
      </c>
      <c r="C3107">
        <v>270.82</v>
      </c>
      <c r="D3107" t="str">
        <f t="shared" si="134"/>
        <v>271</v>
      </c>
    </row>
    <row r="3108" spans="1:4" x14ac:dyDescent="0.25">
      <c r="A3108" t="str">
        <f>"838273147"</f>
        <v>838273147</v>
      </c>
      <c r="B3108" t="s">
        <v>3032</v>
      </c>
      <c r="C3108">
        <v>21.63</v>
      </c>
      <c r="D3108" t="str">
        <f t="shared" si="134"/>
        <v>271</v>
      </c>
    </row>
    <row r="3109" spans="1:4" x14ac:dyDescent="0.25">
      <c r="A3109" t="str">
        <f>"838273150"</f>
        <v>838273150</v>
      </c>
      <c r="B3109" t="s">
        <v>3033</v>
      </c>
      <c r="C3109">
        <v>21.63</v>
      </c>
      <c r="D3109" t="str">
        <f t="shared" si="134"/>
        <v>271</v>
      </c>
    </row>
    <row r="3110" spans="1:4" x14ac:dyDescent="0.25">
      <c r="A3110" t="str">
        <f>"838273153"</f>
        <v>838273153</v>
      </c>
      <c r="B3110" t="s">
        <v>3034</v>
      </c>
      <c r="C3110">
        <v>159.25</v>
      </c>
      <c r="D3110" t="str">
        <f t="shared" si="134"/>
        <v>271</v>
      </c>
    </row>
    <row r="3111" spans="1:4" x14ac:dyDescent="0.25">
      <c r="A3111" t="str">
        <f>"838273156"</f>
        <v>838273156</v>
      </c>
      <c r="B3111" t="s">
        <v>3035</v>
      </c>
      <c r="C3111">
        <v>21.63</v>
      </c>
      <c r="D3111" t="str">
        <f t="shared" si="134"/>
        <v>271</v>
      </c>
    </row>
    <row r="3112" spans="1:4" x14ac:dyDescent="0.25">
      <c r="A3112" t="str">
        <f>"838273159"</f>
        <v>838273159</v>
      </c>
      <c r="B3112" t="s">
        <v>3036</v>
      </c>
      <c r="C3112">
        <v>21.63</v>
      </c>
      <c r="D3112" t="str">
        <f t="shared" si="134"/>
        <v>271</v>
      </c>
    </row>
    <row r="3113" spans="1:4" x14ac:dyDescent="0.25">
      <c r="A3113" t="str">
        <f>"838273162"</f>
        <v>838273162</v>
      </c>
      <c r="B3113" t="s">
        <v>3037</v>
      </c>
      <c r="C3113">
        <v>146.91999999999999</v>
      </c>
      <c r="D3113" t="str">
        <f t="shared" si="134"/>
        <v>271</v>
      </c>
    </row>
    <row r="3114" spans="1:4" x14ac:dyDescent="0.25">
      <c r="A3114" t="str">
        <f>"838273201"</f>
        <v>838273201</v>
      </c>
      <c r="B3114" t="s">
        <v>3038</v>
      </c>
      <c r="C3114">
        <v>22</v>
      </c>
      <c r="D3114" t="str">
        <f>"272"</f>
        <v>272</v>
      </c>
    </row>
    <row r="3115" spans="1:4" x14ac:dyDescent="0.25">
      <c r="A3115" t="str">
        <f>"838273207"</f>
        <v>838273207</v>
      </c>
      <c r="B3115" t="s">
        <v>2745</v>
      </c>
      <c r="C3115">
        <v>10.95</v>
      </c>
      <c r="D3115" t="str">
        <f>"271"</f>
        <v>271</v>
      </c>
    </row>
    <row r="3116" spans="1:4" x14ac:dyDescent="0.25">
      <c r="A3116" t="str">
        <f>"838273219"</f>
        <v>838273219</v>
      </c>
      <c r="B3116" t="s">
        <v>3039</v>
      </c>
      <c r="C3116">
        <v>128.27000000000001</v>
      </c>
      <c r="D3116" t="str">
        <f>"271"</f>
        <v>271</v>
      </c>
    </row>
    <row r="3117" spans="1:4" x14ac:dyDescent="0.25">
      <c r="A3117" t="str">
        <f>"838273237"</f>
        <v>838273237</v>
      </c>
      <c r="B3117" t="s">
        <v>3040</v>
      </c>
      <c r="C3117">
        <v>38.5</v>
      </c>
      <c r="D3117" t="str">
        <f>"271"</f>
        <v>271</v>
      </c>
    </row>
    <row r="3118" spans="1:4" x14ac:dyDescent="0.25">
      <c r="A3118" t="str">
        <f>"838273246"</f>
        <v>838273246</v>
      </c>
      <c r="B3118" t="s">
        <v>3041</v>
      </c>
      <c r="C3118">
        <v>396.4</v>
      </c>
      <c r="D3118" t="str">
        <f>"272"</f>
        <v>272</v>
      </c>
    </row>
    <row r="3119" spans="1:4" x14ac:dyDescent="0.25">
      <c r="A3119" t="str">
        <f>"838273258"</f>
        <v>838273258</v>
      </c>
      <c r="B3119" t="s">
        <v>3042</v>
      </c>
      <c r="C3119">
        <v>116.97</v>
      </c>
      <c r="D3119" t="str">
        <f>"271"</f>
        <v>271</v>
      </c>
    </row>
    <row r="3120" spans="1:4" x14ac:dyDescent="0.25">
      <c r="A3120" t="str">
        <f>"838273261"</f>
        <v>838273261</v>
      </c>
      <c r="B3120" t="s">
        <v>3043</v>
      </c>
      <c r="C3120">
        <v>75.569999999999993</v>
      </c>
      <c r="D3120" t="str">
        <f>"271"</f>
        <v>271</v>
      </c>
    </row>
    <row r="3121" spans="1:4" x14ac:dyDescent="0.25">
      <c r="A3121" t="str">
        <f>"838273267"</f>
        <v>838273267</v>
      </c>
      <c r="B3121" t="s">
        <v>3044</v>
      </c>
      <c r="C3121">
        <v>75.959999999999994</v>
      </c>
      <c r="D3121" t="str">
        <f>"271"</f>
        <v>271</v>
      </c>
    </row>
    <row r="3122" spans="1:4" x14ac:dyDescent="0.25">
      <c r="A3122" t="str">
        <f>"838273270"</f>
        <v>838273270</v>
      </c>
      <c r="B3122" t="s">
        <v>3045</v>
      </c>
      <c r="C3122">
        <v>43.38</v>
      </c>
      <c r="D3122" t="str">
        <f>"271"</f>
        <v>271</v>
      </c>
    </row>
    <row r="3123" spans="1:4" x14ac:dyDescent="0.25">
      <c r="A3123" t="str">
        <f>"838273271"</f>
        <v>838273271</v>
      </c>
      <c r="B3123" t="s">
        <v>3046</v>
      </c>
      <c r="C3123" s="1">
        <v>4043.66</v>
      </c>
      <c r="D3123" t="str">
        <f>"270"</f>
        <v>270</v>
      </c>
    </row>
    <row r="3124" spans="1:4" x14ac:dyDescent="0.25">
      <c r="A3124" t="str">
        <f>"838273283"</f>
        <v>838273283</v>
      </c>
      <c r="B3124" t="s">
        <v>3047</v>
      </c>
      <c r="C3124">
        <v>441.51</v>
      </c>
      <c r="D3124" t="str">
        <f>"272"</f>
        <v>272</v>
      </c>
    </row>
    <row r="3125" spans="1:4" x14ac:dyDescent="0.25">
      <c r="A3125" t="str">
        <f>"838273288"</f>
        <v>838273288</v>
      </c>
      <c r="B3125" t="s">
        <v>3048</v>
      </c>
      <c r="C3125">
        <v>54.2</v>
      </c>
      <c r="D3125" t="str">
        <f>"272"</f>
        <v>272</v>
      </c>
    </row>
    <row r="3126" spans="1:4" x14ac:dyDescent="0.25">
      <c r="A3126" t="str">
        <f>"838273304"</f>
        <v>838273304</v>
      </c>
      <c r="B3126" t="s">
        <v>3049</v>
      </c>
      <c r="C3126">
        <v>31.88</v>
      </c>
      <c r="D3126" t="str">
        <f>"272"</f>
        <v>272</v>
      </c>
    </row>
    <row r="3127" spans="1:4" x14ac:dyDescent="0.25">
      <c r="A3127" t="str">
        <f>"838273305"</f>
        <v>838273305</v>
      </c>
      <c r="B3127" t="s">
        <v>3050</v>
      </c>
      <c r="C3127">
        <v>36.04</v>
      </c>
      <c r="D3127" t="str">
        <f>"272"</f>
        <v>272</v>
      </c>
    </row>
    <row r="3128" spans="1:4" x14ac:dyDescent="0.25">
      <c r="A3128" t="str">
        <f>"838273315"</f>
        <v>838273315</v>
      </c>
      <c r="B3128" t="s">
        <v>3051</v>
      </c>
      <c r="C3128">
        <v>21.63</v>
      </c>
      <c r="D3128" t="str">
        <f>"271"</f>
        <v>271</v>
      </c>
    </row>
    <row r="3129" spans="1:4" x14ac:dyDescent="0.25">
      <c r="A3129" t="str">
        <f>"838273328"</f>
        <v>838273328</v>
      </c>
      <c r="B3129" t="s">
        <v>3052</v>
      </c>
      <c r="C3129">
        <v>432.43</v>
      </c>
      <c r="D3129" t="str">
        <f>"271"</f>
        <v>271</v>
      </c>
    </row>
    <row r="3130" spans="1:4" x14ac:dyDescent="0.25">
      <c r="A3130" t="str">
        <f>"838273329"</f>
        <v>838273329</v>
      </c>
      <c r="B3130" t="s">
        <v>3053</v>
      </c>
      <c r="C3130">
        <v>432.43</v>
      </c>
      <c r="D3130" t="str">
        <f>"271"</f>
        <v>271</v>
      </c>
    </row>
    <row r="3131" spans="1:4" x14ac:dyDescent="0.25">
      <c r="A3131" t="str">
        <f>"838273330"</f>
        <v>838273330</v>
      </c>
      <c r="B3131" t="s">
        <v>3054</v>
      </c>
      <c r="C3131">
        <v>21.63</v>
      </c>
      <c r="D3131" t="str">
        <f>"272"</f>
        <v>272</v>
      </c>
    </row>
    <row r="3132" spans="1:4" x14ac:dyDescent="0.25">
      <c r="A3132" t="str">
        <f>"838273331"</f>
        <v>838273331</v>
      </c>
      <c r="B3132" t="s">
        <v>3055</v>
      </c>
      <c r="C3132" s="1">
        <v>1332.43</v>
      </c>
      <c r="D3132" t="str">
        <f>"270"</f>
        <v>270</v>
      </c>
    </row>
    <row r="3133" spans="1:4" x14ac:dyDescent="0.25">
      <c r="A3133" t="str">
        <f>"838273332"</f>
        <v>838273332</v>
      </c>
      <c r="B3133" t="s">
        <v>3056</v>
      </c>
      <c r="C3133" s="1">
        <v>3630</v>
      </c>
      <c r="D3133" t="str">
        <f>"270"</f>
        <v>270</v>
      </c>
    </row>
    <row r="3134" spans="1:4" x14ac:dyDescent="0.25">
      <c r="A3134" t="str">
        <f>"838273333"</f>
        <v>838273333</v>
      </c>
      <c r="B3134" t="s">
        <v>3057</v>
      </c>
      <c r="C3134" s="1">
        <v>3343.73</v>
      </c>
      <c r="D3134" t="str">
        <f>"270"</f>
        <v>270</v>
      </c>
    </row>
    <row r="3135" spans="1:4" x14ac:dyDescent="0.25">
      <c r="A3135" t="str">
        <f>"838273334"</f>
        <v>838273334</v>
      </c>
      <c r="B3135" t="s">
        <v>3058</v>
      </c>
      <c r="C3135" s="1">
        <v>1155</v>
      </c>
      <c r="D3135" t="str">
        <f>"270"</f>
        <v>270</v>
      </c>
    </row>
    <row r="3136" spans="1:4" x14ac:dyDescent="0.25">
      <c r="A3136" t="str">
        <f>"838273335"</f>
        <v>838273335</v>
      </c>
      <c r="B3136" t="s">
        <v>3059</v>
      </c>
      <c r="C3136" s="1">
        <v>6600</v>
      </c>
      <c r="D3136" t="str">
        <f>"278"</f>
        <v>278</v>
      </c>
    </row>
    <row r="3137" spans="1:4" x14ac:dyDescent="0.25">
      <c r="A3137" t="str">
        <f>"838273336"</f>
        <v>838273336</v>
      </c>
      <c r="B3137" t="s">
        <v>3060</v>
      </c>
      <c r="C3137" s="1">
        <v>4950</v>
      </c>
      <c r="D3137" t="str">
        <f>"278"</f>
        <v>278</v>
      </c>
    </row>
    <row r="3138" spans="1:4" x14ac:dyDescent="0.25">
      <c r="A3138" t="str">
        <f>"838273337"</f>
        <v>838273337</v>
      </c>
      <c r="B3138" t="s">
        <v>3061</v>
      </c>
      <c r="C3138" s="1">
        <v>4950</v>
      </c>
      <c r="D3138" t="str">
        <f>"278"</f>
        <v>278</v>
      </c>
    </row>
    <row r="3139" spans="1:4" x14ac:dyDescent="0.25">
      <c r="A3139" t="str">
        <f>"838273338"</f>
        <v>838273338</v>
      </c>
      <c r="B3139" t="s">
        <v>3062</v>
      </c>
      <c r="C3139" s="1">
        <v>1650</v>
      </c>
      <c r="D3139" t="str">
        <f>"278"</f>
        <v>278</v>
      </c>
    </row>
    <row r="3140" spans="1:4" x14ac:dyDescent="0.25">
      <c r="A3140" t="str">
        <f>"838273339"</f>
        <v>838273339</v>
      </c>
      <c r="B3140" t="s">
        <v>3063</v>
      </c>
      <c r="C3140" s="1">
        <v>3300</v>
      </c>
      <c r="D3140" t="str">
        <f>"278"</f>
        <v>278</v>
      </c>
    </row>
    <row r="3141" spans="1:4" x14ac:dyDescent="0.25">
      <c r="A3141" t="str">
        <f>"838273348"</f>
        <v>838273348</v>
      </c>
      <c r="B3141" t="s">
        <v>3064</v>
      </c>
      <c r="C3141">
        <v>17.329999999999998</v>
      </c>
      <c r="D3141" t="str">
        <f>"272"</f>
        <v>272</v>
      </c>
    </row>
    <row r="3142" spans="1:4" x14ac:dyDescent="0.25">
      <c r="A3142" t="str">
        <f>"838273354"</f>
        <v>838273354</v>
      </c>
      <c r="B3142" t="s">
        <v>3065</v>
      </c>
      <c r="C3142">
        <v>195.8</v>
      </c>
      <c r="D3142" t="str">
        <f>"271"</f>
        <v>271</v>
      </c>
    </row>
    <row r="3143" spans="1:4" x14ac:dyDescent="0.25">
      <c r="A3143" t="str">
        <f>"838273363"</f>
        <v>838273363</v>
      </c>
      <c r="B3143" t="s">
        <v>3066</v>
      </c>
      <c r="C3143" s="1">
        <v>1710.87</v>
      </c>
      <c r="D3143" t="str">
        <f>"278"</f>
        <v>278</v>
      </c>
    </row>
    <row r="3144" spans="1:4" x14ac:dyDescent="0.25">
      <c r="A3144" t="str">
        <f>"838273366"</f>
        <v>838273366</v>
      </c>
      <c r="B3144" t="s">
        <v>3067</v>
      </c>
      <c r="C3144">
        <v>259.88</v>
      </c>
      <c r="D3144" t="str">
        <f>"278"</f>
        <v>278</v>
      </c>
    </row>
    <row r="3145" spans="1:4" x14ac:dyDescent="0.25">
      <c r="A3145" t="str">
        <f>"838273372"</f>
        <v>838273372</v>
      </c>
      <c r="B3145" t="s">
        <v>3068</v>
      </c>
      <c r="C3145">
        <v>40.049999999999997</v>
      </c>
      <c r="D3145" t="str">
        <f>"272"</f>
        <v>272</v>
      </c>
    </row>
    <row r="3146" spans="1:4" x14ac:dyDescent="0.25">
      <c r="A3146" t="str">
        <f>"838273375"</f>
        <v>838273375</v>
      </c>
      <c r="B3146" t="s">
        <v>3069</v>
      </c>
      <c r="C3146">
        <v>54.2</v>
      </c>
      <c r="D3146" t="str">
        <f>"272"</f>
        <v>272</v>
      </c>
    </row>
    <row r="3147" spans="1:4" x14ac:dyDescent="0.25">
      <c r="A3147" t="str">
        <f>"838273378"</f>
        <v>838273378</v>
      </c>
      <c r="B3147" t="s">
        <v>3070</v>
      </c>
      <c r="C3147">
        <v>26.48</v>
      </c>
      <c r="D3147" t="str">
        <f>"272"</f>
        <v>272</v>
      </c>
    </row>
    <row r="3148" spans="1:4" x14ac:dyDescent="0.25">
      <c r="A3148" t="str">
        <f>"838273384"</f>
        <v>838273384</v>
      </c>
      <c r="B3148" t="s">
        <v>3071</v>
      </c>
      <c r="C3148">
        <v>55.44</v>
      </c>
      <c r="D3148" t="str">
        <f>"271"</f>
        <v>271</v>
      </c>
    </row>
    <row r="3149" spans="1:4" x14ac:dyDescent="0.25">
      <c r="A3149" t="str">
        <f>"838273385"</f>
        <v>838273385</v>
      </c>
      <c r="B3149" t="s">
        <v>3072</v>
      </c>
      <c r="C3149">
        <v>45.74</v>
      </c>
      <c r="D3149" t="str">
        <f>"271"</f>
        <v>271</v>
      </c>
    </row>
    <row r="3150" spans="1:4" x14ac:dyDescent="0.25">
      <c r="A3150" t="str">
        <f>"838273386"</f>
        <v>838273386</v>
      </c>
      <c r="B3150" t="s">
        <v>3073</v>
      </c>
      <c r="C3150">
        <v>45.74</v>
      </c>
      <c r="D3150" t="str">
        <f>"271"</f>
        <v>271</v>
      </c>
    </row>
    <row r="3151" spans="1:4" x14ac:dyDescent="0.25">
      <c r="A3151" t="str">
        <f>"838273388"</f>
        <v>838273388</v>
      </c>
      <c r="B3151" t="s">
        <v>3074</v>
      </c>
      <c r="C3151">
        <v>45.74</v>
      </c>
      <c r="D3151" t="str">
        <f>"271"</f>
        <v>271</v>
      </c>
    </row>
    <row r="3152" spans="1:4" x14ac:dyDescent="0.25">
      <c r="A3152" t="str">
        <f>"838273389"</f>
        <v>838273389</v>
      </c>
      <c r="B3152" t="s">
        <v>3075</v>
      </c>
      <c r="C3152">
        <v>45.74</v>
      </c>
      <c r="D3152" t="str">
        <f>"271"</f>
        <v>271</v>
      </c>
    </row>
    <row r="3153" spans="1:5" x14ac:dyDescent="0.25">
      <c r="A3153" t="str">
        <f>"838273398"</f>
        <v>838273398</v>
      </c>
      <c r="B3153" t="s">
        <v>3076</v>
      </c>
      <c r="C3153">
        <v>360.22</v>
      </c>
      <c r="D3153" t="str">
        <f>"272"</f>
        <v>272</v>
      </c>
    </row>
    <row r="3154" spans="1:5" x14ac:dyDescent="0.25">
      <c r="A3154" t="str">
        <f>"838273405"</f>
        <v>838273405</v>
      </c>
      <c r="B3154" t="s">
        <v>3077</v>
      </c>
      <c r="C3154">
        <v>45.11</v>
      </c>
      <c r="D3154" t="str">
        <f>"272"</f>
        <v>272</v>
      </c>
    </row>
    <row r="3155" spans="1:5" x14ac:dyDescent="0.25">
      <c r="A3155" t="str">
        <f>"838273417"</f>
        <v>838273417</v>
      </c>
      <c r="B3155" t="s">
        <v>3078</v>
      </c>
      <c r="C3155">
        <v>54.2</v>
      </c>
      <c r="D3155" t="str">
        <f>"274"</f>
        <v>274</v>
      </c>
      <c r="E3155" t="str">
        <f>"L1902"</f>
        <v>L1902</v>
      </c>
    </row>
    <row r="3156" spans="1:5" x14ac:dyDescent="0.25">
      <c r="A3156" t="str">
        <f>"838273423"</f>
        <v>838273423</v>
      </c>
      <c r="B3156" t="s">
        <v>3079</v>
      </c>
      <c r="C3156">
        <v>73.28</v>
      </c>
      <c r="D3156" t="str">
        <f>"274"</f>
        <v>274</v>
      </c>
      <c r="E3156" t="str">
        <f>"L3650"</f>
        <v>L3650</v>
      </c>
    </row>
    <row r="3157" spans="1:5" x14ac:dyDescent="0.25">
      <c r="A3157" t="str">
        <f>"838273426"</f>
        <v>838273426</v>
      </c>
      <c r="B3157" t="s">
        <v>3080</v>
      </c>
      <c r="C3157">
        <v>69.930000000000007</v>
      </c>
      <c r="D3157" t="str">
        <f>"274"</f>
        <v>274</v>
      </c>
      <c r="E3157" t="str">
        <f>"L3763"</f>
        <v>L3763</v>
      </c>
    </row>
    <row r="3158" spans="1:5" x14ac:dyDescent="0.25">
      <c r="A3158" t="str">
        <f>"838273429"</f>
        <v>838273429</v>
      </c>
      <c r="B3158" t="s">
        <v>3081</v>
      </c>
      <c r="C3158">
        <v>21.63</v>
      </c>
      <c r="D3158" t="str">
        <f>"271"</f>
        <v>271</v>
      </c>
    </row>
    <row r="3159" spans="1:5" x14ac:dyDescent="0.25">
      <c r="A3159" t="str">
        <f>"838273432"</f>
        <v>838273432</v>
      </c>
      <c r="B3159" t="s">
        <v>3082</v>
      </c>
      <c r="C3159">
        <v>86.63</v>
      </c>
      <c r="D3159" t="str">
        <f>"271"</f>
        <v>271</v>
      </c>
    </row>
    <row r="3160" spans="1:5" x14ac:dyDescent="0.25">
      <c r="A3160" t="str">
        <f>"838273433"</f>
        <v>838273433</v>
      </c>
      <c r="B3160" t="s">
        <v>3083</v>
      </c>
      <c r="C3160">
        <v>121.28</v>
      </c>
      <c r="D3160" t="str">
        <f>"272"</f>
        <v>272</v>
      </c>
    </row>
    <row r="3161" spans="1:5" x14ac:dyDescent="0.25">
      <c r="A3161" t="str">
        <f>"838273435"</f>
        <v>838273435</v>
      </c>
      <c r="B3161" t="s">
        <v>3084</v>
      </c>
      <c r="C3161">
        <v>550</v>
      </c>
      <c r="D3161" t="str">
        <f>"274"</f>
        <v>274</v>
      </c>
      <c r="E3161" t="str">
        <f>"L1830"</f>
        <v>L1830</v>
      </c>
    </row>
    <row r="3162" spans="1:5" x14ac:dyDescent="0.25">
      <c r="A3162" t="str">
        <f>"838273438"</f>
        <v>838273438</v>
      </c>
      <c r="B3162" t="s">
        <v>3085</v>
      </c>
      <c r="C3162">
        <v>37.97</v>
      </c>
      <c r="D3162" t="str">
        <f>"271"</f>
        <v>271</v>
      </c>
    </row>
    <row r="3163" spans="1:5" x14ac:dyDescent="0.25">
      <c r="A3163" t="str">
        <f>"838273441"</f>
        <v>838273441</v>
      </c>
      <c r="B3163" t="s">
        <v>3086</v>
      </c>
      <c r="C3163">
        <v>108.32</v>
      </c>
      <c r="D3163" t="str">
        <f>"271"</f>
        <v>271</v>
      </c>
    </row>
    <row r="3164" spans="1:5" x14ac:dyDescent="0.25">
      <c r="A3164" t="str">
        <f>"838273442"</f>
        <v>838273442</v>
      </c>
      <c r="B3164" t="s">
        <v>3087</v>
      </c>
      <c r="C3164">
        <v>58.21</v>
      </c>
      <c r="D3164" t="str">
        <f>"274"</f>
        <v>274</v>
      </c>
      <c r="E3164" t="str">
        <f>"L3650"</f>
        <v>L3650</v>
      </c>
    </row>
    <row r="3165" spans="1:5" x14ac:dyDescent="0.25">
      <c r="A3165" t="str">
        <f>"838273443"</f>
        <v>838273443</v>
      </c>
      <c r="B3165" t="s">
        <v>3088</v>
      </c>
      <c r="C3165">
        <v>58.21</v>
      </c>
      <c r="D3165" t="str">
        <f>"274"</f>
        <v>274</v>
      </c>
      <c r="E3165" t="str">
        <f>"L3650"</f>
        <v>L3650</v>
      </c>
    </row>
    <row r="3166" spans="1:5" x14ac:dyDescent="0.25">
      <c r="A3166" t="str">
        <f>"838273444"</f>
        <v>838273444</v>
      </c>
      <c r="B3166" t="s">
        <v>3089</v>
      </c>
      <c r="C3166">
        <v>89.31</v>
      </c>
      <c r="D3166" t="str">
        <f>"272"</f>
        <v>272</v>
      </c>
    </row>
    <row r="3167" spans="1:5" x14ac:dyDescent="0.25">
      <c r="A3167" t="str">
        <f>"838273445"</f>
        <v>838273445</v>
      </c>
      <c r="B3167" t="s">
        <v>3090</v>
      </c>
      <c r="C3167">
        <v>58.21</v>
      </c>
      <c r="D3167" t="str">
        <f>"274"</f>
        <v>274</v>
      </c>
      <c r="E3167" t="str">
        <f>"L3650"</f>
        <v>L3650</v>
      </c>
    </row>
    <row r="3168" spans="1:5" x14ac:dyDescent="0.25">
      <c r="A3168" t="str">
        <f>"838273446"</f>
        <v>838273446</v>
      </c>
      <c r="B3168" t="s">
        <v>3091</v>
      </c>
      <c r="C3168">
        <v>58.21</v>
      </c>
      <c r="D3168" t="str">
        <f>"274"</f>
        <v>274</v>
      </c>
      <c r="E3168" t="str">
        <f>"L3650"</f>
        <v>L3650</v>
      </c>
    </row>
    <row r="3169" spans="1:5" x14ac:dyDescent="0.25">
      <c r="A3169" t="str">
        <f>"838273450"</f>
        <v>838273450</v>
      </c>
      <c r="B3169" t="s">
        <v>3092</v>
      </c>
      <c r="C3169">
        <v>34.93</v>
      </c>
      <c r="D3169" t="str">
        <f>"272"</f>
        <v>272</v>
      </c>
    </row>
    <row r="3170" spans="1:5" x14ac:dyDescent="0.25">
      <c r="A3170" t="str">
        <f>"838273465"</f>
        <v>838273465</v>
      </c>
      <c r="B3170" t="s">
        <v>3093</v>
      </c>
      <c r="C3170">
        <v>770</v>
      </c>
      <c r="D3170" t="str">
        <f>"270"</f>
        <v>270</v>
      </c>
    </row>
    <row r="3171" spans="1:5" x14ac:dyDescent="0.25">
      <c r="A3171" t="str">
        <f>"838273468"</f>
        <v>838273468</v>
      </c>
      <c r="B3171" t="s">
        <v>3094</v>
      </c>
      <c r="C3171">
        <v>68.040000000000006</v>
      </c>
      <c r="D3171" t="str">
        <f>"272"</f>
        <v>272</v>
      </c>
    </row>
    <row r="3172" spans="1:5" x14ac:dyDescent="0.25">
      <c r="A3172" t="str">
        <f>"838273486"</f>
        <v>838273486</v>
      </c>
      <c r="B3172" t="s">
        <v>3095</v>
      </c>
      <c r="C3172">
        <v>68.349999999999994</v>
      </c>
      <c r="D3172" t="str">
        <f>"272"</f>
        <v>272</v>
      </c>
    </row>
    <row r="3173" spans="1:5" x14ac:dyDescent="0.25">
      <c r="A3173" t="str">
        <f>"838273492"</f>
        <v>838273492</v>
      </c>
      <c r="B3173" t="s">
        <v>3096</v>
      </c>
      <c r="C3173">
        <v>108.32</v>
      </c>
      <c r="D3173" t="str">
        <f>"274"</f>
        <v>274</v>
      </c>
      <c r="E3173" t="str">
        <f>"L3908"</f>
        <v>L3908</v>
      </c>
    </row>
    <row r="3174" spans="1:5" x14ac:dyDescent="0.25">
      <c r="A3174" t="str">
        <f>"838273495"</f>
        <v>838273495</v>
      </c>
      <c r="B3174" t="s">
        <v>3097</v>
      </c>
      <c r="C3174">
        <v>162.58000000000001</v>
      </c>
      <c r="D3174" t="str">
        <f>"271"</f>
        <v>271</v>
      </c>
    </row>
    <row r="3175" spans="1:5" x14ac:dyDescent="0.25">
      <c r="A3175" t="str">
        <f>"838273502"</f>
        <v>838273502</v>
      </c>
      <c r="B3175" t="s">
        <v>3098</v>
      </c>
      <c r="C3175">
        <v>11.09</v>
      </c>
      <c r="D3175" t="str">
        <f>"271"</f>
        <v>271</v>
      </c>
    </row>
    <row r="3176" spans="1:5" x14ac:dyDescent="0.25">
      <c r="A3176" t="str">
        <f>"838273522"</f>
        <v>838273522</v>
      </c>
      <c r="B3176" t="s">
        <v>3099</v>
      </c>
      <c r="C3176">
        <v>38.5</v>
      </c>
      <c r="D3176" t="str">
        <f>"271"</f>
        <v>271</v>
      </c>
    </row>
    <row r="3177" spans="1:5" x14ac:dyDescent="0.25">
      <c r="A3177" t="str">
        <f>"838273523"</f>
        <v>838273523</v>
      </c>
      <c r="B3177" t="s">
        <v>3100</v>
      </c>
      <c r="C3177" s="1">
        <v>1373.67</v>
      </c>
      <c r="D3177" t="str">
        <f t="shared" ref="D3177:D3185" si="135">"272"</f>
        <v>272</v>
      </c>
    </row>
    <row r="3178" spans="1:5" x14ac:dyDescent="0.25">
      <c r="A3178" t="str">
        <f>"838273524"</f>
        <v>838273524</v>
      </c>
      <c r="B3178" t="s">
        <v>3101</v>
      </c>
      <c r="C3178">
        <v>710.05</v>
      </c>
      <c r="D3178" t="str">
        <f t="shared" si="135"/>
        <v>272</v>
      </c>
    </row>
    <row r="3179" spans="1:5" x14ac:dyDescent="0.25">
      <c r="A3179" t="str">
        <f>"838273525"</f>
        <v>838273525</v>
      </c>
      <c r="B3179" t="s">
        <v>3102</v>
      </c>
      <c r="C3179" s="1">
        <v>1184.33</v>
      </c>
      <c r="D3179" t="str">
        <f t="shared" si="135"/>
        <v>272</v>
      </c>
    </row>
    <row r="3180" spans="1:5" x14ac:dyDescent="0.25">
      <c r="A3180" t="str">
        <f>"838273527"</f>
        <v>838273527</v>
      </c>
      <c r="B3180" t="s">
        <v>3103</v>
      </c>
      <c r="C3180" s="1">
        <v>1925.01</v>
      </c>
      <c r="D3180" t="str">
        <f t="shared" si="135"/>
        <v>272</v>
      </c>
    </row>
    <row r="3181" spans="1:5" x14ac:dyDescent="0.25">
      <c r="A3181" t="str">
        <f>"838273528"</f>
        <v>838273528</v>
      </c>
      <c r="B3181" t="s">
        <v>3104</v>
      </c>
      <c r="C3181">
        <v>433.13</v>
      </c>
      <c r="D3181" t="str">
        <f t="shared" si="135"/>
        <v>272</v>
      </c>
    </row>
    <row r="3182" spans="1:5" x14ac:dyDescent="0.25">
      <c r="A3182" t="str">
        <f>"838273529"</f>
        <v>838273529</v>
      </c>
      <c r="B3182" t="s">
        <v>3105</v>
      </c>
      <c r="C3182">
        <v>270.66000000000003</v>
      </c>
      <c r="D3182" t="str">
        <f t="shared" si="135"/>
        <v>272</v>
      </c>
    </row>
    <row r="3183" spans="1:5" x14ac:dyDescent="0.25">
      <c r="A3183" t="str">
        <f>"838273530"</f>
        <v>838273530</v>
      </c>
      <c r="B3183" t="s">
        <v>3106</v>
      </c>
      <c r="C3183">
        <v>239.84</v>
      </c>
      <c r="D3183" t="str">
        <f t="shared" si="135"/>
        <v>272</v>
      </c>
    </row>
    <row r="3184" spans="1:5" x14ac:dyDescent="0.25">
      <c r="A3184" t="str">
        <f>"838273531"</f>
        <v>838273531</v>
      </c>
      <c r="B3184" t="s">
        <v>3107</v>
      </c>
      <c r="C3184">
        <v>451.58</v>
      </c>
      <c r="D3184" t="str">
        <f t="shared" si="135"/>
        <v>272</v>
      </c>
    </row>
    <row r="3185" spans="1:5" x14ac:dyDescent="0.25">
      <c r="A3185" t="str">
        <f>"838273534"</f>
        <v>838273534</v>
      </c>
      <c r="B3185" t="s">
        <v>3108</v>
      </c>
      <c r="C3185">
        <v>194.88</v>
      </c>
      <c r="D3185" t="str">
        <f t="shared" si="135"/>
        <v>272</v>
      </c>
    </row>
    <row r="3186" spans="1:5" x14ac:dyDescent="0.25">
      <c r="A3186" t="str">
        <f>"838273546"</f>
        <v>838273546</v>
      </c>
      <c r="B3186" t="s">
        <v>3109</v>
      </c>
      <c r="C3186">
        <v>41.58</v>
      </c>
      <c r="D3186" t="str">
        <f>"271"</f>
        <v>271</v>
      </c>
    </row>
    <row r="3187" spans="1:5" x14ac:dyDescent="0.25">
      <c r="A3187" t="str">
        <f>"838273555"</f>
        <v>838273555</v>
      </c>
      <c r="B3187" t="s">
        <v>3110</v>
      </c>
      <c r="C3187">
        <v>33.26</v>
      </c>
      <c r="D3187" t="str">
        <f>"271"</f>
        <v>271</v>
      </c>
    </row>
    <row r="3188" spans="1:5" x14ac:dyDescent="0.25">
      <c r="A3188" t="str">
        <f>"838273570"</f>
        <v>838273570</v>
      </c>
      <c r="B3188" t="s">
        <v>3111</v>
      </c>
      <c r="C3188">
        <v>10.95</v>
      </c>
      <c r="D3188" t="str">
        <f>"271"</f>
        <v>271</v>
      </c>
    </row>
    <row r="3189" spans="1:5" x14ac:dyDescent="0.25">
      <c r="A3189" t="str">
        <f>"838273573"</f>
        <v>838273573</v>
      </c>
      <c r="B3189" t="s">
        <v>3112</v>
      </c>
      <c r="C3189">
        <v>106.72</v>
      </c>
      <c r="D3189" t="str">
        <f>"274"</f>
        <v>274</v>
      </c>
      <c r="E3189" t="str">
        <f>"L3650"</f>
        <v>L3650</v>
      </c>
    </row>
    <row r="3190" spans="1:5" x14ac:dyDescent="0.25">
      <c r="A3190" t="str">
        <f>"838273579"</f>
        <v>838273579</v>
      </c>
      <c r="B3190" t="s">
        <v>3113</v>
      </c>
      <c r="C3190">
        <v>162.58000000000001</v>
      </c>
      <c r="D3190" t="str">
        <f>"272"</f>
        <v>272</v>
      </c>
    </row>
    <row r="3191" spans="1:5" x14ac:dyDescent="0.25">
      <c r="A3191" t="str">
        <f>"838273600"</f>
        <v>838273600</v>
      </c>
      <c r="B3191" t="s">
        <v>3114</v>
      </c>
      <c r="C3191">
        <v>62.37</v>
      </c>
      <c r="D3191" t="str">
        <f>"274"</f>
        <v>274</v>
      </c>
      <c r="E3191" t="str">
        <f>"L0625"</f>
        <v>L0625</v>
      </c>
    </row>
    <row r="3192" spans="1:5" x14ac:dyDescent="0.25">
      <c r="A3192" t="str">
        <f>"838273603"</f>
        <v>838273603</v>
      </c>
      <c r="B3192" t="s">
        <v>3115</v>
      </c>
      <c r="C3192">
        <v>62.37</v>
      </c>
      <c r="D3192" t="str">
        <f>"274"</f>
        <v>274</v>
      </c>
      <c r="E3192" t="str">
        <f>"L0625"</f>
        <v>L0625</v>
      </c>
    </row>
    <row r="3193" spans="1:5" x14ac:dyDescent="0.25">
      <c r="A3193" t="str">
        <f>"838273606"</f>
        <v>838273606</v>
      </c>
      <c r="B3193" t="s">
        <v>3116</v>
      </c>
      <c r="C3193">
        <v>62.37</v>
      </c>
      <c r="D3193" t="str">
        <f>"274"</f>
        <v>274</v>
      </c>
      <c r="E3193" t="str">
        <f>"L0625"</f>
        <v>L0625</v>
      </c>
    </row>
    <row r="3194" spans="1:5" x14ac:dyDescent="0.25">
      <c r="A3194" t="str">
        <f>"838273609"</f>
        <v>838273609</v>
      </c>
      <c r="B3194" t="s">
        <v>3117</v>
      </c>
      <c r="C3194">
        <v>62.37</v>
      </c>
      <c r="D3194" t="str">
        <f>"274"</f>
        <v>274</v>
      </c>
      <c r="E3194" t="str">
        <f>"L0625"</f>
        <v>L0625</v>
      </c>
    </row>
    <row r="3195" spans="1:5" x14ac:dyDescent="0.25">
      <c r="A3195" t="str">
        <f>"838273612"</f>
        <v>838273612</v>
      </c>
      <c r="B3195" t="s">
        <v>3118</v>
      </c>
      <c r="C3195">
        <v>10.95</v>
      </c>
      <c r="D3195" t="str">
        <f>"272"</f>
        <v>272</v>
      </c>
    </row>
    <row r="3196" spans="1:5" x14ac:dyDescent="0.25">
      <c r="A3196" t="str">
        <f>"838273615"</f>
        <v>838273615</v>
      </c>
      <c r="B3196" t="s">
        <v>3119</v>
      </c>
      <c r="C3196">
        <v>68.150000000000006</v>
      </c>
      <c r="D3196" t="str">
        <f>"271"</f>
        <v>271</v>
      </c>
    </row>
    <row r="3197" spans="1:5" x14ac:dyDescent="0.25">
      <c r="A3197" t="str">
        <f>"838273618"</f>
        <v>838273618</v>
      </c>
      <c r="B3197" t="s">
        <v>3120</v>
      </c>
      <c r="C3197">
        <v>68.150000000000006</v>
      </c>
      <c r="D3197" t="str">
        <f>"271"</f>
        <v>271</v>
      </c>
    </row>
    <row r="3198" spans="1:5" x14ac:dyDescent="0.25">
      <c r="A3198" t="str">
        <f>"838273624"</f>
        <v>838273624</v>
      </c>
      <c r="B3198" t="s">
        <v>3121</v>
      </c>
      <c r="C3198">
        <v>165</v>
      </c>
      <c r="D3198" t="str">
        <f>"272"</f>
        <v>272</v>
      </c>
    </row>
    <row r="3199" spans="1:5" x14ac:dyDescent="0.25">
      <c r="A3199" t="str">
        <f>"838273636"</f>
        <v>838273636</v>
      </c>
      <c r="B3199" t="s">
        <v>3122</v>
      </c>
      <c r="C3199">
        <v>75.959999999999994</v>
      </c>
      <c r="D3199" t="str">
        <f>"272"</f>
        <v>272</v>
      </c>
    </row>
    <row r="3200" spans="1:5" x14ac:dyDescent="0.25">
      <c r="A3200" t="str">
        <f>"838273640"</f>
        <v>838273640</v>
      </c>
      <c r="B3200" t="s">
        <v>3123</v>
      </c>
      <c r="C3200">
        <v>616.36</v>
      </c>
      <c r="D3200" t="str">
        <f>"272"</f>
        <v>272</v>
      </c>
      <c r="E3200" t="str">
        <f>"C1751"</f>
        <v>C1751</v>
      </c>
    </row>
    <row r="3201" spans="1:5" x14ac:dyDescent="0.25">
      <c r="A3201" t="str">
        <f>"838273641"</f>
        <v>838273641</v>
      </c>
      <c r="B3201" t="s">
        <v>3124</v>
      </c>
      <c r="C3201">
        <v>953.87</v>
      </c>
      <c r="D3201" t="str">
        <f>"272"</f>
        <v>272</v>
      </c>
      <c r="E3201" t="str">
        <f>"C1751"</f>
        <v>C1751</v>
      </c>
    </row>
    <row r="3202" spans="1:5" x14ac:dyDescent="0.25">
      <c r="A3202" t="str">
        <f>"838273642"</f>
        <v>838273642</v>
      </c>
      <c r="B3202" t="s">
        <v>2657</v>
      </c>
      <c r="C3202">
        <v>794.27</v>
      </c>
      <c r="D3202" t="str">
        <f>"272"</f>
        <v>272</v>
      </c>
      <c r="E3202" t="str">
        <f>"C1751"</f>
        <v>C1751</v>
      </c>
    </row>
    <row r="3203" spans="1:5" x14ac:dyDescent="0.25">
      <c r="A3203" t="str">
        <f>"838273663"</f>
        <v>838273663</v>
      </c>
      <c r="B3203" t="s">
        <v>3125</v>
      </c>
      <c r="C3203">
        <v>38.950000000000003</v>
      </c>
      <c r="D3203" t="str">
        <f>"271"</f>
        <v>271</v>
      </c>
    </row>
    <row r="3204" spans="1:5" x14ac:dyDescent="0.25">
      <c r="A3204" t="str">
        <f>"838273666"</f>
        <v>838273666</v>
      </c>
      <c r="B3204" t="s">
        <v>3126</v>
      </c>
      <c r="C3204">
        <v>47.67</v>
      </c>
      <c r="D3204" t="str">
        <f>"271"</f>
        <v>271</v>
      </c>
    </row>
    <row r="3205" spans="1:5" x14ac:dyDescent="0.25">
      <c r="A3205" t="str">
        <f>"838273669"</f>
        <v>838273669</v>
      </c>
      <c r="B3205" t="s">
        <v>3127</v>
      </c>
      <c r="C3205">
        <v>65</v>
      </c>
      <c r="D3205" t="str">
        <f>"272"</f>
        <v>272</v>
      </c>
    </row>
    <row r="3206" spans="1:5" x14ac:dyDescent="0.25">
      <c r="A3206" t="str">
        <f>"838273672"</f>
        <v>838273672</v>
      </c>
      <c r="B3206" t="s">
        <v>3128</v>
      </c>
      <c r="C3206">
        <v>88.1</v>
      </c>
      <c r="D3206" t="str">
        <f>"271"</f>
        <v>271</v>
      </c>
    </row>
    <row r="3207" spans="1:5" x14ac:dyDescent="0.25">
      <c r="A3207" t="str">
        <f>"838273675"</f>
        <v>838273675</v>
      </c>
      <c r="B3207" t="s">
        <v>3129</v>
      </c>
      <c r="C3207">
        <v>72.069999999999993</v>
      </c>
      <c r="D3207" t="str">
        <f>"272"</f>
        <v>272</v>
      </c>
    </row>
    <row r="3208" spans="1:5" x14ac:dyDescent="0.25">
      <c r="A3208" t="str">
        <f>"838273677"</f>
        <v>838273677</v>
      </c>
      <c r="B3208" t="s">
        <v>3130</v>
      </c>
      <c r="C3208">
        <v>65</v>
      </c>
      <c r="D3208" t="str">
        <f>"271"</f>
        <v>271</v>
      </c>
    </row>
    <row r="3209" spans="1:5" x14ac:dyDescent="0.25">
      <c r="A3209" t="str">
        <f>"838273695"</f>
        <v>838273695</v>
      </c>
      <c r="B3209" t="s">
        <v>3131</v>
      </c>
      <c r="C3209">
        <v>59.57</v>
      </c>
      <c r="D3209" t="str">
        <f>"271"</f>
        <v>271</v>
      </c>
    </row>
    <row r="3210" spans="1:5" x14ac:dyDescent="0.25">
      <c r="A3210" t="str">
        <f>"838273711"</f>
        <v>838273711</v>
      </c>
      <c r="B3210" t="s">
        <v>3132</v>
      </c>
      <c r="C3210">
        <v>96.31</v>
      </c>
      <c r="D3210" t="str">
        <f>"271"</f>
        <v>271</v>
      </c>
    </row>
    <row r="3211" spans="1:5" x14ac:dyDescent="0.25">
      <c r="A3211" t="str">
        <f>"838273714"</f>
        <v>838273714</v>
      </c>
      <c r="B3211" t="s">
        <v>3133</v>
      </c>
      <c r="C3211">
        <v>51.98</v>
      </c>
      <c r="D3211" t="str">
        <f>"271"</f>
        <v>271</v>
      </c>
    </row>
    <row r="3212" spans="1:5" x14ac:dyDescent="0.25">
      <c r="A3212" t="str">
        <f>"838273717"</f>
        <v>838273717</v>
      </c>
      <c r="B3212" t="s">
        <v>2150</v>
      </c>
      <c r="C3212">
        <v>330</v>
      </c>
      <c r="D3212" t="str">
        <f t="shared" ref="D3212:D3220" si="136">"272"</f>
        <v>272</v>
      </c>
    </row>
    <row r="3213" spans="1:5" x14ac:dyDescent="0.25">
      <c r="A3213" t="str">
        <f>"838273720"</f>
        <v>838273720</v>
      </c>
      <c r="B3213" t="s">
        <v>3134</v>
      </c>
      <c r="C3213">
        <v>335.83</v>
      </c>
      <c r="D3213" t="str">
        <f t="shared" si="136"/>
        <v>272</v>
      </c>
    </row>
    <row r="3214" spans="1:5" x14ac:dyDescent="0.25">
      <c r="A3214" t="str">
        <f>"838273723"</f>
        <v>838273723</v>
      </c>
      <c r="B3214" t="s">
        <v>3135</v>
      </c>
      <c r="C3214">
        <v>256.41000000000003</v>
      </c>
      <c r="D3214" t="str">
        <f t="shared" si="136"/>
        <v>272</v>
      </c>
    </row>
    <row r="3215" spans="1:5" x14ac:dyDescent="0.25">
      <c r="A3215" t="str">
        <f>"838273729"</f>
        <v>838273729</v>
      </c>
      <c r="B3215" t="s">
        <v>3136</v>
      </c>
      <c r="C3215">
        <v>194.88</v>
      </c>
      <c r="D3215" t="str">
        <f t="shared" si="136"/>
        <v>272</v>
      </c>
    </row>
    <row r="3216" spans="1:5" x14ac:dyDescent="0.25">
      <c r="A3216" t="str">
        <f>"838273732"</f>
        <v>838273732</v>
      </c>
      <c r="B3216" t="s">
        <v>3137</v>
      </c>
      <c r="C3216">
        <v>401.19</v>
      </c>
      <c r="D3216" t="str">
        <f t="shared" si="136"/>
        <v>272</v>
      </c>
    </row>
    <row r="3217" spans="1:5" x14ac:dyDescent="0.25">
      <c r="A3217" t="str">
        <f>"838273765"</f>
        <v>838273765</v>
      </c>
      <c r="B3217" t="s">
        <v>3138</v>
      </c>
      <c r="C3217">
        <v>607.34</v>
      </c>
      <c r="D3217" t="str">
        <f t="shared" si="136"/>
        <v>272</v>
      </c>
      <c r="E3217" t="str">
        <f>"C1751"</f>
        <v>C1751</v>
      </c>
    </row>
    <row r="3218" spans="1:5" x14ac:dyDescent="0.25">
      <c r="A3218" t="str">
        <f>"838273768"</f>
        <v>838273768</v>
      </c>
      <c r="B3218" t="s">
        <v>3139</v>
      </c>
      <c r="C3218">
        <v>324.87</v>
      </c>
      <c r="D3218" t="str">
        <f t="shared" si="136"/>
        <v>272</v>
      </c>
    </row>
    <row r="3219" spans="1:5" x14ac:dyDescent="0.25">
      <c r="A3219" t="str">
        <f>"838273771"</f>
        <v>838273771</v>
      </c>
      <c r="B3219" t="s">
        <v>3140</v>
      </c>
      <c r="C3219">
        <v>602.64</v>
      </c>
      <c r="D3219" t="str">
        <f t="shared" si="136"/>
        <v>272</v>
      </c>
      <c r="E3219" t="str">
        <f>"C1751"</f>
        <v>C1751</v>
      </c>
    </row>
    <row r="3220" spans="1:5" x14ac:dyDescent="0.25">
      <c r="A3220" t="str">
        <f>"838273777"</f>
        <v>838273777</v>
      </c>
      <c r="B3220" t="s">
        <v>3141</v>
      </c>
      <c r="C3220">
        <v>31.79</v>
      </c>
      <c r="D3220" t="str">
        <f t="shared" si="136"/>
        <v>272</v>
      </c>
    </row>
    <row r="3221" spans="1:5" x14ac:dyDescent="0.25">
      <c r="A3221" t="str">
        <f>"838273784"</f>
        <v>838273784</v>
      </c>
      <c r="B3221" t="s">
        <v>3142</v>
      </c>
      <c r="C3221">
        <v>452.76</v>
      </c>
      <c r="D3221" t="str">
        <f>"278"</f>
        <v>278</v>
      </c>
      <c r="E3221" t="str">
        <f>"C1713"</f>
        <v>C1713</v>
      </c>
    </row>
    <row r="3222" spans="1:5" x14ac:dyDescent="0.25">
      <c r="A3222" t="str">
        <f>"838273787"</f>
        <v>838273787</v>
      </c>
      <c r="B3222" t="s">
        <v>3143</v>
      </c>
      <c r="C3222">
        <v>153.62</v>
      </c>
      <c r="D3222" t="str">
        <f>"278"</f>
        <v>278</v>
      </c>
      <c r="E3222" t="str">
        <f>"C1713"</f>
        <v>C1713</v>
      </c>
    </row>
    <row r="3223" spans="1:5" x14ac:dyDescent="0.25">
      <c r="A3223" t="str">
        <f>"838273788"</f>
        <v>838273788</v>
      </c>
      <c r="B3223" t="s">
        <v>3144</v>
      </c>
      <c r="C3223">
        <v>363.83</v>
      </c>
      <c r="D3223" t="str">
        <f>"278"</f>
        <v>278</v>
      </c>
      <c r="E3223" t="str">
        <f>"C1713"</f>
        <v>C1713</v>
      </c>
    </row>
    <row r="3224" spans="1:5" x14ac:dyDescent="0.25">
      <c r="A3224" t="str">
        <f>"838273789"</f>
        <v>838273789</v>
      </c>
      <c r="B3224" t="s">
        <v>3145</v>
      </c>
      <c r="C3224">
        <v>282.98</v>
      </c>
      <c r="D3224" t="str">
        <f>"309"</f>
        <v>309</v>
      </c>
    </row>
    <row r="3225" spans="1:5" x14ac:dyDescent="0.25">
      <c r="A3225" t="str">
        <f>"838273795"</f>
        <v>838273795</v>
      </c>
      <c r="B3225" t="s">
        <v>3146</v>
      </c>
      <c r="C3225">
        <v>785.86</v>
      </c>
      <c r="D3225" t="str">
        <f>"272"</f>
        <v>272</v>
      </c>
    </row>
    <row r="3226" spans="1:5" x14ac:dyDescent="0.25">
      <c r="A3226" t="str">
        <f>"838273796"</f>
        <v>838273796</v>
      </c>
      <c r="B3226" t="s">
        <v>3136</v>
      </c>
      <c r="C3226">
        <v>273.04000000000002</v>
      </c>
      <c r="D3226" t="str">
        <f>"272"</f>
        <v>272</v>
      </c>
    </row>
    <row r="3227" spans="1:5" x14ac:dyDescent="0.25">
      <c r="A3227" t="str">
        <f>"838273802"</f>
        <v>838273802</v>
      </c>
      <c r="B3227" t="s">
        <v>3147</v>
      </c>
      <c r="C3227">
        <v>144.1</v>
      </c>
      <c r="D3227" t="str">
        <f>"272"</f>
        <v>272</v>
      </c>
    </row>
    <row r="3228" spans="1:5" x14ac:dyDescent="0.25">
      <c r="A3228" t="str">
        <f>"838273803"</f>
        <v>838273803</v>
      </c>
      <c r="B3228" t="s">
        <v>3148</v>
      </c>
      <c r="C3228">
        <v>55.44</v>
      </c>
      <c r="D3228" t="str">
        <f>"272"</f>
        <v>272</v>
      </c>
    </row>
    <row r="3229" spans="1:5" x14ac:dyDescent="0.25">
      <c r="A3229" t="str">
        <f>"838273804"</f>
        <v>838273804</v>
      </c>
      <c r="B3229" t="s">
        <v>3149</v>
      </c>
      <c r="C3229">
        <v>173.25</v>
      </c>
      <c r="D3229" t="str">
        <f>"272"</f>
        <v>272</v>
      </c>
    </row>
    <row r="3230" spans="1:5" x14ac:dyDescent="0.25">
      <c r="A3230" t="str">
        <f>"838273807"</f>
        <v>838273807</v>
      </c>
      <c r="B3230" t="s">
        <v>3150</v>
      </c>
      <c r="C3230">
        <v>381.15</v>
      </c>
      <c r="D3230" t="str">
        <f>"271"</f>
        <v>271</v>
      </c>
    </row>
    <row r="3231" spans="1:5" x14ac:dyDescent="0.25">
      <c r="A3231" t="str">
        <f>"838273808"</f>
        <v>838273808</v>
      </c>
      <c r="B3231" t="s">
        <v>3151</v>
      </c>
      <c r="C3231">
        <v>95.87</v>
      </c>
      <c r="D3231" t="str">
        <f>"302"</f>
        <v>302</v>
      </c>
    </row>
    <row r="3232" spans="1:5" x14ac:dyDescent="0.25">
      <c r="A3232" t="str">
        <f>"838273809"</f>
        <v>838273809</v>
      </c>
      <c r="B3232" t="s">
        <v>3152</v>
      </c>
      <c r="C3232">
        <v>318.77999999999997</v>
      </c>
      <c r="D3232" t="str">
        <f>"272"</f>
        <v>272</v>
      </c>
    </row>
    <row r="3233" spans="1:4" x14ac:dyDescent="0.25">
      <c r="A3233" t="str">
        <f>"838273810"</f>
        <v>838273810</v>
      </c>
      <c r="B3233" t="s">
        <v>3153</v>
      </c>
      <c r="C3233">
        <v>159.38999999999999</v>
      </c>
      <c r="D3233" t="str">
        <f>"271"</f>
        <v>271</v>
      </c>
    </row>
    <row r="3234" spans="1:4" x14ac:dyDescent="0.25">
      <c r="A3234" t="str">
        <f>"838273811"</f>
        <v>838273811</v>
      </c>
      <c r="B3234" t="s">
        <v>3154</v>
      </c>
      <c r="C3234">
        <v>186.82</v>
      </c>
      <c r="D3234" t="str">
        <f>"278"</f>
        <v>278</v>
      </c>
    </row>
    <row r="3235" spans="1:4" x14ac:dyDescent="0.25">
      <c r="A3235" t="str">
        <f>"838273816"</f>
        <v>838273816</v>
      </c>
      <c r="B3235" t="s">
        <v>3155</v>
      </c>
      <c r="C3235">
        <v>91.2</v>
      </c>
      <c r="D3235" t="str">
        <f>"271"</f>
        <v>271</v>
      </c>
    </row>
    <row r="3236" spans="1:4" x14ac:dyDescent="0.25">
      <c r="A3236" t="str">
        <f>"838273819"</f>
        <v>838273819</v>
      </c>
      <c r="B3236" t="s">
        <v>3156</v>
      </c>
      <c r="C3236">
        <v>91.2</v>
      </c>
      <c r="D3236" t="str">
        <f>"271"</f>
        <v>271</v>
      </c>
    </row>
    <row r="3237" spans="1:4" x14ac:dyDescent="0.25">
      <c r="A3237" t="str">
        <f>"838273822"</f>
        <v>838273822</v>
      </c>
      <c r="B3237" t="s">
        <v>3157</v>
      </c>
      <c r="C3237">
        <v>519.75</v>
      </c>
      <c r="D3237" t="str">
        <f>"272"</f>
        <v>272</v>
      </c>
    </row>
    <row r="3238" spans="1:4" x14ac:dyDescent="0.25">
      <c r="A3238" t="str">
        <f>"838273823"</f>
        <v>838273823</v>
      </c>
      <c r="B3238" t="s">
        <v>3158</v>
      </c>
      <c r="C3238">
        <v>52.8</v>
      </c>
      <c r="D3238" t="str">
        <f>"272"</f>
        <v>272</v>
      </c>
    </row>
    <row r="3239" spans="1:4" x14ac:dyDescent="0.25">
      <c r="A3239" t="str">
        <f>"838273824"</f>
        <v>838273824</v>
      </c>
      <c r="B3239" t="s">
        <v>3159</v>
      </c>
      <c r="C3239">
        <v>119.86</v>
      </c>
      <c r="D3239" t="str">
        <f>"271"</f>
        <v>271</v>
      </c>
    </row>
    <row r="3240" spans="1:4" x14ac:dyDescent="0.25">
      <c r="A3240" t="str">
        <f>"838273828"</f>
        <v>838273828</v>
      </c>
      <c r="B3240" t="s">
        <v>3160</v>
      </c>
      <c r="C3240">
        <v>86.63</v>
      </c>
      <c r="D3240" t="str">
        <f t="shared" ref="D3240:D3260" si="137">"272"</f>
        <v>272</v>
      </c>
    </row>
    <row r="3241" spans="1:4" x14ac:dyDescent="0.25">
      <c r="A3241" t="str">
        <f>"838273846"</f>
        <v>838273846</v>
      </c>
      <c r="B3241" t="s">
        <v>3161</v>
      </c>
      <c r="C3241">
        <v>156.74</v>
      </c>
      <c r="D3241" t="str">
        <f t="shared" si="137"/>
        <v>272</v>
      </c>
    </row>
    <row r="3242" spans="1:4" x14ac:dyDescent="0.25">
      <c r="A3242" t="str">
        <f>"838273849"</f>
        <v>838273849</v>
      </c>
      <c r="B3242" t="s">
        <v>3162</v>
      </c>
      <c r="C3242">
        <v>173.25</v>
      </c>
      <c r="D3242" t="str">
        <f t="shared" si="137"/>
        <v>272</v>
      </c>
    </row>
    <row r="3243" spans="1:4" x14ac:dyDescent="0.25">
      <c r="A3243" t="str">
        <f>"838273852"</f>
        <v>838273852</v>
      </c>
      <c r="B3243" t="s">
        <v>3163</v>
      </c>
      <c r="C3243">
        <v>367.51</v>
      </c>
      <c r="D3243" t="str">
        <f t="shared" si="137"/>
        <v>272</v>
      </c>
    </row>
    <row r="3244" spans="1:4" x14ac:dyDescent="0.25">
      <c r="A3244" t="str">
        <f>"838273855"</f>
        <v>838273855</v>
      </c>
      <c r="B3244" t="s">
        <v>3164</v>
      </c>
      <c r="C3244">
        <v>346.5</v>
      </c>
      <c r="D3244" t="str">
        <f t="shared" si="137"/>
        <v>272</v>
      </c>
    </row>
    <row r="3245" spans="1:4" x14ac:dyDescent="0.25">
      <c r="A3245" t="str">
        <f>"838273861"</f>
        <v>838273861</v>
      </c>
      <c r="B3245" t="s">
        <v>3165</v>
      </c>
      <c r="C3245">
        <v>284.13</v>
      </c>
      <c r="D3245" t="str">
        <f t="shared" si="137"/>
        <v>272</v>
      </c>
    </row>
    <row r="3246" spans="1:4" x14ac:dyDescent="0.25">
      <c r="A3246" t="str">
        <f>"838273864"</f>
        <v>838273864</v>
      </c>
      <c r="B3246" t="s">
        <v>3166</v>
      </c>
      <c r="C3246">
        <v>207.9</v>
      </c>
      <c r="D3246" t="str">
        <f t="shared" si="137"/>
        <v>272</v>
      </c>
    </row>
    <row r="3247" spans="1:4" x14ac:dyDescent="0.25">
      <c r="A3247" t="str">
        <f>"838273915"</f>
        <v>838273915</v>
      </c>
      <c r="B3247" t="s">
        <v>3167</v>
      </c>
      <c r="C3247">
        <v>210.33</v>
      </c>
      <c r="D3247" t="str">
        <f t="shared" si="137"/>
        <v>272</v>
      </c>
    </row>
    <row r="3248" spans="1:4" x14ac:dyDescent="0.25">
      <c r="A3248" t="str">
        <f>"838273930"</f>
        <v>838273930</v>
      </c>
      <c r="B3248" t="s">
        <v>3168</v>
      </c>
      <c r="C3248">
        <v>94.94</v>
      </c>
      <c r="D3248" t="str">
        <f t="shared" si="137"/>
        <v>272</v>
      </c>
    </row>
    <row r="3249" spans="1:4" x14ac:dyDescent="0.25">
      <c r="A3249" t="str">
        <f>"838273933"</f>
        <v>838273933</v>
      </c>
      <c r="B3249" t="s">
        <v>3169</v>
      </c>
      <c r="C3249">
        <v>21.63</v>
      </c>
      <c r="D3249" t="str">
        <f t="shared" si="137"/>
        <v>272</v>
      </c>
    </row>
    <row r="3250" spans="1:4" x14ac:dyDescent="0.25">
      <c r="A3250" t="str">
        <f>"838273934"</f>
        <v>838273934</v>
      </c>
      <c r="B3250" t="s">
        <v>3170</v>
      </c>
      <c r="C3250">
        <v>15.25</v>
      </c>
      <c r="D3250" t="str">
        <f t="shared" si="137"/>
        <v>272</v>
      </c>
    </row>
    <row r="3251" spans="1:4" x14ac:dyDescent="0.25">
      <c r="A3251" t="str">
        <f>"838273936"</f>
        <v>838273936</v>
      </c>
      <c r="B3251" t="s">
        <v>1700</v>
      </c>
      <c r="C3251">
        <v>83.16</v>
      </c>
      <c r="D3251" t="str">
        <f t="shared" si="137"/>
        <v>272</v>
      </c>
    </row>
    <row r="3252" spans="1:4" x14ac:dyDescent="0.25">
      <c r="A3252" t="str">
        <f>"838273954"</f>
        <v>838273954</v>
      </c>
      <c r="B3252" t="s">
        <v>3171</v>
      </c>
      <c r="C3252">
        <v>123.5</v>
      </c>
      <c r="D3252" t="str">
        <f t="shared" si="137"/>
        <v>272</v>
      </c>
    </row>
    <row r="3253" spans="1:4" x14ac:dyDescent="0.25">
      <c r="A3253" t="str">
        <f>"838273955"</f>
        <v>838273955</v>
      </c>
      <c r="B3253" t="s">
        <v>3172</v>
      </c>
      <c r="C3253">
        <v>159.38999999999999</v>
      </c>
      <c r="D3253" t="str">
        <f t="shared" si="137"/>
        <v>272</v>
      </c>
    </row>
    <row r="3254" spans="1:4" x14ac:dyDescent="0.25">
      <c r="A3254" t="str">
        <f>"838273956"</f>
        <v>838273956</v>
      </c>
      <c r="B3254" t="s">
        <v>3173</v>
      </c>
      <c r="C3254">
        <v>159.38999999999999</v>
      </c>
      <c r="D3254" t="str">
        <f t="shared" si="137"/>
        <v>272</v>
      </c>
    </row>
    <row r="3255" spans="1:4" x14ac:dyDescent="0.25">
      <c r="A3255" t="str">
        <f>"838273957"</f>
        <v>838273957</v>
      </c>
      <c r="B3255" t="s">
        <v>3174</v>
      </c>
      <c r="C3255">
        <v>119.2</v>
      </c>
      <c r="D3255" t="str">
        <f t="shared" si="137"/>
        <v>272</v>
      </c>
    </row>
    <row r="3256" spans="1:4" x14ac:dyDescent="0.25">
      <c r="A3256" t="str">
        <f>"838273958"</f>
        <v>838273958</v>
      </c>
      <c r="B3256" t="s">
        <v>3175</v>
      </c>
      <c r="C3256">
        <v>159.38999999999999</v>
      </c>
      <c r="D3256" t="str">
        <f t="shared" si="137"/>
        <v>272</v>
      </c>
    </row>
    <row r="3257" spans="1:4" x14ac:dyDescent="0.25">
      <c r="A3257" t="str">
        <f>"838273959"</f>
        <v>838273959</v>
      </c>
      <c r="B3257" t="s">
        <v>3176</v>
      </c>
      <c r="C3257">
        <v>159.38999999999999</v>
      </c>
      <c r="D3257" t="str">
        <f t="shared" si="137"/>
        <v>272</v>
      </c>
    </row>
    <row r="3258" spans="1:4" x14ac:dyDescent="0.25">
      <c r="A3258" t="str">
        <f>"838273961"</f>
        <v>838273961</v>
      </c>
      <c r="B3258" t="s">
        <v>3177</v>
      </c>
      <c r="C3258">
        <v>202.36</v>
      </c>
      <c r="D3258" t="str">
        <f t="shared" si="137"/>
        <v>272</v>
      </c>
    </row>
    <row r="3259" spans="1:4" x14ac:dyDescent="0.25">
      <c r="A3259" t="str">
        <f>"838273969"</f>
        <v>838273969</v>
      </c>
      <c r="B3259" t="s">
        <v>3178</v>
      </c>
      <c r="C3259">
        <v>138.57</v>
      </c>
      <c r="D3259" t="str">
        <f t="shared" si="137"/>
        <v>272</v>
      </c>
    </row>
    <row r="3260" spans="1:4" x14ac:dyDescent="0.25">
      <c r="A3260" t="str">
        <f>"838273972"</f>
        <v>838273972</v>
      </c>
      <c r="B3260" t="s">
        <v>3179</v>
      </c>
      <c r="C3260">
        <v>21.63</v>
      </c>
      <c r="D3260" t="str">
        <f t="shared" si="137"/>
        <v>272</v>
      </c>
    </row>
    <row r="3261" spans="1:4" x14ac:dyDescent="0.25">
      <c r="A3261" t="str">
        <f>"838273975"</f>
        <v>838273975</v>
      </c>
      <c r="B3261" t="s">
        <v>3180</v>
      </c>
      <c r="C3261">
        <v>414.41</v>
      </c>
      <c r="D3261" t="str">
        <f>"271"</f>
        <v>271</v>
      </c>
    </row>
    <row r="3262" spans="1:4" x14ac:dyDescent="0.25">
      <c r="A3262" t="str">
        <f>"838273978"</f>
        <v>838273978</v>
      </c>
      <c r="B3262" t="s">
        <v>3181</v>
      </c>
      <c r="C3262">
        <v>414.41</v>
      </c>
      <c r="D3262" t="str">
        <f>"271"</f>
        <v>271</v>
      </c>
    </row>
    <row r="3263" spans="1:4" x14ac:dyDescent="0.25">
      <c r="A3263" t="str">
        <f>"838273987"</f>
        <v>838273987</v>
      </c>
      <c r="B3263" t="s">
        <v>3182</v>
      </c>
      <c r="C3263">
        <v>551.72</v>
      </c>
      <c r="D3263" t="str">
        <f>"272"</f>
        <v>272</v>
      </c>
    </row>
    <row r="3264" spans="1:4" x14ac:dyDescent="0.25">
      <c r="A3264" t="str">
        <f>"838273990"</f>
        <v>838273990</v>
      </c>
      <c r="B3264" t="s">
        <v>3183</v>
      </c>
      <c r="C3264">
        <v>116.57</v>
      </c>
      <c r="D3264" t="str">
        <f>"272"</f>
        <v>272</v>
      </c>
    </row>
    <row r="3265" spans="1:5" x14ac:dyDescent="0.25">
      <c r="A3265" t="str">
        <f>"838273994"</f>
        <v>838273994</v>
      </c>
      <c r="B3265" t="s">
        <v>3184</v>
      </c>
      <c r="C3265">
        <v>9.6999999999999993</v>
      </c>
      <c r="D3265" t="str">
        <f>"271"</f>
        <v>271</v>
      </c>
    </row>
    <row r="3266" spans="1:5" x14ac:dyDescent="0.25">
      <c r="A3266" t="str">
        <f>"838273995"</f>
        <v>838273995</v>
      </c>
      <c r="B3266" t="s">
        <v>3185</v>
      </c>
      <c r="C3266">
        <v>9.6999999999999993</v>
      </c>
      <c r="D3266" t="str">
        <f>"271"</f>
        <v>271</v>
      </c>
    </row>
    <row r="3267" spans="1:5" x14ac:dyDescent="0.25">
      <c r="A3267" t="str">
        <f>"838273997"</f>
        <v>838273997</v>
      </c>
      <c r="B3267" t="s">
        <v>3186</v>
      </c>
      <c r="C3267">
        <v>9.6999999999999993</v>
      </c>
      <c r="D3267" t="str">
        <f>"271"</f>
        <v>271</v>
      </c>
    </row>
    <row r="3268" spans="1:5" x14ac:dyDescent="0.25">
      <c r="A3268" t="str">
        <f>"838273998"</f>
        <v>838273998</v>
      </c>
      <c r="B3268" t="s">
        <v>3187</v>
      </c>
      <c r="C3268">
        <v>9.6999999999999993</v>
      </c>
      <c r="D3268" t="str">
        <f>"271"</f>
        <v>271</v>
      </c>
    </row>
    <row r="3269" spans="1:5" x14ac:dyDescent="0.25">
      <c r="A3269" t="str">
        <f>"838274001"</f>
        <v>838274001</v>
      </c>
      <c r="B3269" t="s">
        <v>3188</v>
      </c>
      <c r="C3269" s="1">
        <v>3630</v>
      </c>
      <c r="D3269" t="str">
        <f>"278"</f>
        <v>278</v>
      </c>
    </row>
    <row r="3270" spans="1:5" x14ac:dyDescent="0.25">
      <c r="A3270" t="str">
        <f>"838274002"</f>
        <v>838274002</v>
      </c>
      <c r="B3270" t="s">
        <v>3189</v>
      </c>
      <c r="C3270">
        <v>440</v>
      </c>
      <c r="D3270" t="str">
        <f>"271"</f>
        <v>271</v>
      </c>
    </row>
    <row r="3271" spans="1:5" x14ac:dyDescent="0.25">
      <c r="A3271" t="str">
        <f>"838274003"</f>
        <v>838274003</v>
      </c>
      <c r="B3271" t="s">
        <v>3190</v>
      </c>
      <c r="C3271">
        <v>414.41</v>
      </c>
      <c r="D3271" t="str">
        <f>"271"</f>
        <v>271</v>
      </c>
    </row>
    <row r="3272" spans="1:5" x14ac:dyDescent="0.25">
      <c r="A3272" t="str">
        <f>"838274004"</f>
        <v>838274004</v>
      </c>
      <c r="B3272" t="s">
        <v>3191</v>
      </c>
      <c r="C3272">
        <v>414.41</v>
      </c>
      <c r="D3272" t="str">
        <f>"271"</f>
        <v>271</v>
      </c>
    </row>
    <row r="3273" spans="1:5" x14ac:dyDescent="0.25">
      <c r="A3273" t="str">
        <f>"838274005"</f>
        <v>838274005</v>
      </c>
      <c r="B3273" t="s">
        <v>3192</v>
      </c>
      <c r="C3273">
        <v>414.41</v>
      </c>
      <c r="D3273" t="str">
        <f>"271"</f>
        <v>271</v>
      </c>
    </row>
    <row r="3274" spans="1:5" x14ac:dyDescent="0.25">
      <c r="A3274" t="str">
        <f>"838274006"</f>
        <v>838274006</v>
      </c>
      <c r="B3274" t="s">
        <v>3193</v>
      </c>
      <c r="C3274">
        <v>87.32</v>
      </c>
      <c r="D3274" t="str">
        <f>"271"</f>
        <v>271</v>
      </c>
    </row>
    <row r="3275" spans="1:5" x14ac:dyDescent="0.25">
      <c r="A3275" t="str">
        <f>"838274007"</f>
        <v>838274007</v>
      </c>
      <c r="B3275" t="s">
        <v>3194</v>
      </c>
      <c r="C3275">
        <v>213.11</v>
      </c>
      <c r="D3275" t="str">
        <f>"278"</f>
        <v>278</v>
      </c>
      <c r="E3275" t="str">
        <f>"C1713"</f>
        <v>C1713</v>
      </c>
    </row>
    <row r="3276" spans="1:5" x14ac:dyDescent="0.25">
      <c r="A3276" t="str">
        <f>"838274008"</f>
        <v>838274008</v>
      </c>
      <c r="B3276" t="s">
        <v>3195</v>
      </c>
      <c r="C3276">
        <v>414.41</v>
      </c>
      <c r="D3276" t="str">
        <f>"271"</f>
        <v>271</v>
      </c>
    </row>
    <row r="3277" spans="1:5" x14ac:dyDescent="0.25">
      <c r="A3277" t="str">
        <f>"838274011"</f>
        <v>838274011</v>
      </c>
      <c r="B3277" t="s">
        <v>3196</v>
      </c>
      <c r="C3277">
        <v>414.41</v>
      </c>
      <c r="D3277" t="str">
        <f>"271"</f>
        <v>271</v>
      </c>
    </row>
    <row r="3278" spans="1:5" x14ac:dyDescent="0.25">
      <c r="A3278" t="str">
        <f>"838274012"</f>
        <v>838274012</v>
      </c>
      <c r="B3278" t="s">
        <v>3197</v>
      </c>
      <c r="C3278" s="1">
        <v>5940</v>
      </c>
      <c r="D3278" t="str">
        <f>"278"</f>
        <v>278</v>
      </c>
    </row>
    <row r="3279" spans="1:5" x14ac:dyDescent="0.25">
      <c r="A3279" t="str">
        <f>"838274013"</f>
        <v>838274013</v>
      </c>
      <c r="B3279" t="s">
        <v>3198</v>
      </c>
      <c r="C3279" s="1">
        <v>1155</v>
      </c>
      <c r="D3279" t="str">
        <f>"278"</f>
        <v>278</v>
      </c>
    </row>
    <row r="3280" spans="1:5" x14ac:dyDescent="0.25">
      <c r="A3280" t="str">
        <f>"838274014"</f>
        <v>838274014</v>
      </c>
      <c r="B3280" t="s">
        <v>3199</v>
      </c>
      <c r="C3280">
        <v>414.41</v>
      </c>
      <c r="D3280" t="str">
        <f>"271"</f>
        <v>271</v>
      </c>
    </row>
    <row r="3281" spans="1:4" x14ac:dyDescent="0.25">
      <c r="A3281" t="str">
        <f>"838274015"</f>
        <v>838274015</v>
      </c>
      <c r="B3281" t="s">
        <v>3200</v>
      </c>
      <c r="C3281">
        <v>866.25</v>
      </c>
      <c r="D3281" t="str">
        <f>"278"</f>
        <v>278</v>
      </c>
    </row>
    <row r="3282" spans="1:4" x14ac:dyDescent="0.25">
      <c r="A3282" t="str">
        <f>"838274016"</f>
        <v>838274016</v>
      </c>
      <c r="B3282" t="s">
        <v>3201</v>
      </c>
      <c r="C3282">
        <v>589.04999999999995</v>
      </c>
      <c r="D3282" t="str">
        <f>"278"</f>
        <v>278</v>
      </c>
    </row>
    <row r="3283" spans="1:4" x14ac:dyDescent="0.25">
      <c r="A3283" t="str">
        <f>"838274017"</f>
        <v>838274017</v>
      </c>
      <c r="B3283" t="s">
        <v>3202</v>
      </c>
      <c r="C3283">
        <v>414.41</v>
      </c>
      <c r="D3283" t="str">
        <f>"271"</f>
        <v>271</v>
      </c>
    </row>
    <row r="3284" spans="1:4" x14ac:dyDescent="0.25">
      <c r="A3284" t="str">
        <f>"838274018"</f>
        <v>838274018</v>
      </c>
      <c r="B3284" t="s">
        <v>3203</v>
      </c>
      <c r="C3284">
        <v>51.01</v>
      </c>
      <c r="D3284" t="str">
        <f>"271"</f>
        <v>271</v>
      </c>
    </row>
    <row r="3285" spans="1:4" x14ac:dyDescent="0.25">
      <c r="A3285" t="str">
        <f>"838274020"</f>
        <v>838274020</v>
      </c>
      <c r="B3285" t="s">
        <v>3204</v>
      </c>
      <c r="C3285">
        <v>414.41</v>
      </c>
      <c r="D3285" t="str">
        <f>"271"</f>
        <v>271</v>
      </c>
    </row>
    <row r="3286" spans="1:4" x14ac:dyDescent="0.25">
      <c r="A3286" t="str">
        <f>"838274022"</f>
        <v>838274022</v>
      </c>
      <c r="B3286" t="s">
        <v>3205</v>
      </c>
      <c r="C3286">
        <v>37.42</v>
      </c>
      <c r="D3286" t="str">
        <f>"272"</f>
        <v>272</v>
      </c>
    </row>
    <row r="3287" spans="1:4" x14ac:dyDescent="0.25">
      <c r="A3287" t="str">
        <f>"838274023"</f>
        <v>838274023</v>
      </c>
      <c r="B3287" t="s">
        <v>3206</v>
      </c>
      <c r="C3287">
        <v>21.63</v>
      </c>
      <c r="D3287" t="str">
        <f t="shared" ref="D3287:D3293" si="138">"271"</f>
        <v>271</v>
      </c>
    </row>
    <row r="3288" spans="1:4" x14ac:dyDescent="0.25">
      <c r="A3288" t="str">
        <f>"838274024"</f>
        <v>838274024</v>
      </c>
      <c r="B3288" t="s">
        <v>3207</v>
      </c>
      <c r="C3288">
        <v>72.010000000000005</v>
      </c>
      <c r="D3288" t="str">
        <f t="shared" si="138"/>
        <v>271</v>
      </c>
    </row>
    <row r="3289" spans="1:4" x14ac:dyDescent="0.25">
      <c r="A3289" t="str">
        <f>"838274027"</f>
        <v>838274027</v>
      </c>
      <c r="B3289" t="s">
        <v>3208</v>
      </c>
      <c r="C3289">
        <v>8.73</v>
      </c>
      <c r="D3289" t="str">
        <f t="shared" si="138"/>
        <v>271</v>
      </c>
    </row>
    <row r="3290" spans="1:4" x14ac:dyDescent="0.25">
      <c r="A3290" t="str">
        <f>"838274029"</f>
        <v>838274029</v>
      </c>
      <c r="B3290" t="s">
        <v>3209</v>
      </c>
      <c r="C3290">
        <v>98.55</v>
      </c>
      <c r="D3290" t="str">
        <f t="shared" si="138"/>
        <v>271</v>
      </c>
    </row>
    <row r="3291" spans="1:4" x14ac:dyDescent="0.25">
      <c r="A3291" t="str">
        <f>"838274030"</f>
        <v>838274030</v>
      </c>
      <c r="B3291" t="s">
        <v>3210</v>
      </c>
      <c r="C3291">
        <v>281.11</v>
      </c>
      <c r="D3291" t="str">
        <f t="shared" si="138"/>
        <v>271</v>
      </c>
    </row>
    <row r="3292" spans="1:4" x14ac:dyDescent="0.25">
      <c r="A3292" t="str">
        <f>"838274032"</f>
        <v>838274032</v>
      </c>
      <c r="B3292" t="s">
        <v>3211</v>
      </c>
      <c r="C3292">
        <v>98.55</v>
      </c>
      <c r="D3292" t="str">
        <f t="shared" si="138"/>
        <v>271</v>
      </c>
    </row>
    <row r="3293" spans="1:4" x14ac:dyDescent="0.25">
      <c r="A3293" t="str">
        <f>"838274033"</f>
        <v>838274033</v>
      </c>
      <c r="B3293" t="s">
        <v>3212</v>
      </c>
      <c r="C3293">
        <v>162.58000000000001</v>
      </c>
      <c r="D3293" t="str">
        <f t="shared" si="138"/>
        <v>271</v>
      </c>
    </row>
    <row r="3294" spans="1:4" x14ac:dyDescent="0.25">
      <c r="A3294" t="str">
        <f>"838274036"</f>
        <v>838274036</v>
      </c>
      <c r="B3294" t="s">
        <v>3213</v>
      </c>
      <c r="C3294">
        <v>208.53</v>
      </c>
      <c r="D3294" t="str">
        <f>"272"</f>
        <v>272</v>
      </c>
    </row>
    <row r="3295" spans="1:4" x14ac:dyDescent="0.25">
      <c r="A3295" t="str">
        <f>"838274041"</f>
        <v>838274041</v>
      </c>
      <c r="B3295" t="s">
        <v>3214</v>
      </c>
      <c r="C3295">
        <v>177.55</v>
      </c>
      <c r="D3295" t="str">
        <f>"272"</f>
        <v>272</v>
      </c>
    </row>
    <row r="3296" spans="1:4" x14ac:dyDescent="0.25">
      <c r="A3296" t="str">
        <f>"838274042"</f>
        <v>838274042</v>
      </c>
      <c r="B3296" t="s">
        <v>3215</v>
      </c>
      <c r="C3296">
        <v>45.05</v>
      </c>
      <c r="D3296" t="str">
        <f>"271"</f>
        <v>271</v>
      </c>
    </row>
    <row r="3297" spans="1:5" x14ac:dyDescent="0.25">
      <c r="A3297" t="str">
        <f>"838274044"</f>
        <v>838274044</v>
      </c>
      <c r="B3297" t="s">
        <v>3216</v>
      </c>
      <c r="C3297">
        <v>21.63</v>
      </c>
      <c r="D3297" t="str">
        <f>"272"</f>
        <v>272</v>
      </c>
    </row>
    <row r="3298" spans="1:5" x14ac:dyDescent="0.25">
      <c r="A3298" t="str">
        <f>"838274045"</f>
        <v>838274045</v>
      </c>
      <c r="B3298" t="s">
        <v>3217</v>
      </c>
      <c r="C3298">
        <v>45.05</v>
      </c>
      <c r="D3298" t="str">
        <f>"271"</f>
        <v>271</v>
      </c>
    </row>
    <row r="3299" spans="1:5" x14ac:dyDescent="0.25">
      <c r="A3299" t="str">
        <f>"838274047"</f>
        <v>838274047</v>
      </c>
      <c r="B3299" t="s">
        <v>3218</v>
      </c>
      <c r="C3299">
        <v>21.63</v>
      </c>
      <c r="D3299" t="str">
        <f>"272"</f>
        <v>272</v>
      </c>
    </row>
    <row r="3300" spans="1:5" x14ac:dyDescent="0.25">
      <c r="A3300" t="str">
        <f>"838274048"</f>
        <v>838274048</v>
      </c>
      <c r="B3300" t="s">
        <v>3219</v>
      </c>
      <c r="C3300">
        <v>45.05</v>
      </c>
      <c r="D3300" t="str">
        <f>"271"</f>
        <v>271</v>
      </c>
    </row>
    <row r="3301" spans="1:5" x14ac:dyDescent="0.25">
      <c r="A3301" t="str">
        <f>"838274050"</f>
        <v>838274050</v>
      </c>
      <c r="B3301" t="s">
        <v>3220</v>
      </c>
      <c r="C3301">
        <v>21.63</v>
      </c>
      <c r="D3301" t="str">
        <f>"272"</f>
        <v>272</v>
      </c>
    </row>
    <row r="3302" spans="1:5" x14ac:dyDescent="0.25">
      <c r="A3302" t="str">
        <f>"838274051"</f>
        <v>838274051</v>
      </c>
      <c r="B3302" t="s">
        <v>3221</v>
      </c>
      <c r="C3302">
        <v>45.05</v>
      </c>
      <c r="D3302" t="str">
        <f>"271"</f>
        <v>271</v>
      </c>
    </row>
    <row r="3303" spans="1:5" x14ac:dyDescent="0.25">
      <c r="A3303" t="str">
        <f>"838274053"</f>
        <v>838274053</v>
      </c>
      <c r="B3303" t="s">
        <v>3222</v>
      </c>
      <c r="C3303">
        <v>21.63</v>
      </c>
      <c r="D3303" t="str">
        <f>"272"</f>
        <v>272</v>
      </c>
    </row>
    <row r="3304" spans="1:5" x14ac:dyDescent="0.25">
      <c r="A3304" t="str">
        <f>"838274054"</f>
        <v>838274054</v>
      </c>
      <c r="B3304" t="s">
        <v>3223</v>
      </c>
      <c r="C3304">
        <v>45.05</v>
      </c>
      <c r="D3304" t="str">
        <f>"271"</f>
        <v>271</v>
      </c>
    </row>
    <row r="3305" spans="1:5" x14ac:dyDescent="0.25">
      <c r="A3305" t="str">
        <f>"838274056"</f>
        <v>838274056</v>
      </c>
      <c r="B3305" t="s">
        <v>3224</v>
      </c>
      <c r="C3305">
        <v>649.76</v>
      </c>
      <c r="D3305" t="str">
        <f>"272"</f>
        <v>272</v>
      </c>
    </row>
    <row r="3306" spans="1:5" x14ac:dyDescent="0.25">
      <c r="A3306" t="str">
        <f>"838274057"</f>
        <v>838274057</v>
      </c>
      <c r="B3306" t="s">
        <v>3225</v>
      </c>
      <c r="C3306">
        <v>45.05</v>
      </c>
      <c r="D3306" t="str">
        <f>"271"</f>
        <v>271</v>
      </c>
    </row>
    <row r="3307" spans="1:5" x14ac:dyDescent="0.25">
      <c r="A3307" t="str">
        <f>"838274059"</f>
        <v>838274059</v>
      </c>
      <c r="B3307" t="s">
        <v>3226</v>
      </c>
      <c r="C3307">
        <v>189.88</v>
      </c>
      <c r="D3307" t="str">
        <f>"274"</f>
        <v>274</v>
      </c>
      <c r="E3307" t="str">
        <f>"L3908"</f>
        <v>L3908</v>
      </c>
    </row>
    <row r="3308" spans="1:5" x14ac:dyDescent="0.25">
      <c r="A3308" t="str">
        <f>"838274060"</f>
        <v>838274060</v>
      </c>
      <c r="B3308" t="s">
        <v>3227</v>
      </c>
      <c r="C3308">
        <v>45.32</v>
      </c>
      <c r="D3308" t="str">
        <f>"271"</f>
        <v>271</v>
      </c>
    </row>
    <row r="3309" spans="1:5" x14ac:dyDescent="0.25">
      <c r="A3309" t="str">
        <f>"838274062"</f>
        <v>838274062</v>
      </c>
      <c r="B3309" t="s">
        <v>3228</v>
      </c>
      <c r="C3309">
        <v>232.1</v>
      </c>
      <c r="D3309" t="str">
        <f>"272"</f>
        <v>272</v>
      </c>
    </row>
    <row r="3310" spans="1:5" x14ac:dyDescent="0.25">
      <c r="A3310" t="str">
        <f>"838274063"</f>
        <v>838274063</v>
      </c>
      <c r="B3310" t="s">
        <v>3229</v>
      </c>
      <c r="C3310">
        <v>56.49</v>
      </c>
      <c r="D3310" t="str">
        <f>"271"</f>
        <v>271</v>
      </c>
    </row>
    <row r="3311" spans="1:5" x14ac:dyDescent="0.25">
      <c r="A3311" t="str">
        <f>"838274065"</f>
        <v>838274065</v>
      </c>
      <c r="B3311" t="s">
        <v>3230</v>
      </c>
      <c r="C3311">
        <v>414.41</v>
      </c>
      <c r="D3311" t="str">
        <f>"271"</f>
        <v>271</v>
      </c>
    </row>
    <row r="3312" spans="1:5" x14ac:dyDescent="0.25">
      <c r="A3312" t="str">
        <f>"838274066"</f>
        <v>838274066</v>
      </c>
      <c r="B3312" t="s">
        <v>3231</v>
      </c>
      <c r="C3312">
        <v>45.05</v>
      </c>
      <c r="D3312" t="str">
        <f>"271"</f>
        <v>271</v>
      </c>
    </row>
    <row r="3313" spans="1:4" x14ac:dyDescent="0.25">
      <c r="A3313" t="str">
        <f>"838274068"</f>
        <v>838274068</v>
      </c>
      <c r="B3313" t="s">
        <v>3232</v>
      </c>
      <c r="C3313">
        <v>128.18</v>
      </c>
      <c r="D3313" t="str">
        <f>"272"</f>
        <v>272</v>
      </c>
    </row>
    <row r="3314" spans="1:4" x14ac:dyDescent="0.25">
      <c r="A3314" t="str">
        <f>"838274069"</f>
        <v>838274069</v>
      </c>
      <c r="B3314" t="s">
        <v>3233</v>
      </c>
      <c r="C3314">
        <v>45.05</v>
      </c>
      <c r="D3314" t="str">
        <f>"271"</f>
        <v>271</v>
      </c>
    </row>
    <row r="3315" spans="1:4" x14ac:dyDescent="0.25">
      <c r="A3315" t="str">
        <f>"838274071"</f>
        <v>838274071</v>
      </c>
      <c r="B3315" t="s">
        <v>3234</v>
      </c>
      <c r="C3315">
        <v>45.6</v>
      </c>
      <c r="D3315" t="str">
        <f>"272"</f>
        <v>272</v>
      </c>
    </row>
    <row r="3316" spans="1:4" x14ac:dyDescent="0.25">
      <c r="A3316" t="str">
        <f>"838274072"</f>
        <v>838274072</v>
      </c>
      <c r="B3316" t="s">
        <v>3235</v>
      </c>
      <c r="C3316">
        <v>79</v>
      </c>
      <c r="D3316" t="str">
        <f>"271"</f>
        <v>271</v>
      </c>
    </row>
    <row r="3317" spans="1:4" x14ac:dyDescent="0.25">
      <c r="A3317" t="str">
        <f>"838274074"</f>
        <v>838274074</v>
      </c>
      <c r="B3317" t="s">
        <v>3236</v>
      </c>
      <c r="C3317">
        <v>207.9</v>
      </c>
      <c r="D3317" t="str">
        <f>"272"</f>
        <v>272</v>
      </c>
    </row>
    <row r="3318" spans="1:4" x14ac:dyDescent="0.25">
      <c r="A3318" t="str">
        <f>"838274075"</f>
        <v>838274075</v>
      </c>
      <c r="B3318" t="s">
        <v>3237</v>
      </c>
      <c r="C3318">
        <v>79</v>
      </c>
      <c r="D3318" t="str">
        <f>"271"</f>
        <v>271</v>
      </c>
    </row>
    <row r="3319" spans="1:4" x14ac:dyDescent="0.25">
      <c r="A3319" t="str">
        <f>"838274077"</f>
        <v>838274077</v>
      </c>
      <c r="B3319" t="s">
        <v>3238</v>
      </c>
      <c r="C3319">
        <v>212.23</v>
      </c>
      <c r="D3319" t="str">
        <f>"272"</f>
        <v>272</v>
      </c>
    </row>
    <row r="3320" spans="1:4" x14ac:dyDescent="0.25">
      <c r="A3320" t="str">
        <f>"838274078"</f>
        <v>838274078</v>
      </c>
      <c r="B3320" t="s">
        <v>3239</v>
      </c>
      <c r="C3320">
        <v>79</v>
      </c>
      <c r="D3320" t="str">
        <f>"271"</f>
        <v>271</v>
      </c>
    </row>
    <row r="3321" spans="1:4" x14ac:dyDescent="0.25">
      <c r="A3321" t="str">
        <f>"838274080"</f>
        <v>838274080</v>
      </c>
      <c r="B3321" t="s">
        <v>2148</v>
      </c>
      <c r="C3321">
        <v>44</v>
      </c>
      <c r="D3321" t="str">
        <f>"272"</f>
        <v>272</v>
      </c>
    </row>
    <row r="3322" spans="1:4" x14ac:dyDescent="0.25">
      <c r="A3322" t="str">
        <f>"838274081"</f>
        <v>838274081</v>
      </c>
      <c r="B3322" t="s">
        <v>3240</v>
      </c>
      <c r="C3322">
        <v>79</v>
      </c>
      <c r="D3322" t="str">
        <f>"271"</f>
        <v>271</v>
      </c>
    </row>
    <row r="3323" spans="1:4" x14ac:dyDescent="0.25">
      <c r="A3323" t="str">
        <f>"838274083"</f>
        <v>838274083</v>
      </c>
      <c r="B3323" t="s">
        <v>3241</v>
      </c>
      <c r="C3323">
        <v>43.69</v>
      </c>
      <c r="D3323" t="str">
        <f>"272"</f>
        <v>272</v>
      </c>
    </row>
    <row r="3324" spans="1:4" x14ac:dyDescent="0.25">
      <c r="A3324" t="str">
        <f>"838274084"</f>
        <v>838274084</v>
      </c>
      <c r="B3324" t="s">
        <v>3242</v>
      </c>
      <c r="C3324">
        <v>79</v>
      </c>
      <c r="D3324" t="str">
        <f>"271"</f>
        <v>271</v>
      </c>
    </row>
    <row r="3325" spans="1:4" x14ac:dyDescent="0.25">
      <c r="A3325" t="str">
        <f>"838274087"</f>
        <v>838274087</v>
      </c>
      <c r="B3325" t="s">
        <v>3243</v>
      </c>
      <c r="C3325">
        <v>79</v>
      </c>
      <c r="D3325" t="str">
        <f>"271"</f>
        <v>271</v>
      </c>
    </row>
    <row r="3326" spans="1:4" x14ac:dyDescent="0.25">
      <c r="A3326" t="str">
        <f>"838274089"</f>
        <v>838274089</v>
      </c>
      <c r="B3326" t="s">
        <v>3244</v>
      </c>
      <c r="C3326">
        <v>45.6</v>
      </c>
      <c r="D3326" t="str">
        <f>"271"</f>
        <v>271</v>
      </c>
    </row>
    <row r="3327" spans="1:4" x14ac:dyDescent="0.25">
      <c r="A3327" t="str">
        <f>"838274092"</f>
        <v>838274092</v>
      </c>
      <c r="B3327" t="s">
        <v>3245</v>
      </c>
      <c r="C3327">
        <v>22.73</v>
      </c>
      <c r="D3327" t="str">
        <f>"272"</f>
        <v>272</v>
      </c>
    </row>
    <row r="3328" spans="1:4" x14ac:dyDescent="0.25">
      <c r="A3328" t="str">
        <f>"838274095"</f>
        <v>838274095</v>
      </c>
      <c r="B3328" t="s">
        <v>3246</v>
      </c>
      <c r="C3328">
        <v>162.58000000000001</v>
      </c>
      <c r="D3328" t="str">
        <f>"272"</f>
        <v>272</v>
      </c>
    </row>
    <row r="3329" spans="1:5" x14ac:dyDescent="0.25">
      <c r="A3329" t="str">
        <f>"838274098"</f>
        <v>838274098</v>
      </c>
      <c r="B3329" t="s">
        <v>3247</v>
      </c>
      <c r="C3329">
        <v>187.87</v>
      </c>
      <c r="D3329" t="str">
        <f>"271"</f>
        <v>271</v>
      </c>
    </row>
    <row r="3330" spans="1:5" x14ac:dyDescent="0.25">
      <c r="A3330" t="str">
        <f>"838274099"</f>
        <v>838274099</v>
      </c>
      <c r="B3330" t="s">
        <v>3248</v>
      </c>
      <c r="C3330">
        <v>67.91</v>
      </c>
      <c r="D3330" t="str">
        <f>"271"</f>
        <v>271</v>
      </c>
    </row>
    <row r="3331" spans="1:5" x14ac:dyDescent="0.25">
      <c r="A3331" t="str">
        <f>"838274100"</f>
        <v>838274100</v>
      </c>
      <c r="B3331" t="s">
        <v>3249</v>
      </c>
      <c r="C3331" s="1">
        <v>2310</v>
      </c>
      <c r="D3331" t="str">
        <f>"271"</f>
        <v>271</v>
      </c>
      <c r="E3331" t="str">
        <f>"C1713"</f>
        <v>C1713</v>
      </c>
    </row>
    <row r="3332" spans="1:5" x14ac:dyDescent="0.25">
      <c r="A3332" t="str">
        <f>"838274101"</f>
        <v>838274101</v>
      </c>
      <c r="B3332" t="s">
        <v>3250</v>
      </c>
      <c r="C3332">
        <v>187.87</v>
      </c>
      <c r="D3332" t="str">
        <f>"271"</f>
        <v>271</v>
      </c>
    </row>
    <row r="3333" spans="1:5" x14ac:dyDescent="0.25">
      <c r="A3333" t="str">
        <f>"838274102"</f>
        <v>838274102</v>
      </c>
      <c r="B3333" t="s">
        <v>3251</v>
      </c>
      <c r="C3333">
        <v>67.91</v>
      </c>
      <c r="D3333" t="str">
        <f>"271"</f>
        <v>271</v>
      </c>
    </row>
    <row r="3334" spans="1:5" x14ac:dyDescent="0.25">
      <c r="A3334" t="str">
        <f>"838274103"</f>
        <v>838274103</v>
      </c>
      <c r="B3334" t="s">
        <v>3252</v>
      </c>
      <c r="C3334">
        <v>288.75</v>
      </c>
      <c r="D3334" t="str">
        <f>"278"</f>
        <v>278</v>
      </c>
      <c r="E3334" t="str">
        <f>"C1713"</f>
        <v>C1713</v>
      </c>
    </row>
    <row r="3335" spans="1:5" x14ac:dyDescent="0.25">
      <c r="A3335" t="str">
        <f>"838274104"</f>
        <v>838274104</v>
      </c>
      <c r="B3335" t="s">
        <v>3253</v>
      </c>
      <c r="C3335">
        <v>187.87</v>
      </c>
      <c r="D3335" t="str">
        <f>"271"</f>
        <v>271</v>
      </c>
    </row>
    <row r="3336" spans="1:5" x14ac:dyDescent="0.25">
      <c r="A3336" t="str">
        <f>"838274106"</f>
        <v>838274106</v>
      </c>
      <c r="B3336" t="s">
        <v>3254</v>
      </c>
      <c r="C3336">
        <v>300.3</v>
      </c>
      <c r="D3336" t="str">
        <f>"272"</f>
        <v>272</v>
      </c>
    </row>
    <row r="3337" spans="1:5" x14ac:dyDescent="0.25">
      <c r="A3337" t="str">
        <f>"838274107"</f>
        <v>838274107</v>
      </c>
      <c r="B3337" t="s">
        <v>3255</v>
      </c>
      <c r="C3337">
        <v>187.87</v>
      </c>
      <c r="D3337" t="str">
        <f>"271"</f>
        <v>271</v>
      </c>
    </row>
    <row r="3338" spans="1:5" x14ac:dyDescent="0.25">
      <c r="A3338" t="str">
        <f>"838274108"</f>
        <v>838274108</v>
      </c>
      <c r="B3338" t="s">
        <v>3256</v>
      </c>
      <c r="C3338">
        <v>67.91</v>
      </c>
      <c r="D3338" t="str">
        <f>"271"</f>
        <v>271</v>
      </c>
    </row>
    <row r="3339" spans="1:5" x14ac:dyDescent="0.25">
      <c r="A3339" t="str">
        <f>"838274109"</f>
        <v>838274109</v>
      </c>
      <c r="B3339" t="s">
        <v>3257</v>
      </c>
      <c r="C3339" s="1">
        <v>1241.6300000000001</v>
      </c>
      <c r="D3339" t="str">
        <f>"278"</f>
        <v>278</v>
      </c>
    </row>
    <row r="3340" spans="1:5" x14ac:dyDescent="0.25">
      <c r="A3340" t="str">
        <f>"838274110"</f>
        <v>838274110</v>
      </c>
      <c r="B3340" t="s">
        <v>3258</v>
      </c>
      <c r="C3340">
        <v>162.58000000000001</v>
      </c>
      <c r="D3340" t="str">
        <f>"271"</f>
        <v>271</v>
      </c>
    </row>
    <row r="3341" spans="1:5" x14ac:dyDescent="0.25">
      <c r="A3341" t="str">
        <f>"838274112"</f>
        <v>838274112</v>
      </c>
      <c r="B3341" t="s">
        <v>3259</v>
      </c>
      <c r="C3341" s="1">
        <v>1241.6300000000001</v>
      </c>
      <c r="D3341" t="str">
        <f>"278"</f>
        <v>278</v>
      </c>
    </row>
    <row r="3342" spans="1:5" x14ac:dyDescent="0.25">
      <c r="A3342" t="str">
        <f>"838274113"</f>
        <v>838274113</v>
      </c>
      <c r="B3342" t="s">
        <v>3260</v>
      </c>
      <c r="C3342">
        <v>417.19</v>
      </c>
      <c r="D3342" t="str">
        <f>"271"</f>
        <v>271</v>
      </c>
    </row>
    <row r="3343" spans="1:5" x14ac:dyDescent="0.25">
      <c r="A3343" t="str">
        <f>"838274115"</f>
        <v>838274115</v>
      </c>
      <c r="B3343" t="s">
        <v>3261</v>
      </c>
      <c r="C3343" s="1">
        <v>1241.6300000000001</v>
      </c>
      <c r="D3343" t="str">
        <f>"278"</f>
        <v>278</v>
      </c>
    </row>
    <row r="3344" spans="1:5" x14ac:dyDescent="0.25">
      <c r="A3344" t="str">
        <f>"838274116"</f>
        <v>838274116</v>
      </c>
      <c r="B3344" t="s">
        <v>3262</v>
      </c>
      <c r="C3344">
        <v>54.2</v>
      </c>
      <c r="D3344" t="str">
        <f>"271"</f>
        <v>271</v>
      </c>
    </row>
    <row r="3345" spans="1:5" x14ac:dyDescent="0.25">
      <c r="A3345" t="str">
        <f>"838274118"</f>
        <v>838274118</v>
      </c>
      <c r="B3345" t="s">
        <v>3263</v>
      </c>
      <c r="C3345">
        <v>404.25</v>
      </c>
      <c r="D3345" t="str">
        <f>"278"</f>
        <v>278</v>
      </c>
      <c r="E3345" t="str">
        <f>"C1713"</f>
        <v>C1713</v>
      </c>
    </row>
    <row r="3346" spans="1:5" x14ac:dyDescent="0.25">
      <c r="A3346" t="str">
        <f>"838274119"</f>
        <v>838274119</v>
      </c>
      <c r="B3346" t="s">
        <v>3264</v>
      </c>
      <c r="C3346">
        <v>27.38</v>
      </c>
      <c r="D3346" t="str">
        <f>"271"</f>
        <v>271</v>
      </c>
    </row>
    <row r="3347" spans="1:5" x14ac:dyDescent="0.25">
      <c r="A3347" t="str">
        <f>"838274120"</f>
        <v>838274120</v>
      </c>
      <c r="B3347" t="s">
        <v>3265</v>
      </c>
      <c r="C3347">
        <v>259.88</v>
      </c>
      <c r="D3347" t="str">
        <f>"271"</f>
        <v>271</v>
      </c>
    </row>
    <row r="3348" spans="1:5" x14ac:dyDescent="0.25">
      <c r="A3348" t="str">
        <f>"838274138"</f>
        <v>838274138</v>
      </c>
      <c r="B3348" t="s">
        <v>3266</v>
      </c>
      <c r="C3348">
        <v>32.99</v>
      </c>
      <c r="D3348" t="str">
        <f>"278"</f>
        <v>278</v>
      </c>
      <c r="E3348" t="str">
        <f>"C1713"</f>
        <v>C1713</v>
      </c>
    </row>
    <row r="3349" spans="1:5" x14ac:dyDescent="0.25">
      <c r="A3349" t="str">
        <f>"838274141"</f>
        <v>838274141</v>
      </c>
      <c r="B3349" t="s">
        <v>3267</v>
      </c>
      <c r="C3349">
        <v>220</v>
      </c>
      <c r="D3349" t="str">
        <f>"272"</f>
        <v>272</v>
      </c>
    </row>
    <row r="3350" spans="1:5" x14ac:dyDescent="0.25">
      <c r="A3350" t="str">
        <f>"838274146"</f>
        <v>838274146</v>
      </c>
      <c r="B3350" t="s">
        <v>3268</v>
      </c>
      <c r="C3350">
        <v>59.6</v>
      </c>
      <c r="D3350" t="str">
        <f>"271"</f>
        <v>271</v>
      </c>
    </row>
    <row r="3351" spans="1:5" x14ac:dyDescent="0.25">
      <c r="A3351" t="str">
        <f>"838274147"</f>
        <v>838274147</v>
      </c>
      <c r="B3351" t="s">
        <v>3269</v>
      </c>
      <c r="C3351">
        <v>429.37</v>
      </c>
      <c r="D3351" t="str">
        <f>"272"</f>
        <v>272</v>
      </c>
      <c r="E3351" t="str">
        <f>"C1751"</f>
        <v>C1751</v>
      </c>
    </row>
    <row r="3352" spans="1:5" x14ac:dyDescent="0.25">
      <c r="A3352" t="str">
        <f>"838274152"</f>
        <v>838274152</v>
      </c>
      <c r="B3352" t="s">
        <v>3270</v>
      </c>
      <c r="C3352">
        <v>942.21</v>
      </c>
      <c r="D3352" t="str">
        <f>"278"</f>
        <v>278</v>
      </c>
      <c r="E3352" t="str">
        <f>"C2617"</f>
        <v>C2617</v>
      </c>
    </row>
    <row r="3353" spans="1:5" x14ac:dyDescent="0.25">
      <c r="A3353" t="str">
        <f>"838274158"</f>
        <v>838274158</v>
      </c>
      <c r="B3353" t="s">
        <v>3271</v>
      </c>
      <c r="C3353">
        <v>541.38</v>
      </c>
      <c r="D3353" t="str">
        <f>"274"</f>
        <v>274</v>
      </c>
      <c r="E3353" t="str">
        <f>"L4360"</f>
        <v>L4360</v>
      </c>
    </row>
    <row r="3354" spans="1:5" x14ac:dyDescent="0.25">
      <c r="A3354" t="str">
        <f>"838274161"</f>
        <v>838274161</v>
      </c>
      <c r="B3354" t="s">
        <v>3272</v>
      </c>
      <c r="C3354">
        <v>75.959999999999994</v>
      </c>
      <c r="D3354" t="str">
        <f>"272"</f>
        <v>272</v>
      </c>
      <c r="E3354" t="str">
        <f>"C1769"</f>
        <v>C1769</v>
      </c>
    </row>
    <row r="3355" spans="1:5" x14ac:dyDescent="0.25">
      <c r="A3355" t="str">
        <f>"838274162"</f>
        <v>838274162</v>
      </c>
      <c r="B3355" t="s">
        <v>3273</v>
      </c>
      <c r="C3355">
        <v>300.3</v>
      </c>
      <c r="D3355" t="str">
        <f>"272"</f>
        <v>272</v>
      </c>
    </row>
    <row r="3356" spans="1:5" x14ac:dyDescent="0.25">
      <c r="A3356" t="str">
        <f>"838274163"</f>
        <v>838274163</v>
      </c>
      <c r="B3356" t="s">
        <v>3274</v>
      </c>
      <c r="C3356">
        <v>213.68</v>
      </c>
      <c r="D3356" t="str">
        <f>"272"</f>
        <v>272</v>
      </c>
    </row>
    <row r="3357" spans="1:5" x14ac:dyDescent="0.25">
      <c r="A3357" t="str">
        <f>"838274164"</f>
        <v>838274164</v>
      </c>
      <c r="B3357" t="s">
        <v>3275</v>
      </c>
      <c r="C3357">
        <v>32.57</v>
      </c>
      <c r="D3357" t="str">
        <f>"272"</f>
        <v>272</v>
      </c>
    </row>
    <row r="3358" spans="1:5" x14ac:dyDescent="0.25">
      <c r="A3358" t="str">
        <f>"838274166"</f>
        <v>838274166</v>
      </c>
      <c r="B3358" t="s">
        <v>3276</v>
      </c>
      <c r="C3358" s="1">
        <v>6814.5</v>
      </c>
      <c r="D3358" t="str">
        <f>"278"</f>
        <v>278</v>
      </c>
    </row>
    <row r="3359" spans="1:5" x14ac:dyDescent="0.25">
      <c r="A3359" t="str">
        <f>"838274171"</f>
        <v>838274171</v>
      </c>
      <c r="B3359" t="s">
        <v>3277</v>
      </c>
      <c r="C3359">
        <v>595.71</v>
      </c>
      <c r="D3359" t="str">
        <f>"278"</f>
        <v>278</v>
      </c>
      <c r="E3359" t="str">
        <f>"C1781"</f>
        <v>C1781</v>
      </c>
    </row>
    <row r="3360" spans="1:5" x14ac:dyDescent="0.25">
      <c r="A3360" t="str">
        <f>"838274174"</f>
        <v>838274174</v>
      </c>
      <c r="B3360" t="s">
        <v>3278</v>
      </c>
      <c r="C3360">
        <v>324.87</v>
      </c>
      <c r="D3360" t="str">
        <f>"278"</f>
        <v>278</v>
      </c>
      <c r="E3360" t="str">
        <f>"C1781"</f>
        <v>C1781</v>
      </c>
    </row>
    <row r="3361" spans="1:5" x14ac:dyDescent="0.25">
      <c r="A3361" t="str">
        <f>"838274176"</f>
        <v>838274176</v>
      </c>
      <c r="B3361" t="s">
        <v>3279</v>
      </c>
      <c r="C3361">
        <v>43.38</v>
      </c>
      <c r="D3361" t="str">
        <f>"272"</f>
        <v>272</v>
      </c>
    </row>
    <row r="3362" spans="1:5" x14ac:dyDescent="0.25">
      <c r="A3362" t="str">
        <f>"838274177"</f>
        <v>838274177</v>
      </c>
      <c r="B3362" t="s">
        <v>3280</v>
      </c>
      <c r="C3362">
        <v>16.079999999999998</v>
      </c>
      <c r="D3362" t="str">
        <f>"272"</f>
        <v>272</v>
      </c>
    </row>
    <row r="3363" spans="1:5" x14ac:dyDescent="0.25">
      <c r="A3363" t="str">
        <f>"838274179"</f>
        <v>838274179</v>
      </c>
      <c r="B3363" t="s">
        <v>3281</v>
      </c>
      <c r="C3363">
        <v>21.63</v>
      </c>
      <c r="D3363" t="str">
        <f>"272"</f>
        <v>272</v>
      </c>
    </row>
    <row r="3364" spans="1:5" x14ac:dyDescent="0.25">
      <c r="A3364" t="str">
        <f>"838274180"</f>
        <v>838274180</v>
      </c>
      <c r="B3364" t="s">
        <v>3282</v>
      </c>
      <c r="C3364">
        <v>187.69</v>
      </c>
      <c r="D3364" t="str">
        <f>"278"</f>
        <v>278</v>
      </c>
    </row>
    <row r="3365" spans="1:5" x14ac:dyDescent="0.25">
      <c r="A3365" t="str">
        <f>"838274182"</f>
        <v>838274182</v>
      </c>
      <c r="B3365" t="s">
        <v>3283</v>
      </c>
      <c r="C3365">
        <v>324.87</v>
      </c>
      <c r="D3365" t="str">
        <f>"272"</f>
        <v>272</v>
      </c>
    </row>
    <row r="3366" spans="1:5" x14ac:dyDescent="0.25">
      <c r="A3366" t="str">
        <f>"838274183"</f>
        <v>838274183</v>
      </c>
      <c r="B3366" t="s">
        <v>3284</v>
      </c>
      <c r="C3366">
        <v>289.04000000000002</v>
      </c>
      <c r="D3366" t="str">
        <f>"278"</f>
        <v>278</v>
      </c>
      <c r="E3366" t="str">
        <f>"C1713"</f>
        <v>C1713</v>
      </c>
    </row>
    <row r="3367" spans="1:5" x14ac:dyDescent="0.25">
      <c r="A3367" t="str">
        <f>"838274185"</f>
        <v>838274185</v>
      </c>
      <c r="B3367" t="s">
        <v>3285</v>
      </c>
      <c r="C3367">
        <v>54.2</v>
      </c>
      <c r="D3367" t="str">
        <f>"272"</f>
        <v>272</v>
      </c>
    </row>
    <row r="3368" spans="1:5" x14ac:dyDescent="0.25">
      <c r="A3368" t="str">
        <f>"838274186"</f>
        <v>838274186</v>
      </c>
      <c r="B3368" t="s">
        <v>3286</v>
      </c>
      <c r="C3368">
        <v>126.13</v>
      </c>
      <c r="D3368" t="str">
        <f>"278"</f>
        <v>278</v>
      </c>
      <c r="E3368" t="str">
        <f>"C1713"</f>
        <v>C1713</v>
      </c>
    </row>
    <row r="3369" spans="1:5" x14ac:dyDescent="0.25">
      <c r="A3369" t="str">
        <f>"838274198"</f>
        <v>838274198</v>
      </c>
      <c r="B3369" t="s">
        <v>3287</v>
      </c>
      <c r="C3369">
        <v>406.15</v>
      </c>
      <c r="D3369" t="str">
        <f>"278"</f>
        <v>278</v>
      </c>
    </row>
    <row r="3370" spans="1:5" x14ac:dyDescent="0.25">
      <c r="A3370" t="str">
        <f>"838274207"</f>
        <v>838274207</v>
      </c>
      <c r="B3370" t="s">
        <v>3288</v>
      </c>
      <c r="C3370">
        <v>96.45</v>
      </c>
      <c r="D3370" t="str">
        <f>"278"</f>
        <v>278</v>
      </c>
      <c r="E3370" t="str">
        <f>"C2617"</f>
        <v>C2617</v>
      </c>
    </row>
    <row r="3371" spans="1:5" x14ac:dyDescent="0.25">
      <c r="A3371" t="str">
        <f>"838274213"</f>
        <v>838274213</v>
      </c>
      <c r="B3371" t="s">
        <v>3289</v>
      </c>
      <c r="C3371">
        <v>690.4</v>
      </c>
      <c r="D3371" t="str">
        <f>"272"</f>
        <v>272</v>
      </c>
    </row>
    <row r="3372" spans="1:5" x14ac:dyDescent="0.25">
      <c r="A3372" t="str">
        <f>"838274214"</f>
        <v>838274214</v>
      </c>
      <c r="B3372" t="s">
        <v>3290</v>
      </c>
      <c r="C3372">
        <v>76.540000000000006</v>
      </c>
      <c r="D3372" t="str">
        <f>"272"</f>
        <v>272</v>
      </c>
    </row>
    <row r="3373" spans="1:5" x14ac:dyDescent="0.25">
      <c r="A3373" t="str">
        <f>"838274222"</f>
        <v>838274222</v>
      </c>
      <c r="B3373" t="s">
        <v>3291</v>
      </c>
      <c r="C3373">
        <v>39.56</v>
      </c>
      <c r="D3373" t="str">
        <f>"272"</f>
        <v>272</v>
      </c>
    </row>
    <row r="3374" spans="1:5" x14ac:dyDescent="0.25">
      <c r="A3374" t="str">
        <f>"838274239"</f>
        <v>838274239</v>
      </c>
      <c r="B3374" t="s">
        <v>3292</v>
      </c>
      <c r="C3374">
        <v>293.83</v>
      </c>
      <c r="D3374" t="str">
        <f>"271"</f>
        <v>271</v>
      </c>
    </row>
    <row r="3375" spans="1:5" x14ac:dyDescent="0.25">
      <c r="A3375" t="str">
        <f>"838274242"</f>
        <v>838274242</v>
      </c>
      <c r="B3375" t="s">
        <v>3293</v>
      </c>
      <c r="C3375">
        <v>281.58999999999997</v>
      </c>
      <c r="D3375" t="str">
        <f>"271"</f>
        <v>271</v>
      </c>
    </row>
    <row r="3376" spans="1:5" x14ac:dyDescent="0.25">
      <c r="A3376" t="str">
        <f>"838274245"</f>
        <v>838274245</v>
      </c>
      <c r="B3376" t="s">
        <v>3294</v>
      </c>
      <c r="C3376">
        <v>140.82</v>
      </c>
      <c r="D3376" t="str">
        <f>"271"</f>
        <v>271</v>
      </c>
    </row>
    <row r="3377" spans="1:5" x14ac:dyDescent="0.25">
      <c r="A3377" t="str">
        <f>"838274247"</f>
        <v>838274247</v>
      </c>
      <c r="B3377" t="s">
        <v>3295</v>
      </c>
      <c r="C3377">
        <v>59.57</v>
      </c>
      <c r="D3377" t="str">
        <f>"271"</f>
        <v>271</v>
      </c>
    </row>
    <row r="3378" spans="1:5" x14ac:dyDescent="0.25">
      <c r="A3378" t="str">
        <f>"838274248"</f>
        <v>838274248</v>
      </c>
      <c r="B3378" t="s">
        <v>3296</v>
      </c>
      <c r="C3378">
        <v>103.95</v>
      </c>
      <c r="D3378" t="str">
        <f>"271"</f>
        <v>271</v>
      </c>
    </row>
    <row r="3379" spans="1:5" x14ac:dyDescent="0.25">
      <c r="A3379" t="str">
        <f>"838274257"</f>
        <v>838274257</v>
      </c>
      <c r="B3379" t="s">
        <v>3297</v>
      </c>
      <c r="C3379">
        <v>141.1</v>
      </c>
      <c r="D3379" t="str">
        <f>"272"</f>
        <v>272</v>
      </c>
    </row>
    <row r="3380" spans="1:5" x14ac:dyDescent="0.25">
      <c r="A3380" t="str">
        <f>"838274278"</f>
        <v>838274278</v>
      </c>
      <c r="B3380" t="s">
        <v>3275</v>
      </c>
      <c r="C3380">
        <v>43.38</v>
      </c>
      <c r="D3380" t="str">
        <f>"272"</f>
        <v>272</v>
      </c>
    </row>
    <row r="3381" spans="1:5" x14ac:dyDescent="0.25">
      <c r="A3381" t="str">
        <f>"838274293"</f>
        <v>838274293</v>
      </c>
      <c r="B3381" t="s">
        <v>3298</v>
      </c>
      <c r="C3381">
        <v>19.55</v>
      </c>
      <c r="D3381" t="str">
        <f>"272"</f>
        <v>272</v>
      </c>
    </row>
    <row r="3382" spans="1:5" x14ac:dyDescent="0.25">
      <c r="A3382" t="str">
        <f>"838274308"</f>
        <v>838274308</v>
      </c>
      <c r="B3382" t="s">
        <v>3299</v>
      </c>
      <c r="C3382" s="1">
        <v>1593.9</v>
      </c>
      <c r="D3382" t="str">
        <f t="shared" ref="D3382:D3445" si="139">"278"</f>
        <v>278</v>
      </c>
      <c r="E3382" t="str">
        <f>"C1789"</f>
        <v>C1789</v>
      </c>
    </row>
    <row r="3383" spans="1:5" x14ac:dyDescent="0.25">
      <c r="A3383" t="str">
        <f>"838274309"</f>
        <v>838274309</v>
      </c>
      <c r="B3383" t="s">
        <v>3300</v>
      </c>
      <c r="C3383" s="1">
        <v>7920</v>
      </c>
      <c r="D3383" t="str">
        <f t="shared" si="139"/>
        <v>278</v>
      </c>
    </row>
    <row r="3384" spans="1:5" x14ac:dyDescent="0.25">
      <c r="A3384" t="str">
        <f>"838274310"</f>
        <v>838274310</v>
      </c>
      <c r="B3384" t="s">
        <v>3301</v>
      </c>
      <c r="C3384" s="1">
        <v>2640</v>
      </c>
      <c r="D3384" t="str">
        <f t="shared" si="139"/>
        <v>278</v>
      </c>
    </row>
    <row r="3385" spans="1:5" x14ac:dyDescent="0.25">
      <c r="A3385" t="str">
        <f>"838274311"</f>
        <v>838274311</v>
      </c>
      <c r="B3385" t="s">
        <v>3302</v>
      </c>
      <c r="C3385">
        <v>676.83</v>
      </c>
      <c r="D3385" t="str">
        <f t="shared" si="139"/>
        <v>278</v>
      </c>
      <c r="E3385" t="str">
        <f>"C1776"</f>
        <v>C1776</v>
      </c>
    </row>
    <row r="3386" spans="1:5" x14ac:dyDescent="0.25">
      <c r="A3386" t="str">
        <f>"838274312"</f>
        <v>838274312</v>
      </c>
      <c r="B3386" t="s">
        <v>3303</v>
      </c>
      <c r="C3386">
        <v>165</v>
      </c>
      <c r="D3386" t="str">
        <f t="shared" si="139"/>
        <v>278</v>
      </c>
    </row>
    <row r="3387" spans="1:5" x14ac:dyDescent="0.25">
      <c r="A3387" t="str">
        <f>"838274313"</f>
        <v>838274313</v>
      </c>
      <c r="B3387" t="s">
        <v>3304</v>
      </c>
      <c r="C3387">
        <v>330</v>
      </c>
      <c r="D3387" t="str">
        <f t="shared" si="139"/>
        <v>278</v>
      </c>
    </row>
    <row r="3388" spans="1:5" x14ac:dyDescent="0.25">
      <c r="A3388" t="str">
        <f>"838274314"</f>
        <v>838274314</v>
      </c>
      <c r="B3388" t="s">
        <v>3305</v>
      </c>
      <c r="C3388" s="1">
        <v>2310</v>
      </c>
      <c r="D3388" t="str">
        <f t="shared" si="139"/>
        <v>278</v>
      </c>
    </row>
    <row r="3389" spans="1:5" x14ac:dyDescent="0.25">
      <c r="A3389" t="str">
        <f>"838274315"</f>
        <v>838274315</v>
      </c>
      <c r="B3389" t="s">
        <v>3306</v>
      </c>
      <c r="C3389" s="1">
        <v>7920</v>
      </c>
      <c r="D3389" t="str">
        <f t="shared" si="139"/>
        <v>278</v>
      </c>
    </row>
    <row r="3390" spans="1:5" x14ac:dyDescent="0.25">
      <c r="A3390" t="str">
        <f>"838274316"</f>
        <v>838274316</v>
      </c>
      <c r="B3390" t="s">
        <v>3307</v>
      </c>
      <c r="C3390" s="1">
        <v>7920</v>
      </c>
      <c r="D3390" t="str">
        <f t="shared" si="139"/>
        <v>278</v>
      </c>
    </row>
    <row r="3391" spans="1:5" x14ac:dyDescent="0.25">
      <c r="A3391" t="str">
        <f>"838274317"</f>
        <v>838274317</v>
      </c>
      <c r="B3391" t="s">
        <v>3308</v>
      </c>
      <c r="C3391" s="1">
        <v>1137.07</v>
      </c>
      <c r="D3391" t="str">
        <f t="shared" si="139"/>
        <v>278</v>
      </c>
      <c r="E3391" t="str">
        <f>"C1776"</f>
        <v>C1776</v>
      </c>
    </row>
    <row r="3392" spans="1:5" x14ac:dyDescent="0.25">
      <c r="A3392" t="str">
        <f>"838274318"</f>
        <v>838274318</v>
      </c>
      <c r="B3392" t="s">
        <v>3309</v>
      </c>
      <c r="C3392" s="1">
        <v>4950</v>
      </c>
      <c r="D3392" t="str">
        <f t="shared" si="139"/>
        <v>278</v>
      </c>
    </row>
    <row r="3393" spans="1:5" x14ac:dyDescent="0.25">
      <c r="A3393" t="str">
        <f>"838274319"</f>
        <v>838274319</v>
      </c>
      <c r="B3393" t="s">
        <v>3310</v>
      </c>
      <c r="C3393" s="1">
        <v>3300</v>
      </c>
      <c r="D3393" t="str">
        <f t="shared" si="139"/>
        <v>278</v>
      </c>
    </row>
    <row r="3394" spans="1:5" x14ac:dyDescent="0.25">
      <c r="A3394" t="str">
        <f>"838274320"</f>
        <v>838274320</v>
      </c>
      <c r="B3394" t="s">
        <v>3311</v>
      </c>
      <c r="C3394">
        <v>990</v>
      </c>
      <c r="D3394" t="str">
        <f t="shared" si="139"/>
        <v>278</v>
      </c>
    </row>
    <row r="3395" spans="1:5" x14ac:dyDescent="0.25">
      <c r="A3395" t="str">
        <f>"838274321"</f>
        <v>838274321</v>
      </c>
      <c r="B3395" t="s">
        <v>3312</v>
      </c>
      <c r="C3395" s="1">
        <v>2310</v>
      </c>
      <c r="D3395" t="str">
        <f t="shared" si="139"/>
        <v>278</v>
      </c>
    </row>
    <row r="3396" spans="1:5" x14ac:dyDescent="0.25">
      <c r="A3396" t="str">
        <f>"838274322"</f>
        <v>838274322</v>
      </c>
      <c r="B3396" t="s">
        <v>3313</v>
      </c>
      <c r="C3396" s="1">
        <v>2310</v>
      </c>
      <c r="D3396" t="str">
        <f t="shared" si="139"/>
        <v>278</v>
      </c>
    </row>
    <row r="3397" spans="1:5" x14ac:dyDescent="0.25">
      <c r="A3397" t="str">
        <f>"838274323"</f>
        <v>838274323</v>
      </c>
      <c r="B3397" t="s">
        <v>3314</v>
      </c>
      <c r="C3397" s="1">
        <v>3135</v>
      </c>
      <c r="D3397" t="str">
        <f t="shared" si="139"/>
        <v>278</v>
      </c>
    </row>
    <row r="3398" spans="1:5" x14ac:dyDescent="0.25">
      <c r="A3398" t="str">
        <f>"838274324"</f>
        <v>838274324</v>
      </c>
      <c r="B3398" t="s">
        <v>3315</v>
      </c>
      <c r="C3398" s="1">
        <v>3300</v>
      </c>
      <c r="D3398" t="str">
        <f t="shared" si="139"/>
        <v>278</v>
      </c>
    </row>
    <row r="3399" spans="1:5" x14ac:dyDescent="0.25">
      <c r="A3399" t="str">
        <f>"838274325"</f>
        <v>838274325</v>
      </c>
      <c r="B3399" t="s">
        <v>3316</v>
      </c>
      <c r="C3399" s="1">
        <v>2640</v>
      </c>
      <c r="D3399" t="str">
        <f t="shared" si="139"/>
        <v>278</v>
      </c>
    </row>
    <row r="3400" spans="1:5" x14ac:dyDescent="0.25">
      <c r="A3400" t="str">
        <f>"838274326"</f>
        <v>838274326</v>
      </c>
      <c r="B3400" t="s">
        <v>3317</v>
      </c>
      <c r="C3400" s="1">
        <v>2640</v>
      </c>
      <c r="D3400" t="str">
        <f t="shared" si="139"/>
        <v>278</v>
      </c>
    </row>
    <row r="3401" spans="1:5" x14ac:dyDescent="0.25">
      <c r="A3401" t="str">
        <f>"838274327"</f>
        <v>838274327</v>
      </c>
      <c r="B3401" t="s">
        <v>3318</v>
      </c>
      <c r="C3401">
        <v>990</v>
      </c>
      <c r="D3401" t="str">
        <f t="shared" si="139"/>
        <v>278</v>
      </c>
    </row>
    <row r="3402" spans="1:5" x14ac:dyDescent="0.25">
      <c r="A3402" t="str">
        <f>"838274328"</f>
        <v>838274328</v>
      </c>
      <c r="B3402" t="s">
        <v>3319</v>
      </c>
      <c r="C3402" s="1">
        <v>5966.4</v>
      </c>
      <c r="D3402" t="str">
        <f t="shared" si="139"/>
        <v>278</v>
      </c>
    </row>
    <row r="3403" spans="1:5" x14ac:dyDescent="0.25">
      <c r="A3403" t="str">
        <f>"838274329"</f>
        <v>838274329</v>
      </c>
      <c r="B3403" t="s">
        <v>3320</v>
      </c>
      <c r="C3403" s="1">
        <v>1135.2</v>
      </c>
      <c r="D3403" t="str">
        <f t="shared" si="139"/>
        <v>278</v>
      </c>
    </row>
    <row r="3404" spans="1:5" x14ac:dyDescent="0.25">
      <c r="A3404" t="str">
        <f>"838274330"</f>
        <v>838274330</v>
      </c>
      <c r="B3404" t="s">
        <v>3321</v>
      </c>
      <c r="C3404" s="1">
        <v>6930</v>
      </c>
      <c r="D3404" t="str">
        <f t="shared" si="139"/>
        <v>278</v>
      </c>
    </row>
    <row r="3405" spans="1:5" x14ac:dyDescent="0.25">
      <c r="A3405" t="str">
        <f>"838274331"</f>
        <v>838274331</v>
      </c>
      <c r="B3405" t="s">
        <v>3322</v>
      </c>
      <c r="C3405">
        <v>450.45</v>
      </c>
      <c r="D3405" t="str">
        <f t="shared" si="139"/>
        <v>278</v>
      </c>
      <c r="E3405" t="str">
        <f>"C1713"</f>
        <v>C1713</v>
      </c>
    </row>
    <row r="3406" spans="1:5" x14ac:dyDescent="0.25">
      <c r="A3406" t="str">
        <f>"838274332"</f>
        <v>838274332</v>
      </c>
      <c r="B3406" t="s">
        <v>3323</v>
      </c>
      <c r="C3406">
        <v>765.6</v>
      </c>
      <c r="D3406" t="str">
        <f t="shared" si="139"/>
        <v>278</v>
      </c>
    </row>
    <row r="3407" spans="1:5" x14ac:dyDescent="0.25">
      <c r="A3407" t="str">
        <f>"838274333"</f>
        <v>838274333</v>
      </c>
      <c r="B3407" t="s">
        <v>3324</v>
      </c>
      <c r="C3407">
        <v>844.8</v>
      </c>
      <c r="D3407" t="str">
        <f t="shared" si="139"/>
        <v>278</v>
      </c>
    </row>
    <row r="3408" spans="1:5" x14ac:dyDescent="0.25">
      <c r="A3408" t="str">
        <f>"838274334"</f>
        <v>838274334</v>
      </c>
      <c r="B3408" t="s">
        <v>3325</v>
      </c>
      <c r="C3408">
        <v>580.79999999999995</v>
      </c>
      <c r="D3408" t="str">
        <f t="shared" si="139"/>
        <v>278</v>
      </c>
    </row>
    <row r="3409" spans="1:4" x14ac:dyDescent="0.25">
      <c r="A3409" t="str">
        <f>"838274335"</f>
        <v>838274335</v>
      </c>
      <c r="B3409" t="s">
        <v>3326</v>
      </c>
      <c r="C3409">
        <v>580.79999999999995</v>
      </c>
      <c r="D3409" t="str">
        <f t="shared" si="139"/>
        <v>278</v>
      </c>
    </row>
    <row r="3410" spans="1:4" x14ac:dyDescent="0.25">
      <c r="A3410" t="str">
        <f>"838274336"</f>
        <v>838274336</v>
      </c>
      <c r="B3410" t="s">
        <v>3323</v>
      </c>
      <c r="C3410">
        <v>765.6</v>
      </c>
      <c r="D3410" t="str">
        <f t="shared" si="139"/>
        <v>278</v>
      </c>
    </row>
    <row r="3411" spans="1:4" x14ac:dyDescent="0.25">
      <c r="A3411" t="str">
        <f>"838274337"</f>
        <v>838274337</v>
      </c>
      <c r="B3411" t="s">
        <v>3327</v>
      </c>
      <c r="C3411">
        <v>211.2</v>
      </c>
      <c r="D3411" t="str">
        <f t="shared" si="139"/>
        <v>278</v>
      </c>
    </row>
    <row r="3412" spans="1:4" x14ac:dyDescent="0.25">
      <c r="A3412" t="str">
        <f>"838274338"</f>
        <v>838274338</v>
      </c>
      <c r="B3412" t="s">
        <v>3328</v>
      </c>
      <c r="C3412">
        <v>211.2</v>
      </c>
      <c r="D3412" t="str">
        <f t="shared" si="139"/>
        <v>278</v>
      </c>
    </row>
    <row r="3413" spans="1:4" x14ac:dyDescent="0.25">
      <c r="A3413" t="str">
        <f>"838274339"</f>
        <v>838274339</v>
      </c>
      <c r="B3413" t="s">
        <v>3329</v>
      </c>
      <c r="C3413">
        <v>211.2</v>
      </c>
      <c r="D3413" t="str">
        <f t="shared" si="139"/>
        <v>278</v>
      </c>
    </row>
    <row r="3414" spans="1:4" x14ac:dyDescent="0.25">
      <c r="A3414" t="str">
        <f>"838274340"</f>
        <v>838274340</v>
      </c>
      <c r="B3414" t="s">
        <v>3330</v>
      </c>
      <c r="C3414">
        <v>158.4</v>
      </c>
      <c r="D3414" t="str">
        <f t="shared" si="139"/>
        <v>278</v>
      </c>
    </row>
    <row r="3415" spans="1:4" x14ac:dyDescent="0.25">
      <c r="A3415" t="str">
        <f>"838274341"</f>
        <v>838274341</v>
      </c>
      <c r="B3415" t="s">
        <v>3331</v>
      </c>
      <c r="C3415">
        <v>448.8</v>
      </c>
      <c r="D3415" t="str">
        <f t="shared" si="139"/>
        <v>278</v>
      </c>
    </row>
    <row r="3416" spans="1:4" x14ac:dyDescent="0.25">
      <c r="A3416" t="str">
        <f>"838274342"</f>
        <v>838274342</v>
      </c>
      <c r="B3416" t="s">
        <v>3332</v>
      </c>
      <c r="C3416" s="1">
        <v>4408.8</v>
      </c>
      <c r="D3416" t="str">
        <f t="shared" si="139"/>
        <v>278</v>
      </c>
    </row>
    <row r="3417" spans="1:4" x14ac:dyDescent="0.25">
      <c r="A3417" t="str">
        <f>"838274343"</f>
        <v>838274343</v>
      </c>
      <c r="B3417" t="s">
        <v>3333</v>
      </c>
      <c r="C3417">
        <v>528</v>
      </c>
      <c r="D3417" t="str">
        <f t="shared" si="139"/>
        <v>278</v>
      </c>
    </row>
    <row r="3418" spans="1:4" x14ac:dyDescent="0.25">
      <c r="A3418" t="str">
        <f>"838274344"</f>
        <v>838274344</v>
      </c>
      <c r="B3418" t="s">
        <v>3334</v>
      </c>
      <c r="C3418">
        <v>528</v>
      </c>
      <c r="D3418" t="str">
        <f t="shared" si="139"/>
        <v>278</v>
      </c>
    </row>
    <row r="3419" spans="1:4" x14ac:dyDescent="0.25">
      <c r="A3419" t="str">
        <f>"838274345"</f>
        <v>838274345</v>
      </c>
      <c r="B3419" t="s">
        <v>3335</v>
      </c>
      <c r="C3419">
        <v>316.8</v>
      </c>
      <c r="D3419" t="str">
        <f t="shared" si="139"/>
        <v>278</v>
      </c>
    </row>
    <row r="3420" spans="1:4" x14ac:dyDescent="0.25">
      <c r="A3420" t="str">
        <f>"838274346"</f>
        <v>838274346</v>
      </c>
      <c r="B3420" t="s">
        <v>3336</v>
      </c>
      <c r="C3420">
        <v>316.8</v>
      </c>
      <c r="D3420" t="str">
        <f t="shared" si="139"/>
        <v>278</v>
      </c>
    </row>
    <row r="3421" spans="1:4" x14ac:dyDescent="0.25">
      <c r="A3421" t="str">
        <f>"838274347"</f>
        <v>838274347</v>
      </c>
      <c r="B3421" t="s">
        <v>3056</v>
      </c>
      <c r="C3421" s="1">
        <v>3630</v>
      </c>
      <c r="D3421" t="str">
        <f t="shared" si="139"/>
        <v>278</v>
      </c>
    </row>
    <row r="3422" spans="1:4" x14ac:dyDescent="0.25">
      <c r="A3422" t="str">
        <f>"838274348"</f>
        <v>838274348</v>
      </c>
      <c r="B3422" t="s">
        <v>3337</v>
      </c>
      <c r="C3422">
        <v>495</v>
      </c>
      <c r="D3422" t="str">
        <f t="shared" si="139"/>
        <v>278</v>
      </c>
    </row>
    <row r="3423" spans="1:4" x14ac:dyDescent="0.25">
      <c r="A3423" t="str">
        <f>"838274349"</f>
        <v>838274349</v>
      </c>
      <c r="B3423" t="s">
        <v>3338</v>
      </c>
      <c r="C3423">
        <v>495</v>
      </c>
      <c r="D3423" t="str">
        <f t="shared" si="139"/>
        <v>278</v>
      </c>
    </row>
    <row r="3424" spans="1:4" x14ac:dyDescent="0.25">
      <c r="A3424" t="str">
        <f>"838274350"</f>
        <v>838274350</v>
      </c>
      <c r="B3424" t="s">
        <v>3339</v>
      </c>
      <c r="C3424">
        <v>278.85000000000002</v>
      </c>
      <c r="D3424" t="str">
        <f t="shared" si="139"/>
        <v>278</v>
      </c>
    </row>
    <row r="3425" spans="1:4" x14ac:dyDescent="0.25">
      <c r="A3425" t="str">
        <f>"838274351"</f>
        <v>838274351</v>
      </c>
      <c r="B3425" t="s">
        <v>3340</v>
      </c>
      <c r="C3425" s="1">
        <v>5940</v>
      </c>
      <c r="D3425" t="str">
        <f t="shared" si="139"/>
        <v>278</v>
      </c>
    </row>
    <row r="3426" spans="1:4" x14ac:dyDescent="0.25">
      <c r="A3426" t="str">
        <f>"838274352"</f>
        <v>838274352</v>
      </c>
      <c r="B3426" t="s">
        <v>3341</v>
      </c>
      <c r="C3426" s="1">
        <v>5940</v>
      </c>
      <c r="D3426" t="str">
        <f t="shared" si="139"/>
        <v>278</v>
      </c>
    </row>
    <row r="3427" spans="1:4" x14ac:dyDescent="0.25">
      <c r="A3427" t="str">
        <f>"838274353"</f>
        <v>838274353</v>
      </c>
      <c r="B3427" t="s">
        <v>3342</v>
      </c>
      <c r="C3427" s="1">
        <v>5940</v>
      </c>
      <c r="D3427" t="str">
        <f t="shared" si="139"/>
        <v>278</v>
      </c>
    </row>
    <row r="3428" spans="1:4" x14ac:dyDescent="0.25">
      <c r="A3428" t="str">
        <f>"838274354"</f>
        <v>838274354</v>
      </c>
      <c r="B3428" t="s">
        <v>3343</v>
      </c>
      <c r="C3428" s="1">
        <v>3135</v>
      </c>
      <c r="D3428" t="str">
        <f t="shared" si="139"/>
        <v>278</v>
      </c>
    </row>
    <row r="3429" spans="1:4" x14ac:dyDescent="0.25">
      <c r="A3429" t="str">
        <f>"838274355"</f>
        <v>838274355</v>
      </c>
      <c r="B3429" t="s">
        <v>3344</v>
      </c>
      <c r="C3429" s="1">
        <v>3135</v>
      </c>
      <c r="D3429" t="str">
        <f t="shared" si="139"/>
        <v>278</v>
      </c>
    </row>
    <row r="3430" spans="1:4" x14ac:dyDescent="0.25">
      <c r="A3430" t="str">
        <f>"838274356"</f>
        <v>838274356</v>
      </c>
      <c r="B3430" t="s">
        <v>3345</v>
      </c>
      <c r="C3430" s="1">
        <v>3135</v>
      </c>
      <c r="D3430" t="str">
        <f t="shared" si="139"/>
        <v>278</v>
      </c>
    </row>
    <row r="3431" spans="1:4" x14ac:dyDescent="0.25">
      <c r="A3431" t="str">
        <f>"838274357"</f>
        <v>838274357</v>
      </c>
      <c r="B3431" t="s">
        <v>3346</v>
      </c>
      <c r="C3431">
        <v>165</v>
      </c>
      <c r="D3431" t="str">
        <f t="shared" si="139"/>
        <v>278</v>
      </c>
    </row>
    <row r="3432" spans="1:4" x14ac:dyDescent="0.25">
      <c r="A3432" t="str">
        <f>"838274358"</f>
        <v>838274358</v>
      </c>
      <c r="B3432" t="s">
        <v>3346</v>
      </c>
      <c r="C3432">
        <v>709.5</v>
      </c>
      <c r="D3432" t="str">
        <f t="shared" si="139"/>
        <v>278</v>
      </c>
    </row>
    <row r="3433" spans="1:4" x14ac:dyDescent="0.25">
      <c r="A3433" t="str">
        <f>"838274359"</f>
        <v>838274359</v>
      </c>
      <c r="B3433" t="s">
        <v>3347</v>
      </c>
      <c r="C3433">
        <v>594</v>
      </c>
      <c r="D3433" t="str">
        <f t="shared" si="139"/>
        <v>278</v>
      </c>
    </row>
    <row r="3434" spans="1:4" x14ac:dyDescent="0.25">
      <c r="A3434" t="str">
        <f>"838274360"</f>
        <v>838274360</v>
      </c>
      <c r="B3434" t="s">
        <v>3300</v>
      </c>
      <c r="C3434" s="1">
        <v>7920</v>
      </c>
      <c r="D3434" t="str">
        <f t="shared" si="139"/>
        <v>278</v>
      </c>
    </row>
    <row r="3435" spans="1:4" x14ac:dyDescent="0.25">
      <c r="A3435" t="str">
        <f>"838274361"</f>
        <v>838274361</v>
      </c>
      <c r="B3435" t="s">
        <v>3301</v>
      </c>
      <c r="C3435" s="1">
        <v>2640</v>
      </c>
      <c r="D3435" t="str">
        <f t="shared" si="139"/>
        <v>278</v>
      </c>
    </row>
    <row r="3436" spans="1:4" x14ac:dyDescent="0.25">
      <c r="A3436" t="str">
        <f>"838274362"</f>
        <v>838274362</v>
      </c>
      <c r="B3436" t="s">
        <v>3303</v>
      </c>
      <c r="C3436">
        <v>165</v>
      </c>
      <c r="D3436" t="str">
        <f t="shared" si="139"/>
        <v>278</v>
      </c>
    </row>
    <row r="3437" spans="1:4" x14ac:dyDescent="0.25">
      <c r="A3437" t="str">
        <f>"838274363"</f>
        <v>838274363</v>
      </c>
      <c r="B3437" t="s">
        <v>3304</v>
      </c>
      <c r="C3437">
        <v>330</v>
      </c>
      <c r="D3437" t="str">
        <f t="shared" si="139"/>
        <v>278</v>
      </c>
    </row>
    <row r="3438" spans="1:4" x14ac:dyDescent="0.25">
      <c r="A3438" t="str">
        <f>"838274364"</f>
        <v>838274364</v>
      </c>
      <c r="B3438" t="s">
        <v>3305</v>
      </c>
      <c r="C3438" s="1">
        <v>2310</v>
      </c>
      <c r="D3438" t="str">
        <f t="shared" si="139"/>
        <v>278</v>
      </c>
    </row>
    <row r="3439" spans="1:4" x14ac:dyDescent="0.25">
      <c r="A3439" t="str">
        <f>"838274365"</f>
        <v>838274365</v>
      </c>
      <c r="B3439" t="s">
        <v>3348</v>
      </c>
      <c r="C3439" s="1">
        <v>6798</v>
      </c>
      <c r="D3439" t="str">
        <f t="shared" si="139"/>
        <v>278</v>
      </c>
    </row>
    <row r="3440" spans="1:4" x14ac:dyDescent="0.25">
      <c r="A3440" t="str">
        <f>"838274366"</f>
        <v>838274366</v>
      </c>
      <c r="B3440" t="s">
        <v>3349</v>
      </c>
      <c r="C3440">
        <v>871.2</v>
      </c>
      <c r="D3440" t="str">
        <f t="shared" si="139"/>
        <v>278</v>
      </c>
    </row>
    <row r="3441" spans="1:4" x14ac:dyDescent="0.25">
      <c r="A3441" t="str">
        <f>"838274367"</f>
        <v>838274367</v>
      </c>
      <c r="B3441" t="s">
        <v>3350</v>
      </c>
      <c r="C3441" s="1">
        <v>2402.4</v>
      </c>
      <c r="D3441" t="str">
        <f t="shared" si="139"/>
        <v>278</v>
      </c>
    </row>
    <row r="3442" spans="1:4" x14ac:dyDescent="0.25">
      <c r="A3442" t="str">
        <f>"838274368"</f>
        <v>838274368</v>
      </c>
      <c r="B3442" t="s">
        <v>3351</v>
      </c>
      <c r="C3442">
        <v>695.22</v>
      </c>
      <c r="D3442" t="str">
        <f t="shared" si="139"/>
        <v>278</v>
      </c>
    </row>
    <row r="3443" spans="1:4" x14ac:dyDescent="0.25">
      <c r="A3443" t="str">
        <f>"838274369"</f>
        <v>838274369</v>
      </c>
      <c r="B3443" t="s">
        <v>3352</v>
      </c>
      <c r="C3443">
        <v>475.2</v>
      </c>
      <c r="D3443" t="str">
        <f t="shared" si="139"/>
        <v>278</v>
      </c>
    </row>
    <row r="3444" spans="1:4" x14ac:dyDescent="0.25">
      <c r="A3444" t="str">
        <f>"838274371"</f>
        <v>838274371</v>
      </c>
      <c r="B3444" t="s">
        <v>3353</v>
      </c>
      <c r="C3444" s="1">
        <v>7920</v>
      </c>
      <c r="D3444" t="str">
        <f t="shared" si="139"/>
        <v>278</v>
      </c>
    </row>
    <row r="3445" spans="1:4" x14ac:dyDescent="0.25">
      <c r="A3445" t="str">
        <f>"838274373"</f>
        <v>838274373</v>
      </c>
      <c r="B3445" t="s">
        <v>3354</v>
      </c>
      <c r="C3445" s="1">
        <v>2640</v>
      </c>
      <c r="D3445" t="str">
        <f t="shared" si="139"/>
        <v>278</v>
      </c>
    </row>
    <row r="3446" spans="1:4" x14ac:dyDescent="0.25">
      <c r="A3446" t="str">
        <f>"838274374"</f>
        <v>838274374</v>
      </c>
      <c r="B3446" t="s">
        <v>3355</v>
      </c>
      <c r="C3446" s="1">
        <v>12820.5</v>
      </c>
      <c r="D3446" t="str">
        <f>"275"</f>
        <v>275</v>
      </c>
    </row>
    <row r="3447" spans="1:4" x14ac:dyDescent="0.25">
      <c r="A3447" t="str">
        <f>"838274375"</f>
        <v>838274375</v>
      </c>
      <c r="B3447" t="s">
        <v>3356</v>
      </c>
      <c r="C3447">
        <v>990</v>
      </c>
      <c r="D3447" t="str">
        <f t="shared" ref="D3447:D3454" si="140">"278"</f>
        <v>278</v>
      </c>
    </row>
    <row r="3448" spans="1:4" x14ac:dyDescent="0.25">
      <c r="A3448" t="str">
        <f>"838274376"</f>
        <v>838274376</v>
      </c>
      <c r="B3448" t="s">
        <v>3357</v>
      </c>
      <c r="C3448" s="1">
        <v>3300</v>
      </c>
      <c r="D3448" t="str">
        <f t="shared" si="140"/>
        <v>278</v>
      </c>
    </row>
    <row r="3449" spans="1:4" x14ac:dyDescent="0.25">
      <c r="A3449" t="str">
        <f>"838274377"</f>
        <v>838274377</v>
      </c>
      <c r="B3449" t="s">
        <v>3358</v>
      </c>
      <c r="C3449" s="1">
        <v>7920</v>
      </c>
      <c r="D3449" t="str">
        <f t="shared" si="140"/>
        <v>278</v>
      </c>
    </row>
    <row r="3450" spans="1:4" x14ac:dyDescent="0.25">
      <c r="A3450" t="str">
        <f>"838274378"</f>
        <v>838274378</v>
      </c>
      <c r="B3450" t="s">
        <v>3359</v>
      </c>
      <c r="C3450" s="1">
        <v>7920</v>
      </c>
      <c r="D3450" t="str">
        <f t="shared" si="140"/>
        <v>278</v>
      </c>
    </row>
    <row r="3451" spans="1:4" x14ac:dyDescent="0.25">
      <c r="A3451" t="str">
        <f>"838274379"</f>
        <v>838274379</v>
      </c>
      <c r="B3451" t="s">
        <v>3360</v>
      </c>
      <c r="C3451" s="1">
        <v>2310</v>
      </c>
      <c r="D3451" t="str">
        <f t="shared" si="140"/>
        <v>278</v>
      </c>
    </row>
    <row r="3452" spans="1:4" x14ac:dyDescent="0.25">
      <c r="A3452" t="str">
        <f>"838274380"</f>
        <v>838274380</v>
      </c>
      <c r="B3452" t="s">
        <v>3361</v>
      </c>
      <c r="C3452" s="1">
        <v>2640</v>
      </c>
      <c r="D3452" t="str">
        <f t="shared" si="140"/>
        <v>278</v>
      </c>
    </row>
    <row r="3453" spans="1:4" x14ac:dyDescent="0.25">
      <c r="A3453" t="str">
        <f>"838274381"</f>
        <v>838274381</v>
      </c>
      <c r="B3453" t="s">
        <v>3362</v>
      </c>
      <c r="C3453" s="1">
        <v>2640</v>
      </c>
      <c r="D3453" t="str">
        <f t="shared" si="140"/>
        <v>278</v>
      </c>
    </row>
    <row r="3454" spans="1:4" x14ac:dyDescent="0.25">
      <c r="A3454" t="str">
        <f>"838274382"</f>
        <v>838274382</v>
      </c>
      <c r="B3454" t="s">
        <v>3363</v>
      </c>
      <c r="C3454" s="1">
        <v>2310</v>
      </c>
      <c r="D3454" t="str">
        <f t="shared" si="140"/>
        <v>278</v>
      </c>
    </row>
    <row r="3455" spans="1:4" x14ac:dyDescent="0.25">
      <c r="A3455" t="str">
        <f>"838274383"</f>
        <v>838274383</v>
      </c>
      <c r="B3455" t="s">
        <v>3364</v>
      </c>
      <c r="C3455">
        <v>97.02</v>
      </c>
      <c r="D3455" t="str">
        <f>"271"</f>
        <v>271</v>
      </c>
    </row>
    <row r="3456" spans="1:4" x14ac:dyDescent="0.25">
      <c r="A3456" t="str">
        <f>"838274384"</f>
        <v>838274384</v>
      </c>
      <c r="B3456" t="s">
        <v>3365</v>
      </c>
      <c r="C3456" s="1">
        <v>19387.5</v>
      </c>
      <c r="D3456" t="str">
        <f t="shared" ref="D3456:D3505" si="141">"278"</f>
        <v>278</v>
      </c>
    </row>
    <row r="3457" spans="1:5" x14ac:dyDescent="0.25">
      <c r="A3457" t="str">
        <f>"838274385"</f>
        <v>838274385</v>
      </c>
      <c r="B3457" t="s">
        <v>3366</v>
      </c>
      <c r="C3457">
        <v>825</v>
      </c>
      <c r="D3457" t="str">
        <f t="shared" si="141"/>
        <v>278</v>
      </c>
    </row>
    <row r="3458" spans="1:5" x14ac:dyDescent="0.25">
      <c r="A3458" t="str">
        <f>"838274386"</f>
        <v>838274386</v>
      </c>
      <c r="B3458" t="s">
        <v>3367</v>
      </c>
      <c r="C3458">
        <v>38.950000000000003</v>
      </c>
      <c r="D3458" t="str">
        <f t="shared" si="141"/>
        <v>278</v>
      </c>
    </row>
    <row r="3459" spans="1:5" x14ac:dyDescent="0.25">
      <c r="A3459" t="str">
        <f>"838274387"</f>
        <v>838274387</v>
      </c>
      <c r="B3459" t="s">
        <v>3368</v>
      </c>
      <c r="C3459">
        <v>412.5</v>
      </c>
      <c r="D3459" t="str">
        <f t="shared" si="141"/>
        <v>278</v>
      </c>
    </row>
    <row r="3460" spans="1:5" x14ac:dyDescent="0.25">
      <c r="A3460" t="str">
        <f>"838274388"</f>
        <v>838274388</v>
      </c>
      <c r="B3460" t="s">
        <v>3369</v>
      </c>
      <c r="C3460">
        <v>528</v>
      </c>
      <c r="D3460" t="str">
        <f t="shared" si="141"/>
        <v>278</v>
      </c>
    </row>
    <row r="3461" spans="1:5" x14ac:dyDescent="0.25">
      <c r="A3461" t="str">
        <f>"838274389"</f>
        <v>838274389</v>
      </c>
      <c r="B3461" t="s">
        <v>3370</v>
      </c>
      <c r="C3461">
        <v>316.8</v>
      </c>
      <c r="D3461" t="str">
        <f t="shared" si="141"/>
        <v>278</v>
      </c>
    </row>
    <row r="3462" spans="1:5" x14ac:dyDescent="0.25">
      <c r="A3462" t="str">
        <f>"838274390"</f>
        <v>838274390</v>
      </c>
      <c r="B3462" t="s">
        <v>3371</v>
      </c>
      <c r="C3462" s="1">
        <v>3933.6</v>
      </c>
      <c r="D3462" t="str">
        <f t="shared" si="141"/>
        <v>278</v>
      </c>
    </row>
    <row r="3463" spans="1:5" x14ac:dyDescent="0.25">
      <c r="A3463" t="str">
        <f>"838274391"</f>
        <v>838274391</v>
      </c>
      <c r="B3463" t="s">
        <v>3372</v>
      </c>
      <c r="C3463">
        <v>528</v>
      </c>
      <c r="D3463" t="str">
        <f t="shared" si="141"/>
        <v>278</v>
      </c>
    </row>
    <row r="3464" spans="1:5" x14ac:dyDescent="0.25">
      <c r="A3464" t="str">
        <f>"838274392"</f>
        <v>838274392</v>
      </c>
      <c r="B3464" t="s">
        <v>3373</v>
      </c>
      <c r="C3464">
        <v>528</v>
      </c>
      <c r="D3464" t="str">
        <f t="shared" si="141"/>
        <v>278</v>
      </c>
    </row>
    <row r="3465" spans="1:5" x14ac:dyDescent="0.25">
      <c r="A3465" t="str">
        <f>"838274393"</f>
        <v>838274393</v>
      </c>
      <c r="B3465" t="s">
        <v>3374</v>
      </c>
      <c r="C3465">
        <v>528</v>
      </c>
      <c r="D3465" t="str">
        <f t="shared" si="141"/>
        <v>278</v>
      </c>
    </row>
    <row r="3466" spans="1:5" x14ac:dyDescent="0.25">
      <c r="A3466" t="str">
        <f>"838274395"</f>
        <v>838274395</v>
      </c>
      <c r="B3466" t="s">
        <v>3375</v>
      </c>
      <c r="C3466">
        <v>214.56</v>
      </c>
      <c r="D3466" t="str">
        <f t="shared" si="141"/>
        <v>278</v>
      </c>
    </row>
    <row r="3467" spans="1:5" x14ac:dyDescent="0.25">
      <c r="A3467" t="str">
        <f>"838274398"</f>
        <v>838274398</v>
      </c>
      <c r="B3467" t="s">
        <v>3376</v>
      </c>
      <c r="C3467">
        <v>636.72</v>
      </c>
      <c r="D3467" t="str">
        <f t="shared" si="141"/>
        <v>278</v>
      </c>
    </row>
    <row r="3468" spans="1:5" x14ac:dyDescent="0.25">
      <c r="A3468" t="str">
        <f>"838274400"</f>
        <v>838274400</v>
      </c>
      <c r="B3468" t="s">
        <v>3377</v>
      </c>
      <c r="C3468" s="1">
        <v>3300</v>
      </c>
      <c r="D3468" t="str">
        <f t="shared" si="141"/>
        <v>278</v>
      </c>
    </row>
    <row r="3469" spans="1:5" x14ac:dyDescent="0.25">
      <c r="A3469" t="str">
        <f>"838274401"</f>
        <v>838274401</v>
      </c>
      <c r="B3469" t="s">
        <v>3378</v>
      </c>
      <c r="C3469">
        <v>526.41</v>
      </c>
      <c r="D3469" t="str">
        <f t="shared" si="141"/>
        <v>278</v>
      </c>
      <c r="E3469" t="str">
        <f>"C1713"</f>
        <v>C1713</v>
      </c>
    </row>
    <row r="3470" spans="1:5" x14ac:dyDescent="0.25">
      <c r="A3470" t="str">
        <f>"838274402"</f>
        <v>838274402</v>
      </c>
      <c r="B3470" t="s">
        <v>3315</v>
      </c>
      <c r="C3470" s="1">
        <v>3300</v>
      </c>
      <c r="D3470" t="str">
        <f t="shared" si="141"/>
        <v>278</v>
      </c>
    </row>
    <row r="3471" spans="1:5" x14ac:dyDescent="0.25">
      <c r="A3471" t="str">
        <f>"838274403"</f>
        <v>838274403</v>
      </c>
      <c r="B3471" t="s">
        <v>3303</v>
      </c>
      <c r="C3471">
        <v>165</v>
      </c>
      <c r="D3471" t="str">
        <f t="shared" si="141"/>
        <v>278</v>
      </c>
    </row>
    <row r="3472" spans="1:5" x14ac:dyDescent="0.25">
      <c r="A3472" t="str">
        <f>"838274404"</f>
        <v>838274404</v>
      </c>
      <c r="B3472" t="s">
        <v>3379</v>
      </c>
      <c r="C3472" s="1">
        <v>2640</v>
      </c>
      <c r="D3472" t="str">
        <f t="shared" si="141"/>
        <v>278</v>
      </c>
    </row>
    <row r="3473" spans="1:4" x14ac:dyDescent="0.25">
      <c r="A3473" t="str">
        <f>"838274405"</f>
        <v>838274405</v>
      </c>
      <c r="B3473" t="s">
        <v>3301</v>
      </c>
      <c r="C3473" s="1">
        <v>2640</v>
      </c>
      <c r="D3473" t="str">
        <f t="shared" si="141"/>
        <v>278</v>
      </c>
    </row>
    <row r="3474" spans="1:4" x14ac:dyDescent="0.25">
      <c r="A3474" t="str">
        <f>"838274406"</f>
        <v>838274406</v>
      </c>
      <c r="B3474" t="s">
        <v>3380</v>
      </c>
      <c r="C3474" s="1">
        <v>2310</v>
      </c>
      <c r="D3474" t="str">
        <f t="shared" si="141"/>
        <v>278</v>
      </c>
    </row>
    <row r="3475" spans="1:4" x14ac:dyDescent="0.25">
      <c r="A3475" t="str">
        <f>"838274407"</f>
        <v>838274407</v>
      </c>
      <c r="B3475" t="s">
        <v>3381</v>
      </c>
      <c r="C3475" s="1">
        <v>2310</v>
      </c>
      <c r="D3475" t="str">
        <f t="shared" si="141"/>
        <v>278</v>
      </c>
    </row>
    <row r="3476" spans="1:4" x14ac:dyDescent="0.25">
      <c r="A3476" t="str">
        <f>"838274408"</f>
        <v>838274408</v>
      </c>
      <c r="B3476" t="s">
        <v>3382</v>
      </c>
      <c r="C3476">
        <v>990</v>
      </c>
      <c r="D3476" t="str">
        <f t="shared" si="141"/>
        <v>278</v>
      </c>
    </row>
    <row r="3477" spans="1:4" x14ac:dyDescent="0.25">
      <c r="A3477" t="str">
        <f>"838274409"</f>
        <v>838274409</v>
      </c>
      <c r="B3477" t="s">
        <v>3383</v>
      </c>
      <c r="C3477" s="1">
        <v>3300</v>
      </c>
      <c r="D3477" t="str">
        <f t="shared" si="141"/>
        <v>278</v>
      </c>
    </row>
    <row r="3478" spans="1:4" x14ac:dyDescent="0.25">
      <c r="A3478" t="str">
        <f>"838274410"</f>
        <v>838274410</v>
      </c>
      <c r="B3478" t="s">
        <v>3384</v>
      </c>
      <c r="C3478" s="1">
        <v>7920</v>
      </c>
      <c r="D3478" t="str">
        <f t="shared" si="141"/>
        <v>278</v>
      </c>
    </row>
    <row r="3479" spans="1:4" x14ac:dyDescent="0.25">
      <c r="A3479" t="str">
        <f>"838274411"</f>
        <v>838274411</v>
      </c>
      <c r="B3479" t="s">
        <v>3385</v>
      </c>
      <c r="C3479" s="1">
        <v>7920</v>
      </c>
      <c r="D3479" t="str">
        <f t="shared" si="141"/>
        <v>278</v>
      </c>
    </row>
    <row r="3480" spans="1:4" x14ac:dyDescent="0.25">
      <c r="A3480" t="str">
        <f>"838274412"</f>
        <v>838274412</v>
      </c>
      <c r="B3480" t="s">
        <v>3348</v>
      </c>
      <c r="C3480" s="1">
        <v>6547.2</v>
      </c>
      <c r="D3480" t="str">
        <f t="shared" si="141"/>
        <v>278</v>
      </c>
    </row>
    <row r="3481" spans="1:4" x14ac:dyDescent="0.25">
      <c r="A3481" t="str">
        <f>"838274413"</f>
        <v>838274413</v>
      </c>
      <c r="B3481" t="s">
        <v>3386</v>
      </c>
      <c r="C3481">
        <v>871.2</v>
      </c>
      <c r="D3481" t="str">
        <f t="shared" si="141"/>
        <v>278</v>
      </c>
    </row>
    <row r="3482" spans="1:4" x14ac:dyDescent="0.25">
      <c r="A3482" t="str">
        <f>"838274414"</f>
        <v>838274414</v>
      </c>
      <c r="B3482" t="s">
        <v>3387</v>
      </c>
      <c r="C3482" s="1">
        <v>2402.4</v>
      </c>
      <c r="D3482" t="str">
        <f t="shared" si="141"/>
        <v>278</v>
      </c>
    </row>
    <row r="3483" spans="1:4" x14ac:dyDescent="0.25">
      <c r="A3483" t="str">
        <f>"838274415"</f>
        <v>838274415</v>
      </c>
      <c r="B3483" t="s">
        <v>3388</v>
      </c>
      <c r="C3483">
        <v>844.8</v>
      </c>
      <c r="D3483" t="str">
        <f t="shared" si="141"/>
        <v>278</v>
      </c>
    </row>
    <row r="3484" spans="1:4" x14ac:dyDescent="0.25">
      <c r="A3484" t="str">
        <f>"838274416"</f>
        <v>838274416</v>
      </c>
      <c r="B3484" t="s">
        <v>3352</v>
      </c>
      <c r="C3484">
        <v>475.2</v>
      </c>
      <c r="D3484" t="str">
        <f t="shared" si="141"/>
        <v>278</v>
      </c>
    </row>
    <row r="3485" spans="1:4" x14ac:dyDescent="0.25">
      <c r="A3485" t="str">
        <f>"838274417"</f>
        <v>838274417</v>
      </c>
      <c r="B3485" t="s">
        <v>3389</v>
      </c>
      <c r="C3485">
        <v>818.4</v>
      </c>
      <c r="D3485" t="str">
        <f t="shared" si="141"/>
        <v>278</v>
      </c>
    </row>
    <row r="3486" spans="1:4" x14ac:dyDescent="0.25">
      <c r="A3486" t="str">
        <f>"838274418"</f>
        <v>838274418</v>
      </c>
      <c r="B3486" t="s">
        <v>3390</v>
      </c>
      <c r="C3486">
        <v>920.7</v>
      </c>
      <c r="D3486" t="str">
        <f t="shared" si="141"/>
        <v>278</v>
      </c>
    </row>
    <row r="3487" spans="1:4" x14ac:dyDescent="0.25">
      <c r="A3487" t="str">
        <f>"838274419"</f>
        <v>838274419</v>
      </c>
      <c r="B3487" t="s">
        <v>3391</v>
      </c>
      <c r="C3487" s="1">
        <v>1062.5999999999999</v>
      </c>
      <c r="D3487" t="str">
        <f t="shared" si="141"/>
        <v>278</v>
      </c>
    </row>
    <row r="3488" spans="1:4" x14ac:dyDescent="0.25">
      <c r="A3488" t="str">
        <f>"838274420"</f>
        <v>838274420</v>
      </c>
      <c r="B3488" t="s">
        <v>3392</v>
      </c>
      <c r="C3488">
        <v>223.3</v>
      </c>
      <c r="D3488" t="str">
        <f t="shared" si="141"/>
        <v>278</v>
      </c>
    </row>
    <row r="3489" spans="1:4" x14ac:dyDescent="0.25">
      <c r="A3489" t="str">
        <f>"838274421"</f>
        <v>838274421</v>
      </c>
      <c r="B3489" t="s">
        <v>3393</v>
      </c>
      <c r="C3489" s="1">
        <v>1392.6</v>
      </c>
      <c r="D3489" t="str">
        <f t="shared" si="141"/>
        <v>278</v>
      </c>
    </row>
    <row r="3490" spans="1:4" x14ac:dyDescent="0.25">
      <c r="A3490" t="str">
        <f>"838274422"</f>
        <v>838274422</v>
      </c>
      <c r="B3490" t="s">
        <v>3394</v>
      </c>
      <c r="C3490" s="1">
        <v>1392.6</v>
      </c>
      <c r="D3490" t="str">
        <f t="shared" si="141"/>
        <v>278</v>
      </c>
    </row>
    <row r="3491" spans="1:4" x14ac:dyDescent="0.25">
      <c r="A3491" t="str">
        <f>"838274423"</f>
        <v>838274423</v>
      </c>
      <c r="B3491" t="s">
        <v>3395</v>
      </c>
      <c r="C3491" s="1">
        <v>1864.5</v>
      </c>
      <c r="D3491" t="str">
        <f t="shared" si="141"/>
        <v>278</v>
      </c>
    </row>
    <row r="3492" spans="1:4" x14ac:dyDescent="0.25">
      <c r="A3492" t="str">
        <f>"838274424"</f>
        <v>838274424</v>
      </c>
      <c r="B3492" t="s">
        <v>3396</v>
      </c>
      <c r="C3492">
        <v>213.4</v>
      </c>
      <c r="D3492" t="str">
        <f t="shared" si="141"/>
        <v>278</v>
      </c>
    </row>
    <row r="3493" spans="1:4" x14ac:dyDescent="0.25">
      <c r="A3493" t="str">
        <f>"838274425"</f>
        <v>838274425</v>
      </c>
      <c r="B3493" t="s">
        <v>3397</v>
      </c>
      <c r="C3493">
        <v>590.70000000000005</v>
      </c>
      <c r="D3493" t="str">
        <f t="shared" si="141"/>
        <v>278</v>
      </c>
    </row>
    <row r="3494" spans="1:4" x14ac:dyDescent="0.25">
      <c r="A3494" t="str">
        <f>"838274426"</f>
        <v>838274426</v>
      </c>
      <c r="B3494" t="s">
        <v>3398</v>
      </c>
      <c r="C3494">
        <v>190.3</v>
      </c>
      <c r="D3494" t="str">
        <f t="shared" si="141"/>
        <v>278</v>
      </c>
    </row>
    <row r="3495" spans="1:4" x14ac:dyDescent="0.25">
      <c r="A3495" t="str">
        <f>"838274427"</f>
        <v>838274427</v>
      </c>
      <c r="B3495" t="s">
        <v>3399</v>
      </c>
      <c r="C3495">
        <v>313.5</v>
      </c>
      <c r="D3495" t="str">
        <f t="shared" si="141"/>
        <v>278</v>
      </c>
    </row>
    <row r="3496" spans="1:4" x14ac:dyDescent="0.25">
      <c r="A3496" t="str">
        <f>"838274428"</f>
        <v>838274428</v>
      </c>
      <c r="B3496" t="s">
        <v>3400</v>
      </c>
      <c r="C3496" s="1">
        <v>3649.8</v>
      </c>
      <c r="D3496" t="str">
        <f t="shared" si="141"/>
        <v>278</v>
      </c>
    </row>
    <row r="3497" spans="1:4" x14ac:dyDescent="0.25">
      <c r="A3497" t="str">
        <f>"838274429"</f>
        <v>838274429</v>
      </c>
      <c r="B3497" t="s">
        <v>3401</v>
      </c>
      <c r="C3497">
        <v>306.89999999999998</v>
      </c>
      <c r="D3497" t="str">
        <f t="shared" si="141"/>
        <v>278</v>
      </c>
    </row>
    <row r="3498" spans="1:4" x14ac:dyDescent="0.25">
      <c r="A3498" t="str">
        <f>"838274430"</f>
        <v>838274430</v>
      </c>
      <c r="B3498" t="s">
        <v>3402</v>
      </c>
      <c r="C3498">
        <v>293.7</v>
      </c>
      <c r="D3498" t="str">
        <f t="shared" si="141"/>
        <v>278</v>
      </c>
    </row>
    <row r="3499" spans="1:4" x14ac:dyDescent="0.25">
      <c r="A3499" t="str">
        <f>"838274431"</f>
        <v>838274431</v>
      </c>
      <c r="B3499" t="s">
        <v>3403</v>
      </c>
      <c r="C3499">
        <v>834.9</v>
      </c>
      <c r="D3499" t="str">
        <f t="shared" si="141"/>
        <v>278</v>
      </c>
    </row>
    <row r="3500" spans="1:4" x14ac:dyDescent="0.25">
      <c r="A3500" t="str">
        <f>"838274432"</f>
        <v>838274432</v>
      </c>
      <c r="B3500" t="s">
        <v>3404</v>
      </c>
      <c r="C3500" s="1">
        <v>7590</v>
      </c>
      <c r="D3500" t="str">
        <f t="shared" si="141"/>
        <v>278</v>
      </c>
    </row>
    <row r="3501" spans="1:4" x14ac:dyDescent="0.25">
      <c r="A3501" t="str">
        <f>"838274433"</f>
        <v>838274433</v>
      </c>
      <c r="B3501" t="s">
        <v>3405</v>
      </c>
      <c r="C3501" s="1">
        <v>7590</v>
      </c>
      <c r="D3501" t="str">
        <f t="shared" si="141"/>
        <v>278</v>
      </c>
    </row>
    <row r="3502" spans="1:4" x14ac:dyDescent="0.25">
      <c r="A3502" t="str">
        <f>"838274434"</f>
        <v>838274434</v>
      </c>
      <c r="B3502" t="s">
        <v>3406</v>
      </c>
      <c r="C3502" s="1">
        <v>4620</v>
      </c>
      <c r="D3502" t="str">
        <f t="shared" si="141"/>
        <v>278</v>
      </c>
    </row>
    <row r="3503" spans="1:4" x14ac:dyDescent="0.25">
      <c r="A3503" t="str">
        <f>"838274435"</f>
        <v>838274435</v>
      </c>
      <c r="B3503" t="s">
        <v>3407</v>
      </c>
      <c r="C3503" s="1">
        <v>19387.5</v>
      </c>
      <c r="D3503" t="str">
        <f t="shared" si="141"/>
        <v>278</v>
      </c>
    </row>
    <row r="3504" spans="1:4" x14ac:dyDescent="0.25">
      <c r="A3504" t="str">
        <f>"838274436"</f>
        <v>838274436</v>
      </c>
      <c r="B3504" t="s">
        <v>3408</v>
      </c>
      <c r="C3504">
        <v>825</v>
      </c>
      <c r="D3504" t="str">
        <f t="shared" si="141"/>
        <v>278</v>
      </c>
    </row>
    <row r="3505" spans="1:4" x14ac:dyDescent="0.25">
      <c r="A3505" t="str">
        <f>"838274437"</f>
        <v>838274437</v>
      </c>
      <c r="B3505" t="s">
        <v>3409</v>
      </c>
      <c r="C3505">
        <v>412.5</v>
      </c>
      <c r="D3505" t="str">
        <f t="shared" si="141"/>
        <v>278</v>
      </c>
    </row>
    <row r="3506" spans="1:4" x14ac:dyDescent="0.25">
      <c r="A3506" t="str">
        <f>"838274438"</f>
        <v>838274438</v>
      </c>
      <c r="B3506" t="s">
        <v>3410</v>
      </c>
      <c r="C3506">
        <v>440</v>
      </c>
      <c r="D3506" t="str">
        <f>"272"</f>
        <v>272</v>
      </c>
    </row>
    <row r="3507" spans="1:4" x14ac:dyDescent="0.25">
      <c r="A3507" t="str">
        <f>"838274439"</f>
        <v>838274439</v>
      </c>
      <c r="B3507" t="s">
        <v>3411</v>
      </c>
      <c r="C3507" s="1">
        <v>3300</v>
      </c>
      <c r="D3507" t="str">
        <f t="shared" ref="D3507:D3512" si="142">"278"</f>
        <v>278</v>
      </c>
    </row>
    <row r="3508" spans="1:4" x14ac:dyDescent="0.25">
      <c r="A3508" t="str">
        <f>"838274441"</f>
        <v>838274441</v>
      </c>
      <c r="B3508" t="s">
        <v>3412</v>
      </c>
      <c r="C3508">
        <v>148.5</v>
      </c>
      <c r="D3508" t="str">
        <f t="shared" si="142"/>
        <v>278</v>
      </c>
    </row>
    <row r="3509" spans="1:4" x14ac:dyDescent="0.25">
      <c r="A3509" t="str">
        <f>"838274442"</f>
        <v>838274442</v>
      </c>
      <c r="B3509" t="s">
        <v>3413</v>
      </c>
      <c r="C3509">
        <v>148.5</v>
      </c>
      <c r="D3509" t="str">
        <f t="shared" si="142"/>
        <v>278</v>
      </c>
    </row>
    <row r="3510" spans="1:4" x14ac:dyDescent="0.25">
      <c r="A3510" t="str">
        <f>"838274443"</f>
        <v>838274443</v>
      </c>
      <c r="B3510" t="s">
        <v>3414</v>
      </c>
      <c r="C3510">
        <v>544.5</v>
      </c>
      <c r="D3510" t="str">
        <f t="shared" si="142"/>
        <v>278</v>
      </c>
    </row>
    <row r="3511" spans="1:4" x14ac:dyDescent="0.25">
      <c r="A3511" t="str">
        <f>"838274444"</f>
        <v>838274444</v>
      </c>
      <c r="B3511" t="s">
        <v>3415</v>
      </c>
      <c r="C3511">
        <v>49.5</v>
      </c>
      <c r="D3511" t="str">
        <f t="shared" si="142"/>
        <v>278</v>
      </c>
    </row>
    <row r="3512" spans="1:4" x14ac:dyDescent="0.25">
      <c r="A3512" t="str">
        <f>"838274445"</f>
        <v>838274445</v>
      </c>
      <c r="B3512" t="s">
        <v>3416</v>
      </c>
      <c r="C3512">
        <v>66</v>
      </c>
      <c r="D3512" t="str">
        <f t="shared" si="142"/>
        <v>278</v>
      </c>
    </row>
    <row r="3513" spans="1:4" x14ac:dyDescent="0.25">
      <c r="A3513" t="str">
        <f>"838274446"</f>
        <v>838274446</v>
      </c>
      <c r="B3513" t="s">
        <v>3417</v>
      </c>
      <c r="C3513">
        <v>451.84</v>
      </c>
      <c r="D3513" t="str">
        <f>"272"</f>
        <v>272</v>
      </c>
    </row>
    <row r="3514" spans="1:4" x14ac:dyDescent="0.25">
      <c r="A3514" t="str">
        <f>"838274447"</f>
        <v>838274447</v>
      </c>
      <c r="B3514" t="s">
        <v>3418</v>
      </c>
      <c r="C3514">
        <v>385.31</v>
      </c>
      <c r="D3514" t="str">
        <f>"271"</f>
        <v>271</v>
      </c>
    </row>
    <row r="3515" spans="1:4" x14ac:dyDescent="0.25">
      <c r="A3515" t="str">
        <f>"838274448"</f>
        <v>838274448</v>
      </c>
      <c r="B3515" t="s">
        <v>3419</v>
      </c>
      <c r="C3515">
        <v>577.5</v>
      </c>
      <c r="D3515" t="str">
        <f>"278"</f>
        <v>278</v>
      </c>
    </row>
    <row r="3516" spans="1:4" x14ac:dyDescent="0.25">
      <c r="A3516" t="str">
        <f>"838274449"</f>
        <v>838274449</v>
      </c>
      <c r="B3516" t="s">
        <v>3420</v>
      </c>
      <c r="C3516" s="1">
        <v>2310</v>
      </c>
      <c r="D3516" t="str">
        <f>"278"</f>
        <v>278</v>
      </c>
    </row>
    <row r="3517" spans="1:4" x14ac:dyDescent="0.25">
      <c r="A3517" t="str">
        <f>"838274450"</f>
        <v>838274450</v>
      </c>
      <c r="B3517" t="s">
        <v>3421</v>
      </c>
      <c r="C3517">
        <v>220</v>
      </c>
      <c r="D3517" t="str">
        <f>"270"</f>
        <v>270</v>
      </c>
    </row>
    <row r="3518" spans="1:4" x14ac:dyDescent="0.25">
      <c r="A3518" t="str">
        <f>"838274451"</f>
        <v>838274451</v>
      </c>
      <c r="B3518" t="s">
        <v>3422</v>
      </c>
      <c r="C3518">
        <v>280.5</v>
      </c>
      <c r="D3518" t="str">
        <f>"270"</f>
        <v>270</v>
      </c>
    </row>
    <row r="3519" spans="1:4" x14ac:dyDescent="0.25">
      <c r="A3519" t="str">
        <f>"838274452"</f>
        <v>838274452</v>
      </c>
      <c r="B3519" t="s">
        <v>3423</v>
      </c>
      <c r="C3519" s="1">
        <v>9883.5</v>
      </c>
      <c r="D3519" t="str">
        <f>"278"</f>
        <v>278</v>
      </c>
    </row>
    <row r="3520" spans="1:4" x14ac:dyDescent="0.25">
      <c r="A3520" t="str">
        <f>"838274454"</f>
        <v>838274454</v>
      </c>
      <c r="B3520" t="s">
        <v>3424</v>
      </c>
      <c r="C3520">
        <v>495</v>
      </c>
      <c r="D3520" t="str">
        <f>"278"</f>
        <v>278</v>
      </c>
    </row>
    <row r="3521" spans="1:4" x14ac:dyDescent="0.25">
      <c r="A3521" t="str">
        <f>"838274455"</f>
        <v>838274455</v>
      </c>
      <c r="B3521" t="s">
        <v>3425</v>
      </c>
      <c r="C3521">
        <v>13.2</v>
      </c>
      <c r="D3521" t="str">
        <f>"270"</f>
        <v>270</v>
      </c>
    </row>
    <row r="3522" spans="1:4" x14ac:dyDescent="0.25">
      <c r="A3522" t="str">
        <f>"838274456"</f>
        <v>838274456</v>
      </c>
      <c r="B3522" t="s">
        <v>3426</v>
      </c>
      <c r="C3522" s="1">
        <v>1650</v>
      </c>
      <c r="D3522" t="str">
        <f>"278"</f>
        <v>278</v>
      </c>
    </row>
    <row r="3523" spans="1:4" x14ac:dyDescent="0.25">
      <c r="A3523" t="str">
        <f>"838274457"</f>
        <v>838274457</v>
      </c>
      <c r="B3523" t="s">
        <v>3427</v>
      </c>
      <c r="C3523" s="1">
        <v>4565</v>
      </c>
      <c r="D3523" t="str">
        <f>"278"</f>
        <v>278</v>
      </c>
    </row>
    <row r="3524" spans="1:4" x14ac:dyDescent="0.25">
      <c r="A3524" t="str">
        <f>"838274458"</f>
        <v>838274458</v>
      </c>
      <c r="B3524" t="s">
        <v>3428</v>
      </c>
      <c r="C3524" s="1">
        <v>6600</v>
      </c>
      <c r="D3524" t="str">
        <f>"278"</f>
        <v>278</v>
      </c>
    </row>
    <row r="3525" spans="1:4" x14ac:dyDescent="0.25">
      <c r="A3525" t="str">
        <f>"838274460"</f>
        <v>838274460</v>
      </c>
      <c r="B3525" t="s">
        <v>3429</v>
      </c>
      <c r="C3525">
        <v>385</v>
      </c>
      <c r="D3525" t="str">
        <f>"270"</f>
        <v>270</v>
      </c>
    </row>
    <row r="3526" spans="1:4" x14ac:dyDescent="0.25">
      <c r="A3526" t="str">
        <f>"838274461"</f>
        <v>838274461</v>
      </c>
      <c r="B3526" t="s">
        <v>3430</v>
      </c>
      <c r="C3526" s="1">
        <v>4950</v>
      </c>
      <c r="D3526" t="str">
        <f>"278"</f>
        <v>278</v>
      </c>
    </row>
    <row r="3527" spans="1:4" x14ac:dyDescent="0.25">
      <c r="A3527" t="str">
        <f>"838274462"</f>
        <v>838274462</v>
      </c>
      <c r="B3527" t="s">
        <v>3431</v>
      </c>
      <c r="C3527" s="1">
        <v>4950</v>
      </c>
      <c r="D3527" t="str">
        <f>"278"</f>
        <v>278</v>
      </c>
    </row>
    <row r="3528" spans="1:4" x14ac:dyDescent="0.25">
      <c r="A3528" t="str">
        <f>"838274463"</f>
        <v>838274463</v>
      </c>
      <c r="B3528" t="s">
        <v>3432</v>
      </c>
      <c r="C3528" s="1">
        <v>3300</v>
      </c>
      <c r="D3528" t="str">
        <f>"278"</f>
        <v>278</v>
      </c>
    </row>
    <row r="3529" spans="1:4" x14ac:dyDescent="0.25">
      <c r="A3529" t="str">
        <f>"838274464"</f>
        <v>838274464</v>
      </c>
      <c r="B3529" t="s">
        <v>3433</v>
      </c>
      <c r="C3529">
        <v>825</v>
      </c>
      <c r="D3529" t="str">
        <f>"278"</f>
        <v>278</v>
      </c>
    </row>
    <row r="3530" spans="1:4" x14ac:dyDescent="0.25">
      <c r="A3530" t="str">
        <f>"838274465"</f>
        <v>838274465</v>
      </c>
      <c r="B3530" t="s">
        <v>3434</v>
      </c>
      <c r="C3530">
        <v>825</v>
      </c>
      <c r="D3530" t="str">
        <f>"278"</f>
        <v>278</v>
      </c>
    </row>
    <row r="3531" spans="1:4" x14ac:dyDescent="0.25">
      <c r="A3531" t="str">
        <f>"838274467"</f>
        <v>838274467</v>
      </c>
      <c r="B3531" t="s">
        <v>3435</v>
      </c>
      <c r="C3531">
        <v>363.13</v>
      </c>
      <c r="D3531" t="str">
        <f>"272"</f>
        <v>272</v>
      </c>
    </row>
    <row r="3532" spans="1:4" x14ac:dyDescent="0.25">
      <c r="A3532" t="str">
        <f>"838274468"</f>
        <v>838274468</v>
      </c>
      <c r="B3532" t="s">
        <v>3436</v>
      </c>
      <c r="C3532">
        <v>149.69</v>
      </c>
      <c r="D3532" t="str">
        <f>"272"</f>
        <v>272</v>
      </c>
    </row>
    <row r="3533" spans="1:4" x14ac:dyDescent="0.25">
      <c r="A3533" t="str">
        <f>"838274469"</f>
        <v>838274469</v>
      </c>
      <c r="B3533" t="s">
        <v>3437</v>
      </c>
      <c r="C3533" s="1">
        <v>13200</v>
      </c>
      <c r="D3533" t="str">
        <f>"278"</f>
        <v>278</v>
      </c>
    </row>
    <row r="3534" spans="1:4" x14ac:dyDescent="0.25">
      <c r="A3534" t="str">
        <f>"838274470"</f>
        <v>838274470</v>
      </c>
      <c r="B3534" t="s">
        <v>3438</v>
      </c>
      <c r="C3534">
        <v>825</v>
      </c>
      <c r="D3534" t="str">
        <f>"278"</f>
        <v>278</v>
      </c>
    </row>
    <row r="3535" spans="1:4" x14ac:dyDescent="0.25">
      <c r="A3535" t="str">
        <f>"838274471"</f>
        <v>838274471</v>
      </c>
      <c r="B3535" t="s">
        <v>3439</v>
      </c>
      <c r="C3535">
        <v>207.9</v>
      </c>
      <c r="D3535" t="str">
        <f>"272"</f>
        <v>272</v>
      </c>
    </row>
    <row r="3536" spans="1:4" x14ac:dyDescent="0.25">
      <c r="A3536" t="str">
        <f>"838274472"</f>
        <v>838274472</v>
      </c>
      <c r="B3536" t="s">
        <v>3440</v>
      </c>
      <c r="C3536">
        <v>145.53</v>
      </c>
      <c r="D3536" t="str">
        <f>"271"</f>
        <v>271</v>
      </c>
    </row>
    <row r="3537" spans="1:5" x14ac:dyDescent="0.25">
      <c r="A3537" t="str">
        <f>"838274473"</f>
        <v>838274473</v>
      </c>
      <c r="B3537" t="s">
        <v>3441</v>
      </c>
      <c r="C3537">
        <v>184.8</v>
      </c>
      <c r="D3537" t="str">
        <f>"272"</f>
        <v>272</v>
      </c>
    </row>
    <row r="3538" spans="1:5" x14ac:dyDescent="0.25">
      <c r="A3538" t="str">
        <f>"838274476"</f>
        <v>838274476</v>
      </c>
      <c r="B3538" t="s">
        <v>3442</v>
      </c>
      <c r="C3538">
        <v>160.78</v>
      </c>
      <c r="D3538" t="str">
        <f>"272"</f>
        <v>272</v>
      </c>
    </row>
    <row r="3539" spans="1:5" x14ac:dyDescent="0.25">
      <c r="A3539" t="str">
        <f>"838274479"</f>
        <v>838274479</v>
      </c>
      <c r="B3539" t="s">
        <v>3443</v>
      </c>
      <c r="C3539">
        <v>52.67</v>
      </c>
      <c r="D3539" t="str">
        <f>"272"</f>
        <v>272</v>
      </c>
    </row>
    <row r="3540" spans="1:5" x14ac:dyDescent="0.25">
      <c r="A3540" t="str">
        <f>"838274480"</f>
        <v>838274480</v>
      </c>
      <c r="B3540" t="s">
        <v>3444</v>
      </c>
      <c r="C3540" s="1">
        <v>5610</v>
      </c>
      <c r="D3540" t="str">
        <f>"278"</f>
        <v>278</v>
      </c>
    </row>
    <row r="3541" spans="1:5" x14ac:dyDescent="0.25">
      <c r="A3541" t="str">
        <f>"838274481"</f>
        <v>838274481</v>
      </c>
      <c r="B3541" t="s">
        <v>3445</v>
      </c>
      <c r="C3541">
        <v>65.14</v>
      </c>
      <c r="D3541" t="str">
        <f>"272"</f>
        <v>272</v>
      </c>
    </row>
    <row r="3542" spans="1:5" x14ac:dyDescent="0.25">
      <c r="A3542" t="str">
        <f>"838274482"</f>
        <v>838274482</v>
      </c>
      <c r="B3542" t="s">
        <v>3446</v>
      </c>
      <c r="C3542">
        <v>41.58</v>
      </c>
      <c r="D3542" t="str">
        <f>"272"</f>
        <v>272</v>
      </c>
    </row>
    <row r="3543" spans="1:5" x14ac:dyDescent="0.25">
      <c r="A3543" t="str">
        <f>"838274483"</f>
        <v>838274483</v>
      </c>
      <c r="B3543" t="s">
        <v>3447</v>
      </c>
      <c r="C3543" s="1">
        <v>8791.2000000000007</v>
      </c>
      <c r="D3543" t="str">
        <f>"278"</f>
        <v>278</v>
      </c>
    </row>
    <row r="3544" spans="1:5" x14ac:dyDescent="0.25">
      <c r="A3544" t="str">
        <f>"838274484"</f>
        <v>838274484</v>
      </c>
      <c r="B3544" t="s">
        <v>3448</v>
      </c>
      <c r="C3544">
        <v>24.95</v>
      </c>
      <c r="D3544" t="str">
        <f>"272"</f>
        <v>272</v>
      </c>
    </row>
    <row r="3545" spans="1:5" x14ac:dyDescent="0.25">
      <c r="A3545" t="str">
        <f>"838274485"</f>
        <v>838274485</v>
      </c>
      <c r="B3545" t="s">
        <v>3449</v>
      </c>
      <c r="C3545">
        <v>62.37</v>
      </c>
      <c r="D3545" t="str">
        <f>"272"</f>
        <v>272</v>
      </c>
    </row>
    <row r="3546" spans="1:5" x14ac:dyDescent="0.25">
      <c r="A3546" t="str">
        <f>"838274486"</f>
        <v>838274486</v>
      </c>
      <c r="B3546" t="s">
        <v>3450</v>
      </c>
      <c r="C3546">
        <v>429</v>
      </c>
      <c r="D3546" t="str">
        <f>"278"</f>
        <v>278</v>
      </c>
    </row>
    <row r="3547" spans="1:5" x14ac:dyDescent="0.25">
      <c r="A3547" t="str">
        <f>"838274487"</f>
        <v>838274487</v>
      </c>
      <c r="B3547" t="s">
        <v>3451</v>
      </c>
      <c r="C3547">
        <v>676.37</v>
      </c>
      <c r="D3547" t="str">
        <f>"272"</f>
        <v>272</v>
      </c>
      <c r="E3547" t="str">
        <f>"C1751"</f>
        <v>C1751</v>
      </c>
    </row>
    <row r="3548" spans="1:5" x14ac:dyDescent="0.25">
      <c r="A3548" t="str">
        <f>"838274488"</f>
        <v>838274488</v>
      </c>
      <c r="B3548" t="s">
        <v>3452</v>
      </c>
      <c r="C3548">
        <v>429</v>
      </c>
      <c r="D3548" t="str">
        <f>"278"</f>
        <v>278</v>
      </c>
    </row>
    <row r="3549" spans="1:5" x14ac:dyDescent="0.25">
      <c r="A3549" t="str">
        <f>"838274489"</f>
        <v>838274489</v>
      </c>
      <c r="B3549" t="s">
        <v>3453</v>
      </c>
      <c r="C3549">
        <v>59.6</v>
      </c>
      <c r="D3549" t="str">
        <f>"272"</f>
        <v>272</v>
      </c>
    </row>
    <row r="3550" spans="1:5" x14ac:dyDescent="0.25">
      <c r="A3550" t="str">
        <f>"838274490"</f>
        <v>838274490</v>
      </c>
      <c r="B3550" t="s">
        <v>3454</v>
      </c>
      <c r="C3550" s="1">
        <v>5610</v>
      </c>
      <c r="D3550" t="str">
        <f>"278"</f>
        <v>278</v>
      </c>
    </row>
    <row r="3551" spans="1:5" x14ac:dyDescent="0.25">
      <c r="A3551" t="str">
        <f>"838274491"</f>
        <v>838274491</v>
      </c>
      <c r="B3551" t="s">
        <v>3455</v>
      </c>
      <c r="C3551">
        <v>330</v>
      </c>
      <c r="D3551" t="str">
        <f>"278"</f>
        <v>278</v>
      </c>
    </row>
    <row r="3552" spans="1:5" x14ac:dyDescent="0.25">
      <c r="A3552" t="str">
        <f>"838274492"</f>
        <v>838274492</v>
      </c>
      <c r="B3552" t="s">
        <v>3456</v>
      </c>
      <c r="C3552" s="1">
        <v>2805</v>
      </c>
      <c r="D3552" t="str">
        <f>"278"</f>
        <v>278</v>
      </c>
    </row>
    <row r="3553" spans="1:5" x14ac:dyDescent="0.25">
      <c r="A3553" t="str">
        <f>"838274493"</f>
        <v>838274493</v>
      </c>
      <c r="B3553" t="s">
        <v>3457</v>
      </c>
      <c r="C3553" s="1">
        <v>3003</v>
      </c>
      <c r="D3553" t="str">
        <f>"278"</f>
        <v>278</v>
      </c>
    </row>
    <row r="3554" spans="1:5" x14ac:dyDescent="0.25">
      <c r="A3554" t="str">
        <f>"838274494"</f>
        <v>838274494</v>
      </c>
      <c r="B3554" t="s">
        <v>3458</v>
      </c>
      <c r="C3554" s="1">
        <v>1316.7</v>
      </c>
      <c r="D3554" t="str">
        <f>"272"</f>
        <v>272</v>
      </c>
      <c r="E3554" t="str">
        <f>"C1755"</f>
        <v>C1755</v>
      </c>
    </row>
    <row r="3555" spans="1:5" x14ac:dyDescent="0.25">
      <c r="A3555" t="str">
        <f>"838274495"</f>
        <v>838274495</v>
      </c>
      <c r="B3555" t="s">
        <v>3459</v>
      </c>
      <c r="C3555" s="1">
        <v>3003</v>
      </c>
      <c r="D3555" t="str">
        <f>"278"</f>
        <v>278</v>
      </c>
    </row>
    <row r="3556" spans="1:5" x14ac:dyDescent="0.25">
      <c r="A3556" t="str">
        <f>"838274496"</f>
        <v>838274496</v>
      </c>
      <c r="B3556" t="s">
        <v>3460</v>
      </c>
      <c r="C3556" s="1">
        <v>5148</v>
      </c>
      <c r="D3556" t="str">
        <f>"278"</f>
        <v>278</v>
      </c>
    </row>
    <row r="3557" spans="1:5" x14ac:dyDescent="0.25">
      <c r="A3557" t="str">
        <f>"838274497"</f>
        <v>838274497</v>
      </c>
      <c r="B3557" t="s">
        <v>3461</v>
      </c>
      <c r="C3557" s="1">
        <v>5148</v>
      </c>
      <c r="D3557" t="str">
        <f>"278"</f>
        <v>278</v>
      </c>
    </row>
    <row r="3558" spans="1:5" x14ac:dyDescent="0.25">
      <c r="A3558" t="str">
        <f>"838274498"</f>
        <v>838274498</v>
      </c>
      <c r="B3558" t="s">
        <v>3462</v>
      </c>
      <c r="C3558">
        <v>88</v>
      </c>
      <c r="D3558" t="str">
        <f>"272"</f>
        <v>272</v>
      </c>
    </row>
    <row r="3559" spans="1:5" x14ac:dyDescent="0.25">
      <c r="A3559" t="str">
        <f>"838274499"</f>
        <v>838274499</v>
      </c>
      <c r="B3559" t="s">
        <v>3463</v>
      </c>
      <c r="C3559" s="1">
        <v>11965.8</v>
      </c>
      <c r="D3559" t="str">
        <f>"278"</f>
        <v>278</v>
      </c>
    </row>
    <row r="3560" spans="1:5" x14ac:dyDescent="0.25">
      <c r="A3560" t="str">
        <f>"838274500"</f>
        <v>838274500</v>
      </c>
      <c r="B3560" t="s">
        <v>3464</v>
      </c>
      <c r="C3560" s="1">
        <v>3630</v>
      </c>
      <c r="D3560" t="str">
        <f>"278"</f>
        <v>278</v>
      </c>
    </row>
    <row r="3561" spans="1:5" x14ac:dyDescent="0.25">
      <c r="A3561" t="str">
        <f>"838274501"</f>
        <v>838274501</v>
      </c>
      <c r="B3561" t="s">
        <v>3465</v>
      </c>
      <c r="C3561" s="1">
        <v>3300</v>
      </c>
      <c r="D3561" t="str">
        <f>"278"</f>
        <v>278</v>
      </c>
    </row>
    <row r="3562" spans="1:5" x14ac:dyDescent="0.25">
      <c r="A3562" t="str">
        <f>"838274502"</f>
        <v>838274502</v>
      </c>
      <c r="B3562" t="s">
        <v>3466</v>
      </c>
      <c r="C3562">
        <v>76.23</v>
      </c>
      <c r="D3562" t="str">
        <f>"271"</f>
        <v>271</v>
      </c>
    </row>
    <row r="3563" spans="1:5" x14ac:dyDescent="0.25">
      <c r="A3563" t="str">
        <f>"838274503"</f>
        <v>838274503</v>
      </c>
      <c r="B3563" t="s">
        <v>3467</v>
      </c>
      <c r="C3563">
        <v>71.5</v>
      </c>
      <c r="D3563" t="str">
        <f>"309"</f>
        <v>309</v>
      </c>
    </row>
    <row r="3564" spans="1:5" x14ac:dyDescent="0.25">
      <c r="A3564" t="str">
        <f>"838274504"</f>
        <v>838274504</v>
      </c>
      <c r="B3564" t="s">
        <v>3468</v>
      </c>
      <c r="C3564" s="1">
        <v>18150</v>
      </c>
      <c r="D3564" t="str">
        <f>"278"</f>
        <v>278</v>
      </c>
    </row>
    <row r="3565" spans="1:5" x14ac:dyDescent="0.25">
      <c r="A3565" t="str">
        <f>"838274505"</f>
        <v>838274505</v>
      </c>
      <c r="B3565" t="s">
        <v>3469</v>
      </c>
      <c r="C3565" s="1">
        <v>5940</v>
      </c>
      <c r="D3565" t="str">
        <f>"278"</f>
        <v>278</v>
      </c>
    </row>
    <row r="3566" spans="1:5" x14ac:dyDescent="0.25">
      <c r="A3566" t="str">
        <f>"838274506"</f>
        <v>838274506</v>
      </c>
      <c r="B3566" t="s">
        <v>1331</v>
      </c>
      <c r="C3566">
        <v>90.09</v>
      </c>
      <c r="D3566" t="str">
        <f>"271"</f>
        <v>271</v>
      </c>
    </row>
    <row r="3567" spans="1:5" x14ac:dyDescent="0.25">
      <c r="A3567" t="str">
        <f>"838274507"</f>
        <v>838274507</v>
      </c>
      <c r="B3567" t="s">
        <v>3470</v>
      </c>
      <c r="C3567" s="1">
        <v>9900</v>
      </c>
      <c r="D3567" t="str">
        <f>"278"</f>
        <v>278</v>
      </c>
    </row>
    <row r="3568" spans="1:5" x14ac:dyDescent="0.25">
      <c r="A3568" t="str">
        <f>"838274508"</f>
        <v>838274508</v>
      </c>
      <c r="B3568" t="s">
        <v>3471</v>
      </c>
      <c r="C3568">
        <v>825</v>
      </c>
      <c r="D3568" t="str">
        <f>"278"</f>
        <v>278</v>
      </c>
    </row>
    <row r="3569" spans="1:5" x14ac:dyDescent="0.25">
      <c r="A3569" t="str">
        <f>"838274509"</f>
        <v>838274509</v>
      </c>
      <c r="B3569" t="s">
        <v>3472</v>
      </c>
      <c r="C3569" s="1">
        <v>5940</v>
      </c>
      <c r="D3569" t="str">
        <f>"278"</f>
        <v>278</v>
      </c>
    </row>
    <row r="3570" spans="1:5" x14ac:dyDescent="0.25">
      <c r="A3570" t="str">
        <f>"838274510"</f>
        <v>838274510</v>
      </c>
      <c r="B3570" t="s">
        <v>3473</v>
      </c>
      <c r="C3570">
        <v>28.48</v>
      </c>
      <c r="D3570" t="str">
        <f>"271"</f>
        <v>271</v>
      </c>
    </row>
    <row r="3571" spans="1:5" x14ac:dyDescent="0.25">
      <c r="A3571" t="str">
        <f>"838274511"</f>
        <v>838274511</v>
      </c>
      <c r="B3571" t="s">
        <v>3474</v>
      </c>
      <c r="C3571">
        <v>189.88</v>
      </c>
      <c r="D3571" t="str">
        <f>"274"</f>
        <v>274</v>
      </c>
      <c r="E3571" t="str">
        <f>"L3908"</f>
        <v>L3908</v>
      </c>
    </row>
    <row r="3572" spans="1:5" x14ac:dyDescent="0.25">
      <c r="A3572" t="str">
        <f>"838274512"</f>
        <v>838274512</v>
      </c>
      <c r="B3572" t="s">
        <v>3469</v>
      </c>
      <c r="C3572" s="1">
        <v>5940</v>
      </c>
      <c r="D3572" t="str">
        <f>"278"</f>
        <v>278</v>
      </c>
    </row>
    <row r="3573" spans="1:5" x14ac:dyDescent="0.25">
      <c r="A3573" t="str">
        <f>"838274513"</f>
        <v>838274513</v>
      </c>
      <c r="B3573" t="s">
        <v>3475</v>
      </c>
      <c r="C3573">
        <v>189.88</v>
      </c>
      <c r="D3573" t="str">
        <f>"274"</f>
        <v>274</v>
      </c>
      <c r="E3573" t="str">
        <f>"L3908"</f>
        <v>L3908</v>
      </c>
    </row>
    <row r="3574" spans="1:5" x14ac:dyDescent="0.25">
      <c r="A3574" t="str">
        <f>"838274514"</f>
        <v>838274514</v>
      </c>
      <c r="B3574" t="s">
        <v>3469</v>
      </c>
      <c r="C3574" s="1">
        <v>5940</v>
      </c>
      <c r="D3574" t="str">
        <f>"278"</f>
        <v>278</v>
      </c>
    </row>
    <row r="3575" spans="1:5" x14ac:dyDescent="0.25">
      <c r="A3575" t="str">
        <f>"838274515"</f>
        <v>838274515</v>
      </c>
      <c r="B3575" t="s">
        <v>3476</v>
      </c>
      <c r="C3575">
        <v>264.73</v>
      </c>
      <c r="D3575" t="str">
        <f>"274"</f>
        <v>274</v>
      </c>
    </row>
    <row r="3576" spans="1:5" x14ac:dyDescent="0.25">
      <c r="A3576" t="str">
        <f>"838274517"</f>
        <v>838274517</v>
      </c>
      <c r="B3576" t="s">
        <v>3477</v>
      </c>
      <c r="C3576">
        <v>264.73</v>
      </c>
      <c r="D3576" t="str">
        <f>"272"</f>
        <v>272</v>
      </c>
    </row>
    <row r="3577" spans="1:5" x14ac:dyDescent="0.25">
      <c r="A3577" t="str">
        <f>"838274519"</f>
        <v>838274519</v>
      </c>
      <c r="B3577" t="s">
        <v>3478</v>
      </c>
      <c r="C3577">
        <v>236.18</v>
      </c>
      <c r="D3577" t="str">
        <f>"274"</f>
        <v>274</v>
      </c>
      <c r="E3577" t="str">
        <f>"L0625"</f>
        <v>L0625</v>
      </c>
    </row>
    <row r="3578" spans="1:5" x14ac:dyDescent="0.25">
      <c r="A3578" t="str">
        <f>"838274520"</f>
        <v>838274520</v>
      </c>
      <c r="B3578" t="s">
        <v>3479</v>
      </c>
      <c r="C3578">
        <v>236.18</v>
      </c>
      <c r="D3578" t="str">
        <f>"274"</f>
        <v>274</v>
      </c>
      <c r="E3578" t="str">
        <f>"L0625"</f>
        <v>L0625</v>
      </c>
    </row>
    <row r="3579" spans="1:5" x14ac:dyDescent="0.25">
      <c r="A3579" t="str">
        <f>"838274521"</f>
        <v>838274521</v>
      </c>
      <c r="B3579" t="s">
        <v>3480</v>
      </c>
      <c r="C3579">
        <v>236.18</v>
      </c>
      <c r="D3579" t="str">
        <f>"274"</f>
        <v>274</v>
      </c>
      <c r="E3579" t="str">
        <f>"L0625"</f>
        <v>L0625</v>
      </c>
    </row>
    <row r="3580" spans="1:5" x14ac:dyDescent="0.25">
      <c r="A3580" t="str">
        <f>"838274522"</f>
        <v>838274522</v>
      </c>
      <c r="B3580" t="s">
        <v>3481</v>
      </c>
      <c r="C3580">
        <v>236.18</v>
      </c>
      <c r="D3580" t="str">
        <f>"274"</f>
        <v>274</v>
      </c>
      <c r="E3580" t="str">
        <f>"L0625"</f>
        <v>L0625</v>
      </c>
    </row>
    <row r="3581" spans="1:5" x14ac:dyDescent="0.25">
      <c r="A3581" t="str">
        <f>"838274523"</f>
        <v>838274523</v>
      </c>
      <c r="B3581" t="s">
        <v>3482</v>
      </c>
      <c r="C3581">
        <v>151.07</v>
      </c>
      <c r="D3581" t="str">
        <f>"271"</f>
        <v>271</v>
      </c>
    </row>
    <row r="3582" spans="1:5" x14ac:dyDescent="0.25">
      <c r="A3582" t="str">
        <f>"838274524"</f>
        <v>838274524</v>
      </c>
      <c r="B3582" t="s">
        <v>3483</v>
      </c>
      <c r="C3582">
        <v>151.07</v>
      </c>
      <c r="D3582" t="str">
        <f>"271"</f>
        <v>271</v>
      </c>
    </row>
    <row r="3583" spans="1:5" x14ac:dyDescent="0.25">
      <c r="A3583" t="str">
        <f>"838274525"</f>
        <v>838274525</v>
      </c>
      <c r="B3583" t="s">
        <v>3484</v>
      </c>
      <c r="C3583">
        <v>151.07</v>
      </c>
      <c r="D3583" t="str">
        <f>"271"</f>
        <v>271</v>
      </c>
    </row>
    <row r="3584" spans="1:5" x14ac:dyDescent="0.25">
      <c r="A3584" t="str">
        <f>"838274526"</f>
        <v>838274526</v>
      </c>
      <c r="B3584" t="s">
        <v>3485</v>
      </c>
      <c r="C3584">
        <v>151.07</v>
      </c>
      <c r="D3584" t="str">
        <f>"271"</f>
        <v>271</v>
      </c>
    </row>
    <row r="3585" spans="1:5" x14ac:dyDescent="0.25">
      <c r="A3585" t="str">
        <f>"838274527"</f>
        <v>838274527</v>
      </c>
      <c r="B3585" t="s">
        <v>3486</v>
      </c>
      <c r="C3585">
        <v>151.07</v>
      </c>
      <c r="D3585" t="str">
        <f>"271"</f>
        <v>271</v>
      </c>
    </row>
    <row r="3586" spans="1:5" x14ac:dyDescent="0.25">
      <c r="A3586" t="str">
        <f>"838274528"</f>
        <v>838274528</v>
      </c>
      <c r="B3586" t="s">
        <v>3487</v>
      </c>
      <c r="C3586">
        <v>83.16</v>
      </c>
      <c r="D3586" t="str">
        <f>"274"</f>
        <v>274</v>
      </c>
      <c r="E3586" t="str">
        <f>"L1902"</f>
        <v>L1902</v>
      </c>
    </row>
    <row r="3587" spans="1:5" x14ac:dyDescent="0.25">
      <c r="A3587" t="str">
        <f>"838274529"</f>
        <v>838274529</v>
      </c>
      <c r="B3587" t="s">
        <v>3487</v>
      </c>
      <c r="C3587">
        <v>83.16</v>
      </c>
      <c r="D3587" t="str">
        <f>"274"</f>
        <v>274</v>
      </c>
      <c r="E3587" t="str">
        <f>"L1902"</f>
        <v>L1902</v>
      </c>
    </row>
    <row r="3588" spans="1:5" x14ac:dyDescent="0.25">
      <c r="A3588" t="str">
        <f>"838274530"</f>
        <v>838274530</v>
      </c>
      <c r="B3588" t="s">
        <v>3487</v>
      </c>
      <c r="C3588">
        <v>83.16</v>
      </c>
      <c r="D3588" t="str">
        <f>"274"</f>
        <v>274</v>
      </c>
      <c r="E3588" t="str">
        <f>"L1902"</f>
        <v>L1902</v>
      </c>
    </row>
    <row r="3589" spans="1:5" x14ac:dyDescent="0.25">
      <c r="A3589" t="str">
        <f>"838274534"</f>
        <v>838274534</v>
      </c>
      <c r="B3589" t="s">
        <v>3488</v>
      </c>
      <c r="C3589">
        <v>40.380000000000003</v>
      </c>
      <c r="D3589" t="str">
        <f>"306"</f>
        <v>306</v>
      </c>
    </row>
    <row r="3590" spans="1:5" x14ac:dyDescent="0.25">
      <c r="A3590" t="str">
        <f>"838274535"</f>
        <v>838274535</v>
      </c>
      <c r="B3590" t="s">
        <v>3489</v>
      </c>
      <c r="C3590">
        <v>93.8</v>
      </c>
      <c r="D3590" t="str">
        <f>"272"</f>
        <v>272</v>
      </c>
    </row>
    <row r="3591" spans="1:5" x14ac:dyDescent="0.25">
      <c r="A3591" t="str">
        <f>"838274538"</f>
        <v>838274538</v>
      </c>
      <c r="B3591" t="s">
        <v>3490</v>
      </c>
      <c r="C3591">
        <v>15.27</v>
      </c>
      <c r="D3591" t="str">
        <f>"271"</f>
        <v>271</v>
      </c>
    </row>
    <row r="3592" spans="1:5" x14ac:dyDescent="0.25">
      <c r="A3592" t="str">
        <f>"838274539"</f>
        <v>838274539</v>
      </c>
      <c r="B3592" t="s">
        <v>2685</v>
      </c>
      <c r="C3592">
        <v>109.01</v>
      </c>
      <c r="D3592" t="str">
        <f>"271"</f>
        <v>271</v>
      </c>
    </row>
    <row r="3593" spans="1:5" x14ac:dyDescent="0.25">
      <c r="A3593" t="str">
        <f>"838274540"</f>
        <v>838274540</v>
      </c>
      <c r="B3593" t="s">
        <v>3491</v>
      </c>
      <c r="C3593">
        <v>147.18</v>
      </c>
      <c r="D3593" t="str">
        <f>"271"</f>
        <v>271</v>
      </c>
    </row>
    <row r="3594" spans="1:5" x14ac:dyDescent="0.25">
      <c r="A3594" t="str">
        <f>"838274541"</f>
        <v>838274541</v>
      </c>
      <c r="B3594" t="s">
        <v>3492</v>
      </c>
      <c r="C3594">
        <v>146.91999999999999</v>
      </c>
      <c r="D3594" t="str">
        <f>"272"</f>
        <v>272</v>
      </c>
    </row>
    <row r="3595" spans="1:5" x14ac:dyDescent="0.25">
      <c r="A3595" t="str">
        <f>"838274542"</f>
        <v>838274542</v>
      </c>
      <c r="B3595" t="s">
        <v>3493</v>
      </c>
      <c r="C3595">
        <v>146.91999999999999</v>
      </c>
      <c r="D3595" t="str">
        <f>"272"</f>
        <v>272</v>
      </c>
    </row>
    <row r="3596" spans="1:5" x14ac:dyDescent="0.25">
      <c r="A3596" t="str">
        <f>"838274544"</f>
        <v>838274544</v>
      </c>
      <c r="B3596" t="s">
        <v>3494</v>
      </c>
      <c r="C3596">
        <v>39.36</v>
      </c>
      <c r="D3596" t="str">
        <f>"271"</f>
        <v>271</v>
      </c>
    </row>
    <row r="3597" spans="1:5" x14ac:dyDescent="0.25">
      <c r="A3597" t="str">
        <f>"838274545"</f>
        <v>838274545</v>
      </c>
      <c r="B3597" t="s">
        <v>3495</v>
      </c>
      <c r="C3597">
        <v>97.37</v>
      </c>
      <c r="D3597" t="str">
        <f>"272"</f>
        <v>272</v>
      </c>
    </row>
    <row r="3598" spans="1:5" x14ac:dyDescent="0.25">
      <c r="A3598" t="str">
        <f>"838274546"</f>
        <v>838274546</v>
      </c>
      <c r="B3598" t="s">
        <v>3496</v>
      </c>
      <c r="C3598">
        <v>97.37</v>
      </c>
      <c r="D3598" t="str">
        <f>"272"</f>
        <v>272</v>
      </c>
    </row>
    <row r="3599" spans="1:5" x14ac:dyDescent="0.25">
      <c r="A3599" t="str">
        <f>"838274547"</f>
        <v>838274547</v>
      </c>
      <c r="B3599" t="s">
        <v>3497</v>
      </c>
      <c r="C3599">
        <v>67.430000000000007</v>
      </c>
      <c r="D3599" t="str">
        <f>"272"</f>
        <v>272</v>
      </c>
    </row>
    <row r="3600" spans="1:5" x14ac:dyDescent="0.25">
      <c r="A3600" t="str">
        <f>"838274548"</f>
        <v>838274548</v>
      </c>
      <c r="B3600" t="s">
        <v>3498</v>
      </c>
      <c r="C3600">
        <v>67.430000000000007</v>
      </c>
      <c r="D3600" t="str">
        <f>"272"</f>
        <v>272</v>
      </c>
    </row>
    <row r="3601" spans="1:5" x14ac:dyDescent="0.25">
      <c r="A3601" t="str">
        <f>"838274549"</f>
        <v>838274549</v>
      </c>
      <c r="B3601" t="s">
        <v>3499</v>
      </c>
      <c r="C3601">
        <v>67.430000000000007</v>
      </c>
      <c r="D3601" t="str">
        <f>"272"</f>
        <v>272</v>
      </c>
    </row>
    <row r="3602" spans="1:5" x14ac:dyDescent="0.25">
      <c r="A3602" t="str">
        <f>"838274550"</f>
        <v>838274550</v>
      </c>
      <c r="B3602" t="s">
        <v>3500</v>
      </c>
      <c r="C3602">
        <v>189.88</v>
      </c>
      <c r="D3602" t="str">
        <f>"274"</f>
        <v>274</v>
      </c>
      <c r="E3602" t="str">
        <f>"L3908"</f>
        <v>L3908</v>
      </c>
    </row>
    <row r="3603" spans="1:5" x14ac:dyDescent="0.25">
      <c r="A3603" t="str">
        <f>"838274551"</f>
        <v>838274551</v>
      </c>
      <c r="B3603" t="s">
        <v>3501</v>
      </c>
      <c r="C3603">
        <v>189.88</v>
      </c>
      <c r="D3603" t="str">
        <f>"274"</f>
        <v>274</v>
      </c>
      <c r="E3603" t="str">
        <f>"L3908"</f>
        <v>L3908</v>
      </c>
    </row>
    <row r="3604" spans="1:5" x14ac:dyDescent="0.25">
      <c r="A3604" t="str">
        <f>"838274552"</f>
        <v>838274552</v>
      </c>
      <c r="B3604" t="s">
        <v>3502</v>
      </c>
      <c r="C3604">
        <v>189.88</v>
      </c>
      <c r="D3604" t="str">
        <f>"274"</f>
        <v>274</v>
      </c>
      <c r="E3604" t="str">
        <f>"L3908"</f>
        <v>L3908</v>
      </c>
    </row>
    <row r="3605" spans="1:5" x14ac:dyDescent="0.25">
      <c r="A3605" t="str">
        <f>"838274553"</f>
        <v>838274553</v>
      </c>
      <c r="B3605" t="s">
        <v>3503</v>
      </c>
      <c r="C3605">
        <v>264.73</v>
      </c>
      <c r="D3605" t="str">
        <f>"270"</f>
        <v>270</v>
      </c>
    </row>
    <row r="3606" spans="1:5" x14ac:dyDescent="0.25">
      <c r="A3606" t="str">
        <f>"838274554"</f>
        <v>838274554</v>
      </c>
      <c r="B3606" t="s">
        <v>3504</v>
      </c>
      <c r="C3606">
        <v>236.18</v>
      </c>
      <c r="D3606" t="str">
        <f>"274"</f>
        <v>274</v>
      </c>
      <c r="E3606" t="str">
        <f>"L0625"</f>
        <v>L0625</v>
      </c>
    </row>
    <row r="3607" spans="1:5" x14ac:dyDescent="0.25">
      <c r="A3607" t="str">
        <f>"838274556"</f>
        <v>838274556</v>
      </c>
      <c r="B3607" t="s">
        <v>3505</v>
      </c>
      <c r="C3607">
        <v>64.25</v>
      </c>
      <c r="D3607" t="str">
        <f>"272"</f>
        <v>272</v>
      </c>
    </row>
    <row r="3608" spans="1:5" x14ac:dyDescent="0.25">
      <c r="A3608" t="str">
        <f>"838274561"</f>
        <v>838274561</v>
      </c>
      <c r="B3608" t="s">
        <v>3506</v>
      </c>
      <c r="C3608">
        <v>40.380000000000003</v>
      </c>
      <c r="D3608" t="str">
        <f>"271"</f>
        <v>271</v>
      </c>
    </row>
    <row r="3609" spans="1:5" x14ac:dyDescent="0.25">
      <c r="A3609" t="str">
        <f>"838274562"</f>
        <v>838274562</v>
      </c>
      <c r="B3609" t="s">
        <v>3507</v>
      </c>
      <c r="C3609">
        <v>410.91</v>
      </c>
      <c r="D3609" t="str">
        <f t="shared" ref="D3609:D3615" si="143">"272"</f>
        <v>272</v>
      </c>
      <c r="E3609" t="str">
        <f>"C1894"</f>
        <v>C1894</v>
      </c>
    </row>
    <row r="3610" spans="1:5" x14ac:dyDescent="0.25">
      <c r="A3610" t="str">
        <f>"838274563"</f>
        <v>838274563</v>
      </c>
      <c r="B3610" t="s">
        <v>3508</v>
      </c>
      <c r="C3610">
        <v>462.89</v>
      </c>
      <c r="D3610" t="str">
        <f t="shared" si="143"/>
        <v>272</v>
      </c>
    </row>
    <row r="3611" spans="1:5" x14ac:dyDescent="0.25">
      <c r="A3611" t="str">
        <f>"838274564"</f>
        <v>838274564</v>
      </c>
      <c r="B3611" t="s">
        <v>3509</v>
      </c>
      <c r="C3611">
        <v>270.77</v>
      </c>
      <c r="D3611" t="str">
        <f t="shared" si="143"/>
        <v>272</v>
      </c>
    </row>
    <row r="3612" spans="1:5" x14ac:dyDescent="0.25">
      <c r="A3612" t="str">
        <f>"838274565"</f>
        <v>838274565</v>
      </c>
      <c r="B3612" t="s">
        <v>3510</v>
      </c>
      <c r="C3612">
        <v>97.34</v>
      </c>
      <c r="D3612" t="str">
        <f t="shared" si="143"/>
        <v>272</v>
      </c>
    </row>
    <row r="3613" spans="1:5" x14ac:dyDescent="0.25">
      <c r="A3613" t="str">
        <f>"838274570"</f>
        <v>838274570</v>
      </c>
      <c r="B3613" t="s">
        <v>3511</v>
      </c>
      <c r="C3613">
        <v>81.11</v>
      </c>
      <c r="D3613" t="str">
        <f t="shared" si="143"/>
        <v>272</v>
      </c>
    </row>
    <row r="3614" spans="1:5" x14ac:dyDescent="0.25">
      <c r="A3614" t="str">
        <f>"838274571"</f>
        <v>838274571</v>
      </c>
      <c r="B3614" t="s">
        <v>3512</v>
      </c>
      <c r="C3614">
        <v>81.11</v>
      </c>
      <c r="D3614" t="str">
        <f t="shared" si="143"/>
        <v>272</v>
      </c>
    </row>
    <row r="3615" spans="1:5" x14ac:dyDescent="0.25">
      <c r="A3615" t="str">
        <f>"838274572"</f>
        <v>838274572</v>
      </c>
      <c r="B3615" t="s">
        <v>3513</v>
      </c>
      <c r="C3615">
        <v>146.91999999999999</v>
      </c>
      <c r="D3615" t="str">
        <f t="shared" si="143"/>
        <v>272</v>
      </c>
    </row>
    <row r="3616" spans="1:5" x14ac:dyDescent="0.25">
      <c r="A3616" t="str">
        <f>"838274581"</f>
        <v>838274581</v>
      </c>
      <c r="B3616" t="s">
        <v>3514</v>
      </c>
      <c r="C3616">
        <v>23.29</v>
      </c>
      <c r="D3616" t="str">
        <f>"271"</f>
        <v>271</v>
      </c>
    </row>
    <row r="3617" spans="1:5" x14ac:dyDescent="0.25">
      <c r="A3617" t="str">
        <f>"838274591"</f>
        <v>838274591</v>
      </c>
      <c r="B3617" t="s">
        <v>3515</v>
      </c>
      <c r="C3617">
        <v>169.09</v>
      </c>
      <c r="D3617" t="str">
        <f>"271"</f>
        <v>271</v>
      </c>
    </row>
    <row r="3618" spans="1:5" x14ac:dyDescent="0.25">
      <c r="A3618" t="str">
        <f>"838274592"</f>
        <v>838274592</v>
      </c>
      <c r="B3618" t="s">
        <v>3516</v>
      </c>
      <c r="C3618">
        <v>169.09</v>
      </c>
      <c r="D3618" t="str">
        <f>"271"</f>
        <v>271</v>
      </c>
    </row>
    <row r="3619" spans="1:5" x14ac:dyDescent="0.25">
      <c r="A3619" t="str">
        <f>"838274593"</f>
        <v>838274593</v>
      </c>
      <c r="B3619" t="s">
        <v>2195</v>
      </c>
      <c r="C3619">
        <v>169.09</v>
      </c>
      <c r="D3619" t="str">
        <f>"270"</f>
        <v>270</v>
      </c>
    </row>
    <row r="3620" spans="1:5" x14ac:dyDescent="0.25">
      <c r="A3620" t="str">
        <f>"838274601"</f>
        <v>838274601</v>
      </c>
      <c r="B3620" t="s">
        <v>3517</v>
      </c>
      <c r="C3620">
        <v>272.8</v>
      </c>
      <c r="D3620" t="str">
        <f>"272"</f>
        <v>272</v>
      </c>
    </row>
    <row r="3621" spans="1:5" x14ac:dyDescent="0.25">
      <c r="A3621" t="str">
        <f>"838274602"</f>
        <v>838274602</v>
      </c>
      <c r="B3621" t="s">
        <v>3518</v>
      </c>
      <c r="C3621">
        <v>360.36</v>
      </c>
      <c r="D3621" t="str">
        <f>"272"</f>
        <v>272</v>
      </c>
    </row>
    <row r="3622" spans="1:5" x14ac:dyDescent="0.25">
      <c r="A3622" t="str">
        <f>"838274608"</f>
        <v>838274608</v>
      </c>
      <c r="B3622" t="s">
        <v>3519</v>
      </c>
      <c r="C3622">
        <v>85.93</v>
      </c>
      <c r="D3622" t="str">
        <f>"271"</f>
        <v>271</v>
      </c>
    </row>
    <row r="3623" spans="1:5" x14ac:dyDescent="0.25">
      <c r="A3623" t="str">
        <f>"838274609"</f>
        <v>838274609</v>
      </c>
      <c r="B3623" t="s">
        <v>3520</v>
      </c>
      <c r="C3623">
        <v>63.36</v>
      </c>
      <c r="D3623" t="str">
        <f t="shared" ref="D3623:D3632" si="144">"274"</f>
        <v>274</v>
      </c>
      <c r="E3623" t="str">
        <f t="shared" ref="E3623:E3632" si="145">"L3908"</f>
        <v>L3908</v>
      </c>
    </row>
    <row r="3624" spans="1:5" x14ac:dyDescent="0.25">
      <c r="A3624" t="str">
        <f>"838274610"</f>
        <v>838274610</v>
      </c>
      <c r="B3624" t="s">
        <v>3521</v>
      </c>
      <c r="C3624">
        <v>63.36</v>
      </c>
      <c r="D3624" t="str">
        <f t="shared" si="144"/>
        <v>274</v>
      </c>
      <c r="E3624" t="str">
        <f t="shared" si="145"/>
        <v>L3908</v>
      </c>
    </row>
    <row r="3625" spans="1:5" x14ac:dyDescent="0.25">
      <c r="A3625" t="str">
        <f>"838274611"</f>
        <v>838274611</v>
      </c>
      <c r="B3625" t="s">
        <v>3522</v>
      </c>
      <c r="C3625">
        <v>63.36</v>
      </c>
      <c r="D3625" t="str">
        <f t="shared" si="144"/>
        <v>274</v>
      </c>
      <c r="E3625" t="str">
        <f t="shared" si="145"/>
        <v>L3908</v>
      </c>
    </row>
    <row r="3626" spans="1:5" x14ac:dyDescent="0.25">
      <c r="A3626" t="str">
        <f>"838274612"</f>
        <v>838274612</v>
      </c>
      <c r="B3626" t="s">
        <v>3523</v>
      </c>
      <c r="C3626">
        <v>63.36</v>
      </c>
      <c r="D3626" t="str">
        <f t="shared" si="144"/>
        <v>274</v>
      </c>
      <c r="E3626" t="str">
        <f t="shared" si="145"/>
        <v>L3908</v>
      </c>
    </row>
    <row r="3627" spans="1:5" x14ac:dyDescent="0.25">
      <c r="A3627" t="str">
        <f>"838274613"</f>
        <v>838274613</v>
      </c>
      <c r="B3627" t="s">
        <v>3524</v>
      </c>
      <c r="C3627">
        <v>63.36</v>
      </c>
      <c r="D3627" t="str">
        <f t="shared" si="144"/>
        <v>274</v>
      </c>
      <c r="E3627" t="str">
        <f t="shared" si="145"/>
        <v>L3908</v>
      </c>
    </row>
    <row r="3628" spans="1:5" x14ac:dyDescent="0.25">
      <c r="A3628" t="str">
        <f>"838274614"</f>
        <v>838274614</v>
      </c>
      <c r="B3628" t="s">
        <v>3525</v>
      </c>
      <c r="C3628">
        <v>63.36</v>
      </c>
      <c r="D3628" t="str">
        <f t="shared" si="144"/>
        <v>274</v>
      </c>
      <c r="E3628" t="str">
        <f t="shared" si="145"/>
        <v>L3908</v>
      </c>
    </row>
    <row r="3629" spans="1:5" x14ac:dyDescent="0.25">
      <c r="A3629" t="str">
        <f>"838274615"</f>
        <v>838274615</v>
      </c>
      <c r="B3629" t="s">
        <v>3526</v>
      </c>
      <c r="C3629">
        <v>63.36</v>
      </c>
      <c r="D3629" t="str">
        <f t="shared" si="144"/>
        <v>274</v>
      </c>
      <c r="E3629" t="str">
        <f t="shared" si="145"/>
        <v>L3908</v>
      </c>
    </row>
    <row r="3630" spans="1:5" x14ac:dyDescent="0.25">
      <c r="A3630" t="str">
        <f>"838274616"</f>
        <v>838274616</v>
      </c>
      <c r="B3630" t="s">
        <v>3527</v>
      </c>
      <c r="C3630">
        <v>63.36</v>
      </c>
      <c r="D3630" t="str">
        <f t="shared" si="144"/>
        <v>274</v>
      </c>
      <c r="E3630" t="str">
        <f t="shared" si="145"/>
        <v>L3908</v>
      </c>
    </row>
    <row r="3631" spans="1:5" x14ac:dyDescent="0.25">
      <c r="A3631" t="str">
        <f>"838274617"</f>
        <v>838274617</v>
      </c>
      <c r="B3631" t="s">
        <v>3528</v>
      </c>
      <c r="C3631">
        <v>63.36</v>
      </c>
      <c r="D3631" t="str">
        <f t="shared" si="144"/>
        <v>274</v>
      </c>
      <c r="E3631" t="str">
        <f t="shared" si="145"/>
        <v>L3908</v>
      </c>
    </row>
    <row r="3632" spans="1:5" x14ac:dyDescent="0.25">
      <c r="A3632" t="str">
        <f>"838274618"</f>
        <v>838274618</v>
      </c>
      <c r="B3632" t="s">
        <v>3529</v>
      </c>
      <c r="C3632">
        <v>63.36</v>
      </c>
      <c r="D3632" t="str">
        <f t="shared" si="144"/>
        <v>274</v>
      </c>
      <c r="E3632" t="str">
        <f t="shared" si="145"/>
        <v>L3908</v>
      </c>
    </row>
    <row r="3633" spans="1:4" x14ac:dyDescent="0.25">
      <c r="A3633" t="str">
        <f>"838274619"</f>
        <v>838274619</v>
      </c>
      <c r="B3633" t="s">
        <v>3530</v>
      </c>
      <c r="C3633">
        <v>202.36</v>
      </c>
      <c r="D3633" t="str">
        <f t="shared" ref="D3633:D3647" si="146">"272"</f>
        <v>272</v>
      </c>
    </row>
    <row r="3634" spans="1:4" x14ac:dyDescent="0.25">
      <c r="A3634" t="str">
        <f>"838274620"</f>
        <v>838274620</v>
      </c>
      <c r="B3634" t="s">
        <v>3531</v>
      </c>
      <c r="C3634">
        <v>124.74</v>
      </c>
      <c r="D3634" t="str">
        <f t="shared" si="146"/>
        <v>272</v>
      </c>
    </row>
    <row r="3635" spans="1:4" x14ac:dyDescent="0.25">
      <c r="A3635" t="str">
        <f>"838274625"</f>
        <v>838274625</v>
      </c>
      <c r="B3635" t="s">
        <v>3532</v>
      </c>
      <c r="C3635">
        <v>62.37</v>
      </c>
      <c r="D3635" t="str">
        <f t="shared" si="146"/>
        <v>272</v>
      </c>
    </row>
    <row r="3636" spans="1:4" x14ac:dyDescent="0.25">
      <c r="A3636" t="str">
        <f>"838274626"</f>
        <v>838274626</v>
      </c>
      <c r="B3636" t="s">
        <v>3533</v>
      </c>
      <c r="C3636">
        <v>62.37</v>
      </c>
      <c r="D3636" t="str">
        <f t="shared" si="146"/>
        <v>272</v>
      </c>
    </row>
    <row r="3637" spans="1:4" x14ac:dyDescent="0.25">
      <c r="A3637" t="str">
        <f>"838274627"</f>
        <v>838274627</v>
      </c>
      <c r="B3637" t="s">
        <v>3534</v>
      </c>
      <c r="C3637">
        <v>40.19</v>
      </c>
      <c r="D3637" t="str">
        <f t="shared" si="146"/>
        <v>272</v>
      </c>
    </row>
    <row r="3638" spans="1:4" x14ac:dyDescent="0.25">
      <c r="A3638" t="str">
        <f>"838274628"</f>
        <v>838274628</v>
      </c>
      <c r="B3638" t="s">
        <v>3535</v>
      </c>
      <c r="C3638">
        <v>92.86</v>
      </c>
      <c r="D3638" t="str">
        <f t="shared" si="146"/>
        <v>272</v>
      </c>
    </row>
    <row r="3639" spans="1:4" x14ac:dyDescent="0.25">
      <c r="A3639" t="str">
        <f>"838274629"</f>
        <v>838274629</v>
      </c>
      <c r="B3639" t="s">
        <v>3536</v>
      </c>
      <c r="C3639">
        <v>55.44</v>
      </c>
      <c r="D3639" t="str">
        <f t="shared" si="146"/>
        <v>272</v>
      </c>
    </row>
    <row r="3640" spans="1:4" x14ac:dyDescent="0.25">
      <c r="A3640" t="str">
        <f>"838274630"</f>
        <v>838274630</v>
      </c>
      <c r="B3640" t="s">
        <v>3537</v>
      </c>
      <c r="C3640">
        <v>152.46</v>
      </c>
      <c r="D3640" t="str">
        <f t="shared" si="146"/>
        <v>272</v>
      </c>
    </row>
    <row r="3641" spans="1:4" x14ac:dyDescent="0.25">
      <c r="A3641" t="str">
        <f>"838274631"</f>
        <v>838274631</v>
      </c>
      <c r="B3641" t="s">
        <v>3538</v>
      </c>
      <c r="C3641">
        <v>73.459999999999994</v>
      </c>
      <c r="D3641" t="str">
        <f t="shared" si="146"/>
        <v>272</v>
      </c>
    </row>
    <row r="3642" spans="1:4" x14ac:dyDescent="0.25">
      <c r="A3642" t="str">
        <f>"838274632"</f>
        <v>838274632</v>
      </c>
      <c r="B3642" t="s">
        <v>3539</v>
      </c>
      <c r="C3642">
        <v>70.69</v>
      </c>
      <c r="D3642" t="str">
        <f t="shared" si="146"/>
        <v>272</v>
      </c>
    </row>
    <row r="3643" spans="1:4" x14ac:dyDescent="0.25">
      <c r="A3643" t="str">
        <f>"838274644"</f>
        <v>838274644</v>
      </c>
      <c r="B3643" t="s">
        <v>3540</v>
      </c>
      <c r="C3643">
        <v>141.37</v>
      </c>
      <c r="D3643" t="str">
        <f t="shared" si="146"/>
        <v>272</v>
      </c>
    </row>
    <row r="3644" spans="1:4" x14ac:dyDescent="0.25">
      <c r="A3644" t="str">
        <f>"838274646"</f>
        <v>838274646</v>
      </c>
      <c r="B3644" t="s">
        <v>3541</v>
      </c>
      <c r="C3644">
        <v>674.98</v>
      </c>
      <c r="D3644" t="str">
        <f t="shared" si="146"/>
        <v>272</v>
      </c>
    </row>
    <row r="3645" spans="1:4" x14ac:dyDescent="0.25">
      <c r="A3645" t="str">
        <f>"838274647"</f>
        <v>838274647</v>
      </c>
      <c r="B3645" t="s">
        <v>3542</v>
      </c>
      <c r="C3645">
        <v>917.53</v>
      </c>
      <c r="D3645" t="str">
        <f t="shared" si="146"/>
        <v>272</v>
      </c>
    </row>
    <row r="3646" spans="1:4" x14ac:dyDescent="0.25">
      <c r="A3646" t="str">
        <f>"838274653"</f>
        <v>838274653</v>
      </c>
      <c r="B3646" t="s">
        <v>3543</v>
      </c>
      <c r="C3646" s="1">
        <v>1221.0899999999999</v>
      </c>
      <c r="D3646" t="str">
        <f t="shared" si="146"/>
        <v>272</v>
      </c>
    </row>
    <row r="3647" spans="1:4" x14ac:dyDescent="0.25">
      <c r="A3647" t="str">
        <f>"838274654"</f>
        <v>838274654</v>
      </c>
      <c r="B3647" t="s">
        <v>3544</v>
      </c>
      <c r="C3647" s="1">
        <v>1575.4</v>
      </c>
      <c r="D3647" t="str">
        <f t="shared" si="146"/>
        <v>272</v>
      </c>
    </row>
    <row r="3648" spans="1:4" x14ac:dyDescent="0.25">
      <c r="A3648" t="str">
        <f>"838274655"</f>
        <v>838274655</v>
      </c>
      <c r="B3648" t="s">
        <v>3545</v>
      </c>
      <c r="C3648">
        <v>135.84</v>
      </c>
      <c r="D3648" t="str">
        <f>"271"</f>
        <v>271</v>
      </c>
    </row>
    <row r="3649" spans="1:5" x14ac:dyDescent="0.25">
      <c r="A3649" t="str">
        <f>"838274658"</f>
        <v>838274658</v>
      </c>
      <c r="B3649" t="s">
        <v>3546</v>
      </c>
      <c r="C3649">
        <v>358.97</v>
      </c>
      <c r="D3649" t="str">
        <f t="shared" ref="D3649:D3657" si="147">"272"</f>
        <v>272</v>
      </c>
      <c r="E3649" t="str">
        <f>"C1887"</f>
        <v>C1887</v>
      </c>
    </row>
    <row r="3650" spans="1:5" x14ac:dyDescent="0.25">
      <c r="A3650" t="str">
        <f>"838274659"</f>
        <v>838274659</v>
      </c>
      <c r="B3650" t="s">
        <v>3547</v>
      </c>
      <c r="C3650">
        <v>717.95</v>
      </c>
      <c r="D3650" t="str">
        <f t="shared" si="147"/>
        <v>272</v>
      </c>
      <c r="E3650" t="str">
        <f>"C1769"</f>
        <v>C1769</v>
      </c>
    </row>
    <row r="3651" spans="1:5" x14ac:dyDescent="0.25">
      <c r="A3651" t="str">
        <f>"838274660"</f>
        <v>838274660</v>
      </c>
      <c r="B3651" t="s">
        <v>3548</v>
      </c>
      <c r="C3651">
        <v>274.43</v>
      </c>
      <c r="D3651" t="str">
        <f t="shared" si="147"/>
        <v>272</v>
      </c>
    </row>
    <row r="3652" spans="1:5" x14ac:dyDescent="0.25">
      <c r="A3652" t="str">
        <f>"838274664"</f>
        <v>838274664</v>
      </c>
      <c r="B3652" t="s">
        <v>3549</v>
      </c>
      <c r="C3652">
        <v>385.31</v>
      </c>
      <c r="D3652" t="str">
        <f t="shared" si="147"/>
        <v>272</v>
      </c>
    </row>
    <row r="3653" spans="1:5" x14ac:dyDescent="0.25">
      <c r="A3653" t="str">
        <f>"838274665"</f>
        <v>838274665</v>
      </c>
      <c r="B3653" t="s">
        <v>3550</v>
      </c>
      <c r="C3653">
        <v>461.54</v>
      </c>
      <c r="D3653" t="str">
        <f t="shared" si="147"/>
        <v>272</v>
      </c>
    </row>
    <row r="3654" spans="1:5" x14ac:dyDescent="0.25">
      <c r="A3654" t="str">
        <f>"838274666"</f>
        <v>838274666</v>
      </c>
      <c r="B3654" t="s">
        <v>3551</v>
      </c>
      <c r="C3654">
        <v>551.63</v>
      </c>
      <c r="D3654" t="str">
        <f t="shared" si="147"/>
        <v>272</v>
      </c>
    </row>
    <row r="3655" spans="1:5" x14ac:dyDescent="0.25">
      <c r="A3655" t="str">
        <f>"838274667"</f>
        <v>838274667</v>
      </c>
      <c r="B3655" t="s">
        <v>3552</v>
      </c>
      <c r="C3655">
        <v>471.24</v>
      </c>
      <c r="D3655" t="str">
        <f t="shared" si="147"/>
        <v>272</v>
      </c>
    </row>
    <row r="3656" spans="1:5" x14ac:dyDescent="0.25">
      <c r="A3656" t="str">
        <f>"838274668"</f>
        <v>838274668</v>
      </c>
      <c r="B3656" t="s">
        <v>3553</v>
      </c>
      <c r="C3656">
        <v>385.31</v>
      </c>
      <c r="D3656" t="str">
        <f t="shared" si="147"/>
        <v>272</v>
      </c>
    </row>
    <row r="3657" spans="1:5" x14ac:dyDescent="0.25">
      <c r="A3657" t="str">
        <f>"838274669"</f>
        <v>838274669</v>
      </c>
      <c r="B3657" t="s">
        <v>3554</v>
      </c>
      <c r="C3657">
        <v>461.54</v>
      </c>
      <c r="D3657" t="str">
        <f t="shared" si="147"/>
        <v>272</v>
      </c>
    </row>
    <row r="3658" spans="1:5" x14ac:dyDescent="0.25">
      <c r="A3658" t="str">
        <f>"838274681"</f>
        <v>838274681</v>
      </c>
      <c r="B3658" t="s">
        <v>3555</v>
      </c>
      <c r="C3658">
        <v>188.5</v>
      </c>
      <c r="D3658" t="str">
        <f t="shared" ref="D3658:D3667" si="148">"274"</f>
        <v>274</v>
      </c>
      <c r="E3658" t="str">
        <f t="shared" ref="E3658:E3667" si="149">"L3999"</f>
        <v>L3999</v>
      </c>
    </row>
    <row r="3659" spans="1:5" x14ac:dyDescent="0.25">
      <c r="A3659" t="str">
        <f>"838274682"</f>
        <v>838274682</v>
      </c>
      <c r="B3659" t="s">
        <v>3556</v>
      </c>
      <c r="C3659">
        <v>188.5</v>
      </c>
      <c r="D3659" t="str">
        <f t="shared" si="148"/>
        <v>274</v>
      </c>
      <c r="E3659" t="str">
        <f t="shared" si="149"/>
        <v>L3999</v>
      </c>
    </row>
    <row r="3660" spans="1:5" x14ac:dyDescent="0.25">
      <c r="A3660" t="str">
        <f>"838274683"</f>
        <v>838274683</v>
      </c>
      <c r="B3660" t="s">
        <v>3557</v>
      </c>
      <c r="C3660">
        <v>188.5</v>
      </c>
      <c r="D3660" t="str">
        <f t="shared" si="148"/>
        <v>274</v>
      </c>
      <c r="E3660" t="str">
        <f t="shared" si="149"/>
        <v>L3999</v>
      </c>
    </row>
    <row r="3661" spans="1:5" x14ac:dyDescent="0.25">
      <c r="A3661" t="str">
        <f>"838274684"</f>
        <v>838274684</v>
      </c>
      <c r="B3661" t="s">
        <v>3558</v>
      </c>
      <c r="C3661">
        <v>188.5</v>
      </c>
      <c r="D3661" t="str">
        <f t="shared" si="148"/>
        <v>274</v>
      </c>
      <c r="E3661" t="str">
        <f t="shared" si="149"/>
        <v>L3999</v>
      </c>
    </row>
    <row r="3662" spans="1:5" x14ac:dyDescent="0.25">
      <c r="A3662" t="str">
        <f>"838274685"</f>
        <v>838274685</v>
      </c>
      <c r="B3662" t="s">
        <v>3559</v>
      </c>
      <c r="C3662">
        <v>188.5</v>
      </c>
      <c r="D3662" t="str">
        <f t="shared" si="148"/>
        <v>274</v>
      </c>
      <c r="E3662" t="str">
        <f t="shared" si="149"/>
        <v>L3999</v>
      </c>
    </row>
    <row r="3663" spans="1:5" x14ac:dyDescent="0.25">
      <c r="A3663" t="str">
        <f>"838274686"</f>
        <v>838274686</v>
      </c>
      <c r="B3663" t="s">
        <v>3560</v>
      </c>
      <c r="C3663">
        <v>188.5</v>
      </c>
      <c r="D3663" t="str">
        <f t="shared" si="148"/>
        <v>274</v>
      </c>
      <c r="E3663" t="str">
        <f t="shared" si="149"/>
        <v>L3999</v>
      </c>
    </row>
    <row r="3664" spans="1:5" x14ac:dyDescent="0.25">
      <c r="A3664" t="str">
        <f>"838274687"</f>
        <v>838274687</v>
      </c>
      <c r="B3664" t="s">
        <v>3561</v>
      </c>
      <c r="C3664">
        <v>188.5</v>
      </c>
      <c r="D3664" t="str">
        <f t="shared" si="148"/>
        <v>274</v>
      </c>
      <c r="E3664" t="str">
        <f t="shared" si="149"/>
        <v>L3999</v>
      </c>
    </row>
    <row r="3665" spans="1:5" x14ac:dyDescent="0.25">
      <c r="A3665" t="str">
        <f>"838274688"</f>
        <v>838274688</v>
      </c>
      <c r="B3665" t="s">
        <v>3562</v>
      </c>
      <c r="C3665">
        <v>188.5</v>
      </c>
      <c r="D3665" t="str">
        <f t="shared" si="148"/>
        <v>274</v>
      </c>
      <c r="E3665" t="str">
        <f t="shared" si="149"/>
        <v>L3999</v>
      </c>
    </row>
    <row r="3666" spans="1:5" x14ac:dyDescent="0.25">
      <c r="A3666" t="str">
        <f>"838274689"</f>
        <v>838274689</v>
      </c>
      <c r="B3666" t="s">
        <v>3563</v>
      </c>
      <c r="C3666">
        <v>188.5</v>
      </c>
      <c r="D3666" t="str">
        <f t="shared" si="148"/>
        <v>274</v>
      </c>
      <c r="E3666" t="str">
        <f t="shared" si="149"/>
        <v>L3999</v>
      </c>
    </row>
    <row r="3667" spans="1:5" x14ac:dyDescent="0.25">
      <c r="A3667" t="str">
        <f>"838274691"</f>
        <v>838274691</v>
      </c>
      <c r="B3667" t="s">
        <v>3564</v>
      </c>
      <c r="C3667">
        <v>188.5</v>
      </c>
      <c r="D3667" t="str">
        <f t="shared" si="148"/>
        <v>274</v>
      </c>
      <c r="E3667" t="str">
        <f t="shared" si="149"/>
        <v>L3999</v>
      </c>
    </row>
    <row r="3668" spans="1:5" x14ac:dyDescent="0.25">
      <c r="A3668" t="str">
        <f>"838274697"</f>
        <v>838274697</v>
      </c>
      <c r="B3668" t="s">
        <v>3565</v>
      </c>
      <c r="C3668">
        <v>188.5</v>
      </c>
      <c r="D3668" t="str">
        <f t="shared" ref="D3668:D3673" si="150">"271"</f>
        <v>271</v>
      </c>
    </row>
    <row r="3669" spans="1:5" x14ac:dyDescent="0.25">
      <c r="A3669" t="str">
        <f>"838274698"</f>
        <v>838274698</v>
      </c>
      <c r="B3669" t="s">
        <v>3566</v>
      </c>
      <c r="C3669">
        <v>188.5</v>
      </c>
      <c r="D3669" t="str">
        <f t="shared" si="150"/>
        <v>271</v>
      </c>
    </row>
    <row r="3670" spans="1:5" x14ac:dyDescent="0.25">
      <c r="A3670" t="str">
        <f>"838274699"</f>
        <v>838274699</v>
      </c>
      <c r="B3670" t="s">
        <v>3567</v>
      </c>
      <c r="C3670">
        <v>188.5</v>
      </c>
      <c r="D3670" t="str">
        <f t="shared" si="150"/>
        <v>271</v>
      </c>
    </row>
    <row r="3671" spans="1:5" x14ac:dyDescent="0.25">
      <c r="A3671" t="str">
        <f>"838274700"</f>
        <v>838274700</v>
      </c>
      <c r="B3671" t="s">
        <v>3568</v>
      </c>
      <c r="C3671">
        <v>188.5</v>
      </c>
      <c r="D3671" t="str">
        <f t="shared" si="150"/>
        <v>271</v>
      </c>
    </row>
    <row r="3672" spans="1:5" x14ac:dyDescent="0.25">
      <c r="A3672" t="str">
        <f>"838274701"</f>
        <v>838274701</v>
      </c>
      <c r="B3672" t="s">
        <v>3569</v>
      </c>
      <c r="C3672">
        <v>202.36</v>
      </c>
      <c r="D3672" t="str">
        <f t="shared" si="150"/>
        <v>271</v>
      </c>
    </row>
    <row r="3673" spans="1:5" x14ac:dyDescent="0.25">
      <c r="A3673" t="str">
        <f>"838274702"</f>
        <v>838274702</v>
      </c>
      <c r="B3673" t="s">
        <v>3570</v>
      </c>
      <c r="C3673">
        <v>188.5</v>
      </c>
      <c r="D3673" t="str">
        <f t="shared" si="150"/>
        <v>271</v>
      </c>
    </row>
    <row r="3674" spans="1:5" x14ac:dyDescent="0.25">
      <c r="A3674" t="str">
        <f>"838274703"</f>
        <v>838274703</v>
      </c>
      <c r="B3674" t="s">
        <v>3571</v>
      </c>
      <c r="C3674">
        <v>397.78</v>
      </c>
      <c r="D3674" t="str">
        <f>"274"</f>
        <v>274</v>
      </c>
      <c r="E3674" t="str">
        <f>"L4360"</f>
        <v>L4360</v>
      </c>
    </row>
    <row r="3675" spans="1:5" x14ac:dyDescent="0.25">
      <c r="A3675" t="str">
        <f>"838274704"</f>
        <v>838274704</v>
      </c>
      <c r="B3675" t="s">
        <v>3572</v>
      </c>
      <c r="C3675">
        <v>88.7</v>
      </c>
      <c r="D3675" t="str">
        <f>"271"</f>
        <v>271</v>
      </c>
    </row>
    <row r="3676" spans="1:5" x14ac:dyDescent="0.25">
      <c r="A3676" t="str">
        <f>"838274705"</f>
        <v>838274705</v>
      </c>
      <c r="B3676" t="s">
        <v>3573</v>
      </c>
      <c r="C3676">
        <v>88.7</v>
      </c>
      <c r="D3676" t="str">
        <f>"271"</f>
        <v>271</v>
      </c>
    </row>
    <row r="3677" spans="1:5" x14ac:dyDescent="0.25">
      <c r="A3677" t="str">
        <f>"838274706"</f>
        <v>838274706</v>
      </c>
      <c r="B3677" t="s">
        <v>3574</v>
      </c>
      <c r="C3677">
        <v>88.7</v>
      </c>
      <c r="D3677" t="str">
        <f>"271"</f>
        <v>271</v>
      </c>
    </row>
    <row r="3678" spans="1:5" x14ac:dyDescent="0.25">
      <c r="A3678" t="str">
        <f>"838274707"</f>
        <v>838274707</v>
      </c>
      <c r="B3678" t="s">
        <v>3575</v>
      </c>
      <c r="C3678">
        <v>318.77999999999997</v>
      </c>
      <c r="D3678" t="str">
        <f>"274"</f>
        <v>274</v>
      </c>
      <c r="E3678" t="str">
        <f>"L4360"</f>
        <v>L4360</v>
      </c>
    </row>
    <row r="3679" spans="1:5" x14ac:dyDescent="0.25">
      <c r="A3679" t="str">
        <f>"838274708"</f>
        <v>838274708</v>
      </c>
      <c r="B3679" t="s">
        <v>3576</v>
      </c>
      <c r="C3679">
        <v>318.77999999999997</v>
      </c>
      <c r="D3679" t="str">
        <f>"274"</f>
        <v>274</v>
      </c>
      <c r="E3679" t="str">
        <f>"L4360"</f>
        <v>L4360</v>
      </c>
    </row>
    <row r="3680" spans="1:5" x14ac:dyDescent="0.25">
      <c r="A3680" t="str">
        <f>"838274714"</f>
        <v>838274714</v>
      </c>
      <c r="B3680" t="s">
        <v>3577</v>
      </c>
      <c r="C3680">
        <v>252.25</v>
      </c>
      <c r="D3680" t="str">
        <f>"272"</f>
        <v>272</v>
      </c>
    </row>
    <row r="3681" spans="1:4" x14ac:dyDescent="0.25">
      <c r="A3681" t="str">
        <f>"838274715"</f>
        <v>838274715</v>
      </c>
      <c r="B3681" t="s">
        <v>3578</v>
      </c>
      <c r="C3681">
        <v>329.87</v>
      </c>
      <c r="D3681" t="str">
        <f>"272"</f>
        <v>272</v>
      </c>
    </row>
    <row r="3682" spans="1:4" x14ac:dyDescent="0.25">
      <c r="A3682" t="str">
        <f>"838274716"</f>
        <v>838274716</v>
      </c>
      <c r="B3682" t="s">
        <v>3579</v>
      </c>
      <c r="C3682">
        <v>91.37</v>
      </c>
      <c r="D3682" t="str">
        <f>"271"</f>
        <v>271</v>
      </c>
    </row>
    <row r="3683" spans="1:4" x14ac:dyDescent="0.25">
      <c r="A3683" t="str">
        <f>"838274717"</f>
        <v>838274717</v>
      </c>
      <c r="B3683" t="s">
        <v>3580</v>
      </c>
      <c r="C3683" s="1">
        <v>1588.29</v>
      </c>
      <c r="D3683" t="str">
        <f t="shared" ref="D3683:D3688" si="151">"272"</f>
        <v>272</v>
      </c>
    </row>
    <row r="3684" spans="1:4" x14ac:dyDescent="0.25">
      <c r="A3684" t="str">
        <f>"838274718"</f>
        <v>838274718</v>
      </c>
      <c r="B3684" t="s">
        <v>3581</v>
      </c>
      <c r="C3684">
        <v>848.23</v>
      </c>
      <c r="D3684" t="str">
        <f t="shared" si="151"/>
        <v>272</v>
      </c>
    </row>
    <row r="3685" spans="1:4" x14ac:dyDescent="0.25">
      <c r="A3685" t="str">
        <f>"838274719"</f>
        <v>838274719</v>
      </c>
      <c r="B3685" t="s">
        <v>3582</v>
      </c>
      <c r="C3685">
        <v>274.47000000000003</v>
      </c>
      <c r="D3685" t="str">
        <f t="shared" si="151"/>
        <v>272</v>
      </c>
    </row>
    <row r="3686" spans="1:4" x14ac:dyDescent="0.25">
      <c r="A3686" t="str">
        <f>"838274720"</f>
        <v>838274720</v>
      </c>
      <c r="B3686" t="s">
        <v>3583</v>
      </c>
      <c r="C3686">
        <v>679.14</v>
      </c>
      <c r="D3686" t="str">
        <f t="shared" si="151"/>
        <v>272</v>
      </c>
    </row>
    <row r="3687" spans="1:4" x14ac:dyDescent="0.25">
      <c r="A3687" t="str">
        <f>"838274724"</f>
        <v>838274724</v>
      </c>
      <c r="B3687" t="s">
        <v>3584</v>
      </c>
      <c r="C3687">
        <v>557.16999999999996</v>
      </c>
      <c r="D3687" t="str">
        <f t="shared" si="151"/>
        <v>272</v>
      </c>
    </row>
    <row r="3688" spans="1:4" x14ac:dyDescent="0.25">
      <c r="A3688" t="str">
        <f>"838274725"</f>
        <v>838274725</v>
      </c>
      <c r="B3688" t="s">
        <v>3585</v>
      </c>
      <c r="C3688">
        <v>253.64</v>
      </c>
      <c r="D3688" t="str">
        <f t="shared" si="151"/>
        <v>272</v>
      </c>
    </row>
    <row r="3689" spans="1:4" x14ac:dyDescent="0.25">
      <c r="A3689" t="str">
        <f>"838274726"</f>
        <v>838274726</v>
      </c>
      <c r="B3689" t="s">
        <v>3586</v>
      </c>
      <c r="C3689">
        <v>85.93</v>
      </c>
      <c r="D3689" t="str">
        <f>"271"</f>
        <v>271</v>
      </c>
    </row>
    <row r="3690" spans="1:4" x14ac:dyDescent="0.25">
      <c r="A3690" t="str">
        <f>"838274727"</f>
        <v>838274727</v>
      </c>
      <c r="B3690" t="s">
        <v>3587</v>
      </c>
      <c r="C3690">
        <v>126.13</v>
      </c>
      <c r="D3690" t="str">
        <f t="shared" ref="D3690:D3699" si="152">"272"</f>
        <v>272</v>
      </c>
    </row>
    <row r="3691" spans="1:4" x14ac:dyDescent="0.25">
      <c r="A3691" t="str">
        <f>"838274728"</f>
        <v>838274728</v>
      </c>
      <c r="B3691" t="s">
        <v>3588</v>
      </c>
      <c r="C3691">
        <v>126.13</v>
      </c>
      <c r="D3691" t="str">
        <f t="shared" si="152"/>
        <v>272</v>
      </c>
    </row>
    <row r="3692" spans="1:4" x14ac:dyDescent="0.25">
      <c r="A3692" t="str">
        <f>"838274729"</f>
        <v>838274729</v>
      </c>
      <c r="B3692" t="s">
        <v>3589</v>
      </c>
      <c r="C3692">
        <v>126.13</v>
      </c>
      <c r="D3692" t="str">
        <f t="shared" si="152"/>
        <v>272</v>
      </c>
    </row>
    <row r="3693" spans="1:4" x14ac:dyDescent="0.25">
      <c r="A3693" t="str">
        <f>"838274730"</f>
        <v>838274730</v>
      </c>
      <c r="B3693" t="s">
        <v>3590</v>
      </c>
      <c r="C3693">
        <v>126.13</v>
      </c>
      <c r="D3693" t="str">
        <f t="shared" si="152"/>
        <v>272</v>
      </c>
    </row>
    <row r="3694" spans="1:4" x14ac:dyDescent="0.25">
      <c r="A3694" t="str">
        <f>"838274731"</f>
        <v>838274731</v>
      </c>
      <c r="B3694" t="s">
        <v>3591</v>
      </c>
      <c r="C3694">
        <v>126.13</v>
      </c>
      <c r="D3694" t="str">
        <f t="shared" si="152"/>
        <v>272</v>
      </c>
    </row>
    <row r="3695" spans="1:4" x14ac:dyDescent="0.25">
      <c r="A3695" t="str">
        <f>"838274732"</f>
        <v>838274732</v>
      </c>
      <c r="B3695" t="s">
        <v>3592</v>
      </c>
      <c r="C3695">
        <v>126.13</v>
      </c>
      <c r="D3695" t="str">
        <f t="shared" si="152"/>
        <v>272</v>
      </c>
    </row>
    <row r="3696" spans="1:4" x14ac:dyDescent="0.25">
      <c r="A3696" t="str">
        <f>"838274733"</f>
        <v>838274733</v>
      </c>
      <c r="B3696" t="s">
        <v>3593</v>
      </c>
      <c r="C3696">
        <v>126.13</v>
      </c>
      <c r="D3696" t="str">
        <f t="shared" si="152"/>
        <v>272</v>
      </c>
    </row>
    <row r="3697" spans="1:5" x14ac:dyDescent="0.25">
      <c r="A3697" t="str">
        <f>"838274734"</f>
        <v>838274734</v>
      </c>
      <c r="B3697" t="s">
        <v>3594</v>
      </c>
      <c r="C3697">
        <v>243.94</v>
      </c>
      <c r="D3697" t="str">
        <f t="shared" si="152"/>
        <v>272</v>
      </c>
    </row>
    <row r="3698" spans="1:5" x14ac:dyDescent="0.25">
      <c r="A3698" t="str">
        <f>"838274735"</f>
        <v>838274735</v>
      </c>
      <c r="B3698" t="s">
        <v>3595</v>
      </c>
      <c r="C3698">
        <v>243.94</v>
      </c>
      <c r="D3698" t="str">
        <f t="shared" si="152"/>
        <v>272</v>
      </c>
    </row>
    <row r="3699" spans="1:5" x14ac:dyDescent="0.25">
      <c r="A3699" t="str">
        <f>"838274736"</f>
        <v>838274736</v>
      </c>
      <c r="B3699" t="s">
        <v>3596</v>
      </c>
      <c r="C3699">
        <v>70.69</v>
      </c>
      <c r="D3699" t="str">
        <f t="shared" si="152"/>
        <v>272</v>
      </c>
    </row>
    <row r="3700" spans="1:5" x14ac:dyDescent="0.25">
      <c r="A3700" t="str">
        <f>"838274753"</f>
        <v>838274753</v>
      </c>
      <c r="B3700" t="s">
        <v>3597</v>
      </c>
      <c r="C3700">
        <v>183.1</v>
      </c>
      <c r="D3700" t="str">
        <f>"271"</f>
        <v>271</v>
      </c>
      <c r="E3700" t="str">
        <f>"E0671"</f>
        <v>E0671</v>
      </c>
    </row>
    <row r="3701" spans="1:5" x14ac:dyDescent="0.25">
      <c r="A3701" t="str">
        <f>"838274762"</f>
        <v>838274762</v>
      </c>
      <c r="B3701" t="s">
        <v>3598</v>
      </c>
      <c r="C3701">
        <v>136.58000000000001</v>
      </c>
      <c r="D3701" t="str">
        <f>"272"</f>
        <v>272</v>
      </c>
    </row>
    <row r="3702" spans="1:5" x14ac:dyDescent="0.25">
      <c r="A3702" t="str">
        <f>"838274763"</f>
        <v>838274763</v>
      </c>
      <c r="B3702" t="s">
        <v>3599</v>
      </c>
      <c r="C3702">
        <v>502.14</v>
      </c>
      <c r="D3702" t="str">
        <f>"278"</f>
        <v>278</v>
      </c>
    </row>
    <row r="3703" spans="1:5" x14ac:dyDescent="0.25">
      <c r="A3703" t="str">
        <f>"838274766"</f>
        <v>838274766</v>
      </c>
      <c r="B3703" t="s">
        <v>3600</v>
      </c>
      <c r="C3703">
        <v>220</v>
      </c>
      <c r="D3703" t="str">
        <f>"272"</f>
        <v>272</v>
      </c>
    </row>
    <row r="3704" spans="1:5" x14ac:dyDescent="0.25">
      <c r="A3704" t="str">
        <f>"838274768"</f>
        <v>838274768</v>
      </c>
      <c r="B3704" t="s">
        <v>3601</v>
      </c>
      <c r="C3704">
        <v>63.81</v>
      </c>
      <c r="D3704" t="str">
        <f>"312"</f>
        <v>312</v>
      </c>
    </row>
    <row r="3705" spans="1:5" x14ac:dyDescent="0.25">
      <c r="A3705" t="str">
        <f>"838274770"</f>
        <v>838274770</v>
      </c>
      <c r="B3705" t="s">
        <v>3602</v>
      </c>
      <c r="C3705">
        <v>27.43</v>
      </c>
      <c r="D3705" t="str">
        <f>"272"</f>
        <v>272</v>
      </c>
    </row>
    <row r="3706" spans="1:5" x14ac:dyDescent="0.25">
      <c r="A3706" t="str">
        <f>"838274773"</f>
        <v>838274773</v>
      </c>
      <c r="B3706" t="s">
        <v>3603</v>
      </c>
      <c r="C3706">
        <v>796.95</v>
      </c>
      <c r="D3706" t="str">
        <f>"271"</f>
        <v>271</v>
      </c>
    </row>
    <row r="3707" spans="1:5" x14ac:dyDescent="0.25">
      <c r="A3707" t="str">
        <f>"838274774"</f>
        <v>838274774</v>
      </c>
      <c r="B3707" t="s">
        <v>3604</v>
      </c>
      <c r="C3707">
        <v>324.56</v>
      </c>
      <c r="D3707" t="str">
        <f>"272"</f>
        <v>272</v>
      </c>
    </row>
    <row r="3708" spans="1:5" x14ac:dyDescent="0.25">
      <c r="A3708" t="str">
        <f>"838274775"</f>
        <v>838274775</v>
      </c>
      <c r="B3708" t="s">
        <v>3605</v>
      </c>
      <c r="C3708">
        <v>23.97</v>
      </c>
      <c r="D3708" t="str">
        <f>"272"</f>
        <v>272</v>
      </c>
    </row>
    <row r="3709" spans="1:5" x14ac:dyDescent="0.25">
      <c r="A3709" t="str">
        <f>"838274778"</f>
        <v>838274778</v>
      </c>
      <c r="B3709" t="s">
        <v>3606</v>
      </c>
      <c r="C3709">
        <v>318.77999999999997</v>
      </c>
      <c r="D3709" t="str">
        <f>"302"</f>
        <v>302</v>
      </c>
    </row>
    <row r="3710" spans="1:5" x14ac:dyDescent="0.25">
      <c r="A3710" t="str">
        <f>"838274780"</f>
        <v>838274780</v>
      </c>
      <c r="B3710" t="s">
        <v>3607</v>
      </c>
      <c r="C3710">
        <v>754.22</v>
      </c>
      <c r="D3710" t="str">
        <f>"272"</f>
        <v>272</v>
      </c>
    </row>
    <row r="3711" spans="1:5" x14ac:dyDescent="0.25">
      <c r="A3711" t="str">
        <f>"838274781"</f>
        <v>838274781</v>
      </c>
      <c r="B3711" t="s">
        <v>3608</v>
      </c>
      <c r="C3711">
        <v>392.41</v>
      </c>
      <c r="D3711" t="str">
        <f>"272"</f>
        <v>272</v>
      </c>
    </row>
    <row r="3712" spans="1:5" x14ac:dyDescent="0.25">
      <c r="A3712" t="str">
        <f>"838274783"</f>
        <v>838274783</v>
      </c>
      <c r="B3712" t="s">
        <v>3609</v>
      </c>
      <c r="C3712">
        <v>836.83</v>
      </c>
      <c r="D3712" t="str">
        <f>"272"</f>
        <v>272</v>
      </c>
    </row>
    <row r="3713" spans="1:5" x14ac:dyDescent="0.25">
      <c r="A3713" t="str">
        <f>"838274785"</f>
        <v>838274785</v>
      </c>
      <c r="B3713" t="s">
        <v>3610</v>
      </c>
      <c r="C3713">
        <v>203.4</v>
      </c>
      <c r="D3713" t="str">
        <f>"250"</f>
        <v>250</v>
      </c>
    </row>
    <row r="3714" spans="1:5" x14ac:dyDescent="0.25">
      <c r="A3714" t="str">
        <f>"838274786"</f>
        <v>838274786</v>
      </c>
      <c r="B3714" t="s">
        <v>3611</v>
      </c>
      <c r="C3714">
        <v>203.4</v>
      </c>
      <c r="D3714" t="str">
        <f>"300"</f>
        <v>300</v>
      </c>
    </row>
    <row r="3715" spans="1:5" x14ac:dyDescent="0.25">
      <c r="A3715" t="str">
        <f>"838274787"</f>
        <v>838274787</v>
      </c>
      <c r="B3715" t="s">
        <v>3612</v>
      </c>
      <c r="C3715">
        <v>131.66999999999999</v>
      </c>
      <c r="D3715" t="str">
        <f>"272"</f>
        <v>272</v>
      </c>
      <c r="E3715" t="str">
        <f>"C1769"</f>
        <v>C1769</v>
      </c>
    </row>
    <row r="3716" spans="1:5" x14ac:dyDescent="0.25">
      <c r="A3716" t="str">
        <f>"838274788"</f>
        <v>838274788</v>
      </c>
      <c r="B3716" t="s">
        <v>3613</v>
      </c>
      <c r="C3716">
        <v>131.66999999999999</v>
      </c>
      <c r="D3716" t="str">
        <f>"272"</f>
        <v>272</v>
      </c>
      <c r="E3716" t="str">
        <f>"C1769"</f>
        <v>C1769</v>
      </c>
    </row>
    <row r="3717" spans="1:5" x14ac:dyDescent="0.25">
      <c r="A3717" t="str">
        <f>"838274793"</f>
        <v>838274793</v>
      </c>
      <c r="B3717" t="s">
        <v>3614</v>
      </c>
      <c r="C3717">
        <v>308.39</v>
      </c>
      <c r="D3717" t="str">
        <f>"270"</f>
        <v>270</v>
      </c>
    </row>
    <row r="3718" spans="1:5" x14ac:dyDescent="0.25">
      <c r="A3718" t="str">
        <f>"838274795"</f>
        <v>838274795</v>
      </c>
      <c r="B3718" t="s">
        <v>3615</v>
      </c>
      <c r="C3718">
        <v>485.1</v>
      </c>
      <c r="D3718" t="str">
        <f t="shared" ref="D3718:D3723" si="153">"272"</f>
        <v>272</v>
      </c>
    </row>
    <row r="3719" spans="1:5" x14ac:dyDescent="0.25">
      <c r="A3719" t="str">
        <f>"838274796"</f>
        <v>838274796</v>
      </c>
      <c r="B3719" t="s">
        <v>3616</v>
      </c>
      <c r="C3719">
        <v>485.1</v>
      </c>
      <c r="D3719" t="str">
        <f t="shared" si="153"/>
        <v>272</v>
      </c>
    </row>
    <row r="3720" spans="1:5" x14ac:dyDescent="0.25">
      <c r="A3720" t="str">
        <f>"838274797"</f>
        <v>838274797</v>
      </c>
      <c r="B3720" t="s">
        <v>3617</v>
      </c>
      <c r="C3720">
        <v>86.63</v>
      </c>
      <c r="D3720" t="str">
        <f t="shared" si="153"/>
        <v>272</v>
      </c>
    </row>
    <row r="3721" spans="1:5" x14ac:dyDescent="0.25">
      <c r="A3721" t="str">
        <f>"838274798"</f>
        <v>838274798</v>
      </c>
      <c r="B3721" t="s">
        <v>3618</v>
      </c>
      <c r="C3721">
        <v>526.67999999999995</v>
      </c>
      <c r="D3721" t="str">
        <f t="shared" si="153"/>
        <v>272</v>
      </c>
    </row>
    <row r="3722" spans="1:5" x14ac:dyDescent="0.25">
      <c r="A3722" t="str">
        <f>"838274799"</f>
        <v>838274799</v>
      </c>
      <c r="B3722" t="s">
        <v>3619</v>
      </c>
      <c r="C3722">
        <v>502.43</v>
      </c>
      <c r="D3722" t="str">
        <f t="shared" si="153"/>
        <v>272</v>
      </c>
    </row>
    <row r="3723" spans="1:5" x14ac:dyDescent="0.25">
      <c r="A3723" t="str">
        <f>"838274800"</f>
        <v>838274800</v>
      </c>
      <c r="B3723" t="s">
        <v>3620</v>
      </c>
      <c r="C3723">
        <v>887.01</v>
      </c>
      <c r="D3723" t="str">
        <f t="shared" si="153"/>
        <v>272</v>
      </c>
    </row>
    <row r="3724" spans="1:5" x14ac:dyDescent="0.25">
      <c r="A3724" t="str">
        <f>"838274801"</f>
        <v>838274801</v>
      </c>
      <c r="B3724" t="s">
        <v>3621</v>
      </c>
      <c r="C3724">
        <v>101.49</v>
      </c>
      <c r="D3724" t="str">
        <f>"301"</f>
        <v>301</v>
      </c>
    </row>
    <row r="3725" spans="1:5" x14ac:dyDescent="0.25">
      <c r="A3725" t="str">
        <f>"838274803"</f>
        <v>838274803</v>
      </c>
      <c r="B3725" t="s">
        <v>2125</v>
      </c>
      <c r="C3725">
        <v>249.03</v>
      </c>
      <c r="D3725" t="str">
        <f>"270"</f>
        <v>270</v>
      </c>
    </row>
    <row r="3726" spans="1:5" x14ac:dyDescent="0.25">
      <c r="A3726" t="str">
        <f>"838274806"</f>
        <v>838274806</v>
      </c>
      <c r="B3726" t="s">
        <v>3622</v>
      </c>
      <c r="C3726">
        <v>51.98</v>
      </c>
      <c r="D3726" t="str">
        <f t="shared" ref="D3726:D3732" si="154">"272"</f>
        <v>272</v>
      </c>
      <c r="E3726" t="str">
        <f>"C1887"</f>
        <v>C1887</v>
      </c>
    </row>
    <row r="3727" spans="1:5" x14ac:dyDescent="0.25">
      <c r="A3727" t="str">
        <f>"838274808"</f>
        <v>838274808</v>
      </c>
      <c r="B3727" t="s">
        <v>3623</v>
      </c>
      <c r="C3727">
        <v>66.19</v>
      </c>
      <c r="D3727" t="str">
        <f t="shared" si="154"/>
        <v>272</v>
      </c>
    </row>
    <row r="3728" spans="1:5" x14ac:dyDescent="0.25">
      <c r="A3728" t="str">
        <f>"838274809"</f>
        <v>838274809</v>
      </c>
      <c r="B3728" t="s">
        <v>3624</v>
      </c>
      <c r="C3728">
        <v>16.46</v>
      </c>
      <c r="D3728" t="str">
        <f t="shared" si="154"/>
        <v>272</v>
      </c>
    </row>
    <row r="3729" spans="1:5" x14ac:dyDescent="0.25">
      <c r="A3729" t="str">
        <f>"838274810"</f>
        <v>838274810</v>
      </c>
      <c r="B3729" t="s">
        <v>3625</v>
      </c>
      <c r="C3729">
        <v>113.65</v>
      </c>
      <c r="D3729" t="str">
        <f t="shared" si="154"/>
        <v>272</v>
      </c>
    </row>
    <row r="3730" spans="1:5" x14ac:dyDescent="0.25">
      <c r="A3730" t="str">
        <f>"838274811"</f>
        <v>838274811</v>
      </c>
      <c r="B3730" t="s">
        <v>3626</v>
      </c>
      <c r="C3730">
        <v>66.53</v>
      </c>
      <c r="D3730" t="str">
        <f t="shared" si="154"/>
        <v>272</v>
      </c>
    </row>
    <row r="3731" spans="1:5" x14ac:dyDescent="0.25">
      <c r="A3731" t="str">
        <f>"838274815"</f>
        <v>838274815</v>
      </c>
      <c r="B3731" t="s">
        <v>1987</v>
      </c>
      <c r="C3731">
        <v>88</v>
      </c>
      <c r="D3731" t="str">
        <f t="shared" si="154"/>
        <v>272</v>
      </c>
    </row>
    <row r="3732" spans="1:5" x14ac:dyDescent="0.25">
      <c r="A3732" t="str">
        <f>"838274816"</f>
        <v>838274816</v>
      </c>
      <c r="B3732" t="s">
        <v>3627</v>
      </c>
      <c r="C3732">
        <v>61.6</v>
      </c>
      <c r="D3732" t="str">
        <f t="shared" si="154"/>
        <v>272</v>
      </c>
    </row>
    <row r="3733" spans="1:5" x14ac:dyDescent="0.25">
      <c r="A3733" t="str">
        <f>"838274817"</f>
        <v>838274817</v>
      </c>
      <c r="B3733" t="s">
        <v>3628</v>
      </c>
      <c r="C3733">
        <v>49.86</v>
      </c>
      <c r="D3733" t="str">
        <f>"271"</f>
        <v>271</v>
      </c>
    </row>
    <row r="3734" spans="1:5" x14ac:dyDescent="0.25">
      <c r="A3734" t="str">
        <f>"838274819"</f>
        <v>838274819</v>
      </c>
      <c r="B3734" t="s">
        <v>3629</v>
      </c>
      <c r="C3734">
        <v>953.87</v>
      </c>
      <c r="D3734" t="str">
        <f>"272"</f>
        <v>272</v>
      </c>
      <c r="E3734" t="str">
        <f>"C1751"</f>
        <v>C1751</v>
      </c>
    </row>
    <row r="3735" spans="1:5" x14ac:dyDescent="0.25">
      <c r="A3735" t="str">
        <f>"838274821"</f>
        <v>838274821</v>
      </c>
      <c r="B3735" t="s">
        <v>3630</v>
      </c>
      <c r="C3735">
        <v>103.33</v>
      </c>
      <c r="D3735" t="str">
        <f>"271"</f>
        <v>271</v>
      </c>
    </row>
    <row r="3736" spans="1:5" x14ac:dyDescent="0.25">
      <c r="A3736" t="str">
        <f>"838274822"</f>
        <v>838274822</v>
      </c>
      <c r="B3736" t="s">
        <v>3631</v>
      </c>
      <c r="C3736">
        <v>103.33</v>
      </c>
      <c r="D3736" t="str">
        <f>"271"</f>
        <v>271</v>
      </c>
    </row>
    <row r="3737" spans="1:5" x14ac:dyDescent="0.25">
      <c r="A3737" t="str">
        <f>"838274823"</f>
        <v>838274823</v>
      </c>
      <c r="B3737" t="s">
        <v>3632</v>
      </c>
      <c r="C3737">
        <v>14.93</v>
      </c>
      <c r="D3737" t="str">
        <f>"271"</f>
        <v>271</v>
      </c>
    </row>
    <row r="3738" spans="1:5" x14ac:dyDescent="0.25">
      <c r="A3738" t="str">
        <f>"838274824"</f>
        <v>838274824</v>
      </c>
      <c r="B3738" t="s">
        <v>3633</v>
      </c>
      <c r="C3738">
        <v>157.37</v>
      </c>
      <c r="D3738" t="str">
        <f>"271"</f>
        <v>271</v>
      </c>
    </row>
    <row r="3739" spans="1:5" x14ac:dyDescent="0.25">
      <c r="A3739" t="str">
        <f>"838274827"</f>
        <v>838274827</v>
      </c>
      <c r="B3739" t="s">
        <v>3634</v>
      </c>
      <c r="C3739">
        <v>387.57</v>
      </c>
      <c r="D3739" t="str">
        <f t="shared" ref="D3739:D3748" si="155">"272"</f>
        <v>272</v>
      </c>
      <c r="E3739" t="str">
        <f t="shared" ref="E3739:E3745" si="156">"C1729"</f>
        <v>C1729</v>
      </c>
    </row>
    <row r="3740" spans="1:5" x14ac:dyDescent="0.25">
      <c r="A3740" t="str">
        <f>"838274828"</f>
        <v>838274828</v>
      </c>
      <c r="B3740" t="s">
        <v>3635</v>
      </c>
      <c r="C3740">
        <v>387.57</v>
      </c>
      <c r="D3740" t="str">
        <f t="shared" si="155"/>
        <v>272</v>
      </c>
      <c r="E3740" t="str">
        <f t="shared" si="156"/>
        <v>C1729</v>
      </c>
    </row>
    <row r="3741" spans="1:5" x14ac:dyDescent="0.25">
      <c r="A3741" t="str">
        <f>"838274829"</f>
        <v>838274829</v>
      </c>
      <c r="B3741" t="s">
        <v>3636</v>
      </c>
      <c r="C3741">
        <v>387.57</v>
      </c>
      <c r="D3741" t="str">
        <f t="shared" si="155"/>
        <v>272</v>
      </c>
      <c r="E3741" t="str">
        <f t="shared" si="156"/>
        <v>C1729</v>
      </c>
    </row>
    <row r="3742" spans="1:5" x14ac:dyDescent="0.25">
      <c r="A3742" t="str">
        <f>"838274830"</f>
        <v>838274830</v>
      </c>
      <c r="B3742" t="s">
        <v>3637</v>
      </c>
      <c r="C3742">
        <v>387.57</v>
      </c>
      <c r="D3742" t="str">
        <f t="shared" si="155"/>
        <v>272</v>
      </c>
      <c r="E3742" t="str">
        <f t="shared" si="156"/>
        <v>C1729</v>
      </c>
    </row>
    <row r="3743" spans="1:5" x14ac:dyDescent="0.25">
      <c r="A3743" t="str">
        <f>"838274831"</f>
        <v>838274831</v>
      </c>
      <c r="B3743" t="s">
        <v>3638</v>
      </c>
      <c r="C3743">
        <v>430.77</v>
      </c>
      <c r="D3743" t="str">
        <f t="shared" si="155"/>
        <v>272</v>
      </c>
      <c r="E3743" t="str">
        <f t="shared" si="156"/>
        <v>C1729</v>
      </c>
    </row>
    <row r="3744" spans="1:5" x14ac:dyDescent="0.25">
      <c r="A3744" t="str">
        <f>"838274832"</f>
        <v>838274832</v>
      </c>
      <c r="B3744" t="s">
        <v>3639</v>
      </c>
      <c r="C3744">
        <v>430.77</v>
      </c>
      <c r="D3744" t="str">
        <f t="shared" si="155"/>
        <v>272</v>
      </c>
      <c r="E3744" t="str">
        <f t="shared" si="156"/>
        <v>C1729</v>
      </c>
    </row>
    <row r="3745" spans="1:5" x14ac:dyDescent="0.25">
      <c r="A3745" t="str">
        <f>"838274833"</f>
        <v>838274833</v>
      </c>
      <c r="B3745" t="s">
        <v>3640</v>
      </c>
      <c r="C3745">
        <v>430.77</v>
      </c>
      <c r="D3745" t="str">
        <f t="shared" si="155"/>
        <v>272</v>
      </c>
      <c r="E3745" t="str">
        <f t="shared" si="156"/>
        <v>C1729</v>
      </c>
    </row>
    <row r="3746" spans="1:5" x14ac:dyDescent="0.25">
      <c r="A3746" t="str">
        <f>"838274834"</f>
        <v>838274834</v>
      </c>
      <c r="B3746" t="s">
        <v>3641</v>
      </c>
      <c r="C3746">
        <v>330.4</v>
      </c>
      <c r="D3746" t="str">
        <f t="shared" si="155"/>
        <v>272</v>
      </c>
    </row>
    <row r="3747" spans="1:5" x14ac:dyDescent="0.25">
      <c r="A3747" t="str">
        <f>"838274835"</f>
        <v>838274835</v>
      </c>
      <c r="B3747" t="s">
        <v>3642</v>
      </c>
      <c r="C3747">
        <v>330.4</v>
      </c>
      <c r="D3747" t="str">
        <f t="shared" si="155"/>
        <v>272</v>
      </c>
    </row>
    <row r="3748" spans="1:5" x14ac:dyDescent="0.25">
      <c r="A3748" t="str">
        <f>"838274836"</f>
        <v>838274836</v>
      </c>
      <c r="B3748" t="s">
        <v>3643</v>
      </c>
      <c r="C3748">
        <v>330.4</v>
      </c>
      <c r="D3748" t="str">
        <f t="shared" si="155"/>
        <v>272</v>
      </c>
    </row>
    <row r="3749" spans="1:5" x14ac:dyDescent="0.25">
      <c r="A3749" t="str">
        <f>"838274850"</f>
        <v>838274850</v>
      </c>
      <c r="B3749" t="s">
        <v>3644</v>
      </c>
      <c r="C3749">
        <v>132</v>
      </c>
      <c r="D3749" t="str">
        <f>"278"</f>
        <v>278</v>
      </c>
    </row>
    <row r="3750" spans="1:5" x14ac:dyDescent="0.25">
      <c r="A3750" t="str">
        <f>"838274851"</f>
        <v>838274851</v>
      </c>
      <c r="B3750" t="s">
        <v>3645</v>
      </c>
      <c r="C3750" s="1">
        <v>3850</v>
      </c>
      <c r="D3750" t="str">
        <f>"278"</f>
        <v>278</v>
      </c>
    </row>
    <row r="3751" spans="1:5" x14ac:dyDescent="0.25">
      <c r="A3751" t="str">
        <f>"838274852"</f>
        <v>838274852</v>
      </c>
      <c r="B3751" t="s">
        <v>3646</v>
      </c>
      <c r="C3751" s="1">
        <v>1100</v>
      </c>
      <c r="D3751" t="str">
        <f>"278"</f>
        <v>278</v>
      </c>
    </row>
    <row r="3752" spans="1:5" x14ac:dyDescent="0.25">
      <c r="A3752" t="str">
        <f>"838274853"</f>
        <v>838274853</v>
      </c>
      <c r="B3752" t="s">
        <v>457</v>
      </c>
      <c r="C3752">
        <v>220</v>
      </c>
      <c r="D3752" t="str">
        <f>"278"</f>
        <v>278</v>
      </c>
    </row>
    <row r="3753" spans="1:5" x14ac:dyDescent="0.25">
      <c r="A3753" t="str">
        <f>"838274854"</f>
        <v>838274854</v>
      </c>
      <c r="B3753" t="s">
        <v>3647</v>
      </c>
      <c r="C3753">
        <v>55</v>
      </c>
      <c r="D3753" t="str">
        <f>"270"</f>
        <v>270</v>
      </c>
    </row>
    <row r="3754" spans="1:5" x14ac:dyDescent="0.25">
      <c r="A3754" t="str">
        <f>"838274855"</f>
        <v>838274855</v>
      </c>
      <c r="B3754" t="s">
        <v>3648</v>
      </c>
      <c r="C3754">
        <v>372.9</v>
      </c>
      <c r="D3754" t="str">
        <f>"278"</f>
        <v>278</v>
      </c>
    </row>
    <row r="3755" spans="1:5" x14ac:dyDescent="0.25">
      <c r="A3755" t="str">
        <f>"838274856"</f>
        <v>838274856</v>
      </c>
      <c r="B3755" t="s">
        <v>3649</v>
      </c>
      <c r="C3755">
        <v>110</v>
      </c>
      <c r="D3755" t="str">
        <f>"278"</f>
        <v>278</v>
      </c>
    </row>
    <row r="3756" spans="1:5" x14ac:dyDescent="0.25">
      <c r="A3756" t="str">
        <f>"838274857"</f>
        <v>838274857</v>
      </c>
      <c r="B3756" t="s">
        <v>3650</v>
      </c>
      <c r="C3756">
        <v>55</v>
      </c>
      <c r="D3756" t="str">
        <f>"278"</f>
        <v>278</v>
      </c>
    </row>
    <row r="3757" spans="1:5" x14ac:dyDescent="0.25">
      <c r="A3757" t="str">
        <f>"838274858"</f>
        <v>838274858</v>
      </c>
      <c r="B3757" t="s">
        <v>3651</v>
      </c>
      <c r="C3757">
        <v>33</v>
      </c>
      <c r="D3757" t="str">
        <f>"270"</f>
        <v>270</v>
      </c>
    </row>
    <row r="3758" spans="1:5" x14ac:dyDescent="0.25">
      <c r="A3758" t="str">
        <f>"838274859"</f>
        <v>838274859</v>
      </c>
      <c r="B3758" t="s">
        <v>3652</v>
      </c>
      <c r="C3758">
        <v>11</v>
      </c>
      <c r="D3758" t="str">
        <f>"278"</f>
        <v>278</v>
      </c>
    </row>
    <row r="3759" spans="1:5" x14ac:dyDescent="0.25">
      <c r="A3759" t="str">
        <f>"838274860"</f>
        <v>838274860</v>
      </c>
      <c r="B3759" t="s">
        <v>3653</v>
      </c>
      <c r="C3759">
        <v>33</v>
      </c>
      <c r="D3759" t="str">
        <f>"278"</f>
        <v>278</v>
      </c>
    </row>
    <row r="3760" spans="1:5" x14ac:dyDescent="0.25">
      <c r="A3760" t="str">
        <f>"838274861"</f>
        <v>838274861</v>
      </c>
      <c r="B3760" t="s">
        <v>3654</v>
      </c>
      <c r="C3760">
        <v>598.88</v>
      </c>
      <c r="D3760" t="str">
        <f>"278"</f>
        <v>278</v>
      </c>
    </row>
    <row r="3761" spans="1:5" x14ac:dyDescent="0.25">
      <c r="A3761" t="str">
        <f>"838274862"</f>
        <v>838274862</v>
      </c>
      <c r="B3761" t="s">
        <v>3655</v>
      </c>
      <c r="C3761">
        <v>121</v>
      </c>
      <c r="D3761" t="str">
        <f>"278"</f>
        <v>278</v>
      </c>
    </row>
    <row r="3762" spans="1:5" x14ac:dyDescent="0.25">
      <c r="A3762" t="str">
        <f>"838274873"</f>
        <v>838274873</v>
      </c>
      <c r="B3762" t="s">
        <v>3656</v>
      </c>
      <c r="C3762">
        <v>10.6</v>
      </c>
      <c r="D3762" t="str">
        <f>"272"</f>
        <v>272</v>
      </c>
    </row>
    <row r="3763" spans="1:5" x14ac:dyDescent="0.25">
      <c r="A3763" t="str">
        <f>"838274874"</f>
        <v>838274874</v>
      </c>
      <c r="B3763" t="s">
        <v>3657</v>
      </c>
      <c r="C3763" s="1">
        <v>1158.7</v>
      </c>
      <c r="D3763" t="str">
        <f>"272"</f>
        <v>272</v>
      </c>
      <c r="E3763" t="str">
        <f>"C1751"</f>
        <v>C1751</v>
      </c>
    </row>
    <row r="3764" spans="1:5" x14ac:dyDescent="0.25">
      <c r="A3764" t="str">
        <f>"838274885"</f>
        <v>838274885</v>
      </c>
      <c r="B3764" t="s">
        <v>3658</v>
      </c>
      <c r="C3764">
        <v>604.47</v>
      </c>
      <c r="D3764" t="str">
        <f>"278"</f>
        <v>278</v>
      </c>
      <c r="E3764" t="str">
        <f>"C1750"</f>
        <v>C1750</v>
      </c>
    </row>
    <row r="3765" spans="1:5" x14ac:dyDescent="0.25">
      <c r="A3765" t="str">
        <f>"838274887"</f>
        <v>838274887</v>
      </c>
      <c r="B3765" t="s">
        <v>3659</v>
      </c>
      <c r="C3765">
        <v>121</v>
      </c>
      <c r="D3765" t="str">
        <f>"272"</f>
        <v>272</v>
      </c>
    </row>
    <row r="3766" spans="1:5" x14ac:dyDescent="0.25">
      <c r="A3766" t="str">
        <f>"838274888"</f>
        <v>838274888</v>
      </c>
      <c r="B3766" t="s">
        <v>3660</v>
      </c>
      <c r="C3766" s="1">
        <v>1940.4</v>
      </c>
      <c r="D3766" t="str">
        <f>"278"</f>
        <v>278</v>
      </c>
    </row>
    <row r="3767" spans="1:5" x14ac:dyDescent="0.25">
      <c r="A3767" t="str">
        <f>"838274925"</f>
        <v>838274925</v>
      </c>
      <c r="B3767" t="s">
        <v>3661</v>
      </c>
      <c r="C3767">
        <v>66</v>
      </c>
      <c r="D3767" t="str">
        <f>"272"</f>
        <v>272</v>
      </c>
    </row>
    <row r="3768" spans="1:5" x14ac:dyDescent="0.25">
      <c r="A3768" t="str">
        <f>"838275039"</f>
        <v>838275039</v>
      </c>
      <c r="B3768" t="s">
        <v>3662</v>
      </c>
      <c r="C3768">
        <v>17.600000000000001</v>
      </c>
      <c r="D3768" t="str">
        <f>"272"</f>
        <v>272</v>
      </c>
    </row>
    <row r="3769" spans="1:5" x14ac:dyDescent="0.25">
      <c r="A3769" t="str">
        <f>"838275045"</f>
        <v>838275045</v>
      </c>
      <c r="B3769" t="s">
        <v>3663</v>
      </c>
      <c r="C3769">
        <v>808.5</v>
      </c>
      <c r="D3769" t="str">
        <f>"278"</f>
        <v>278</v>
      </c>
    </row>
    <row r="3770" spans="1:5" x14ac:dyDescent="0.25">
      <c r="A3770" t="str">
        <f>"838275808"</f>
        <v>838275808</v>
      </c>
      <c r="B3770" t="s">
        <v>3664</v>
      </c>
      <c r="C3770" s="1">
        <v>2750</v>
      </c>
      <c r="D3770" t="str">
        <f>"272"</f>
        <v>272</v>
      </c>
    </row>
    <row r="3771" spans="1:5" x14ac:dyDescent="0.25">
      <c r="A3771" t="str">
        <f>"838276000"</f>
        <v>838276000</v>
      </c>
      <c r="B3771" t="s">
        <v>3665</v>
      </c>
      <c r="C3771" s="1">
        <v>13200</v>
      </c>
      <c r="D3771" t="str">
        <f>"278"</f>
        <v>278</v>
      </c>
    </row>
    <row r="3772" spans="1:5" x14ac:dyDescent="0.25">
      <c r="A3772" t="str">
        <f>"838276001"</f>
        <v>838276001</v>
      </c>
      <c r="B3772" t="s">
        <v>3666</v>
      </c>
      <c r="C3772" s="1">
        <v>13200</v>
      </c>
      <c r="D3772" t="str">
        <f>"278"</f>
        <v>278</v>
      </c>
    </row>
    <row r="3773" spans="1:5" x14ac:dyDescent="0.25">
      <c r="A3773" t="str">
        <f>"838276002"</f>
        <v>838276002</v>
      </c>
      <c r="B3773" t="s">
        <v>3667</v>
      </c>
      <c r="C3773" s="1">
        <v>5940</v>
      </c>
      <c r="D3773" t="str">
        <f>"278"</f>
        <v>278</v>
      </c>
    </row>
    <row r="3774" spans="1:5" x14ac:dyDescent="0.25">
      <c r="A3774" t="str">
        <f>"838278000"</f>
        <v>838278000</v>
      </c>
      <c r="B3774" t="s">
        <v>3668</v>
      </c>
      <c r="C3774">
        <v>779.63</v>
      </c>
      <c r="D3774" t="str">
        <f>"278"</f>
        <v>278</v>
      </c>
      <c r="E3774" t="str">
        <f>"C1713"</f>
        <v>C1713</v>
      </c>
    </row>
    <row r="3775" spans="1:5" x14ac:dyDescent="0.25">
      <c r="A3775" t="str">
        <f>"838278001"</f>
        <v>838278001</v>
      </c>
      <c r="B3775" t="s">
        <v>3669</v>
      </c>
      <c r="C3775" s="1">
        <v>5392.41</v>
      </c>
      <c r="D3775" t="str">
        <f>"278"</f>
        <v>278</v>
      </c>
      <c r="E3775" t="str">
        <f>"C1880"</f>
        <v>C1880</v>
      </c>
    </row>
    <row r="3776" spans="1:5" x14ac:dyDescent="0.25">
      <c r="A3776" t="str">
        <f>"838278002"</f>
        <v>838278002</v>
      </c>
      <c r="B3776" t="s">
        <v>3670</v>
      </c>
      <c r="C3776" s="1">
        <v>1143.45</v>
      </c>
      <c r="D3776" t="str">
        <f>"272"</f>
        <v>272</v>
      </c>
    </row>
    <row r="3777" spans="1:5" x14ac:dyDescent="0.25">
      <c r="A3777" t="str">
        <f>"838278003"</f>
        <v>838278003</v>
      </c>
      <c r="B3777" t="s">
        <v>3671</v>
      </c>
      <c r="C3777" s="1">
        <v>1864.17</v>
      </c>
      <c r="D3777" t="str">
        <f>"250"</f>
        <v>250</v>
      </c>
      <c r="E3777" t="str">
        <f>"C1768"</f>
        <v>C1768</v>
      </c>
    </row>
    <row r="3778" spans="1:5" x14ac:dyDescent="0.25">
      <c r="A3778" t="str">
        <f>"838278004"</f>
        <v>838278004</v>
      </c>
      <c r="B3778" t="s">
        <v>3672</v>
      </c>
      <c r="C3778" s="1">
        <v>17290.349999999999</v>
      </c>
      <c r="D3778" t="str">
        <f>"278"</f>
        <v>278</v>
      </c>
    </row>
    <row r="3779" spans="1:5" x14ac:dyDescent="0.25">
      <c r="A3779" t="str">
        <f>"838278005"</f>
        <v>838278005</v>
      </c>
      <c r="B3779" t="s">
        <v>3673</v>
      </c>
      <c r="C3779">
        <v>921.69</v>
      </c>
      <c r="D3779" t="str">
        <f>"272"</f>
        <v>272</v>
      </c>
    </row>
    <row r="3780" spans="1:5" x14ac:dyDescent="0.25">
      <c r="A3780" t="str">
        <f>"838278006"</f>
        <v>838278006</v>
      </c>
      <c r="B3780" t="s">
        <v>3674</v>
      </c>
      <c r="C3780" s="1">
        <v>15679.13</v>
      </c>
      <c r="D3780" t="str">
        <f>"278"</f>
        <v>278</v>
      </c>
    </row>
    <row r="3781" spans="1:5" x14ac:dyDescent="0.25">
      <c r="A3781" t="str">
        <f>"838278007"</f>
        <v>838278007</v>
      </c>
      <c r="B3781" t="s">
        <v>3675</v>
      </c>
      <c r="C3781" s="1">
        <v>7761.6</v>
      </c>
      <c r="D3781" t="str">
        <f>"278"</f>
        <v>278</v>
      </c>
    </row>
    <row r="3782" spans="1:5" x14ac:dyDescent="0.25">
      <c r="A3782" t="str">
        <f>"838278008"</f>
        <v>838278008</v>
      </c>
      <c r="B3782" t="s">
        <v>3676</v>
      </c>
      <c r="C3782" s="1">
        <v>4158</v>
      </c>
      <c r="D3782" t="str">
        <f>"301"</f>
        <v>301</v>
      </c>
      <c r="E3782" t="str">
        <f>"C1713"</f>
        <v>C1713</v>
      </c>
    </row>
    <row r="3783" spans="1:5" x14ac:dyDescent="0.25">
      <c r="A3783" t="str">
        <f>"838278009"</f>
        <v>838278009</v>
      </c>
      <c r="B3783" t="s">
        <v>3677</v>
      </c>
      <c r="C3783" s="1">
        <v>1178.0999999999999</v>
      </c>
      <c r="D3783" t="str">
        <f t="shared" ref="D3783:D3795" si="157">"278"</f>
        <v>278</v>
      </c>
      <c r="E3783" t="str">
        <f>"C1713"</f>
        <v>C1713</v>
      </c>
    </row>
    <row r="3784" spans="1:5" x14ac:dyDescent="0.25">
      <c r="A3784" t="str">
        <f>"838278010"</f>
        <v>838278010</v>
      </c>
      <c r="B3784" t="s">
        <v>3678</v>
      </c>
      <c r="C3784" s="1">
        <v>7796.25</v>
      </c>
      <c r="D3784" t="str">
        <f t="shared" si="157"/>
        <v>278</v>
      </c>
      <c r="E3784" t="str">
        <f>"C1778"</f>
        <v>C1778</v>
      </c>
    </row>
    <row r="3785" spans="1:5" x14ac:dyDescent="0.25">
      <c r="A3785" t="str">
        <f>"838278012"</f>
        <v>838278012</v>
      </c>
      <c r="B3785" t="s">
        <v>3679</v>
      </c>
      <c r="C3785">
        <v>477.86</v>
      </c>
      <c r="D3785" t="str">
        <f t="shared" si="157"/>
        <v>278</v>
      </c>
      <c r="E3785" t="str">
        <f>"C1713"</f>
        <v>C1713</v>
      </c>
    </row>
    <row r="3786" spans="1:5" x14ac:dyDescent="0.25">
      <c r="A3786" t="str">
        <f>"838278013"</f>
        <v>838278013</v>
      </c>
      <c r="B3786" t="s">
        <v>3680</v>
      </c>
      <c r="C3786" s="1">
        <v>28374.89</v>
      </c>
      <c r="D3786" t="str">
        <f t="shared" si="157"/>
        <v>278</v>
      </c>
      <c r="E3786" t="str">
        <f>"C1776"</f>
        <v>C1776</v>
      </c>
    </row>
    <row r="3787" spans="1:5" x14ac:dyDescent="0.25">
      <c r="A3787" t="str">
        <f>"838278014"</f>
        <v>838278014</v>
      </c>
      <c r="B3787" t="s">
        <v>3681</v>
      </c>
      <c r="C3787" s="1">
        <v>4061.53</v>
      </c>
      <c r="D3787" t="str">
        <f t="shared" si="157"/>
        <v>278</v>
      </c>
      <c r="E3787" t="str">
        <f>"C1713"</f>
        <v>C1713</v>
      </c>
    </row>
    <row r="3788" spans="1:5" x14ac:dyDescent="0.25">
      <c r="A3788" t="str">
        <f>"838278015"</f>
        <v>838278015</v>
      </c>
      <c r="B3788" t="s">
        <v>3682</v>
      </c>
      <c r="C3788" s="1">
        <v>1334.03</v>
      </c>
      <c r="D3788" t="str">
        <f t="shared" si="157"/>
        <v>278</v>
      </c>
    </row>
    <row r="3789" spans="1:5" x14ac:dyDescent="0.25">
      <c r="A3789" t="str">
        <f>"838278016"</f>
        <v>838278016</v>
      </c>
      <c r="B3789" t="s">
        <v>3683</v>
      </c>
      <c r="C3789" s="1">
        <v>2432.4299999999998</v>
      </c>
      <c r="D3789" t="str">
        <f t="shared" si="157"/>
        <v>278</v>
      </c>
    </row>
    <row r="3790" spans="1:5" x14ac:dyDescent="0.25">
      <c r="A3790" t="str">
        <f>"838278017"</f>
        <v>838278017</v>
      </c>
      <c r="B3790" t="s">
        <v>3684</v>
      </c>
      <c r="C3790">
        <v>900.9</v>
      </c>
      <c r="D3790" t="str">
        <f t="shared" si="157"/>
        <v>278</v>
      </c>
      <c r="E3790" t="str">
        <f>"C1713"</f>
        <v>C1713</v>
      </c>
    </row>
    <row r="3791" spans="1:5" x14ac:dyDescent="0.25">
      <c r="A3791" t="str">
        <f>"838278018"</f>
        <v>838278018</v>
      </c>
      <c r="B3791" t="s">
        <v>3685</v>
      </c>
      <c r="C3791">
        <v>900.9</v>
      </c>
      <c r="D3791" t="str">
        <f t="shared" si="157"/>
        <v>278</v>
      </c>
      <c r="E3791" t="str">
        <f>"C1713"</f>
        <v>C1713</v>
      </c>
    </row>
    <row r="3792" spans="1:5" x14ac:dyDescent="0.25">
      <c r="A3792" t="str">
        <f>"838278019"</f>
        <v>838278019</v>
      </c>
      <c r="B3792" t="s">
        <v>3686</v>
      </c>
      <c r="C3792" s="1">
        <v>1074.1500000000001</v>
      </c>
      <c r="D3792" t="str">
        <f t="shared" si="157"/>
        <v>278</v>
      </c>
      <c r="E3792" t="str">
        <f>"C1713"</f>
        <v>C1713</v>
      </c>
    </row>
    <row r="3793" spans="1:5" x14ac:dyDescent="0.25">
      <c r="A3793" t="str">
        <f>"838278020"</f>
        <v>838278020</v>
      </c>
      <c r="B3793" t="s">
        <v>3687</v>
      </c>
      <c r="C3793" s="1">
        <v>11417.18</v>
      </c>
      <c r="D3793" t="str">
        <f t="shared" si="157"/>
        <v>278</v>
      </c>
      <c r="E3793" t="str">
        <f>"C1776"</f>
        <v>C1776</v>
      </c>
    </row>
    <row r="3794" spans="1:5" x14ac:dyDescent="0.25">
      <c r="A3794" t="str">
        <f>"838278021"</f>
        <v>838278021</v>
      </c>
      <c r="B3794" t="s">
        <v>3688</v>
      </c>
      <c r="C3794" s="1">
        <v>2252.25</v>
      </c>
      <c r="D3794" t="str">
        <f t="shared" si="157"/>
        <v>278</v>
      </c>
    </row>
    <row r="3795" spans="1:5" x14ac:dyDescent="0.25">
      <c r="A3795" t="str">
        <f>"838278022"</f>
        <v>838278022</v>
      </c>
      <c r="B3795" t="s">
        <v>3689</v>
      </c>
      <c r="C3795" s="1">
        <v>1559.25</v>
      </c>
      <c r="D3795" t="str">
        <f t="shared" si="157"/>
        <v>278</v>
      </c>
      <c r="E3795" t="str">
        <f>"C1713"</f>
        <v>C1713</v>
      </c>
    </row>
    <row r="3796" spans="1:5" x14ac:dyDescent="0.25">
      <c r="A3796" t="str">
        <f>"838278023"</f>
        <v>838278023</v>
      </c>
      <c r="B3796" t="s">
        <v>3690</v>
      </c>
      <c r="C3796">
        <v>779.63</v>
      </c>
      <c r="D3796" t="str">
        <f>"309"</f>
        <v>309</v>
      </c>
      <c r="E3796" t="str">
        <f>"C1713"</f>
        <v>C1713</v>
      </c>
    </row>
    <row r="3797" spans="1:5" x14ac:dyDescent="0.25">
      <c r="A3797" t="str">
        <f>"838278024"</f>
        <v>838278024</v>
      </c>
      <c r="B3797" t="s">
        <v>3691</v>
      </c>
      <c r="C3797">
        <v>779.63</v>
      </c>
      <c r="D3797" t="str">
        <f>"309"</f>
        <v>309</v>
      </c>
      <c r="E3797" t="str">
        <f>"C1713"</f>
        <v>C1713</v>
      </c>
    </row>
    <row r="3798" spans="1:5" x14ac:dyDescent="0.25">
      <c r="A3798" t="str">
        <f>"838278025"</f>
        <v>838278025</v>
      </c>
      <c r="B3798" t="s">
        <v>3692</v>
      </c>
      <c r="C3798">
        <v>807.25</v>
      </c>
      <c r="D3798" t="str">
        <f>"278"</f>
        <v>278</v>
      </c>
    </row>
    <row r="3799" spans="1:5" x14ac:dyDescent="0.25">
      <c r="A3799" t="str">
        <f>"838278026"</f>
        <v>838278026</v>
      </c>
      <c r="B3799" t="s">
        <v>3693</v>
      </c>
      <c r="C3799" s="1">
        <v>1902.29</v>
      </c>
      <c r="D3799" t="str">
        <f>"278"</f>
        <v>278</v>
      </c>
    </row>
    <row r="3800" spans="1:5" x14ac:dyDescent="0.25">
      <c r="A3800" t="str">
        <f>"838278027"</f>
        <v>838278027</v>
      </c>
      <c r="B3800" t="s">
        <v>3694</v>
      </c>
      <c r="C3800">
        <v>155.93</v>
      </c>
      <c r="D3800" t="str">
        <f>"272"</f>
        <v>272</v>
      </c>
    </row>
    <row r="3801" spans="1:5" x14ac:dyDescent="0.25">
      <c r="A3801" t="str">
        <f>"838278028"</f>
        <v>838278028</v>
      </c>
      <c r="B3801" t="s">
        <v>3695</v>
      </c>
      <c r="C3801" s="1">
        <v>1230.08</v>
      </c>
      <c r="D3801" t="str">
        <f>"278"</f>
        <v>278</v>
      </c>
      <c r="E3801" t="str">
        <f>"C1713"</f>
        <v>C1713</v>
      </c>
    </row>
    <row r="3802" spans="1:5" x14ac:dyDescent="0.25">
      <c r="A3802" t="str">
        <f>"838278029"</f>
        <v>838278029</v>
      </c>
      <c r="B3802" t="s">
        <v>3696</v>
      </c>
      <c r="C3802" s="1">
        <v>2061.6799999999998</v>
      </c>
      <c r="D3802" t="str">
        <f>"278"</f>
        <v>278</v>
      </c>
      <c r="E3802" t="str">
        <f>"C1713"</f>
        <v>C1713</v>
      </c>
    </row>
    <row r="3803" spans="1:5" x14ac:dyDescent="0.25">
      <c r="A3803" t="str">
        <f>"838278030"</f>
        <v>838278030</v>
      </c>
      <c r="B3803" t="s">
        <v>3697</v>
      </c>
      <c r="C3803">
        <v>139.38</v>
      </c>
      <c r="D3803" t="str">
        <f>"278"</f>
        <v>278</v>
      </c>
    </row>
    <row r="3804" spans="1:5" x14ac:dyDescent="0.25">
      <c r="A3804" t="str">
        <f>"838278031"</f>
        <v>838278031</v>
      </c>
      <c r="B3804" t="s">
        <v>3698</v>
      </c>
      <c r="C3804">
        <v>394.55</v>
      </c>
      <c r="D3804" t="str">
        <f>"278"</f>
        <v>278</v>
      </c>
      <c r="E3804" t="str">
        <f>"C1713"</f>
        <v>C1713</v>
      </c>
    </row>
    <row r="3805" spans="1:5" x14ac:dyDescent="0.25">
      <c r="A3805" t="str">
        <f>"838278032"</f>
        <v>838278032</v>
      </c>
      <c r="B3805" t="s">
        <v>3699</v>
      </c>
      <c r="C3805">
        <v>328.25</v>
      </c>
      <c r="D3805" t="str">
        <f>"278"</f>
        <v>278</v>
      </c>
    </row>
    <row r="3806" spans="1:5" x14ac:dyDescent="0.25">
      <c r="A3806" t="str">
        <f>"838278033"</f>
        <v>838278033</v>
      </c>
      <c r="B3806" t="s">
        <v>3700</v>
      </c>
      <c r="C3806">
        <v>29.76</v>
      </c>
      <c r="D3806" t="str">
        <f>"306"</f>
        <v>306</v>
      </c>
      <c r="E3806" t="str">
        <f>"C1713"</f>
        <v>C1713</v>
      </c>
    </row>
    <row r="3807" spans="1:5" x14ac:dyDescent="0.25">
      <c r="A3807" t="str">
        <f>"838278035"</f>
        <v>838278035</v>
      </c>
      <c r="B3807" t="s">
        <v>3701</v>
      </c>
      <c r="C3807">
        <v>67.03</v>
      </c>
      <c r="D3807" t="str">
        <f>"250"</f>
        <v>250</v>
      </c>
      <c r="E3807" t="str">
        <f>"C1713"</f>
        <v>C1713</v>
      </c>
    </row>
    <row r="3808" spans="1:5" x14ac:dyDescent="0.25">
      <c r="A3808" t="str">
        <f>"838278036"</f>
        <v>838278036</v>
      </c>
      <c r="B3808" t="s">
        <v>3702</v>
      </c>
      <c r="C3808" s="1">
        <v>1293.5999999999999</v>
      </c>
      <c r="D3808" t="str">
        <f>"278"</f>
        <v>278</v>
      </c>
      <c r="E3808" t="str">
        <f>"C1713"</f>
        <v>C1713</v>
      </c>
    </row>
    <row r="3809" spans="1:5" x14ac:dyDescent="0.25">
      <c r="A3809" t="str">
        <f>"838278037"</f>
        <v>838278037</v>
      </c>
      <c r="B3809" t="s">
        <v>2083</v>
      </c>
      <c r="C3809" s="1">
        <v>1262.31</v>
      </c>
      <c r="D3809" t="str">
        <f t="shared" ref="D3809:D3815" si="158">"272"</f>
        <v>272</v>
      </c>
    </row>
    <row r="3810" spans="1:5" x14ac:dyDescent="0.25">
      <c r="A3810" t="str">
        <f>"838278038"</f>
        <v>838278038</v>
      </c>
      <c r="B3810" t="s">
        <v>3703</v>
      </c>
      <c r="C3810" s="1">
        <v>1005.54</v>
      </c>
      <c r="D3810" t="str">
        <f t="shared" si="158"/>
        <v>272</v>
      </c>
    </row>
    <row r="3811" spans="1:5" x14ac:dyDescent="0.25">
      <c r="A3811" t="str">
        <f>"838278039"</f>
        <v>838278039</v>
      </c>
      <c r="B3811" t="s">
        <v>497</v>
      </c>
      <c r="C3811" s="1">
        <v>1321.21</v>
      </c>
      <c r="D3811" t="str">
        <f t="shared" si="158"/>
        <v>272</v>
      </c>
    </row>
    <row r="3812" spans="1:5" x14ac:dyDescent="0.25">
      <c r="A3812" t="str">
        <f>"838278040"</f>
        <v>838278040</v>
      </c>
      <c r="B3812" t="s">
        <v>3704</v>
      </c>
      <c r="C3812" s="1">
        <v>1061.68</v>
      </c>
      <c r="D3812" t="str">
        <f t="shared" si="158"/>
        <v>272</v>
      </c>
    </row>
    <row r="3813" spans="1:5" x14ac:dyDescent="0.25">
      <c r="A3813" t="str">
        <f>"838278041"</f>
        <v>838278041</v>
      </c>
      <c r="B3813" t="s">
        <v>3705</v>
      </c>
      <c r="C3813">
        <v>306.31</v>
      </c>
      <c r="D3813" t="str">
        <f t="shared" si="158"/>
        <v>272</v>
      </c>
    </row>
    <row r="3814" spans="1:5" x14ac:dyDescent="0.25">
      <c r="A3814" t="str">
        <f>"838278042"</f>
        <v>838278042</v>
      </c>
      <c r="B3814" t="s">
        <v>3706</v>
      </c>
      <c r="C3814">
        <v>344.42</v>
      </c>
      <c r="D3814" t="str">
        <f t="shared" si="158"/>
        <v>272</v>
      </c>
    </row>
    <row r="3815" spans="1:5" x14ac:dyDescent="0.25">
      <c r="A3815" t="str">
        <f>"838278043"</f>
        <v>838278043</v>
      </c>
      <c r="B3815" t="s">
        <v>2742</v>
      </c>
      <c r="C3815" s="1">
        <v>3169.78</v>
      </c>
      <c r="D3815" t="str">
        <f t="shared" si="158"/>
        <v>272</v>
      </c>
    </row>
    <row r="3816" spans="1:5" x14ac:dyDescent="0.25">
      <c r="A3816" t="str">
        <f>"838278044"</f>
        <v>838278044</v>
      </c>
      <c r="B3816" t="s">
        <v>3707</v>
      </c>
      <c r="C3816" s="1">
        <v>3808.04</v>
      </c>
      <c r="D3816" t="str">
        <f>"278"</f>
        <v>278</v>
      </c>
    </row>
    <row r="3817" spans="1:5" x14ac:dyDescent="0.25">
      <c r="A3817" t="str">
        <f>"838278045"</f>
        <v>838278045</v>
      </c>
      <c r="B3817" t="s">
        <v>500</v>
      </c>
      <c r="C3817">
        <v>195.43</v>
      </c>
      <c r="D3817" t="str">
        <f>"272"</f>
        <v>272</v>
      </c>
    </row>
    <row r="3818" spans="1:5" x14ac:dyDescent="0.25">
      <c r="A3818" t="str">
        <f>"838278046"</f>
        <v>838278046</v>
      </c>
      <c r="B3818" t="s">
        <v>3708</v>
      </c>
      <c r="C3818" s="1">
        <v>3808.04</v>
      </c>
      <c r="D3818" t="str">
        <f t="shared" ref="D3818:D3825" si="159">"278"</f>
        <v>278</v>
      </c>
    </row>
    <row r="3819" spans="1:5" x14ac:dyDescent="0.25">
      <c r="A3819" t="str">
        <f>"838278047"</f>
        <v>838278047</v>
      </c>
      <c r="B3819" t="s">
        <v>3709</v>
      </c>
      <c r="C3819" s="1">
        <v>45045</v>
      </c>
      <c r="D3819" t="str">
        <f t="shared" si="159"/>
        <v>278</v>
      </c>
      <c r="E3819" t="str">
        <f>"C1776"</f>
        <v>C1776</v>
      </c>
    </row>
    <row r="3820" spans="1:5" x14ac:dyDescent="0.25">
      <c r="A3820" t="str">
        <f>"838278048"</f>
        <v>838278048</v>
      </c>
      <c r="B3820" t="s">
        <v>3710</v>
      </c>
      <c r="C3820">
        <v>242.55</v>
      </c>
      <c r="D3820" t="str">
        <f t="shared" si="159"/>
        <v>278</v>
      </c>
      <c r="E3820" t="str">
        <f>"C2625"</f>
        <v>C2625</v>
      </c>
    </row>
    <row r="3821" spans="1:5" x14ac:dyDescent="0.25">
      <c r="A3821" t="str">
        <f>"838278049"</f>
        <v>838278049</v>
      </c>
      <c r="B3821" t="s">
        <v>3711</v>
      </c>
      <c r="C3821">
        <v>242.55</v>
      </c>
      <c r="D3821" t="str">
        <f t="shared" si="159"/>
        <v>278</v>
      </c>
      <c r="E3821" t="str">
        <f>"C2625"</f>
        <v>C2625</v>
      </c>
    </row>
    <row r="3822" spans="1:5" x14ac:dyDescent="0.25">
      <c r="A3822" t="str">
        <f>"838278050"</f>
        <v>838278050</v>
      </c>
      <c r="B3822" t="s">
        <v>3712</v>
      </c>
      <c r="C3822">
        <v>155.93</v>
      </c>
      <c r="D3822" t="str">
        <f t="shared" si="159"/>
        <v>278</v>
      </c>
    </row>
    <row r="3823" spans="1:5" x14ac:dyDescent="0.25">
      <c r="A3823" t="str">
        <f>"838278051"</f>
        <v>838278051</v>
      </c>
      <c r="B3823" t="s">
        <v>3713</v>
      </c>
      <c r="C3823" s="1">
        <v>3984.75</v>
      </c>
      <c r="D3823" t="str">
        <f t="shared" si="159"/>
        <v>278</v>
      </c>
    </row>
    <row r="3824" spans="1:5" x14ac:dyDescent="0.25">
      <c r="A3824" t="str">
        <f>"838278052"</f>
        <v>838278052</v>
      </c>
      <c r="B3824" t="s">
        <v>3714</v>
      </c>
      <c r="C3824" s="1">
        <v>5682.6</v>
      </c>
      <c r="D3824" t="str">
        <f t="shared" si="159"/>
        <v>278</v>
      </c>
      <c r="E3824" t="str">
        <f>"C1776"</f>
        <v>C1776</v>
      </c>
    </row>
    <row r="3825" spans="1:5" x14ac:dyDescent="0.25">
      <c r="A3825" t="str">
        <f>"838278053"</f>
        <v>838278053</v>
      </c>
      <c r="B3825" t="s">
        <v>3715</v>
      </c>
      <c r="C3825" s="1">
        <v>6704.78</v>
      </c>
      <c r="D3825" t="str">
        <f t="shared" si="159"/>
        <v>278</v>
      </c>
      <c r="E3825" t="str">
        <f>"C1776"</f>
        <v>C1776</v>
      </c>
    </row>
    <row r="3826" spans="1:5" x14ac:dyDescent="0.25">
      <c r="A3826" t="str">
        <f>"838278054"</f>
        <v>838278054</v>
      </c>
      <c r="B3826" t="s">
        <v>3716</v>
      </c>
      <c r="C3826">
        <v>790.02</v>
      </c>
      <c r="D3826" t="str">
        <f>"272"</f>
        <v>272</v>
      </c>
      <c r="E3826" t="str">
        <f>"C1713"</f>
        <v>C1713</v>
      </c>
    </row>
    <row r="3827" spans="1:5" x14ac:dyDescent="0.25">
      <c r="A3827" t="str">
        <f>"838278055"</f>
        <v>838278055</v>
      </c>
      <c r="B3827" t="s">
        <v>3717</v>
      </c>
      <c r="C3827">
        <v>790.02</v>
      </c>
      <c r="D3827" t="str">
        <f>"301"</f>
        <v>301</v>
      </c>
      <c r="E3827" t="str">
        <f>"C1713"</f>
        <v>C1713</v>
      </c>
    </row>
    <row r="3828" spans="1:5" x14ac:dyDescent="0.25">
      <c r="A3828" t="str">
        <f>"838278056"</f>
        <v>838278056</v>
      </c>
      <c r="B3828" t="s">
        <v>3718</v>
      </c>
      <c r="C3828">
        <v>790.02</v>
      </c>
      <c r="D3828" t="str">
        <f>"272"</f>
        <v>272</v>
      </c>
      <c r="E3828" t="str">
        <f>"C1713"</f>
        <v>C1713</v>
      </c>
    </row>
    <row r="3829" spans="1:5" x14ac:dyDescent="0.25">
      <c r="A3829" t="str">
        <f>"838278057"</f>
        <v>838278057</v>
      </c>
      <c r="B3829" t="s">
        <v>3719</v>
      </c>
      <c r="C3829">
        <v>81.430000000000007</v>
      </c>
      <c r="D3829" t="str">
        <f t="shared" ref="D3829:D3835" si="160">"278"</f>
        <v>278</v>
      </c>
      <c r="E3829" t="str">
        <f>"C1713"</f>
        <v>C1713</v>
      </c>
    </row>
    <row r="3830" spans="1:5" x14ac:dyDescent="0.25">
      <c r="A3830" t="str">
        <f>"838278058"</f>
        <v>838278058</v>
      </c>
      <c r="B3830" t="s">
        <v>3720</v>
      </c>
      <c r="C3830" s="1">
        <v>1368.68</v>
      </c>
      <c r="D3830" t="str">
        <f t="shared" si="160"/>
        <v>278</v>
      </c>
      <c r="E3830" t="str">
        <f>"C1750"</f>
        <v>C1750</v>
      </c>
    </row>
    <row r="3831" spans="1:5" x14ac:dyDescent="0.25">
      <c r="A3831" t="str">
        <f>"838278059"</f>
        <v>838278059</v>
      </c>
      <c r="B3831" t="s">
        <v>3721</v>
      </c>
      <c r="C3831">
        <v>987.53</v>
      </c>
      <c r="D3831" t="str">
        <f t="shared" si="160"/>
        <v>278</v>
      </c>
      <c r="E3831" t="str">
        <f>"C1713"</f>
        <v>C1713</v>
      </c>
    </row>
    <row r="3832" spans="1:5" x14ac:dyDescent="0.25">
      <c r="A3832" t="str">
        <f>"838278060"</f>
        <v>838278060</v>
      </c>
      <c r="B3832" t="s">
        <v>3722</v>
      </c>
      <c r="C3832" s="1">
        <v>13496.18</v>
      </c>
      <c r="D3832" t="str">
        <f t="shared" si="160"/>
        <v>278</v>
      </c>
    </row>
    <row r="3833" spans="1:5" x14ac:dyDescent="0.25">
      <c r="A3833" t="str">
        <f>"838278061"</f>
        <v>838278061</v>
      </c>
      <c r="B3833" t="s">
        <v>3723</v>
      </c>
      <c r="C3833" s="1">
        <v>9684.68</v>
      </c>
      <c r="D3833" t="str">
        <f t="shared" si="160"/>
        <v>278</v>
      </c>
    </row>
    <row r="3834" spans="1:5" x14ac:dyDescent="0.25">
      <c r="A3834" t="str">
        <f>"838278062"</f>
        <v>838278062</v>
      </c>
      <c r="B3834" t="s">
        <v>3724</v>
      </c>
      <c r="C3834" s="1">
        <v>1559.25</v>
      </c>
      <c r="D3834" t="str">
        <f t="shared" si="160"/>
        <v>278</v>
      </c>
      <c r="E3834" t="str">
        <f>"C1713"</f>
        <v>C1713</v>
      </c>
    </row>
    <row r="3835" spans="1:5" x14ac:dyDescent="0.25">
      <c r="A3835" t="str">
        <f>"838278063"</f>
        <v>838278063</v>
      </c>
      <c r="B3835" t="s">
        <v>3725</v>
      </c>
      <c r="C3835" s="1">
        <v>1559.25</v>
      </c>
      <c r="D3835" t="str">
        <f t="shared" si="160"/>
        <v>278</v>
      </c>
      <c r="E3835" t="str">
        <f>"C1713"</f>
        <v>C1713</v>
      </c>
    </row>
    <row r="3836" spans="1:5" x14ac:dyDescent="0.25">
      <c r="A3836" t="str">
        <f>"838278064"</f>
        <v>838278064</v>
      </c>
      <c r="B3836" t="s">
        <v>3726</v>
      </c>
      <c r="C3836">
        <v>205.03</v>
      </c>
      <c r="D3836" t="str">
        <f>"270"</f>
        <v>270</v>
      </c>
    </row>
    <row r="3837" spans="1:5" x14ac:dyDescent="0.25">
      <c r="A3837" t="str">
        <f>"838278065"</f>
        <v>838278065</v>
      </c>
      <c r="B3837" t="s">
        <v>3727</v>
      </c>
      <c r="C3837" s="1">
        <v>1368.68</v>
      </c>
      <c r="D3837" t="str">
        <f>"278"</f>
        <v>278</v>
      </c>
      <c r="E3837" t="str">
        <f>"C1750"</f>
        <v>C1750</v>
      </c>
    </row>
    <row r="3838" spans="1:5" x14ac:dyDescent="0.25">
      <c r="A3838" t="str">
        <f>"838278066"</f>
        <v>838278066</v>
      </c>
      <c r="B3838" t="s">
        <v>3728</v>
      </c>
      <c r="C3838">
        <v>436.59</v>
      </c>
      <c r="D3838" t="str">
        <f>"272"</f>
        <v>272</v>
      </c>
      <c r="E3838" t="str">
        <f>"C1751"</f>
        <v>C1751</v>
      </c>
    </row>
    <row r="3839" spans="1:5" x14ac:dyDescent="0.25">
      <c r="A3839" t="str">
        <f>"838278067"</f>
        <v>838278067</v>
      </c>
      <c r="B3839" t="s">
        <v>3729</v>
      </c>
      <c r="C3839">
        <v>436.59</v>
      </c>
      <c r="D3839" t="str">
        <f>"272"</f>
        <v>272</v>
      </c>
      <c r="E3839" t="str">
        <f>"C1751"</f>
        <v>C1751</v>
      </c>
    </row>
    <row r="3840" spans="1:5" x14ac:dyDescent="0.25">
      <c r="A3840" t="str">
        <f>"838278068"</f>
        <v>838278068</v>
      </c>
      <c r="B3840" t="s">
        <v>3730</v>
      </c>
      <c r="C3840" s="1">
        <v>1264.73</v>
      </c>
      <c r="D3840" t="str">
        <f>"278"</f>
        <v>278</v>
      </c>
      <c r="E3840" t="str">
        <f>"C1750"</f>
        <v>C1750</v>
      </c>
    </row>
    <row r="3841" spans="1:5" x14ac:dyDescent="0.25">
      <c r="A3841" t="str">
        <f>"838278069"</f>
        <v>838278069</v>
      </c>
      <c r="B3841" t="s">
        <v>3731</v>
      </c>
      <c r="C3841" s="1">
        <v>1902.29</v>
      </c>
      <c r="D3841" t="str">
        <f>"278"</f>
        <v>278</v>
      </c>
      <c r="E3841" t="str">
        <f>"C1768"</f>
        <v>C1768</v>
      </c>
    </row>
    <row r="3842" spans="1:5" x14ac:dyDescent="0.25">
      <c r="A3842" t="str">
        <f>"838278070"</f>
        <v>838278070</v>
      </c>
      <c r="B3842" t="s">
        <v>3732</v>
      </c>
      <c r="C3842" s="1">
        <v>1902.29</v>
      </c>
      <c r="D3842" t="str">
        <f>"278"</f>
        <v>278</v>
      </c>
      <c r="E3842" t="str">
        <f>"C1768"</f>
        <v>C1768</v>
      </c>
    </row>
    <row r="3843" spans="1:5" x14ac:dyDescent="0.25">
      <c r="A3843" t="str">
        <f>"838278071"</f>
        <v>838278071</v>
      </c>
      <c r="B3843" t="s">
        <v>3733</v>
      </c>
      <c r="C3843" s="1">
        <v>1902.29</v>
      </c>
      <c r="D3843" t="str">
        <f>"278"</f>
        <v>278</v>
      </c>
      <c r="E3843" t="str">
        <f>"C1768"</f>
        <v>C1768</v>
      </c>
    </row>
    <row r="3844" spans="1:5" x14ac:dyDescent="0.25">
      <c r="A3844" t="str">
        <f>"838278072"</f>
        <v>838278072</v>
      </c>
      <c r="B3844" t="s">
        <v>3734</v>
      </c>
      <c r="C3844">
        <v>292.3</v>
      </c>
      <c r="D3844" t="str">
        <f>"278"</f>
        <v>278</v>
      </c>
      <c r="E3844" t="str">
        <f>"C1750"</f>
        <v>C1750</v>
      </c>
    </row>
    <row r="3845" spans="1:5" x14ac:dyDescent="0.25">
      <c r="A3845" t="str">
        <f>"838278073"</f>
        <v>838278073</v>
      </c>
      <c r="B3845" t="s">
        <v>3735</v>
      </c>
      <c r="C3845">
        <v>623.70000000000005</v>
      </c>
      <c r="D3845" t="str">
        <f>"250"</f>
        <v>250</v>
      </c>
    </row>
    <row r="3846" spans="1:5" x14ac:dyDescent="0.25">
      <c r="A3846" t="str">
        <f>"838278074"</f>
        <v>838278074</v>
      </c>
      <c r="B3846" t="s">
        <v>3736</v>
      </c>
      <c r="C3846" s="1">
        <v>4327.79</v>
      </c>
      <c r="D3846" t="str">
        <f>"278"</f>
        <v>278</v>
      </c>
      <c r="E3846" t="str">
        <f>"C1880"</f>
        <v>C1880</v>
      </c>
    </row>
    <row r="3847" spans="1:5" x14ac:dyDescent="0.25">
      <c r="A3847" t="str">
        <f>"838278075"</f>
        <v>838278075</v>
      </c>
      <c r="B3847" t="s">
        <v>3737</v>
      </c>
      <c r="C3847">
        <v>433.13</v>
      </c>
      <c r="D3847" t="str">
        <f>"278"</f>
        <v>278</v>
      </c>
      <c r="E3847" t="str">
        <f>"C1880"</f>
        <v>C1880</v>
      </c>
    </row>
    <row r="3848" spans="1:5" x14ac:dyDescent="0.25">
      <c r="A3848" t="str">
        <f>"838278076"</f>
        <v>838278076</v>
      </c>
      <c r="B3848" t="s">
        <v>3738</v>
      </c>
      <c r="C3848" s="1">
        <v>2553.71</v>
      </c>
      <c r="D3848" t="str">
        <f>"278"</f>
        <v>278</v>
      </c>
      <c r="E3848" t="str">
        <f>"C1788"</f>
        <v>C1788</v>
      </c>
    </row>
    <row r="3849" spans="1:5" x14ac:dyDescent="0.25">
      <c r="A3849" t="str">
        <f>"838278077"</f>
        <v>838278077</v>
      </c>
      <c r="B3849" t="s">
        <v>3739</v>
      </c>
      <c r="C3849">
        <v>973.67</v>
      </c>
      <c r="D3849" t="str">
        <f>"272"</f>
        <v>272</v>
      </c>
      <c r="E3849" t="str">
        <f>"C1751"</f>
        <v>C1751</v>
      </c>
    </row>
    <row r="3850" spans="1:5" x14ac:dyDescent="0.25">
      <c r="A3850" t="str">
        <f>"838278078"</f>
        <v>838278078</v>
      </c>
      <c r="B3850" t="s">
        <v>3740</v>
      </c>
      <c r="C3850" s="1">
        <v>1472.63</v>
      </c>
      <c r="D3850" t="str">
        <f>"278"</f>
        <v>278</v>
      </c>
    </row>
    <row r="3851" spans="1:5" x14ac:dyDescent="0.25">
      <c r="A3851" t="str">
        <f>"838278079"</f>
        <v>838278079</v>
      </c>
      <c r="B3851" t="s">
        <v>3741</v>
      </c>
      <c r="C3851" s="1">
        <v>6566.18</v>
      </c>
      <c r="D3851" t="str">
        <f>"278"</f>
        <v>278</v>
      </c>
    </row>
    <row r="3852" spans="1:5" x14ac:dyDescent="0.25">
      <c r="A3852" t="str">
        <f>"838278080"</f>
        <v>838278080</v>
      </c>
      <c r="B3852" t="s">
        <v>3742</v>
      </c>
      <c r="C3852">
        <v>129.94</v>
      </c>
      <c r="D3852" t="str">
        <f>"278"</f>
        <v>278</v>
      </c>
    </row>
    <row r="3853" spans="1:5" x14ac:dyDescent="0.25">
      <c r="A3853" t="str">
        <f>"838278081"</f>
        <v>838278081</v>
      </c>
      <c r="B3853" t="s">
        <v>3743</v>
      </c>
      <c r="C3853">
        <v>971.36</v>
      </c>
      <c r="D3853" t="str">
        <f>"278"</f>
        <v>278</v>
      </c>
      <c r="E3853" t="str">
        <f t="shared" ref="E3853:E3859" si="161">"C1768"</f>
        <v>C1768</v>
      </c>
    </row>
    <row r="3854" spans="1:5" x14ac:dyDescent="0.25">
      <c r="A3854" t="str">
        <f>"838278082"</f>
        <v>838278082</v>
      </c>
      <c r="B3854" t="s">
        <v>3744</v>
      </c>
      <c r="C3854">
        <v>971.36</v>
      </c>
      <c r="D3854" t="str">
        <f>"250"</f>
        <v>250</v>
      </c>
      <c r="E3854" t="str">
        <f t="shared" si="161"/>
        <v>C1768</v>
      </c>
    </row>
    <row r="3855" spans="1:5" x14ac:dyDescent="0.25">
      <c r="A3855" t="str">
        <f>"838278083"</f>
        <v>838278083</v>
      </c>
      <c r="B3855" t="s">
        <v>3745</v>
      </c>
      <c r="C3855" s="1">
        <v>1864.17</v>
      </c>
      <c r="D3855" t="str">
        <f t="shared" ref="D3855:D3860" si="162">"278"</f>
        <v>278</v>
      </c>
      <c r="E3855" t="str">
        <f t="shared" si="161"/>
        <v>C1768</v>
      </c>
    </row>
    <row r="3856" spans="1:5" x14ac:dyDescent="0.25">
      <c r="A3856" t="str">
        <f>"838278084"</f>
        <v>838278084</v>
      </c>
      <c r="B3856" t="s">
        <v>3746</v>
      </c>
      <c r="C3856" s="1">
        <v>2051.2800000000002</v>
      </c>
      <c r="D3856" t="str">
        <f t="shared" si="162"/>
        <v>278</v>
      </c>
      <c r="E3856" t="str">
        <f t="shared" si="161"/>
        <v>C1768</v>
      </c>
    </row>
    <row r="3857" spans="1:5" x14ac:dyDescent="0.25">
      <c r="A3857" t="str">
        <f>"838278085"</f>
        <v>838278085</v>
      </c>
      <c r="B3857" t="s">
        <v>3747</v>
      </c>
      <c r="C3857" s="1">
        <v>3548.16</v>
      </c>
      <c r="D3857" t="str">
        <f t="shared" si="162"/>
        <v>278</v>
      </c>
      <c r="E3857" t="str">
        <f t="shared" si="161"/>
        <v>C1768</v>
      </c>
    </row>
    <row r="3858" spans="1:5" x14ac:dyDescent="0.25">
      <c r="A3858" t="str">
        <f>"838278086"</f>
        <v>838278086</v>
      </c>
      <c r="B3858" t="s">
        <v>3748</v>
      </c>
      <c r="C3858" s="1">
        <v>2491.34</v>
      </c>
      <c r="D3858" t="str">
        <f t="shared" si="162"/>
        <v>278</v>
      </c>
      <c r="E3858" t="str">
        <f t="shared" si="161"/>
        <v>C1768</v>
      </c>
    </row>
    <row r="3859" spans="1:5" x14ac:dyDescent="0.25">
      <c r="A3859" t="str">
        <f>"838278087"</f>
        <v>838278087</v>
      </c>
      <c r="B3859" t="s">
        <v>3749</v>
      </c>
      <c r="C3859" s="1">
        <v>2491.34</v>
      </c>
      <c r="D3859" t="str">
        <f t="shared" si="162"/>
        <v>278</v>
      </c>
      <c r="E3859" t="str">
        <f t="shared" si="161"/>
        <v>C1768</v>
      </c>
    </row>
    <row r="3860" spans="1:5" x14ac:dyDescent="0.25">
      <c r="A3860" t="str">
        <f>"838278088"</f>
        <v>838278088</v>
      </c>
      <c r="B3860" t="s">
        <v>3750</v>
      </c>
      <c r="C3860">
        <v>129.94</v>
      </c>
      <c r="D3860" t="str">
        <f t="shared" si="162"/>
        <v>278</v>
      </c>
    </row>
    <row r="3861" spans="1:5" x14ac:dyDescent="0.25">
      <c r="A3861" t="str">
        <f>"838278089"</f>
        <v>838278089</v>
      </c>
      <c r="B3861" t="s">
        <v>3751</v>
      </c>
      <c r="C3861" s="1">
        <v>1198.8900000000001</v>
      </c>
      <c r="D3861" t="str">
        <f>"272"</f>
        <v>272</v>
      </c>
      <c r="E3861" t="str">
        <f>"C1751"</f>
        <v>C1751</v>
      </c>
    </row>
    <row r="3862" spans="1:5" x14ac:dyDescent="0.25">
      <c r="A3862" t="str">
        <f>"838278090"</f>
        <v>838278090</v>
      </c>
      <c r="B3862" t="s">
        <v>3752</v>
      </c>
      <c r="C3862" s="1">
        <v>6930</v>
      </c>
      <c r="D3862" t="str">
        <f>"278"</f>
        <v>278</v>
      </c>
    </row>
    <row r="3863" spans="1:5" x14ac:dyDescent="0.25">
      <c r="A3863" t="str">
        <f>"838278091"</f>
        <v>838278091</v>
      </c>
      <c r="B3863" t="s">
        <v>3753</v>
      </c>
      <c r="C3863" s="1">
        <v>3984.75</v>
      </c>
      <c r="D3863" t="str">
        <f>"278"</f>
        <v>278</v>
      </c>
    </row>
    <row r="3864" spans="1:5" x14ac:dyDescent="0.25">
      <c r="A3864" t="str">
        <f>"838278092"</f>
        <v>838278092</v>
      </c>
      <c r="B3864" t="s">
        <v>3754</v>
      </c>
      <c r="C3864">
        <v>164.59</v>
      </c>
      <c r="D3864" t="str">
        <f>"278"</f>
        <v>278</v>
      </c>
    </row>
    <row r="3865" spans="1:5" x14ac:dyDescent="0.25">
      <c r="A3865" t="str">
        <f>"838278093"</f>
        <v>838278093</v>
      </c>
      <c r="B3865" t="s">
        <v>3755</v>
      </c>
      <c r="C3865" s="1">
        <v>6930</v>
      </c>
      <c r="D3865" t="str">
        <f>"301"</f>
        <v>301</v>
      </c>
      <c r="E3865" t="str">
        <f>"C1713"</f>
        <v>C1713</v>
      </c>
    </row>
    <row r="3866" spans="1:5" x14ac:dyDescent="0.25">
      <c r="A3866" t="str">
        <f>"838278094"</f>
        <v>838278094</v>
      </c>
      <c r="B3866" t="s">
        <v>3756</v>
      </c>
      <c r="C3866" s="1">
        <v>6930</v>
      </c>
      <c r="D3866" t="str">
        <f>"250"</f>
        <v>250</v>
      </c>
      <c r="E3866" t="str">
        <f>"C1713"</f>
        <v>C1713</v>
      </c>
    </row>
    <row r="3867" spans="1:5" x14ac:dyDescent="0.25">
      <c r="A3867" t="str">
        <f>"838278095"</f>
        <v>838278095</v>
      </c>
      <c r="B3867" t="s">
        <v>3757</v>
      </c>
      <c r="C3867" s="1">
        <v>1282.05</v>
      </c>
      <c r="D3867" t="str">
        <f>"278"</f>
        <v>278</v>
      </c>
    </row>
    <row r="3868" spans="1:5" x14ac:dyDescent="0.25">
      <c r="A3868" t="str">
        <f>"838278096"</f>
        <v>838278096</v>
      </c>
      <c r="B3868" t="s">
        <v>3758</v>
      </c>
      <c r="C3868" s="1">
        <v>3291.75</v>
      </c>
      <c r="D3868" t="str">
        <f>"272"</f>
        <v>272</v>
      </c>
    </row>
    <row r="3869" spans="1:5" x14ac:dyDescent="0.25">
      <c r="A3869" t="str">
        <f>"838278097"</f>
        <v>838278097</v>
      </c>
      <c r="B3869" t="s">
        <v>3759</v>
      </c>
      <c r="C3869" s="1">
        <v>4435.2</v>
      </c>
      <c r="D3869" t="str">
        <f t="shared" ref="D3869:D3876" si="163">"278"</f>
        <v>278</v>
      </c>
    </row>
    <row r="3870" spans="1:5" x14ac:dyDescent="0.25">
      <c r="A3870" t="str">
        <f>"838278098"</f>
        <v>838278098</v>
      </c>
      <c r="B3870" t="s">
        <v>3760</v>
      </c>
      <c r="C3870" s="1">
        <v>23354.1</v>
      </c>
      <c r="D3870" t="str">
        <f t="shared" si="163"/>
        <v>278</v>
      </c>
      <c r="E3870" t="str">
        <f>"C1776"</f>
        <v>C1776</v>
      </c>
    </row>
    <row r="3871" spans="1:5" x14ac:dyDescent="0.25">
      <c r="A3871" t="str">
        <f>"838278099"</f>
        <v>838278099</v>
      </c>
      <c r="B3871" t="s">
        <v>3761</v>
      </c>
      <c r="C3871" s="1">
        <v>5363.82</v>
      </c>
      <c r="D3871" t="str">
        <f t="shared" si="163"/>
        <v>278</v>
      </c>
      <c r="E3871" t="str">
        <f>"C1776"</f>
        <v>C1776</v>
      </c>
    </row>
    <row r="3872" spans="1:5" x14ac:dyDescent="0.25">
      <c r="A3872" t="str">
        <f>"838278100"</f>
        <v>838278100</v>
      </c>
      <c r="B3872" t="s">
        <v>3762</v>
      </c>
      <c r="C3872">
        <v>220</v>
      </c>
      <c r="D3872" t="str">
        <f t="shared" si="163"/>
        <v>278</v>
      </c>
    </row>
    <row r="3873" spans="1:5" x14ac:dyDescent="0.25">
      <c r="A3873" t="str">
        <f>"838278101"</f>
        <v>838278101</v>
      </c>
      <c r="B3873" t="s">
        <v>3763</v>
      </c>
      <c r="C3873" s="1">
        <v>1670.13</v>
      </c>
      <c r="D3873" t="str">
        <f t="shared" si="163"/>
        <v>278</v>
      </c>
      <c r="E3873" t="str">
        <f>"C1781"</f>
        <v>C1781</v>
      </c>
    </row>
    <row r="3874" spans="1:5" x14ac:dyDescent="0.25">
      <c r="A3874" t="str">
        <f>"838278102"</f>
        <v>838278102</v>
      </c>
      <c r="B3874" t="s">
        <v>3764</v>
      </c>
      <c r="C3874" s="1">
        <v>22227.98</v>
      </c>
      <c r="D3874" t="str">
        <f t="shared" si="163"/>
        <v>278</v>
      </c>
      <c r="E3874" t="str">
        <f>"C1776"</f>
        <v>C1776</v>
      </c>
    </row>
    <row r="3875" spans="1:5" x14ac:dyDescent="0.25">
      <c r="A3875" t="str">
        <f>"838278103"</f>
        <v>838278103</v>
      </c>
      <c r="B3875" t="s">
        <v>3765</v>
      </c>
      <c r="C3875" s="1">
        <v>4913.37</v>
      </c>
      <c r="D3875" t="str">
        <f t="shared" si="163"/>
        <v>278</v>
      </c>
      <c r="E3875" t="str">
        <f>"C1776"</f>
        <v>C1776</v>
      </c>
    </row>
    <row r="3876" spans="1:5" x14ac:dyDescent="0.25">
      <c r="A3876" t="str">
        <f>"838278104"</f>
        <v>838278104</v>
      </c>
      <c r="B3876" t="s">
        <v>2827</v>
      </c>
      <c r="C3876" s="1">
        <v>3465</v>
      </c>
      <c r="D3876" t="str">
        <f t="shared" si="163"/>
        <v>278</v>
      </c>
    </row>
    <row r="3877" spans="1:5" x14ac:dyDescent="0.25">
      <c r="A3877" t="str">
        <f>"838278105"</f>
        <v>838278105</v>
      </c>
      <c r="B3877" t="s">
        <v>3766</v>
      </c>
      <c r="C3877" s="1">
        <v>1069.6500000000001</v>
      </c>
      <c r="D3877" t="str">
        <f>"272"</f>
        <v>272</v>
      </c>
    </row>
    <row r="3878" spans="1:5" x14ac:dyDescent="0.25">
      <c r="A3878" t="str">
        <f>"838278106"</f>
        <v>838278106</v>
      </c>
      <c r="B3878" t="s">
        <v>503</v>
      </c>
      <c r="C3878">
        <v>918.23</v>
      </c>
      <c r="D3878" t="str">
        <f>"272"</f>
        <v>272</v>
      </c>
    </row>
    <row r="3879" spans="1:5" x14ac:dyDescent="0.25">
      <c r="A3879" t="str">
        <f>"838278107"</f>
        <v>838278107</v>
      </c>
      <c r="B3879" t="s">
        <v>3767</v>
      </c>
      <c r="C3879">
        <v>696.47</v>
      </c>
      <c r="D3879" t="str">
        <f t="shared" ref="D3879:D3886" si="164">"278"</f>
        <v>278</v>
      </c>
    </row>
    <row r="3880" spans="1:5" x14ac:dyDescent="0.25">
      <c r="A3880" t="str">
        <f>"838278108"</f>
        <v>838278108</v>
      </c>
      <c r="B3880" t="s">
        <v>3768</v>
      </c>
      <c r="C3880" s="1">
        <v>1521.14</v>
      </c>
      <c r="D3880" t="str">
        <f t="shared" si="164"/>
        <v>278</v>
      </c>
      <c r="E3880" t="str">
        <f>"C1713"</f>
        <v>C1713</v>
      </c>
    </row>
    <row r="3881" spans="1:5" x14ac:dyDescent="0.25">
      <c r="A3881" t="str">
        <f>"838278109"</f>
        <v>838278109</v>
      </c>
      <c r="B3881" t="s">
        <v>3769</v>
      </c>
      <c r="C3881">
        <v>325.70999999999998</v>
      </c>
      <c r="D3881" t="str">
        <f t="shared" si="164"/>
        <v>278</v>
      </c>
      <c r="E3881" t="str">
        <f>"C1713"</f>
        <v>C1713</v>
      </c>
    </row>
    <row r="3882" spans="1:5" x14ac:dyDescent="0.25">
      <c r="A3882" t="str">
        <f>"838278110"</f>
        <v>838278110</v>
      </c>
      <c r="B3882" t="s">
        <v>3770</v>
      </c>
      <c r="C3882" s="1">
        <v>3151.42</v>
      </c>
      <c r="D3882" t="str">
        <f t="shared" si="164"/>
        <v>278</v>
      </c>
      <c r="E3882" t="str">
        <f>"C1776"</f>
        <v>C1776</v>
      </c>
    </row>
    <row r="3883" spans="1:5" x14ac:dyDescent="0.25">
      <c r="A3883" t="str">
        <f>"838278111"</f>
        <v>838278111</v>
      </c>
      <c r="B3883" t="s">
        <v>3771</v>
      </c>
      <c r="C3883">
        <v>419.27</v>
      </c>
      <c r="D3883" t="str">
        <f t="shared" si="164"/>
        <v>278</v>
      </c>
    </row>
    <row r="3884" spans="1:5" x14ac:dyDescent="0.25">
      <c r="A3884" t="str">
        <f>"838278112"</f>
        <v>838278112</v>
      </c>
      <c r="B3884" t="s">
        <v>3772</v>
      </c>
      <c r="C3884" s="1">
        <v>7884.44</v>
      </c>
      <c r="D3884" t="str">
        <f t="shared" si="164"/>
        <v>278</v>
      </c>
      <c r="E3884" t="str">
        <f>"C1776"</f>
        <v>C1776</v>
      </c>
    </row>
    <row r="3885" spans="1:5" x14ac:dyDescent="0.25">
      <c r="A3885" t="str">
        <f>"838278113"</f>
        <v>838278113</v>
      </c>
      <c r="B3885" t="s">
        <v>3773</v>
      </c>
      <c r="C3885" s="1">
        <v>19297.36</v>
      </c>
      <c r="D3885" t="str">
        <f t="shared" si="164"/>
        <v>278</v>
      </c>
      <c r="E3885" t="str">
        <f>"C1776"</f>
        <v>C1776</v>
      </c>
    </row>
    <row r="3886" spans="1:5" x14ac:dyDescent="0.25">
      <c r="A3886" t="str">
        <f>"838278114"</f>
        <v>838278114</v>
      </c>
      <c r="B3886" t="s">
        <v>3774</v>
      </c>
      <c r="C3886">
        <v>367.29</v>
      </c>
      <c r="D3886" t="str">
        <f t="shared" si="164"/>
        <v>278</v>
      </c>
    </row>
    <row r="3887" spans="1:5" x14ac:dyDescent="0.25">
      <c r="A3887" t="str">
        <f>"838278115"</f>
        <v>838278115</v>
      </c>
      <c r="B3887" t="s">
        <v>3775</v>
      </c>
      <c r="C3887" s="1">
        <v>1319.92</v>
      </c>
      <c r="D3887" t="str">
        <f>"272"</f>
        <v>272</v>
      </c>
    </row>
    <row r="3888" spans="1:5" x14ac:dyDescent="0.25">
      <c r="A3888" t="str">
        <f>"838278116"</f>
        <v>838278116</v>
      </c>
      <c r="B3888" t="s">
        <v>3776</v>
      </c>
      <c r="C3888" s="1">
        <v>11411.4</v>
      </c>
      <c r="D3888" t="str">
        <f>"278"</f>
        <v>278</v>
      </c>
    </row>
    <row r="3889" spans="1:5" x14ac:dyDescent="0.25">
      <c r="A3889" t="str">
        <f>"838278117"</f>
        <v>838278117</v>
      </c>
      <c r="B3889" t="s">
        <v>3777</v>
      </c>
      <c r="C3889" s="1">
        <v>8068.83</v>
      </c>
      <c r="D3889" t="str">
        <f>"278"</f>
        <v>278</v>
      </c>
    </row>
    <row r="3890" spans="1:5" x14ac:dyDescent="0.25">
      <c r="A3890" t="str">
        <f>"838278118"</f>
        <v>838278118</v>
      </c>
      <c r="B3890" t="s">
        <v>3778</v>
      </c>
      <c r="C3890" s="1">
        <v>1292.45</v>
      </c>
      <c r="D3890" t="str">
        <f>"309"</f>
        <v>309</v>
      </c>
      <c r="E3890" t="str">
        <f t="shared" ref="E3890:E3895" si="165">"C1713"</f>
        <v>C1713</v>
      </c>
    </row>
    <row r="3891" spans="1:5" x14ac:dyDescent="0.25">
      <c r="A3891" t="str">
        <f>"838278119"</f>
        <v>838278119</v>
      </c>
      <c r="B3891" t="s">
        <v>3779</v>
      </c>
      <c r="C3891">
        <v>76.23</v>
      </c>
      <c r="D3891" t="str">
        <f>"272"</f>
        <v>272</v>
      </c>
      <c r="E3891" t="str">
        <f t="shared" si="165"/>
        <v>C1713</v>
      </c>
    </row>
    <row r="3892" spans="1:5" x14ac:dyDescent="0.25">
      <c r="A3892" t="str">
        <f>"838278120"</f>
        <v>838278120</v>
      </c>
      <c r="B3892" t="s">
        <v>3780</v>
      </c>
      <c r="C3892">
        <v>419.27</v>
      </c>
      <c r="D3892" t="str">
        <f>"272"</f>
        <v>272</v>
      </c>
      <c r="E3892" t="str">
        <f t="shared" si="165"/>
        <v>C1713</v>
      </c>
    </row>
    <row r="3893" spans="1:5" x14ac:dyDescent="0.25">
      <c r="A3893" t="str">
        <f>"838278121"</f>
        <v>838278121</v>
      </c>
      <c r="B3893" t="s">
        <v>3781</v>
      </c>
      <c r="C3893">
        <v>419.27</v>
      </c>
      <c r="D3893" t="str">
        <f>"270"</f>
        <v>270</v>
      </c>
      <c r="E3893" t="str">
        <f t="shared" si="165"/>
        <v>C1713</v>
      </c>
    </row>
    <row r="3894" spans="1:5" x14ac:dyDescent="0.25">
      <c r="A3894" t="str">
        <f>"838278122"</f>
        <v>838278122</v>
      </c>
      <c r="B3894" t="s">
        <v>3782</v>
      </c>
      <c r="C3894">
        <v>419.27</v>
      </c>
      <c r="D3894" t="str">
        <f>"270"</f>
        <v>270</v>
      </c>
      <c r="E3894" t="str">
        <f t="shared" si="165"/>
        <v>C1713</v>
      </c>
    </row>
    <row r="3895" spans="1:5" x14ac:dyDescent="0.25">
      <c r="A3895" t="str">
        <f>"838278123"</f>
        <v>838278123</v>
      </c>
      <c r="B3895" t="s">
        <v>3783</v>
      </c>
      <c r="C3895" s="1">
        <v>1295.9100000000001</v>
      </c>
      <c r="D3895" t="str">
        <f>"305"</f>
        <v>305</v>
      </c>
      <c r="E3895" t="str">
        <f t="shared" si="165"/>
        <v>C1713</v>
      </c>
    </row>
    <row r="3896" spans="1:5" x14ac:dyDescent="0.25">
      <c r="A3896" t="str">
        <f>"838278124"</f>
        <v>838278124</v>
      </c>
      <c r="B3896" t="s">
        <v>3784</v>
      </c>
      <c r="C3896">
        <v>776.16</v>
      </c>
      <c r="D3896" t="str">
        <f>"272"</f>
        <v>272</v>
      </c>
    </row>
    <row r="3897" spans="1:5" x14ac:dyDescent="0.25">
      <c r="A3897" t="str">
        <f>"838278125"</f>
        <v>838278125</v>
      </c>
      <c r="B3897" t="s">
        <v>3785</v>
      </c>
      <c r="C3897" s="1">
        <v>1992.38</v>
      </c>
      <c r="D3897" t="str">
        <f>"278"</f>
        <v>278</v>
      </c>
    </row>
    <row r="3898" spans="1:5" x14ac:dyDescent="0.25">
      <c r="A3898" t="str">
        <f>"838278126"</f>
        <v>838278126</v>
      </c>
      <c r="B3898" t="s">
        <v>3786</v>
      </c>
      <c r="C3898" s="1">
        <v>9182.25</v>
      </c>
      <c r="D3898" t="str">
        <f>"278"</f>
        <v>278</v>
      </c>
    </row>
    <row r="3899" spans="1:5" x14ac:dyDescent="0.25">
      <c r="A3899" t="str">
        <f>"838278127"</f>
        <v>838278127</v>
      </c>
      <c r="B3899" t="s">
        <v>3787</v>
      </c>
      <c r="C3899" s="1">
        <v>3508.32</v>
      </c>
      <c r="D3899" t="str">
        <f>"272"</f>
        <v>272</v>
      </c>
    </row>
    <row r="3900" spans="1:5" x14ac:dyDescent="0.25">
      <c r="A3900" t="str">
        <f>"838278128"</f>
        <v>838278128</v>
      </c>
      <c r="B3900" t="s">
        <v>3788</v>
      </c>
      <c r="C3900" s="1">
        <v>3508.32</v>
      </c>
      <c r="D3900" t="str">
        <f>"272"</f>
        <v>272</v>
      </c>
    </row>
    <row r="3901" spans="1:5" x14ac:dyDescent="0.25">
      <c r="A3901" t="str">
        <f>"838278129"</f>
        <v>838278129</v>
      </c>
      <c r="B3901" t="s">
        <v>3789</v>
      </c>
      <c r="C3901" s="1">
        <v>2398.83</v>
      </c>
      <c r="D3901" t="str">
        <f>"272"</f>
        <v>272</v>
      </c>
    </row>
    <row r="3902" spans="1:5" x14ac:dyDescent="0.25">
      <c r="A3902" t="str">
        <f>"838278130"</f>
        <v>838278130</v>
      </c>
      <c r="B3902" t="s">
        <v>3790</v>
      </c>
      <c r="C3902" s="1">
        <v>1588.13</v>
      </c>
      <c r="D3902" t="str">
        <f t="shared" ref="D3902:D3913" si="166">"278"</f>
        <v>278</v>
      </c>
    </row>
    <row r="3903" spans="1:5" x14ac:dyDescent="0.25">
      <c r="A3903" t="str">
        <f>"838278131"</f>
        <v>838278131</v>
      </c>
      <c r="B3903" t="s">
        <v>3791</v>
      </c>
      <c r="C3903" s="1">
        <v>1588.13</v>
      </c>
      <c r="D3903" t="str">
        <f t="shared" si="166"/>
        <v>278</v>
      </c>
    </row>
    <row r="3904" spans="1:5" x14ac:dyDescent="0.25">
      <c r="A3904" t="str">
        <f>"838278132"</f>
        <v>838278132</v>
      </c>
      <c r="B3904" t="s">
        <v>3792</v>
      </c>
      <c r="C3904" s="1">
        <v>1588.13</v>
      </c>
      <c r="D3904" t="str">
        <f t="shared" si="166"/>
        <v>278</v>
      </c>
    </row>
    <row r="3905" spans="1:5" x14ac:dyDescent="0.25">
      <c r="A3905" t="str">
        <f>"838278133"</f>
        <v>838278133</v>
      </c>
      <c r="B3905" t="s">
        <v>3793</v>
      </c>
      <c r="C3905" s="1">
        <v>1588.13</v>
      </c>
      <c r="D3905" t="str">
        <f t="shared" si="166"/>
        <v>278</v>
      </c>
    </row>
    <row r="3906" spans="1:5" x14ac:dyDescent="0.25">
      <c r="A3906" t="str">
        <f>"838278134"</f>
        <v>838278134</v>
      </c>
      <c r="B3906" t="s">
        <v>3794</v>
      </c>
      <c r="C3906" s="1">
        <v>1588.13</v>
      </c>
      <c r="D3906" t="str">
        <f t="shared" si="166"/>
        <v>278</v>
      </c>
    </row>
    <row r="3907" spans="1:5" x14ac:dyDescent="0.25">
      <c r="A3907" t="str">
        <f>"838278135"</f>
        <v>838278135</v>
      </c>
      <c r="B3907" t="s">
        <v>3795</v>
      </c>
      <c r="C3907">
        <v>317.63</v>
      </c>
      <c r="D3907" t="str">
        <f t="shared" si="166"/>
        <v>278</v>
      </c>
    </row>
    <row r="3908" spans="1:5" x14ac:dyDescent="0.25">
      <c r="A3908" t="str">
        <f>"838278136"</f>
        <v>838278136</v>
      </c>
      <c r="B3908" t="s">
        <v>3796</v>
      </c>
      <c r="C3908" s="1">
        <v>1588.13</v>
      </c>
      <c r="D3908" t="str">
        <f t="shared" si="166"/>
        <v>278</v>
      </c>
    </row>
    <row r="3909" spans="1:5" x14ac:dyDescent="0.25">
      <c r="A3909" t="str">
        <f>"838278137"</f>
        <v>838278137</v>
      </c>
      <c r="B3909" t="s">
        <v>3455</v>
      </c>
      <c r="C3909">
        <v>190.58</v>
      </c>
      <c r="D3909" t="str">
        <f t="shared" si="166"/>
        <v>278</v>
      </c>
    </row>
    <row r="3910" spans="1:5" x14ac:dyDescent="0.25">
      <c r="A3910" t="str">
        <f>"838278138"</f>
        <v>838278138</v>
      </c>
      <c r="B3910" t="s">
        <v>3797</v>
      </c>
      <c r="C3910">
        <v>367.29</v>
      </c>
      <c r="D3910" t="str">
        <f t="shared" si="166"/>
        <v>278</v>
      </c>
    </row>
    <row r="3911" spans="1:5" x14ac:dyDescent="0.25">
      <c r="A3911" t="str">
        <f>"838278139"</f>
        <v>838278139</v>
      </c>
      <c r="B3911" t="s">
        <v>3798</v>
      </c>
      <c r="C3911">
        <v>696.96</v>
      </c>
      <c r="D3911" t="str">
        <f t="shared" si="166"/>
        <v>278</v>
      </c>
    </row>
    <row r="3912" spans="1:5" x14ac:dyDescent="0.25">
      <c r="A3912" t="str">
        <f>"838278140"</f>
        <v>838278140</v>
      </c>
      <c r="B3912" t="s">
        <v>3799</v>
      </c>
      <c r="C3912" s="1">
        <v>11458.76</v>
      </c>
      <c r="D3912" t="str">
        <f t="shared" si="166"/>
        <v>278</v>
      </c>
    </row>
    <row r="3913" spans="1:5" x14ac:dyDescent="0.25">
      <c r="A3913" t="str">
        <f>"838278141"</f>
        <v>838278141</v>
      </c>
      <c r="B3913" t="s">
        <v>3800</v>
      </c>
      <c r="C3913">
        <v>970.2</v>
      </c>
      <c r="D3913" t="str">
        <f t="shared" si="166"/>
        <v>278</v>
      </c>
      <c r="E3913" t="str">
        <f t="shared" ref="E3913:E3919" si="167">"C1713"</f>
        <v>C1713</v>
      </c>
    </row>
    <row r="3914" spans="1:5" x14ac:dyDescent="0.25">
      <c r="A3914" t="str">
        <f>"838278142"</f>
        <v>838278142</v>
      </c>
      <c r="B3914" t="s">
        <v>3801</v>
      </c>
      <c r="C3914">
        <v>66.760000000000005</v>
      </c>
      <c r="D3914" t="str">
        <f>"271"</f>
        <v>271</v>
      </c>
      <c r="E3914" t="str">
        <f t="shared" si="167"/>
        <v>C1713</v>
      </c>
    </row>
    <row r="3915" spans="1:5" x14ac:dyDescent="0.25">
      <c r="A3915" t="str">
        <f>"838278143"</f>
        <v>838278143</v>
      </c>
      <c r="B3915" t="s">
        <v>3802</v>
      </c>
      <c r="C3915">
        <v>66.760000000000005</v>
      </c>
      <c r="D3915" t="str">
        <f>"271"</f>
        <v>271</v>
      </c>
      <c r="E3915" t="str">
        <f t="shared" si="167"/>
        <v>C1713</v>
      </c>
    </row>
    <row r="3916" spans="1:5" x14ac:dyDescent="0.25">
      <c r="A3916" t="str">
        <f>"838278144"</f>
        <v>838278144</v>
      </c>
      <c r="B3916" t="s">
        <v>3803</v>
      </c>
      <c r="C3916">
        <v>66.760000000000005</v>
      </c>
      <c r="D3916" t="str">
        <f>"271"</f>
        <v>271</v>
      </c>
      <c r="E3916" t="str">
        <f t="shared" si="167"/>
        <v>C1713</v>
      </c>
    </row>
    <row r="3917" spans="1:5" x14ac:dyDescent="0.25">
      <c r="A3917" t="str">
        <f>"838278145"</f>
        <v>838278145</v>
      </c>
      <c r="B3917" t="s">
        <v>3804</v>
      </c>
      <c r="C3917">
        <v>66.760000000000005</v>
      </c>
      <c r="D3917" t="str">
        <f>"302"</f>
        <v>302</v>
      </c>
      <c r="E3917" t="str">
        <f t="shared" si="167"/>
        <v>C1713</v>
      </c>
    </row>
    <row r="3918" spans="1:5" x14ac:dyDescent="0.25">
      <c r="A3918" t="str">
        <f>"838278146"</f>
        <v>838278146</v>
      </c>
      <c r="B3918" t="s">
        <v>3805</v>
      </c>
      <c r="C3918">
        <v>72.77</v>
      </c>
      <c r="D3918" t="str">
        <f>"272"</f>
        <v>272</v>
      </c>
      <c r="E3918" t="str">
        <f t="shared" si="167"/>
        <v>C1713</v>
      </c>
    </row>
    <row r="3919" spans="1:5" x14ac:dyDescent="0.25">
      <c r="A3919" t="str">
        <f>"838278147"</f>
        <v>838278147</v>
      </c>
      <c r="B3919" t="s">
        <v>3806</v>
      </c>
      <c r="C3919">
        <v>72.77</v>
      </c>
      <c r="D3919" t="str">
        <f t="shared" ref="D3919:D3931" si="168">"278"</f>
        <v>278</v>
      </c>
      <c r="E3919" t="str">
        <f t="shared" si="167"/>
        <v>C1713</v>
      </c>
    </row>
    <row r="3920" spans="1:5" x14ac:dyDescent="0.25">
      <c r="A3920" t="str">
        <f>"838278148"</f>
        <v>838278148</v>
      </c>
      <c r="B3920" t="s">
        <v>3807</v>
      </c>
      <c r="C3920" s="1">
        <v>2203.7399999999998</v>
      </c>
      <c r="D3920" t="str">
        <f t="shared" si="168"/>
        <v>278</v>
      </c>
    </row>
    <row r="3921" spans="1:5" x14ac:dyDescent="0.25">
      <c r="A3921" t="str">
        <f>"838278149"</f>
        <v>838278149</v>
      </c>
      <c r="B3921" t="s">
        <v>3808</v>
      </c>
      <c r="C3921">
        <v>88.01</v>
      </c>
      <c r="D3921" t="str">
        <f t="shared" si="168"/>
        <v>278</v>
      </c>
    </row>
    <row r="3922" spans="1:5" x14ac:dyDescent="0.25">
      <c r="A3922" t="str">
        <f>"838278150"</f>
        <v>838278150</v>
      </c>
      <c r="B3922" t="s">
        <v>3809</v>
      </c>
      <c r="C3922" s="1">
        <v>1740.82</v>
      </c>
      <c r="D3922" t="str">
        <f t="shared" si="168"/>
        <v>278</v>
      </c>
    </row>
    <row r="3923" spans="1:5" x14ac:dyDescent="0.25">
      <c r="A3923" t="str">
        <f>"838278151"</f>
        <v>838278151</v>
      </c>
      <c r="B3923" t="s">
        <v>3810</v>
      </c>
      <c r="C3923">
        <v>76.92</v>
      </c>
      <c r="D3923" t="str">
        <f t="shared" si="168"/>
        <v>278</v>
      </c>
    </row>
    <row r="3924" spans="1:5" x14ac:dyDescent="0.25">
      <c r="A3924" t="str">
        <f>"838278152"</f>
        <v>838278152</v>
      </c>
      <c r="B3924" t="s">
        <v>3811</v>
      </c>
      <c r="C3924">
        <v>73.56</v>
      </c>
      <c r="D3924" t="str">
        <f t="shared" si="168"/>
        <v>278</v>
      </c>
    </row>
    <row r="3925" spans="1:5" x14ac:dyDescent="0.25">
      <c r="A3925" t="str">
        <f>"838278153"</f>
        <v>838278153</v>
      </c>
      <c r="B3925" t="s">
        <v>3812</v>
      </c>
      <c r="C3925" s="1">
        <v>2553.71</v>
      </c>
      <c r="D3925" t="str">
        <f t="shared" si="168"/>
        <v>278</v>
      </c>
      <c r="E3925" t="str">
        <f>"C1788"</f>
        <v>C1788</v>
      </c>
    </row>
    <row r="3926" spans="1:5" x14ac:dyDescent="0.25">
      <c r="A3926" t="str">
        <f>"838278154"</f>
        <v>838278154</v>
      </c>
      <c r="B3926" t="s">
        <v>3813</v>
      </c>
      <c r="C3926" s="1">
        <v>1519.75</v>
      </c>
      <c r="D3926" t="str">
        <f t="shared" si="168"/>
        <v>278</v>
      </c>
      <c r="E3926" t="str">
        <f>"C1750"</f>
        <v>C1750</v>
      </c>
    </row>
    <row r="3927" spans="1:5" x14ac:dyDescent="0.25">
      <c r="A3927" t="str">
        <f>"838278155"</f>
        <v>838278155</v>
      </c>
      <c r="B3927" t="s">
        <v>3814</v>
      </c>
      <c r="C3927" s="1">
        <v>1519.75</v>
      </c>
      <c r="D3927" t="str">
        <f t="shared" si="168"/>
        <v>278</v>
      </c>
      <c r="E3927" t="str">
        <f>"C1750"</f>
        <v>C1750</v>
      </c>
    </row>
    <row r="3928" spans="1:5" x14ac:dyDescent="0.25">
      <c r="A3928" t="str">
        <f>"838278156"</f>
        <v>838278156</v>
      </c>
      <c r="B3928" t="s">
        <v>3815</v>
      </c>
      <c r="C3928" s="1">
        <v>1143.45</v>
      </c>
      <c r="D3928" t="str">
        <f t="shared" si="168"/>
        <v>278</v>
      </c>
      <c r="E3928" t="str">
        <f>"C1713"</f>
        <v>C1713</v>
      </c>
    </row>
    <row r="3929" spans="1:5" x14ac:dyDescent="0.25">
      <c r="A3929" t="str">
        <f>"838278157"</f>
        <v>838278157</v>
      </c>
      <c r="B3929" t="s">
        <v>3816</v>
      </c>
      <c r="C3929" s="1">
        <v>1139.99</v>
      </c>
      <c r="D3929" t="str">
        <f t="shared" si="168"/>
        <v>278</v>
      </c>
      <c r="E3929" t="str">
        <f>"C1713"</f>
        <v>C1713</v>
      </c>
    </row>
    <row r="3930" spans="1:5" x14ac:dyDescent="0.25">
      <c r="A3930" t="str">
        <f>"838278158"</f>
        <v>838278158</v>
      </c>
      <c r="B3930" t="s">
        <v>3817</v>
      </c>
      <c r="C3930" s="1">
        <v>7276.5</v>
      </c>
      <c r="D3930" t="str">
        <f t="shared" si="168"/>
        <v>278</v>
      </c>
    </row>
    <row r="3931" spans="1:5" x14ac:dyDescent="0.25">
      <c r="A3931" t="str">
        <f>"838278159"</f>
        <v>838278159</v>
      </c>
      <c r="B3931" t="s">
        <v>3818</v>
      </c>
      <c r="C3931" s="1">
        <v>8610.5300000000007</v>
      </c>
      <c r="D3931" t="str">
        <f t="shared" si="168"/>
        <v>278</v>
      </c>
      <c r="E3931" t="str">
        <f>"C1713"</f>
        <v>C1713</v>
      </c>
    </row>
    <row r="3932" spans="1:5" x14ac:dyDescent="0.25">
      <c r="A3932" t="str">
        <f>"838278160"</f>
        <v>838278160</v>
      </c>
      <c r="B3932" t="s">
        <v>3819</v>
      </c>
      <c r="C3932" s="1">
        <v>1628.55</v>
      </c>
      <c r="D3932" t="str">
        <f>"272"</f>
        <v>272</v>
      </c>
      <c r="E3932" t="str">
        <f>"C1713"</f>
        <v>C1713</v>
      </c>
    </row>
    <row r="3933" spans="1:5" x14ac:dyDescent="0.25">
      <c r="A3933" t="str">
        <f>"838278161"</f>
        <v>838278161</v>
      </c>
      <c r="B3933" t="s">
        <v>3820</v>
      </c>
      <c r="C3933">
        <v>268.19</v>
      </c>
      <c r="D3933" t="str">
        <f>"306"</f>
        <v>306</v>
      </c>
    </row>
    <row r="3934" spans="1:5" x14ac:dyDescent="0.25">
      <c r="A3934" t="str">
        <f>"838278162"</f>
        <v>838278162</v>
      </c>
      <c r="B3934" t="s">
        <v>3821</v>
      </c>
      <c r="C3934">
        <v>236.14</v>
      </c>
      <c r="D3934" t="str">
        <f>"306"</f>
        <v>306</v>
      </c>
    </row>
    <row r="3935" spans="1:5" x14ac:dyDescent="0.25">
      <c r="A3935" t="str">
        <f>"838278163"</f>
        <v>838278163</v>
      </c>
      <c r="B3935" t="s">
        <v>3822</v>
      </c>
      <c r="C3935">
        <v>349.97</v>
      </c>
      <c r="D3935" t="str">
        <f>"272"</f>
        <v>272</v>
      </c>
    </row>
    <row r="3936" spans="1:5" x14ac:dyDescent="0.25">
      <c r="A3936" t="str">
        <f>"838278164"</f>
        <v>838278164</v>
      </c>
      <c r="B3936" t="s">
        <v>3823</v>
      </c>
      <c r="C3936">
        <v>748.44</v>
      </c>
      <c r="D3936" t="str">
        <f>"301"</f>
        <v>301</v>
      </c>
    </row>
    <row r="3937" spans="1:4" x14ac:dyDescent="0.25">
      <c r="A3937" t="str">
        <f>"838278165"</f>
        <v>838278165</v>
      </c>
      <c r="B3937" t="s">
        <v>3824</v>
      </c>
      <c r="C3937">
        <v>766.92</v>
      </c>
      <c r="D3937" t="str">
        <f>"272"</f>
        <v>272</v>
      </c>
    </row>
    <row r="3938" spans="1:4" x14ac:dyDescent="0.25">
      <c r="A3938" t="str">
        <f>"838278166"</f>
        <v>838278166</v>
      </c>
      <c r="B3938" t="s">
        <v>3825</v>
      </c>
      <c r="C3938" s="1">
        <v>45218.25</v>
      </c>
      <c r="D3938" t="str">
        <f t="shared" ref="D3938:D3957" si="169">"278"</f>
        <v>278</v>
      </c>
    </row>
    <row r="3939" spans="1:4" x14ac:dyDescent="0.25">
      <c r="A3939" t="str">
        <f>"838278167"</f>
        <v>838278167</v>
      </c>
      <c r="B3939" t="s">
        <v>3826</v>
      </c>
      <c r="C3939" s="1">
        <v>45218.25</v>
      </c>
      <c r="D3939" t="str">
        <f t="shared" si="169"/>
        <v>278</v>
      </c>
    </row>
    <row r="3940" spans="1:4" x14ac:dyDescent="0.25">
      <c r="A3940" t="str">
        <f>"838278168"</f>
        <v>838278168</v>
      </c>
      <c r="B3940" t="s">
        <v>3827</v>
      </c>
      <c r="C3940" s="1">
        <v>7737.35</v>
      </c>
      <c r="D3940" t="str">
        <f t="shared" si="169"/>
        <v>278</v>
      </c>
    </row>
    <row r="3941" spans="1:4" x14ac:dyDescent="0.25">
      <c r="A3941" t="str">
        <f>"838278169"</f>
        <v>838278169</v>
      </c>
      <c r="B3941" t="s">
        <v>3828</v>
      </c>
      <c r="C3941" s="1">
        <v>3769.92</v>
      </c>
      <c r="D3941" t="str">
        <f t="shared" si="169"/>
        <v>278</v>
      </c>
    </row>
    <row r="3942" spans="1:4" x14ac:dyDescent="0.25">
      <c r="A3942" t="str">
        <f>"838278170"</f>
        <v>838278170</v>
      </c>
      <c r="B3942" t="s">
        <v>3829</v>
      </c>
      <c r="C3942" s="1">
        <v>3014.55</v>
      </c>
      <c r="D3942" t="str">
        <f t="shared" si="169"/>
        <v>278</v>
      </c>
    </row>
    <row r="3943" spans="1:4" x14ac:dyDescent="0.25">
      <c r="A3943" t="str">
        <f>"838278171"</f>
        <v>838278171</v>
      </c>
      <c r="B3943" t="s">
        <v>3830</v>
      </c>
      <c r="C3943" s="1">
        <v>16029.09</v>
      </c>
      <c r="D3943" t="str">
        <f t="shared" si="169"/>
        <v>278</v>
      </c>
    </row>
    <row r="3944" spans="1:4" x14ac:dyDescent="0.25">
      <c r="A3944" t="str">
        <f>"838278172"</f>
        <v>838278172</v>
      </c>
      <c r="B3944" t="s">
        <v>3831</v>
      </c>
      <c r="C3944" s="1">
        <v>7224.53</v>
      </c>
      <c r="D3944" t="str">
        <f t="shared" si="169"/>
        <v>278</v>
      </c>
    </row>
    <row r="3945" spans="1:4" x14ac:dyDescent="0.25">
      <c r="A3945" t="str">
        <f>"838278173"</f>
        <v>838278173</v>
      </c>
      <c r="B3945" t="s">
        <v>3832</v>
      </c>
      <c r="C3945" s="1">
        <v>4400.55</v>
      </c>
      <c r="D3945" t="str">
        <f t="shared" si="169"/>
        <v>278</v>
      </c>
    </row>
    <row r="3946" spans="1:4" x14ac:dyDescent="0.25">
      <c r="A3946" t="str">
        <f>"838278174"</f>
        <v>838278174</v>
      </c>
      <c r="B3946" t="s">
        <v>3833</v>
      </c>
      <c r="C3946" s="1">
        <v>7224.53</v>
      </c>
      <c r="D3946" t="str">
        <f t="shared" si="169"/>
        <v>278</v>
      </c>
    </row>
    <row r="3947" spans="1:4" x14ac:dyDescent="0.25">
      <c r="A3947" t="str">
        <f>"838278175"</f>
        <v>838278175</v>
      </c>
      <c r="B3947" t="s">
        <v>3834</v>
      </c>
      <c r="C3947" s="1">
        <v>13132.35</v>
      </c>
      <c r="D3947" t="str">
        <f t="shared" si="169"/>
        <v>278</v>
      </c>
    </row>
    <row r="3948" spans="1:4" x14ac:dyDescent="0.25">
      <c r="A3948" t="str">
        <f>"838278176"</f>
        <v>838278176</v>
      </c>
      <c r="B3948" t="s">
        <v>3835</v>
      </c>
      <c r="C3948" s="1">
        <v>5353.43</v>
      </c>
      <c r="D3948" t="str">
        <f t="shared" si="169"/>
        <v>278</v>
      </c>
    </row>
    <row r="3949" spans="1:4" x14ac:dyDescent="0.25">
      <c r="A3949" t="str">
        <f>"838278177"</f>
        <v>838278177</v>
      </c>
      <c r="B3949" t="s">
        <v>3836</v>
      </c>
      <c r="C3949" s="1">
        <v>2057.34</v>
      </c>
      <c r="D3949" t="str">
        <f t="shared" si="169"/>
        <v>278</v>
      </c>
    </row>
    <row r="3950" spans="1:4" x14ac:dyDescent="0.25">
      <c r="A3950" t="str">
        <f>"838278178"</f>
        <v>838278178</v>
      </c>
      <c r="B3950" t="s">
        <v>3837</v>
      </c>
      <c r="C3950" s="1">
        <v>3970.32</v>
      </c>
      <c r="D3950" t="str">
        <f t="shared" si="169"/>
        <v>278</v>
      </c>
    </row>
    <row r="3951" spans="1:4" x14ac:dyDescent="0.25">
      <c r="A3951" t="str">
        <f>"838278179"</f>
        <v>838278179</v>
      </c>
      <c r="B3951" t="s">
        <v>3838</v>
      </c>
      <c r="C3951" s="1">
        <v>5775</v>
      </c>
      <c r="D3951" t="str">
        <f t="shared" si="169"/>
        <v>278</v>
      </c>
    </row>
    <row r="3952" spans="1:4" x14ac:dyDescent="0.25">
      <c r="A3952" t="str">
        <f>"838278180"</f>
        <v>838278180</v>
      </c>
      <c r="B3952" t="s">
        <v>3839</v>
      </c>
      <c r="C3952" s="1">
        <v>1371.57</v>
      </c>
      <c r="D3952" t="str">
        <f t="shared" si="169"/>
        <v>278</v>
      </c>
    </row>
    <row r="3953" spans="1:5" x14ac:dyDescent="0.25">
      <c r="A3953" t="str">
        <f>"838278181"</f>
        <v>838278181</v>
      </c>
      <c r="B3953" t="s">
        <v>3840</v>
      </c>
      <c r="C3953" s="1">
        <v>8954.14</v>
      </c>
      <c r="D3953" t="str">
        <f t="shared" si="169"/>
        <v>278</v>
      </c>
    </row>
    <row r="3954" spans="1:5" x14ac:dyDescent="0.25">
      <c r="A3954" t="str">
        <f>"838278182"</f>
        <v>838278182</v>
      </c>
      <c r="B3954" t="s">
        <v>3841</v>
      </c>
      <c r="C3954" s="1">
        <v>7355.91</v>
      </c>
      <c r="D3954" t="str">
        <f t="shared" si="169"/>
        <v>278</v>
      </c>
      <c r="E3954" t="str">
        <f>"C1821"</f>
        <v>C1821</v>
      </c>
    </row>
    <row r="3955" spans="1:5" x14ac:dyDescent="0.25">
      <c r="A3955" t="str">
        <f>"838278183"</f>
        <v>838278183</v>
      </c>
      <c r="B3955" t="s">
        <v>3842</v>
      </c>
      <c r="C3955" s="1">
        <v>2057.34</v>
      </c>
      <c r="D3955" t="str">
        <f t="shared" si="169"/>
        <v>278</v>
      </c>
    </row>
    <row r="3956" spans="1:5" x14ac:dyDescent="0.25">
      <c r="A3956" t="str">
        <f>"838278184"</f>
        <v>838278184</v>
      </c>
      <c r="B3956" t="s">
        <v>3843</v>
      </c>
      <c r="C3956" s="1">
        <v>4047.01</v>
      </c>
      <c r="D3956" t="str">
        <f t="shared" si="169"/>
        <v>278</v>
      </c>
    </row>
    <row r="3957" spans="1:5" x14ac:dyDescent="0.25">
      <c r="A3957" t="str">
        <f>"838278185"</f>
        <v>838278185</v>
      </c>
      <c r="B3957" t="s">
        <v>3844</v>
      </c>
      <c r="C3957" s="1">
        <v>3505.61</v>
      </c>
      <c r="D3957" t="str">
        <f t="shared" si="169"/>
        <v>278</v>
      </c>
    </row>
    <row r="3958" spans="1:5" x14ac:dyDescent="0.25">
      <c r="A3958" t="str">
        <f>"838278186"</f>
        <v>838278186</v>
      </c>
      <c r="B3958" t="s">
        <v>3845</v>
      </c>
      <c r="C3958">
        <v>572.88</v>
      </c>
      <c r="D3958" t="str">
        <f>"272"</f>
        <v>272</v>
      </c>
      <c r="E3958" t="str">
        <f>"C1725"</f>
        <v>C1725</v>
      </c>
    </row>
    <row r="3959" spans="1:5" x14ac:dyDescent="0.25">
      <c r="A3959" t="str">
        <f>"838278187"</f>
        <v>838278187</v>
      </c>
      <c r="B3959" t="s">
        <v>3846</v>
      </c>
      <c r="C3959">
        <v>67.540000000000006</v>
      </c>
      <c r="D3959" t="str">
        <f>"278"</f>
        <v>278</v>
      </c>
    </row>
    <row r="3960" spans="1:5" x14ac:dyDescent="0.25">
      <c r="A3960" t="str">
        <f>"838278188"</f>
        <v>838278188</v>
      </c>
      <c r="B3960" t="s">
        <v>3847</v>
      </c>
      <c r="C3960">
        <v>39.56</v>
      </c>
      <c r="D3960" t="str">
        <f>"272"</f>
        <v>272</v>
      </c>
    </row>
    <row r="3961" spans="1:5" x14ac:dyDescent="0.25">
      <c r="A3961" t="str">
        <f>"838278189"</f>
        <v>838278189</v>
      </c>
      <c r="B3961" t="s">
        <v>3848</v>
      </c>
      <c r="C3961">
        <v>69.3</v>
      </c>
      <c r="D3961" t="str">
        <f>"278"</f>
        <v>278</v>
      </c>
      <c r="E3961" t="str">
        <f>"C1880"</f>
        <v>C1880</v>
      </c>
    </row>
    <row r="3962" spans="1:5" x14ac:dyDescent="0.25">
      <c r="A3962" t="str">
        <f>"838278190"</f>
        <v>838278190</v>
      </c>
      <c r="B3962" t="s">
        <v>3849</v>
      </c>
      <c r="C3962">
        <v>320.52</v>
      </c>
      <c r="D3962" t="str">
        <f>"278"</f>
        <v>278</v>
      </c>
      <c r="E3962" t="str">
        <f t="shared" ref="E3962:E3971" si="170">"C1713"</f>
        <v>C1713</v>
      </c>
    </row>
    <row r="3963" spans="1:5" x14ac:dyDescent="0.25">
      <c r="A3963" t="str">
        <f>"838278191"</f>
        <v>838278191</v>
      </c>
      <c r="B3963" t="s">
        <v>3850</v>
      </c>
      <c r="C3963">
        <v>59.6</v>
      </c>
      <c r="D3963" t="str">
        <f t="shared" ref="D3963:D3970" si="171">"311"</f>
        <v>311</v>
      </c>
      <c r="E3963" t="str">
        <f t="shared" si="170"/>
        <v>C1713</v>
      </c>
    </row>
    <row r="3964" spans="1:5" x14ac:dyDescent="0.25">
      <c r="A3964" t="str">
        <f>"838278192"</f>
        <v>838278192</v>
      </c>
      <c r="B3964" t="s">
        <v>3851</v>
      </c>
      <c r="C3964">
        <v>59.6</v>
      </c>
      <c r="D3964" t="str">
        <f t="shared" si="171"/>
        <v>311</v>
      </c>
      <c r="E3964" t="str">
        <f t="shared" si="170"/>
        <v>C1713</v>
      </c>
    </row>
    <row r="3965" spans="1:5" x14ac:dyDescent="0.25">
      <c r="A3965" t="str">
        <f>"838278193"</f>
        <v>838278193</v>
      </c>
      <c r="B3965" t="s">
        <v>3852</v>
      </c>
      <c r="C3965">
        <v>78.13</v>
      </c>
      <c r="D3965" t="str">
        <f t="shared" si="171"/>
        <v>311</v>
      </c>
      <c r="E3965" t="str">
        <f t="shared" si="170"/>
        <v>C1713</v>
      </c>
    </row>
    <row r="3966" spans="1:5" x14ac:dyDescent="0.25">
      <c r="A3966" t="str">
        <f>"838278194"</f>
        <v>838278194</v>
      </c>
      <c r="B3966" t="s">
        <v>3853</v>
      </c>
      <c r="C3966">
        <v>78.13</v>
      </c>
      <c r="D3966" t="str">
        <f t="shared" si="171"/>
        <v>311</v>
      </c>
      <c r="E3966" t="str">
        <f t="shared" si="170"/>
        <v>C1713</v>
      </c>
    </row>
    <row r="3967" spans="1:5" x14ac:dyDescent="0.25">
      <c r="A3967" t="str">
        <f>"838278195"</f>
        <v>838278195</v>
      </c>
      <c r="B3967" t="s">
        <v>3854</v>
      </c>
      <c r="C3967">
        <v>78.13</v>
      </c>
      <c r="D3967" t="str">
        <f t="shared" si="171"/>
        <v>311</v>
      </c>
      <c r="E3967" t="str">
        <f t="shared" si="170"/>
        <v>C1713</v>
      </c>
    </row>
    <row r="3968" spans="1:5" x14ac:dyDescent="0.25">
      <c r="A3968" t="str">
        <f>"838278196"</f>
        <v>838278196</v>
      </c>
      <c r="B3968" t="s">
        <v>3855</v>
      </c>
      <c r="C3968">
        <v>78.13</v>
      </c>
      <c r="D3968" t="str">
        <f t="shared" si="171"/>
        <v>311</v>
      </c>
      <c r="E3968" t="str">
        <f t="shared" si="170"/>
        <v>C1713</v>
      </c>
    </row>
    <row r="3969" spans="1:5" x14ac:dyDescent="0.25">
      <c r="A3969" t="str">
        <f>"838278197"</f>
        <v>838278197</v>
      </c>
      <c r="B3969" t="s">
        <v>3856</v>
      </c>
      <c r="C3969">
        <v>78.13</v>
      </c>
      <c r="D3969" t="str">
        <f t="shared" si="171"/>
        <v>311</v>
      </c>
      <c r="E3969" t="str">
        <f t="shared" si="170"/>
        <v>C1713</v>
      </c>
    </row>
    <row r="3970" spans="1:5" x14ac:dyDescent="0.25">
      <c r="A3970" t="str">
        <f>"838278198"</f>
        <v>838278198</v>
      </c>
      <c r="B3970" t="s">
        <v>3857</v>
      </c>
      <c r="C3970">
        <v>78.13</v>
      </c>
      <c r="D3970" t="str">
        <f t="shared" si="171"/>
        <v>311</v>
      </c>
      <c r="E3970" t="str">
        <f t="shared" si="170"/>
        <v>C1713</v>
      </c>
    </row>
    <row r="3971" spans="1:5" x14ac:dyDescent="0.25">
      <c r="A3971" t="str">
        <f>"838278199"</f>
        <v>838278199</v>
      </c>
      <c r="B3971" t="s">
        <v>3858</v>
      </c>
      <c r="C3971">
        <v>229.38</v>
      </c>
      <c r="D3971" t="str">
        <f>"272"</f>
        <v>272</v>
      </c>
      <c r="E3971" t="str">
        <f t="shared" si="170"/>
        <v>C1713</v>
      </c>
    </row>
    <row r="3972" spans="1:5" x14ac:dyDescent="0.25">
      <c r="A3972" t="str">
        <f>"838278200"</f>
        <v>838278200</v>
      </c>
      <c r="B3972" t="s">
        <v>3859</v>
      </c>
      <c r="C3972">
        <v>767.5</v>
      </c>
      <c r="D3972" t="str">
        <f>"278"</f>
        <v>278</v>
      </c>
      <c r="E3972" t="str">
        <f>"C1781"</f>
        <v>C1781</v>
      </c>
    </row>
    <row r="3973" spans="1:5" x14ac:dyDescent="0.25">
      <c r="A3973" t="str">
        <f>"838278201"</f>
        <v>838278201</v>
      </c>
      <c r="B3973" t="s">
        <v>3860</v>
      </c>
      <c r="C3973">
        <v>267.95999999999998</v>
      </c>
      <c r="D3973" t="str">
        <f>"278"</f>
        <v>278</v>
      </c>
      <c r="E3973" t="str">
        <f>"C1781"</f>
        <v>C1781</v>
      </c>
    </row>
    <row r="3974" spans="1:5" x14ac:dyDescent="0.25">
      <c r="A3974" t="str">
        <f>"838278202"</f>
        <v>838278202</v>
      </c>
      <c r="B3974" t="s">
        <v>3861</v>
      </c>
      <c r="C3974">
        <v>219.86</v>
      </c>
      <c r="D3974" t="str">
        <f>"301"</f>
        <v>301</v>
      </c>
      <c r="E3974" t="str">
        <f>"C1713"</f>
        <v>C1713</v>
      </c>
    </row>
    <row r="3975" spans="1:5" x14ac:dyDescent="0.25">
      <c r="A3975" t="str">
        <f>"838278203"</f>
        <v>838278203</v>
      </c>
      <c r="B3975" t="s">
        <v>3862</v>
      </c>
      <c r="C3975">
        <v>918.23</v>
      </c>
      <c r="D3975" t="str">
        <f t="shared" ref="D3975:D3980" si="172">"278"</f>
        <v>278</v>
      </c>
      <c r="E3975" t="str">
        <f>"C1713"</f>
        <v>C1713</v>
      </c>
    </row>
    <row r="3976" spans="1:5" x14ac:dyDescent="0.25">
      <c r="A3976" t="str">
        <f>"838278204"</f>
        <v>838278204</v>
      </c>
      <c r="B3976" t="s">
        <v>3863</v>
      </c>
      <c r="C3976">
        <v>970.2</v>
      </c>
      <c r="D3976" t="str">
        <f t="shared" si="172"/>
        <v>278</v>
      </c>
      <c r="E3976" t="str">
        <f>"C1713"</f>
        <v>C1713</v>
      </c>
    </row>
    <row r="3977" spans="1:5" x14ac:dyDescent="0.25">
      <c r="A3977" t="str">
        <f>"838278205"</f>
        <v>838278205</v>
      </c>
      <c r="B3977" t="s">
        <v>3864</v>
      </c>
      <c r="C3977">
        <v>308.39</v>
      </c>
      <c r="D3977" t="str">
        <f t="shared" si="172"/>
        <v>278</v>
      </c>
      <c r="E3977" t="str">
        <f>"C1713"</f>
        <v>C1713</v>
      </c>
    </row>
    <row r="3978" spans="1:5" x14ac:dyDescent="0.25">
      <c r="A3978" t="str">
        <f>"838278206"</f>
        <v>838278206</v>
      </c>
      <c r="B3978" t="s">
        <v>3865</v>
      </c>
      <c r="C3978">
        <v>95.77</v>
      </c>
      <c r="D3978" t="str">
        <f t="shared" si="172"/>
        <v>278</v>
      </c>
    </row>
    <row r="3979" spans="1:5" x14ac:dyDescent="0.25">
      <c r="A3979" t="str">
        <f>"838278207"</f>
        <v>838278207</v>
      </c>
      <c r="B3979" t="s">
        <v>3866</v>
      </c>
      <c r="C3979" s="1">
        <v>2772</v>
      </c>
      <c r="D3979" t="str">
        <f t="shared" si="172"/>
        <v>278</v>
      </c>
    </row>
    <row r="3980" spans="1:5" x14ac:dyDescent="0.25">
      <c r="A3980" t="str">
        <f>"838278208"</f>
        <v>838278208</v>
      </c>
      <c r="B3980" t="s">
        <v>3867</v>
      </c>
      <c r="C3980" s="1">
        <v>1001.39</v>
      </c>
      <c r="D3980" t="str">
        <f t="shared" si="172"/>
        <v>278</v>
      </c>
      <c r="E3980" t="str">
        <f>"C1713"</f>
        <v>C1713</v>
      </c>
    </row>
    <row r="3981" spans="1:5" x14ac:dyDescent="0.25">
      <c r="A3981" t="str">
        <f>"838278209"</f>
        <v>838278209</v>
      </c>
      <c r="B3981" t="s">
        <v>3868</v>
      </c>
      <c r="C3981">
        <v>672.21</v>
      </c>
      <c r="D3981" t="str">
        <f>"302"</f>
        <v>302</v>
      </c>
      <c r="E3981" t="str">
        <f>"C1713"</f>
        <v>C1713</v>
      </c>
    </row>
    <row r="3982" spans="1:5" x14ac:dyDescent="0.25">
      <c r="A3982" t="str">
        <f>"838278210"</f>
        <v>838278210</v>
      </c>
      <c r="B3982" t="s">
        <v>3869</v>
      </c>
      <c r="C3982" s="1">
        <v>28046.82</v>
      </c>
      <c r="D3982" t="str">
        <f t="shared" ref="D3982:D3995" si="173">"278"</f>
        <v>278</v>
      </c>
    </row>
    <row r="3983" spans="1:5" x14ac:dyDescent="0.25">
      <c r="A3983" t="str">
        <f>"838278211"</f>
        <v>838278211</v>
      </c>
      <c r="B3983" t="s">
        <v>3870</v>
      </c>
      <c r="C3983" s="1">
        <v>11999.3</v>
      </c>
      <c r="D3983" t="str">
        <f t="shared" si="173"/>
        <v>278</v>
      </c>
      <c r="E3983" t="str">
        <f>"C1713"</f>
        <v>C1713</v>
      </c>
    </row>
    <row r="3984" spans="1:5" x14ac:dyDescent="0.25">
      <c r="A3984" t="str">
        <f>"838278212"</f>
        <v>838278212</v>
      </c>
      <c r="B3984" t="s">
        <v>3871</v>
      </c>
      <c r="C3984" s="1">
        <v>4064.45</v>
      </c>
      <c r="D3984" t="str">
        <f t="shared" si="173"/>
        <v>278</v>
      </c>
      <c r="E3984" t="str">
        <f>"C1776"</f>
        <v>C1776</v>
      </c>
    </row>
    <row r="3985" spans="1:5" x14ac:dyDescent="0.25">
      <c r="A3985" t="str">
        <f>"838278213"</f>
        <v>838278213</v>
      </c>
      <c r="B3985" t="s">
        <v>3872</v>
      </c>
      <c r="C3985" s="1">
        <v>4989.6000000000004</v>
      </c>
      <c r="D3985" t="str">
        <f t="shared" si="173"/>
        <v>278</v>
      </c>
      <c r="E3985" t="str">
        <f>"C1776"</f>
        <v>C1776</v>
      </c>
    </row>
    <row r="3986" spans="1:5" x14ac:dyDescent="0.25">
      <c r="A3986" t="str">
        <f>"838278214"</f>
        <v>838278214</v>
      </c>
      <c r="B3986" t="s">
        <v>3873</v>
      </c>
      <c r="C3986" s="1">
        <v>4989.6000000000004</v>
      </c>
      <c r="D3986" t="str">
        <f t="shared" si="173"/>
        <v>278</v>
      </c>
      <c r="E3986" t="str">
        <f>"C1776"</f>
        <v>C1776</v>
      </c>
    </row>
    <row r="3987" spans="1:5" x14ac:dyDescent="0.25">
      <c r="A3987" t="str">
        <f>"838278215"</f>
        <v>838278215</v>
      </c>
      <c r="B3987" t="s">
        <v>3874</v>
      </c>
      <c r="C3987" s="1">
        <v>4937.63</v>
      </c>
      <c r="D3987" t="str">
        <f t="shared" si="173"/>
        <v>278</v>
      </c>
      <c r="E3987" t="str">
        <f>"C1776"</f>
        <v>C1776</v>
      </c>
    </row>
    <row r="3988" spans="1:5" x14ac:dyDescent="0.25">
      <c r="A3988" t="str">
        <f>"838278216"</f>
        <v>838278216</v>
      </c>
      <c r="B3988" t="s">
        <v>3875</v>
      </c>
      <c r="C3988" s="1">
        <v>10062.36</v>
      </c>
      <c r="D3988" t="str">
        <f t="shared" si="173"/>
        <v>278</v>
      </c>
      <c r="E3988" t="str">
        <f>"C1776"</f>
        <v>C1776</v>
      </c>
    </row>
    <row r="3989" spans="1:5" x14ac:dyDescent="0.25">
      <c r="A3989" t="str">
        <f>"838278217"</f>
        <v>838278217</v>
      </c>
      <c r="B3989" t="s">
        <v>3876</v>
      </c>
      <c r="C3989">
        <v>987.73</v>
      </c>
      <c r="D3989" t="str">
        <f t="shared" si="173"/>
        <v>278</v>
      </c>
    </row>
    <row r="3990" spans="1:5" x14ac:dyDescent="0.25">
      <c r="A3990" t="str">
        <f>"838278218"</f>
        <v>838278218</v>
      </c>
      <c r="B3990" t="s">
        <v>3877</v>
      </c>
      <c r="C3990">
        <v>987.53</v>
      </c>
      <c r="D3990" t="str">
        <f t="shared" si="173"/>
        <v>278</v>
      </c>
      <c r="E3990" t="str">
        <f>"C1713"</f>
        <v>C1713</v>
      </c>
    </row>
    <row r="3991" spans="1:5" x14ac:dyDescent="0.25">
      <c r="A3991" t="str">
        <f>"838278219"</f>
        <v>838278219</v>
      </c>
      <c r="B3991" t="s">
        <v>3878</v>
      </c>
      <c r="C3991" s="1">
        <v>1143.45</v>
      </c>
      <c r="D3991" t="str">
        <f t="shared" si="173"/>
        <v>278</v>
      </c>
      <c r="E3991" t="str">
        <f>"C1713"</f>
        <v>C1713</v>
      </c>
    </row>
    <row r="3992" spans="1:5" x14ac:dyDescent="0.25">
      <c r="A3992" t="str">
        <f>"838278220"</f>
        <v>838278220</v>
      </c>
      <c r="B3992" t="s">
        <v>3879</v>
      </c>
      <c r="C3992" s="1">
        <v>18738.72</v>
      </c>
      <c r="D3992" t="str">
        <f t="shared" si="173"/>
        <v>278</v>
      </c>
    </row>
    <row r="3993" spans="1:5" x14ac:dyDescent="0.25">
      <c r="A3993" t="str">
        <f>"838278221"</f>
        <v>838278221</v>
      </c>
      <c r="B3993" t="s">
        <v>3880</v>
      </c>
      <c r="C3993" s="1">
        <v>16954.25</v>
      </c>
      <c r="D3993" t="str">
        <f t="shared" si="173"/>
        <v>278</v>
      </c>
    </row>
    <row r="3994" spans="1:5" x14ac:dyDescent="0.25">
      <c r="A3994" t="str">
        <f>"838278222"</f>
        <v>838278222</v>
      </c>
      <c r="B3994" t="s">
        <v>3881</v>
      </c>
      <c r="C3994" s="1">
        <v>11957.72</v>
      </c>
      <c r="D3994" t="str">
        <f t="shared" si="173"/>
        <v>278</v>
      </c>
    </row>
    <row r="3995" spans="1:5" x14ac:dyDescent="0.25">
      <c r="A3995" t="str">
        <f>"838278223"</f>
        <v>838278223</v>
      </c>
      <c r="B3995" t="s">
        <v>3882</v>
      </c>
      <c r="C3995" s="1">
        <v>3915.45</v>
      </c>
      <c r="D3995" t="str">
        <f t="shared" si="173"/>
        <v>278</v>
      </c>
    </row>
    <row r="3996" spans="1:5" x14ac:dyDescent="0.25">
      <c r="A3996" t="str">
        <f>"838278224"</f>
        <v>838278224</v>
      </c>
      <c r="B3996" t="s">
        <v>3883</v>
      </c>
      <c r="C3996">
        <v>343.04</v>
      </c>
      <c r="D3996" t="str">
        <f>"272"</f>
        <v>272</v>
      </c>
      <c r="E3996" t="str">
        <f t="shared" ref="E3996:E4059" si="174">"C1713"</f>
        <v>C1713</v>
      </c>
    </row>
    <row r="3997" spans="1:5" x14ac:dyDescent="0.25">
      <c r="A3997" t="str">
        <f>"838278225"</f>
        <v>838278225</v>
      </c>
      <c r="B3997" t="s">
        <v>3884</v>
      </c>
      <c r="C3997">
        <v>343.04</v>
      </c>
      <c r="D3997" t="str">
        <f>"301"</f>
        <v>301</v>
      </c>
      <c r="E3997" t="str">
        <f t="shared" si="174"/>
        <v>C1713</v>
      </c>
    </row>
    <row r="3998" spans="1:5" x14ac:dyDescent="0.25">
      <c r="A3998" t="str">
        <f>"838278226"</f>
        <v>838278226</v>
      </c>
      <c r="B3998" t="s">
        <v>3885</v>
      </c>
      <c r="C3998">
        <v>343.04</v>
      </c>
      <c r="D3998" t="str">
        <f>"311"</f>
        <v>311</v>
      </c>
      <c r="E3998" t="str">
        <f t="shared" si="174"/>
        <v>C1713</v>
      </c>
    </row>
    <row r="3999" spans="1:5" x14ac:dyDescent="0.25">
      <c r="A3999" t="str">
        <f>"838278227"</f>
        <v>838278227</v>
      </c>
      <c r="B3999" t="s">
        <v>3886</v>
      </c>
      <c r="C3999">
        <v>343.04</v>
      </c>
      <c r="D3999" t="str">
        <f>"311"</f>
        <v>311</v>
      </c>
      <c r="E3999" t="str">
        <f t="shared" si="174"/>
        <v>C1713</v>
      </c>
    </row>
    <row r="4000" spans="1:5" x14ac:dyDescent="0.25">
      <c r="A4000" t="str">
        <f>"838278228"</f>
        <v>838278228</v>
      </c>
      <c r="B4000" t="s">
        <v>3887</v>
      </c>
      <c r="C4000">
        <v>343.04</v>
      </c>
      <c r="D4000" t="str">
        <f>"311"</f>
        <v>311</v>
      </c>
      <c r="E4000" t="str">
        <f t="shared" si="174"/>
        <v>C1713</v>
      </c>
    </row>
    <row r="4001" spans="1:5" x14ac:dyDescent="0.25">
      <c r="A4001" t="str">
        <f>"838278229"</f>
        <v>838278229</v>
      </c>
      <c r="B4001" t="s">
        <v>3888</v>
      </c>
      <c r="C4001">
        <v>343.04</v>
      </c>
      <c r="D4001" t="str">
        <f>"311"</f>
        <v>311</v>
      </c>
      <c r="E4001" t="str">
        <f t="shared" si="174"/>
        <v>C1713</v>
      </c>
    </row>
    <row r="4002" spans="1:5" x14ac:dyDescent="0.25">
      <c r="A4002" t="str">
        <f>"838278230"</f>
        <v>838278230</v>
      </c>
      <c r="B4002" t="s">
        <v>3889</v>
      </c>
      <c r="C4002">
        <v>343.04</v>
      </c>
      <c r="D4002" t="str">
        <f>"272"</f>
        <v>272</v>
      </c>
      <c r="E4002" t="str">
        <f t="shared" si="174"/>
        <v>C1713</v>
      </c>
    </row>
    <row r="4003" spans="1:5" x14ac:dyDescent="0.25">
      <c r="A4003" t="str">
        <f>"838278231"</f>
        <v>838278231</v>
      </c>
      <c r="B4003" t="s">
        <v>3890</v>
      </c>
      <c r="C4003">
        <v>343.04</v>
      </c>
      <c r="D4003" t="str">
        <f>"311"</f>
        <v>311</v>
      </c>
      <c r="E4003" t="str">
        <f t="shared" si="174"/>
        <v>C1713</v>
      </c>
    </row>
    <row r="4004" spans="1:5" x14ac:dyDescent="0.25">
      <c r="A4004" t="str">
        <f>"838278232"</f>
        <v>838278232</v>
      </c>
      <c r="B4004" t="s">
        <v>3891</v>
      </c>
      <c r="C4004">
        <v>343.04</v>
      </c>
      <c r="D4004" t="str">
        <f>"311"</f>
        <v>311</v>
      </c>
      <c r="E4004" t="str">
        <f t="shared" si="174"/>
        <v>C1713</v>
      </c>
    </row>
    <row r="4005" spans="1:5" x14ac:dyDescent="0.25">
      <c r="A4005" t="str">
        <f>"838278233"</f>
        <v>838278233</v>
      </c>
      <c r="B4005" t="s">
        <v>3892</v>
      </c>
      <c r="C4005">
        <v>343.04</v>
      </c>
      <c r="D4005" t="str">
        <f>"309"</f>
        <v>309</v>
      </c>
      <c r="E4005" t="str">
        <f t="shared" si="174"/>
        <v>C1713</v>
      </c>
    </row>
    <row r="4006" spans="1:5" x14ac:dyDescent="0.25">
      <c r="A4006" t="str">
        <f>"838278234"</f>
        <v>838278234</v>
      </c>
      <c r="B4006" t="s">
        <v>3893</v>
      </c>
      <c r="C4006">
        <v>343.04</v>
      </c>
      <c r="D4006" t="str">
        <f>"309"</f>
        <v>309</v>
      </c>
      <c r="E4006" t="str">
        <f t="shared" si="174"/>
        <v>C1713</v>
      </c>
    </row>
    <row r="4007" spans="1:5" x14ac:dyDescent="0.25">
      <c r="A4007" t="str">
        <f>"838278235"</f>
        <v>838278235</v>
      </c>
      <c r="B4007" t="s">
        <v>3894</v>
      </c>
      <c r="C4007">
        <v>343.04</v>
      </c>
      <c r="D4007" t="str">
        <f>"305"</f>
        <v>305</v>
      </c>
      <c r="E4007" t="str">
        <f t="shared" si="174"/>
        <v>C1713</v>
      </c>
    </row>
    <row r="4008" spans="1:5" x14ac:dyDescent="0.25">
      <c r="A4008" t="str">
        <f>"838278236"</f>
        <v>838278236</v>
      </c>
      <c r="B4008" t="s">
        <v>3895</v>
      </c>
      <c r="C4008">
        <v>343.04</v>
      </c>
      <c r="D4008" t="str">
        <f>"272"</f>
        <v>272</v>
      </c>
      <c r="E4008" t="str">
        <f t="shared" si="174"/>
        <v>C1713</v>
      </c>
    </row>
    <row r="4009" spans="1:5" x14ac:dyDescent="0.25">
      <c r="A4009" t="str">
        <f>"838278237"</f>
        <v>838278237</v>
      </c>
      <c r="B4009" t="s">
        <v>3896</v>
      </c>
      <c r="C4009">
        <v>343.04</v>
      </c>
      <c r="D4009" t="str">
        <f>"272"</f>
        <v>272</v>
      </c>
      <c r="E4009" t="str">
        <f t="shared" si="174"/>
        <v>C1713</v>
      </c>
    </row>
    <row r="4010" spans="1:5" x14ac:dyDescent="0.25">
      <c r="A4010" t="str">
        <f>"838278238"</f>
        <v>838278238</v>
      </c>
      <c r="B4010" t="s">
        <v>3897</v>
      </c>
      <c r="C4010">
        <v>343.04</v>
      </c>
      <c r="D4010" t="str">
        <f>"272"</f>
        <v>272</v>
      </c>
      <c r="E4010" t="str">
        <f t="shared" si="174"/>
        <v>C1713</v>
      </c>
    </row>
    <row r="4011" spans="1:5" x14ac:dyDescent="0.25">
      <c r="A4011" t="str">
        <f>"838278239"</f>
        <v>838278239</v>
      </c>
      <c r="B4011" t="s">
        <v>3898</v>
      </c>
      <c r="C4011">
        <v>377.69</v>
      </c>
      <c r="D4011" t="str">
        <f>"272"</f>
        <v>272</v>
      </c>
      <c r="E4011" t="str">
        <f t="shared" si="174"/>
        <v>C1713</v>
      </c>
    </row>
    <row r="4012" spans="1:5" x14ac:dyDescent="0.25">
      <c r="A4012" t="str">
        <f>"838278240"</f>
        <v>838278240</v>
      </c>
      <c r="B4012" t="s">
        <v>3899</v>
      </c>
      <c r="C4012">
        <v>377.69</v>
      </c>
      <c r="D4012" t="str">
        <f>"270"</f>
        <v>270</v>
      </c>
      <c r="E4012" t="str">
        <f t="shared" si="174"/>
        <v>C1713</v>
      </c>
    </row>
    <row r="4013" spans="1:5" x14ac:dyDescent="0.25">
      <c r="A4013" t="str">
        <f>"838278241"</f>
        <v>838278241</v>
      </c>
      <c r="B4013" t="s">
        <v>3900</v>
      </c>
      <c r="C4013">
        <v>377.69</v>
      </c>
      <c r="D4013" t="str">
        <f>"270"</f>
        <v>270</v>
      </c>
      <c r="E4013" t="str">
        <f t="shared" si="174"/>
        <v>C1713</v>
      </c>
    </row>
    <row r="4014" spans="1:5" x14ac:dyDescent="0.25">
      <c r="A4014" t="str">
        <f>"838278242"</f>
        <v>838278242</v>
      </c>
      <c r="B4014" t="s">
        <v>3901</v>
      </c>
      <c r="C4014">
        <v>377.69</v>
      </c>
      <c r="D4014" t="str">
        <f>"301"</f>
        <v>301</v>
      </c>
      <c r="E4014" t="str">
        <f t="shared" si="174"/>
        <v>C1713</v>
      </c>
    </row>
    <row r="4015" spans="1:5" x14ac:dyDescent="0.25">
      <c r="A4015" t="str">
        <f>"838278243"</f>
        <v>838278243</v>
      </c>
      <c r="B4015" t="s">
        <v>3902</v>
      </c>
      <c r="C4015">
        <v>377.69</v>
      </c>
      <c r="D4015" t="str">
        <f>"271"</f>
        <v>271</v>
      </c>
      <c r="E4015" t="str">
        <f t="shared" si="174"/>
        <v>C1713</v>
      </c>
    </row>
    <row r="4016" spans="1:5" x14ac:dyDescent="0.25">
      <c r="A4016" t="str">
        <f>"838278244"</f>
        <v>838278244</v>
      </c>
      <c r="B4016" t="s">
        <v>3903</v>
      </c>
      <c r="C4016">
        <v>343.04</v>
      </c>
      <c r="D4016" t="str">
        <f>"271"</f>
        <v>271</v>
      </c>
      <c r="E4016" t="str">
        <f t="shared" si="174"/>
        <v>C1713</v>
      </c>
    </row>
    <row r="4017" spans="1:5" x14ac:dyDescent="0.25">
      <c r="A4017" t="str">
        <f>"838278245"</f>
        <v>838278245</v>
      </c>
      <c r="B4017" t="s">
        <v>3904</v>
      </c>
      <c r="C4017">
        <v>343.04</v>
      </c>
      <c r="D4017" t="str">
        <f>"271"</f>
        <v>271</v>
      </c>
      <c r="E4017" t="str">
        <f t="shared" si="174"/>
        <v>C1713</v>
      </c>
    </row>
    <row r="4018" spans="1:5" x14ac:dyDescent="0.25">
      <c r="A4018" t="str">
        <f>"838278246"</f>
        <v>838278246</v>
      </c>
      <c r="B4018" t="s">
        <v>3905</v>
      </c>
      <c r="C4018">
        <v>343.04</v>
      </c>
      <c r="D4018" t="str">
        <f>"271"</f>
        <v>271</v>
      </c>
      <c r="E4018" t="str">
        <f t="shared" si="174"/>
        <v>C1713</v>
      </c>
    </row>
    <row r="4019" spans="1:5" x14ac:dyDescent="0.25">
      <c r="A4019" t="str">
        <f>"838278247"</f>
        <v>838278247</v>
      </c>
      <c r="B4019" t="s">
        <v>3906</v>
      </c>
      <c r="C4019">
        <v>343.04</v>
      </c>
      <c r="D4019" t="str">
        <f>"311"</f>
        <v>311</v>
      </c>
      <c r="E4019" t="str">
        <f t="shared" si="174"/>
        <v>C1713</v>
      </c>
    </row>
    <row r="4020" spans="1:5" x14ac:dyDescent="0.25">
      <c r="A4020" t="str">
        <f>"838278248"</f>
        <v>838278248</v>
      </c>
      <c r="B4020" t="s">
        <v>3907</v>
      </c>
      <c r="C4020">
        <v>343.04</v>
      </c>
      <c r="D4020" t="str">
        <f>"311"</f>
        <v>311</v>
      </c>
      <c r="E4020" t="str">
        <f t="shared" si="174"/>
        <v>C1713</v>
      </c>
    </row>
    <row r="4021" spans="1:5" x14ac:dyDescent="0.25">
      <c r="A4021" t="str">
        <f>"838278249"</f>
        <v>838278249</v>
      </c>
      <c r="B4021" t="s">
        <v>3908</v>
      </c>
      <c r="C4021">
        <v>343.04</v>
      </c>
      <c r="D4021" t="str">
        <f>"306"</f>
        <v>306</v>
      </c>
      <c r="E4021" t="str">
        <f t="shared" si="174"/>
        <v>C1713</v>
      </c>
    </row>
    <row r="4022" spans="1:5" x14ac:dyDescent="0.25">
      <c r="A4022" t="str">
        <f>"838278250"</f>
        <v>838278250</v>
      </c>
      <c r="B4022" t="s">
        <v>3909</v>
      </c>
      <c r="C4022">
        <v>343.04</v>
      </c>
      <c r="D4022" t="str">
        <f>"301"</f>
        <v>301</v>
      </c>
      <c r="E4022" t="str">
        <f t="shared" si="174"/>
        <v>C1713</v>
      </c>
    </row>
    <row r="4023" spans="1:5" x14ac:dyDescent="0.25">
      <c r="A4023" t="str">
        <f>"838278251"</f>
        <v>838278251</v>
      </c>
      <c r="B4023" t="s">
        <v>3910</v>
      </c>
      <c r="C4023">
        <v>343.04</v>
      </c>
      <c r="D4023" t="str">
        <f>"302"</f>
        <v>302</v>
      </c>
      <c r="E4023" t="str">
        <f t="shared" si="174"/>
        <v>C1713</v>
      </c>
    </row>
    <row r="4024" spans="1:5" x14ac:dyDescent="0.25">
      <c r="A4024" t="str">
        <f>"838278252"</f>
        <v>838278252</v>
      </c>
      <c r="B4024" t="s">
        <v>3911</v>
      </c>
      <c r="C4024">
        <v>343.04</v>
      </c>
      <c r="D4024" t="str">
        <f>"306"</f>
        <v>306</v>
      </c>
      <c r="E4024" t="str">
        <f t="shared" si="174"/>
        <v>C1713</v>
      </c>
    </row>
    <row r="4025" spans="1:5" x14ac:dyDescent="0.25">
      <c r="A4025" t="str">
        <f>"838278253"</f>
        <v>838278253</v>
      </c>
      <c r="B4025" t="s">
        <v>3912</v>
      </c>
      <c r="C4025">
        <v>343.04</v>
      </c>
      <c r="D4025" t="str">
        <f>"306"</f>
        <v>306</v>
      </c>
      <c r="E4025" t="str">
        <f t="shared" si="174"/>
        <v>C1713</v>
      </c>
    </row>
    <row r="4026" spans="1:5" x14ac:dyDescent="0.25">
      <c r="A4026" t="str">
        <f>"838278254"</f>
        <v>838278254</v>
      </c>
      <c r="B4026" t="s">
        <v>3913</v>
      </c>
      <c r="C4026">
        <v>343.04</v>
      </c>
      <c r="D4026" t="str">
        <f>"302"</f>
        <v>302</v>
      </c>
      <c r="E4026" t="str">
        <f t="shared" si="174"/>
        <v>C1713</v>
      </c>
    </row>
    <row r="4027" spans="1:5" x14ac:dyDescent="0.25">
      <c r="A4027" t="str">
        <f>"838278255"</f>
        <v>838278255</v>
      </c>
      <c r="B4027" t="s">
        <v>3914</v>
      </c>
      <c r="C4027">
        <v>343.04</v>
      </c>
      <c r="D4027" t="str">
        <f>"272"</f>
        <v>272</v>
      </c>
      <c r="E4027" t="str">
        <f t="shared" si="174"/>
        <v>C1713</v>
      </c>
    </row>
    <row r="4028" spans="1:5" x14ac:dyDescent="0.25">
      <c r="A4028" t="str">
        <f>"838278256"</f>
        <v>838278256</v>
      </c>
      <c r="B4028" t="s">
        <v>3915</v>
      </c>
      <c r="C4028">
        <v>343.04</v>
      </c>
      <c r="D4028" t="str">
        <f>"272"</f>
        <v>272</v>
      </c>
      <c r="E4028" t="str">
        <f t="shared" si="174"/>
        <v>C1713</v>
      </c>
    </row>
    <row r="4029" spans="1:5" x14ac:dyDescent="0.25">
      <c r="A4029" t="str">
        <f>"838278257"</f>
        <v>838278257</v>
      </c>
      <c r="B4029" t="s">
        <v>3916</v>
      </c>
      <c r="C4029">
        <v>343.04</v>
      </c>
      <c r="D4029" t="str">
        <f>"300"</f>
        <v>300</v>
      </c>
      <c r="E4029" t="str">
        <f t="shared" si="174"/>
        <v>C1713</v>
      </c>
    </row>
    <row r="4030" spans="1:5" x14ac:dyDescent="0.25">
      <c r="A4030" t="str">
        <f>"838278258"</f>
        <v>838278258</v>
      </c>
      <c r="B4030" t="s">
        <v>3917</v>
      </c>
      <c r="C4030">
        <v>343.04</v>
      </c>
      <c r="D4030" t="str">
        <f>"274"</f>
        <v>274</v>
      </c>
      <c r="E4030" t="str">
        <f t="shared" si="174"/>
        <v>C1713</v>
      </c>
    </row>
    <row r="4031" spans="1:5" x14ac:dyDescent="0.25">
      <c r="A4031" t="str">
        <f>"838278259"</f>
        <v>838278259</v>
      </c>
      <c r="B4031" t="s">
        <v>3918</v>
      </c>
      <c r="C4031">
        <v>343.04</v>
      </c>
      <c r="D4031" t="str">
        <f>"270"</f>
        <v>270</v>
      </c>
      <c r="E4031" t="str">
        <f t="shared" si="174"/>
        <v>C1713</v>
      </c>
    </row>
    <row r="4032" spans="1:5" x14ac:dyDescent="0.25">
      <c r="A4032" t="str">
        <f>"838278260"</f>
        <v>838278260</v>
      </c>
      <c r="B4032" t="s">
        <v>3919</v>
      </c>
      <c r="C4032">
        <v>343.04</v>
      </c>
      <c r="D4032" t="str">
        <f>"270"</f>
        <v>270</v>
      </c>
      <c r="E4032" t="str">
        <f t="shared" si="174"/>
        <v>C1713</v>
      </c>
    </row>
    <row r="4033" spans="1:5" x14ac:dyDescent="0.25">
      <c r="A4033" t="str">
        <f>"838278261"</f>
        <v>838278261</v>
      </c>
      <c r="B4033" t="s">
        <v>3920</v>
      </c>
      <c r="C4033">
        <v>343.04</v>
      </c>
      <c r="D4033" t="str">
        <f>"278"</f>
        <v>278</v>
      </c>
      <c r="E4033" t="str">
        <f t="shared" si="174"/>
        <v>C1713</v>
      </c>
    </row>
    <row r="4034" spans="1:5" x14ac:dyDescent="0.25">
      <c r="A4034" t="str">
        <f>"838278262"</f>
        <v>838278262</v>
      </c>
      <c r="B4034" t="s">
        <v>3921</v>
      </c>
      <c r="C4034">
        <v>343.04</v>
      </c>
      <c r="D4034" t="str">
        <f>"250"</f>
        <v>250</v>
      </c>
      <c r="E4034" t="str">
        <f t="shared" si="174"/>
        <v>C1713</v>
      </c>
    </row>
    <row r="4035" spans="1:5" x14ac:dyDescent="0.25">
      <c r="A4035" t="str">
        <f>"838278263"</f>
        <v>838278263</v>
      </c>
      <c r="B4035" t="s">
        <v>3922</v>
      </c>
      <c r="C4035">
        <v>343.04</v>
      </c>
      <c r="D4035" t="str">
        <f>"250"</f>
        <v>250</v>
      </c>
      <c r="E4035" t="str">
        <f t="shared" si="174"/>
        <v>C1713</v>
      </c>
    </row>
    <row r="4036" spans="1:5" x14ac:dyDescent="0.25">
      <c r="A4036" t="str">
        <f>"838278264"</f>
        <v>838278264</v>
      </c>
      <c r="B4036" t="s">
        <v>3923</v>
      </c>
      <c r="C4036">
        <v>343.04</v>
      </c>
      <c r="D4036" t="str">
        <f>"278"</f>
        <v>278</v>
      </c>
      <c r="E4036" t="str">
        <f t="shared" si="174"/>
        <v>C1713</v>
      </c>
    </row>
    <row r="4037" spans="1:5" x14ac:dyDescent="0.25">
      <c r="A4037" t="str">
        <f>"838278265"</f>
        <v>838278265</v>
      </c>
      <c r="B4037" t="s">
        <v>3924</v>
      </c>
      <c r="C4037">
        <v>343.04</v>
      </c>
      <c r="D4037" t="str">
        <f>"272"</f>
        <v>272</v>
      </c>
      <c r="E4037" t="str">
        <f t="shared" si="174"/>
        <v>C1713</v>
      </c>
    </row>
    <row r="4038" spans="1:5" x14ac:dyDescent="0.25">
      <c r="A4038" t="str">
        <f>"838278266"</f>
        <v>838278266</v>
      </c>
      <c r="B4038" t="s">
        <v>3925</v>
      </c>
      <c r="C4038">
        <v>377.69</v>
      </c>
      <c r="D4038" t="str">
        <f>"272"</f>
        <v>272</v>
      </c>
      <c r="E4038" t="str">
        <f t="shared" si="174"/>
        <v>C1713</v>
      </c>
    </row>
    <row r="4039" spans="1:5" x14ac:dyDescent="0.25">
      <c r="A4039" t="str">
        <f>"838278267"</f>
        <v>838278267</v>
      </c>
      <c r="B4039" t="s">
        <v>3926</v>
      </c>
      <c r="C4039">
        <v>377.69</v>
      </c>
      <c r="D4039" t="str">
        <f>"302"</f>
        <v>302</v>
      </c>
      <c r="E4039" t="str">
        <f t="shared" si="174"/>
        <v>C1713</v>
      </c>
    </row>
    <row r="4040" spans="1:5" x14ac:dyDescent="0.25">
      <c r="A4040" t="str">
        <f>"838278268"</f>
        <v>838278268</v>
      </c>
      <c r="B4040" t="s">
        <v>3927</v>
      </c>
      <c r="C4040">
        <v>377.69</v>
      </c>
      <c r="D4040" t="str">
        <f>"302"</f>
        <v>302</v>
      </c>
      <c r="E4040" t="str">
        <f t="shared" si="174"/>
        <v>C1713</v>
      </c>
    </row>
    <row r="4041" spans="1:5" x14ac:dyDescent="0.25">
      <c r="A4041" t="str">
        <f>"838278269"</f>
        <v>838278269</v>
      </c>
      <c r="B4041" t="s">
        <v>3928</v>
      </c>
      <c r="C4041">
        <v>377.69</v>
      </c>
      <c r="D4041" t="str">
        <f>"637"</f>
        <v>637</v>
      </c>
      <c r="E4041" t="str">
        <f t="shared" si="174"/>
        <v>C1713</v>
      </c>
    </row>
    <row r="4042" spans="1:5" x14ac:dyDescent="0.25">
      <c r="A4042" t="str">
        <f>"838278270"</f>
        <v>838278270</v>
      </c>
      <c r="B4042" t="s">
        <v>3929</v>
      </c>
      <c r="C4042">
        <v>377.69</v>
      </c>
      <c r="D4042" t="str">
        <f>"306"</f>
        <v>306</v>
      </c>
      <c r="E4042" t="str">
        <f t="shared" si="174"/>
        <v>C1713</v>
      </c>
    </row>
    <row r="4043" spans="1:5" x14ac:dyDescent="0.25">
      <c r="A4043" t="str">
        <f>"838278271"</f>
        <v>838278271</v>
      </c>
      <c r="B4043" t="s">
        <v>3930</v>
      </c>
      <c r="C4043">
        <v>412.34</v>
      </c>
      <c r="D4043" t="str">
        <f>"312"</f>
        <v>312</v>
      </c>
      <c r="E4043" t="str">
        <f t="shared" si="174"/>
        <v>C1713</v>
      </c>
    </row>
    <row r="4044" spans="1:5" x14ac:dyDescent="0.25">
      <c r="A4044" t="str">
        <f>"838278272"</f>
        <v>838278272</v>
      </c>
      <c r="B4044" t="s">
        <v>3931</v>
      </c>
      <c r="C4044">
        <v>412.34</v>
      </c>
      <c r="D4044" t="str">
        <f>"312"</f>
        <v>312</v>
      </c>
      <c r="E4044" t="str">
        <f t="shared" si="174"/>
        <v>C1713</v>
      </c>
    </row>
    <row r="4045" spans="1:5" x14ac:dyDescent="0.25">
      <c r="A4045" t="str">
        <f>"838278273"</f>
        <v>838278273</v>
      </c>
      <c r="B4045" t="s">
        <v>3932</v>
      </c>
      <c r="C4045">
        <v>412.34</v>
      </c>
      <c r="D4045" t="str">
        <f>"312"</f>
        <v>312</v>
      </c>
      <c r="E4045" t="str">
        <f t="shared" si="174"/>
        <v>C1713</v>
      </c>
    </row>
    <row r="4046" spans="1:5" x14ac:dyDescent="0.25">
      <c r="A4046" t="str">
        <f>"838278274"</f>
        <v>838278274</v>
      </c>
      <c r="B4046" t="s">
        <v>3933</v>
      </c>
      <c r="C4046">
        <v>412.34</v>
      </c>
      <c r="D4046" t="str">
        <f>"312"</f>
        <v>312</v>
      </c>
      <c r="E4046" t="str">
        <f t="shared" si="174"/>
        <v>C1713</v>
      </c>
    </row>
    <row r="4047" spans="1:5" x14ac:dyDescent="0.25">
      <c r="A4047" t="str">
        <f>"838278275"</f>
        <v>838278275</v>
      </c>
      <c r="B4047" t="s">
        <v>3934</v>
      </c>
      <c r="C4047">
        <v>412.34</v>
      </c>
      <c r="D4047" t="str">
        <f>"312"</f>
        <v>312</v>
      </c>
      <c r="E4047" t="str">
        <f t="shared" si="174"/>
        <v>C1713</v>
      </c>
    </row>
    <row r="4048" spans="1:5" x14ac:dyDescent="0.25">
      <c r="A4048" t="str">
        <f>"838278276"</f>
        <v>838278276</v>
      </c>
      <c r="B4048" t="s">
        <v>3935</v>
      </c>
      <c r="C4048">
        <v>343.04</v>
      </c>
      <c r="D4048" t="str">
        <f>"250"</f>
        <v>250</v>
      </c>
      <c r="E4048" t="str">
        <f t="shared" si="174"/>
        <v>C1713</v>
      </c>
    </row>
    <row r="4049" spans="1:5" x14ac:dyDescent="0.25">
      <c r="A4049" t="str">
        <f>"838278277"</f>
        <v>838278277</v>
      </c>
      <c r="B4049" t="s">
        <v>3936</v>
      </c>
      <c r="C4049">
        <v>343.04</v>
      </c>
      <c r="D4049" t="str">
        <f>"250"</f>
        <v>250</v>
      </c>
      <c r="E4049" t="str">
        <f t="shared" si="174"/>
        <v>C1713</v>
      </c>
    </row>
    <row r="4050" spans="1:5" x14ac:dyDescent="0.25">
      <c r="A4050" t="str">
        <f>"838278278"</f>
        <v>838278278</v>
      </c>
      <c r="B4050" t="s">
        <v>3937</v>
      </c>
      <c r="C4050">
        <v>343.04</v>
      </c>
      <c r="D4050" t="str">
        <f>"300"</f>
        <v>300</v>
      </c>
      <c r="E4050" t="str">
        <f t="shared" si="174"/>
        <v>C1713</v>
      </c>
    </row>
    <row r="4051" spans="1:5" x14ac:dyDescent="0.25">
      <c r="A4051" t="str">
        <f>"838278279"</f>
        <v>838278279</v>
      </c>
      <c r="B4051" t="s">
        <v>3938</v>
      </c>
      <c r="C4051">
        <v>343.04</v>
      </c>
      <c r="D4051" t="str">
        <f>"278"</f>
        <v>278</v>
      </c>
      <c r="E4051" t="str">
        <f t="shared" si="174"/>
        <v>C1713</v>
      </c>
    </row>
    <row r="4052" spans="1:5" x14ac:dyDescent="0.25">
      <c r="A4052" t="str">
        <f>"838278280"</f>
        <v>838278280</v>
      </c>
      <c r="B4052" t="s">
        <v>3939</v>
      </c>
      <c r="C4052">
        <v>343.04</v>
      </c>
      <c r="D4052" t="str">
        <f>"278"</f>
        <v>278</v>
      </c>
      <c r="E4052" t="str">
        <f t="shared" si="174"/>
        <v>C1713</v>
      </c>
    </row>
    <row r="4053" spans="1:5" x14ac:dyDescent="0.25">
      <c r="A4053" t="str">
        <f>"838278281"</f>
        <v>838278281</v>
      </c>
      <c r="B4053" t="s">
        <v>3940</v>
      </c>
      <c r="C4053">
        <v>343.04</v>
      </c>
      <c r="D4053" t="str">
        <f>"306"</f>
        <v>306</v>
      </c>
      <c r="E4053" t="str">
        <f t="shared" si="174"/>
        <v>C1713</v>
      </c>
    </row>
    <row r="4054" spans="1:5" x14ac:dyDescent="0.25">
      <c r="A4054" t="str">
        <f>"838278282"</f>
        <v>838278282</v>
      </c>
      <c r="B4054" t="s">
        <v>3941</v>
      </c>
      <c r="C4054">
        <v>377.69</v>
      </c>
      <c r="D4054" t="str">
        <f>"636"</f>
        <v>636</v>
      </c>
      <c r="E4054" t="str">
        <f t="shared" si="174"/>
        <v>C1713</v>
      </c>
    </row>
    <row r="4055" spans="1:5" x14ac:dyDescent="0.25">
      <c r="A4055" t="str">
        <f>"838278283"</f>
        <v>838278283</v>
      </c>
      <c r="B4055" t="s">
        <v>3942</v>
      </c>
      <c r="C4055">
        <v>377.69</v>
      </c>
      <c r="D4055" t="str">
        <f>"636"</f>
        <v>636</v>
      </c>
      <c r="E4055" t="str">
        <f t="shared" si="174"/>
        <v>C1713</v>
      </c>
    </row>
    <row r="4056" spans="1:5" x14ac:dyDescent="0.25">
      <c r="A4056" t="str">
        <f>"838278284"</f>
        <v>838278284</v>
      </c>
      <c r="B4056" t="s">
        <v>3943</v>
      </c>
      <c r="C4056">
        <v>377.69</v>
      </c>
      <c r="D4056" t="str">
        <f>"270"</f>
        <v>270</v>
      </c>
      <c r="E4056" t="str">
        <f t="shared" si="174"/>
        <v>C1713</v>
      </c>
    </row>
    <row r="4057" spans="1:5" x14ac:dyDescent="0.25">
      <c r="A4057" t="str">
        <f>"838278285"</f>
        <v>838278285</v>
      </c>
      <c r="B4057" t="s">
        <v>3944</v>
      </c>
      <c r="C4057">
        <v>377.69</v>
      </c>
      <c r="D4057" t="str">
        <f>"272"</f>
        <v>272</v>
      </c>
      <c r="E4057" t="str">
        <f t="shared" si="174"/>
        <v>C1713</v>
      </c>
    </row>
    <row r="4058" spans="1:5" x14ac:dyDescent="0.25">
      <c r="A4058" t="str">
        <f>"838278286"</f>
        <v>838278286</v>
      </c>
      <c r="B4058" t="s">
        <v>3945</v>
      </c>
      <c r="C4058">
        <v>377.69</v>
      </c>
      <c r="D4058" t="str">
        <f>"272"</f>
        <v>272</v>
      </c>
      <c r="E4058" t="str">
        <f t="shared" si="174"/>
        <v>C1713</v>
      </c>
    </row>
    <row r="4059" spans="1:5" x14ac:dyDescent="0.25">
      <c r="A4059" t="str">
        <f>"838278287"</f>
        <v>838278287</v>
      </c>
      <c r="B4059" t="s">
        <v>3946</v>
      </c>
      <c r="C4059">
        <v>412.34</v>
      </c>
      <c r="D4059" t="str">
        <f>"272"</f>
        <v>272</v>
      </c>
      <c r="E4059" t="str">
        <f t="shared" si="174"/>
        <v>C1713</v>
      </c>
    </row>
    <row r="4060" spans="1:5" x14ac:dyDescent="0.25">
      <c r="A4060" t="str">
        <f>"838278288"</f>
        <v>838278288</v>
      </c>
      <c r="B4060" t="s">
        <v>3947</v>
      </c>
      <c r="C4060">
        <v>412.34</v>
      </c>
      <c r="D4060" t="str">
        <f>"278"</f>
        <v>278</v>
      </c>
      <c r="E4060" t="str">
        <f t="shared" ref="E4060:E4068" si="175">"C1713"</f>
        <v>C1713</v>
      </c>
    </row>
    <row r="4061" spans="1:5" x14ac:dyDescent="0.25">
      <c r="A4061" t="str">
        <f>"838278289"</f>
        <v>838278289</v>
      </c>
      <c r="B4061" t="s">
        <v>3948</v>
      </c>
      <c r="C4061">
        <v>412.34</v>
      </c>
      <c r="D4061" t="str">
        <f>"271"</f>
        <v>271</v>
      </c>
      <c r="E4061" t="str">
        <f t="shared" si="175"/>
        <v>C1713</v>
      </c>
    </row>
    <row r="4062" spans="1:5" x14ac:dyDescent="0.25">
      <c r="A4062" t="str">
        <f>"838278290"</f>
        <v>838278290</v>
      </c>
      <c r="B4062" t="s">
        <v>3949</v>
      </c>
      <c r="C4062">
        <v>412.34</v>
      </c>
      <c r="D4062" t="str">
        <f>"270"</f>
        <v>270</v>
      </c>
      <c r="E4062" t="str">
        <f t="shared" si="175"/>
        <v>C1713</v>
      </c>
    </row>
    <row r="4063" spans="1:5" x14ac:dyDescent="0.25">
      <c r="A4063" t="str">
        <f>"838278291"</f>
        <v>838278291</v>
      </c>
      <c r="B4063" t="s">
        <v>3950</v>
      </c>
      <c r="C4063">
        <v>412.34</v>
      </c>
      <c r="D4063" t="str">
        <f>"312"</f>
        <v>312</v>
      </c>
      <c r="E4063" t="str">
        <f t="shared" si="175"/>
        <v>C1713</v>
      </c>
    </row>
    <row r="4064" spans="1:5" x14ac:dyDescent="0.25">
      <c r="A4064" t="str">
        <f>"838278292"</f>
        <v>838278292</v>
      </c>
      <c r="B4064" t="s">
        <v>3951</v>
      </c>
      <c r="C4064">
        <v>412.34</v>
      </c>
      <c r="D4064" t="str">
        <f>"271"</f>
        <v>271</v>
      </c>
      <c r="E4064" t="str">
        <f t="shared" si="175"/>
        <v>C1713</v>
      </c>
    </row>
    <row r="4065" spans="1:5" x14ac:dyDescent="0.25">
      <c r="A4065" t="str">
        <f>"838278293"</f>
        <v>838278293</v>
      </c>
      <c r="B4065" t="s">
        <v>3952</v>
      </c>
      <c r="C4065">
        <v>412.34</v>
      </c>
      <c r="D4065" t="str">
        <f>"271"</f>
        <v>271</v>
      </c>
      <c r="E4065" t="str">
        <f t="shared" si="175"/>
        <v>C1713</v>
      </c>
    </row>
    <row r="4066" spans="1:5" x14ac:dyDescent="0.25">
      <c r="A4066" t="str">
        <f>"838278294"</f>
        <v>838278294</v>
      </c>
      <c r="B4066" t="s">
        <v>3953</v>
      </c>
      <c r="C4066">
        <v>412.34</v>
      </c>
      <c r="D4066" t="str">
        <f>"271"</f>
        <v>271</v>
      </c>
      <c r="E4066" t="str">
        <f t="shared" si="175"/>
        <v>C1713</v>
      </c>
    </row>
    <row r="4067" spans="1:5" x14ac:dyDescent="0.25">
      <c r="A4067" t="str">
        <f>"838278295"</f>
        <v>838278295</v>
      </c>
      <c r="B4067" t="s">
        <v>3954</v>
      </c>
      <c r="C4067">
        <v>412.34</v>
      </c>
      <c r="D4067" t="str">
        <f>"271"</f>
        <v>271</v>
      </c>
      <c r="E4067" t="str">
        <f t="shared" si="175"/>
        <v>C1713</v>
      </c>
    </row>
    <row r="4068" spans="1:5" x14ac:dyDescent="0.25">
      <c r="A4068" t="str">
        <f>"838278296"</f>
        <v>838278296</v>
      </c>
      <c r="B4068" t="s">
        <v>3955</v>
      </c>
      <c r="C4068">
        <v>412.34</v>
      </c>
      <c r="D4068" t="str">
        <f>"270"</f>
        <v>270</v>
      </c>
      <c r="E4068" t="str">
        <f t="shared" si="175"/>
        <v>C1713</v>
      </c>
    </row>
    <row r="4069" spans="1:5" x14ac:dyDescent="0.25">
      <c r="A4069" t="str">
        <f>"838278297"</f>
        <v>838278297</v>
      </c>
      <c r="B4069" t="s">
        <v>3956</v>
      </c>
      <c r="C4069">
        <v>29.46</v>
      </c>
      <c r="D4069" t="str">
        <f>"272"</f>
        <v>272</v>
      </c>
      <c r="E4069" t="str">
        <f>"C1769"</f>
        <v>C1769</v>
      </c>
    </row>
    <row r="4070" spans="1:5" x14ac:dyDescent="0.25">
      <c r="A4070" t="str">
        <f>"838278298"</f>
        <v>838278298</v>
      </c>
      <c r="B4070" t="s">
        <v>3957</v>
      </c>
      <c r="C4070">
        <v>29.46</v>
      </c>
      <c r="D4070" t="str">
        <f>"272"</f>
        <v>272</v>
      </c>
      <c r="E4070" t="str">
        <f>"C1769"</f>
        <v>C1769</v>
      </c>
    </row>
    <row r="4071" spans="1:5" x14ac:dyDescent="0.25">
      <c r="A4071" t="str">
        <f>"838278299"</f>
        <v>838278299</v>
      </c>
      <c r="B4071" t="s">
        <v>3958</v>
      </c>
      <c r="C4071">
        <v>34.65</v>
      </c>
      <c r="D4071" t="str">
        <f>"272"</f>
        <v>272</v>
      </c>
      <c r="E4071" t="str">
        <f>"C1769"</f>
        <v>C1769</v>
      </c>
    </row>
    <row r="4072" spans="1:5" x14ac:dyDescent="0.25">
      <c r="A4072" t="str">
        <f>"838278300"</f>
        <v>838278300</v>
      </c>
      <c r="B4072" t="s">
        <v>3959</v>
      </c>
      <c r="C4072">
        <v>606.38</v>
      </c>
      <c r="D4072" t="str">
        <f>"272"</f>
        <v>272</v>
      </c>
    </row>
    <row r="4073" spans="1:5" x14ac:dyDescent="0.25">
      <c r="A4073" t="str">
        <f>"838278301"</f>
        <v>838278301</v>
      </c>
      <c r="B4073" t="s">
        <v>3960</v>
      </c>
      <c r="C4073">
        <v>606.38</v>
      </c>
      <c r="D4073" t="str">
        <f>"272"</f>
        <v>272</v>
      </c>
    </row>
    <row r="4074" spans="1:5" x14ac:dyDescent="0.25">
      <c r="A4074" t="str">
        <f>"838278302"</f>
        <v>838278302</v>
      </c>
      <c r="B4074" t="s">
        <v>3961</v>
      </c>
      <c r="C4074">
        <v>648.65</v>
      </c>
      <c r="D4074" t="str">
        <f>"278"</f>
        <v>278</v>
      </c>
    </row>
    <row r="4075" spans="1:5" x14ac:dyDescent="0.25">
      <c r="A4075" t="str">
        <f>"838278303"</f>
        <v>838278303</v>
      </c>
      <c r="B4075" t="s">
        <v>3962</v>
      </c>
      <c r="C4075">
        <v>644.49</v>
      </c>
      <c r="D4075" t="str">
        <f>"278"</f>
        <v>278</v>
      </c>
    </row>
    <row r="4076" spans="1:5" x14ac:dyDescent="0.25">
      <c r="A4076" t="str">
        <f>"838278305"</f>
        <v>838278305</v>
      </c>
      <c r="B4076" t="s">
        <v>3963</v>
      </c>
      <c r="C4076" s="1">
        <v>2141.37</v>
      </c>
      <c r="D4076" t="str">
        <f t="shared" ref="D4076:D4086" si="176">"278"</f>
        <v>278</v>
      </c>
    </row>
    <row r="4077" spans="1:5" x14ac:dyDescent="0.25">
      <c r="A4077" t="str">
        <f>"838278306"</f>
        <v>838278306</v>
      </c>
      <c r="B4077" t="s">
        <v>3964</v>
      </c>
      <c r="C4077" s="1">
        <v>2548.2199999999998</v>
      </c>
      <c r="D4077" t="str">
        <f t="shared" si="176"/>
        <v>278</v>
      </c>
    </row>
    <row r="4078" spans="1:5" x14ac:dyDescent="0.25">
      <c r="A4078" t="str">
        <f>"838278307"</f>
        <v>838278307</v>
      </c>
      <c r="B4078" t="s">
        <v>3965</v>
      </c>
      <c r="C4078" s="1">
        <v>2141.37</v>
      </c>
      <c r="D4078" t="str">
        <f t="shared" si="176"/>
        <v>278</v>
      </c>
    </row>
    <row r="4079" spans="1:5" x14ac:dyDescent="0.25">
      <c r="A4079" t="str">
        <f>"838278308"</f>
        <v>838278308</v>
      </c>
      <c r="B4079" t="s">
        <v>3966</v>
      </c>
      <c r="C4079" s="1">
        <v>2141.37</v>
      </c>
      <c r="D4079" t="str">
        <f t="shared" si="176"/>
        <v>278</v>
      </c>
    </row>
    <row r="4080" spans="1:5" x14ac:dyDescent="0.25">
      <c r="A4080" t="str">
        <f>"838278309"</f>
        <v>838278309</v>
      </c>
      <c r="B4080" t="s">
        <v>3967</v>
      </c>
      <c r="C4080" s="1">
        <v>1143.45</v>
      </c>
      <c r="D4080" t="str">
        <f t="shared" si="176"/>
        <v>278</v>
      </c>
    </row>
    <row r="4081" spans="1:5" x14ac:dyDescent="0.25">
      <c r="A4081" t="str">
        <f>"838278310"</f>
        <v>838278310</v>
      </c>
      <c r="B4081" t="s">
        <v>3968</v>
      </c>
      <c r="C4081" s="1">
        <v>1556.37</v>
      </c>
      <c r="D4081" t="str">
        <f t="shared" si="176"/>
        <v>278</v>
      </c>
    </row>
    <row r="4082" spans="1:5" x14ac:dyDescent="0.25">
      <c r="A4082" t="str">
        <f>"838278311"</f>
        <v>838278311</v>
      </c>
      <c r="B4082" t="s">
        <v>3969</v>
      </c>
      <c r="C4082" s="1">
        <v>4396.22</v>
      </c>
      <c r="D4082" t="str">
        <f t="shared" si="176"/>
        <v>278</v>
      </c>
    </row>
    <row r="4083" spans="1:5" x14ac:dyDescent="0.25">
      <c r="A4083" t="str">
        <f>"838278312"</f>
        <v>838278312</v>
      </c>
      <c r="B4083" t="s">
        <v>3970</v>
      </c>
      <c r="C4083" s="1">
        <v>3465</v>
      </c>
      <c r="D4083" t="str">
        <f t="shared" si="176"/>
        <v>278</v>
      </c>
    </row>
    <row r="4084" spans="1:5" x14ac:dyDescent="0.25">
      <c r="A4084" t="str">
        <f>"838278313"</f>
        <v>838278313</v>
      </c>
      <c r="B4084" t="s">
        <v>3971</v>
      </c>
      <c r="C4084" s="1">
        <v>3113.09</v>
      </c>
      <c r="D4084" t="str">
        <f t="shared" si="176"/>
        <v>278</v>
      </c>
    </row>
    <row r="4085" spans="1:5" x14ac:dyDescent="0.25">
      <c r="A4085" t="str">
        <f>"838278314"</f>
        <v>838278314</v>
      </c>
      <c r="B4085" t="s">
        <v>3972</v>
      </c>
      <c r="C4085" s="1">
        <v>3789.84</v>
      </c>
      <c r="D4085" t="str">
        <f t="shared" si="176"/>
        <v>278</v>
      </c>
    </row>
    <row r="4086" spans="1:5" x14ac:dyDescent="0.25">
      <c r="A4086" t="str">
        <f>"838278315"</f>
        <v>838278315</v>
      </c>
      <c r="B4086" t="s">
        <v>3973</v>
      </c>
      <c r="C4086">
        <v>583.28</v>
      </c>
      <c r="D4086" t="str">
        <f t="shared" si="176"/>
        <v>278</v>
      </c>
      <c r="E4086" t="str">
        <f>"C1713"</f>
        <v>C1713</v>
      </c>
    </row>
    <row r="4087" spans="1:5" x14ac:dyDescent="0.25">
      <c r="A4087" t="str">
        <f>"838278316"</f>
        <v>838278316</v>
      </c>
      <c r="B4087" t="s">
        <v>3974</v>
      </c>
      <c r="C4087" s="1">
        <v>1479.56</v>
      </c>
      <c r="D4087" t="str">
        <f>"272"</f>
        <v>272</v>
      </c>
      <c r="E4087" t="str">
        <f>"C1713"</f>
        <v>C1713</v>
      </c>
    </row>
    <row r="4088" spans="1:5" x14ac:dyDescent="0.25">
      <c r="A4088" t="str">
        <f>"838278317"</f>
        <v>838278317</v>
      </c>
      <c r="B4088" t="s">
        <v>3975</v>
      </c>
      <c r="C4088" s="1">
        <v>7651.88</v>
      </c>
      <c r="D4088" t="str">
        <f t="shared" ref="D4088:D4104" si="177">"278"</f>
        <v>278</v>
      </c>
    </row>
    <row r="4089" spans="1:5" x14ac:dyDescent="0.25">
      <c r="A4089" t="str">
        <f>"838278318"</f>
        <v>838278318</v>
      </c>
      <c r="B4089" t="s">
        <v>3976</v>
      </c>
      <c r="C4089" s="1">
        <v>3118.5</v>
      </c>
      <c r="D4089" t="str">
        <f t="shared" si="177"/>
        <v>278</v>
      </c>
    </row>
    <row r="4090" spans="1:5" x14ac:dyDescent="0.25">
      <c r="A4090" t="str">
        <f>"838278319"</f>
        <v>838278319</v>
      </c>
      <c r="B4090" t="s">
        <v>3977</v>
      </c>
      <c r="C4090" s="1">
        <v>4042.5</v>
      </c>
      <c r="D4090" t="str">
        <f t="shared" si="177"/>
        <v>278</v>
      </c>
    </row>
    <row r="4091" spans="1:5" x14ac:dyDescent="0.25">
      <c r="A4091" t="str">
        <f>"838278320"</f>
        <v>838278320</v>
      </c>
      <c r="B4091" t="s">
        <v>3978</v>
      </c>
      <c r="C4091" s="1">
        <v>3753.75</v>
      </c>
      <c r="D4091" t="str">
        <f t="shared" si="177"/>
        <v>278</v>
      </c>
    </row>
    <row r="4092" spans="1:5" x14ac:dyDescent="0.25">
      <c r="A4092" t="str">
        <f>"838278321"</f>
        <v>838278321</v>
      </c>
      <c r="B4092" t="s">
        <v>3979</v>
      </c>
      <c r="C4092" s="1">
        <v>3753.75</v>
      </c>
      <c r="D4092" t="str">
        <f t="shared" si="177"/>
        <v>278</v>
      </c>
    </row>
    <row r="4093" spans="1:5" x14ac:dyDescent="0.25">
      <c r="A4093" t="str">
        <f>"838278322"</f>
        <v>838278322</v>
      </c>
      <c r="B4093" t="s">
        <v>3980</v>
      </c>
      <c r="C4093" s="1">
        <v>4042.5</v>
      </c>
      <c r="D4093" t="str">
        <f t="shared" si="177"/>
        <v>278</v>
      </c>
    </row>
    <row r="4094" spans="1:5" x14ac:dyDescent="0.25">
      <c r="A4094" t="str">
        <f>"838278323"</f>
        <v>838278323</v>
      </c>
      <c r="B4094" t="s">
        <v>3981</v>
      </c>
      <c r="C4094" s="1">
        <v>3465</v>
      </c>
      <c r="D4094" t="str">
        <f t="shared" si="177"/>
        <v>278</v>
      </c>
    </row>
    <row r="4095" spans="1:5" x14ac:dyDescent="0.25">
      <c r="A4095" t="str">
        <f>"838278324"</f>
        <v>838278324</v>
      </c>
      <c r="B4095" t="s">
        <v>3982</v>
      </c>
      <c r="C4095">
        <v>100.14</v>
      </c>
      <c r="D4095" t="str">
        <f t="shared" si="177"/>
        <v>278</v>
      </c>
    </row>
    <row r="4096" spans="1:5" x14ac:dyDescent="0.25">
      <c r="A4096" t="str">
        <f>"838278325"</f>
        <v>838278325</v>
      </c>
      <c r="B4096" t="s">
        <v>3983</v>
      </c>
      <c r="C4096">
        <v>417.95</v>
      </c>
      <c r="D4096" t="str">
        <f t="shared" si="177"/>
        <v>278</v>
      </c>
    </row>
    <row r="4097" spans="1:4" x14ac:dyDescent="0.25">
      <c r="A4097" t="str">
        <f>"838278326"</f>
        <v>838278326</v>
      </c>
      <c r="B4097" t="s">
        <v>3984</v>
      </c>
      <c r="C4097">
        <v>200.7</v>
      </c>
      <c r="D4097" t="str">
        <f t="shared" si="177"/>
        <v>278</v>
      </c>
    </row>
    <row r="4098" spans="1:4" x14ac:dyDescent="0.25">
      <c r="A4098" t="str">
        <f>"838278327"</f>
        <v>838278327</v>
      </c>
      <c r="B4098" t="s">
        <v>3985</v>
      </c>
      <c r="C4098">
        <v>169.79</v>
      </c>
      <c r="D4098" t="str">
        <f t="shared" si="177"/>
        <v>278</v>
      </c>
    </row>
    <row r="4099" spans="1:4" x14ac:dyDescent="0.25">
      <c r="A4099" t="str">
        <f>"838278328"</f>
        <v>838278328</v>
      </c>
      <c r="B4099" t="s">
        <v>3986</v>
      </c>
      <c r="C4099" s="1">
        <v>1777.33</v>
      </c>
      <c r="D4099" t="str">
        <f t="shared" si="177"/>
        <v>278</v>
      </c>
    </row>
    <row r="4100" spans="1:4" x14ac:dyDescent="0.25">
      <c r="A4100" t="str">
        <f>"838278329"</f>
        <v>838278329</v>
      </c>
      <c r="B4100" t="s">
        <v>3987</v>
      </c>
      <c r="C4100">
        <v>765.77</v>
      </c>
      <c r="D4100" t="str">
        <f t="shared" si="177"/>
        <v>278</v>
      </c>
    </row>
    <row r="4101" spans="1:4" x14ac:dyDescent="0.25">
      <c r="A4101" t="str">
        <f>"838278330"</f>
        <v>838278330</v>
      </c>
      <c r="B4101" t="s">
        <v>3988</v>
      </c>
      <c r="C4101">
        <v>848.93</v>
      </c>
      <c r="D4101" t="str">
        <f t="shared" si="177"/>
        <v>278</v>
      </c>
    </row>
    <row r="4102" spans="1:4" x14ac:dyDescent="0.25">
      <c r="A4102" t="str">
        <f>"838278331"</f>
        <v>838278331</v>
      </c>
      <c r="B4102" t="s">
        <v>3989</v>
      </c>
      <c r="C4102">
        <v>848.93</v>
      </c>
      <c r="D4102" t="str">
        <f t="shared" si="177"/>
        <v>278</v>
      </c>
    </row>
    <row r="4103" spans="1:4" x14ac:dyDescent="0.25">
      <c r="A4103" t="str">
        <f>"838278332"</f>
        <v>838278332</v>
      </c>
      <c r="B4103" t="s">
        <v>3990</v>
      </c>
      <c r="C4103">
        <v>765.77</v>
      </c>
      <c r="D4103" t="str">
        <f t="shared" si="177"/>
        <v>278</v>
      </c>
    </row>
    <row r="4104" spans="1:4" x14ac:dyDescent="0.25">
      <c r="A4104" t="str">
        <f>"838278333"</f>
        <v>838278333</v>
      </c>
      <c r="B4104" t="s">
        <v>3991</v>
      </c>
      <c r="C4104" s="1">
        <v>1420.65</v>
      </c>
      <c r="D4104" t="str">
        <f t="shared" si="177"/>
        <v>278</v>
      </c>
    </row>
    <row r="4105" spans="1:4" x14ac:dyDescent="0.25">
      <c r="A4105" t="str">
        <f>"838278334"</f>
        <v>838278334</v>
      </c>
      <c r="B4105" t="s">
        <v>3992</v>
      </c>
      <c r="C4105" s="1">
        <v>2736.94</v>
      </c>
      <c r="D4105" t="str">
        <f>"272"</f>
        <v>272</v>
      </c>
    </row>
    <row r="4106" spans="1:4" x14ac:dyDescent="0.25">
      <c r="A4106" t="str">
        <f>"838278335"</f>
        <v>838278335</v>
      </c>
      <c r="B4106" t="s">
        <v>3993</v>
      </c>
      <c r="C4106">
        <v>585.59</v>
      </c>
      <c r="D4106" t="str">
        <f t="shared" ref="D4106:D4123" si="178">"278"</f>
        <v>278</v>
      </c>
    </row>
    <row r="4107" spans="1:4" x14ac:dyDescent="0.25">
      <c r="A4107" t="str">
        <f>"838278336"</f>
        <v>838278336</v>
      </c>
      <c r="B4107" t="s">
        <v>3994</v>
      </c>
      <c r="C4107">
        <v>375.46</v>
      </c>
      <c r="D4107" t="str">
        <f t="shared" si="178"/>
        <v>278</v>
      </c>
    </row>
    <row r="4108" spans="1:4" x14ac:dyDescent="0.25">
      <c r="A4108" t="str">
        <f>"838278337"</f>
        <v>838278337</v>
      </c>
      <c r="B4108" t="s">
        <v>3995</v>
      </c>
      <c r="C4108">
        <v>585.59</v>
      </c>
      <c r="D4108" t="str">
        <f t="shared" si="178"/>
        <v>278</v>
      </c>
    </row>
    <row r="4109" spans="1:4" x14ac:dyDescent="0.25">
      <c r="A4109" t="str">
        <f>"838278338"</f>
        <v>838278338</v>
      </c>
      <c r="B4109" t="s">
        <v>3996</v>
      </c>
      <c r="C4109">
        <v>375.46</v>
      </c>
      <c r="D4109" t="str">
        <f t="shared" si="178"/>
        <v>278</v>
      </c>
    </row>
    <row r="4110" spans="1:4" x14ac:dyDescent="0.25">
      <c r="A4110" t="str">
        <f>"838278339"</f>
        <v>838278339</v>
      </c>
      <c r="B4110" t="s">
        <v>3997</v>
      </c>
      <c r="C4110">
        <v>131.66999999999999</v>
      </c>
      <c r="D4110" t="str">
        <f t="shared" si="178"/>
        <v>278</v>
      </c>
    </row>
    <row r="4111" spans="1:4" x14ac:dyDescent="0.25">
      <c r="A4111" t="str">
        <f>"838278340"</f>
        <v>838278340</v>
      </c>
      <c r="B4111" t="s">
        <v>3998</v>
      </c>
      <c r="C4111">
        <v>131.66999999999999</v>
      </c>
      <c r="D4111" t="str">
        <f t="shared" si="178"/>
        <v>278</v>
      </c>
    </row>
    <row r="4112" spans="1:4" x14ac:dyDescent="0.25">
      <c r="A4112" t="str">
        <f>"838278341"</f>
        <v>838278341</v>
      </c>
      <c r="B4112" t="s">
        <v>3999</v>
      </c>
      <c r="C4112">
        <v>131.66999999999999</v>
      </c>
      <c r="D4112" t="str">
        <f t="shared" si="178"/>
        <v>278</v>
      </c>
    </row>
    <row r="4113" spans="1:4" x14ac:dyDescent="0.25">
      <c r="A4113" t="str">
        <f>"838278342"</f>
        <v>838278342</v>
      </c>
      <c r="B4113" t="s">
        <v>4000</v>
      </c>
      <c r="C4113" s="1">
        <v>3357.59</v>
      </c>
      <c r="D4113" t="str">
        <f t="shared" si="178"/>
        <v>278</v>
      </c>
    </row>
    <row r="4114" spans="1:4" x14ac:dyDescent="0.25">
      <c r="A4114" t="str">
        <f>"838278343"</f>
        <v>838278343</v>
      </c>
      <c r="B4114" t="s">
        <v>4001</v>
      </c>
      <c r="C4114" s="1">
        <v>4331.25</v>
      </c>
      <c r="D4114" t="str">
        <f t="shared" si="178"/>
        <v>278</v>
      </c>
    </row>
    <row r="4115" spans="1:4" x14ac:dyDescent="0.25">
      <c r="A4115" t="str">
        <f>"838278344"</f>
        <v>838278344</v>
      </c>
      <c r="B4115" t="s">
        <v>4002</v>
      </c>
      <c r="C4115">
        <v>554.4</v>
      </c>
      <c r="D4115" t="str">
        <f t="shared" si="178"/>
        <v>278</v>
      </c>
    </row>
    <row r="4116" spans="1:4" x14ac:dyDescent="0.25">
      <c r="A4116" t="str">
        <f>"838278345"</f>
        <v>838278345</v>
      </c>
      <c r="B4116" t="s">
        <v>4003</v>
      </c>
      <c r="C4116">
        <v>246.02</v>
      </c>
      <c r="D4116" t="str">
        <f t="shared" si="178"/>
        <v>278</v>
      </c>
    </row>
    <row r="4117" spans="1:4" x14ac:dyDescent="0.25">
      <c r="A4117" t="str">
        <f>"838278346"</f>
        <v>838278346</v>
      </c>
      <c r="B4117" t="s">
        <v>4004</v>
      </c>
      <c r="C4117">
        <v>554.4</v>
      </c>
      <c r="D4117" t="str">
        <f t="shared" si="178"/>
        <v>278</v>
      </c>
    </row>
    <row r="4118" spans="1:4" x14ac:dyDescent="0.25">
      <c r="A4118" t="str">
        <f>"838278347"</f>
        <v>838278347</v>
      </c>
      <c r="B4118" t="s">
        <v>4005</v>
      </c>
      <c r="C4118">
        <v>349.05</v>
      </c>
      <c r="D4118" t="str">
        <f t="shared" si="178"/>
        <v>278</v>
      </c>
    </row>
    <row r="4119" spans="1:4" x14ac:dyDescent="0.25">
      <c r="A4119" t="str">
        <f>"838278348"</f>
        <v>838278348</v>
      </c>
      <c r="B4119" t="s">
        <v>4006</v>
      </c>
      <c r="C4119" s="1">
        <v>3776.85</v>
      </c>
      <c r="D4119" t="str">
        <f t="shared" si="178"/>
        <v>278</v>
      </c>
    </row>
    <row r="4120" spans="1:4" x14ac:dyDescent="0.25">
      <c r="A4120" t="str">
        <f>"838278349"</f>
        <v>838278349</v>
      </c>
      <c r="B4120" t="s">
        <v>4007</v>
      </c>
      <c r="C4120">
        <v>595.98</v>
      </c>
      <c r="D4120" t="str">
        <f t="shared" si="178"/>
        <v>278</v>
      </c>
    </row>
    <row r="4121" spans="1:4" x14ac:dyDescent="0.25">
      <c r="A4121" t="str">
        <f>"838278350"</f>
        <v>838278350</v>
      </c>
      <c r="B4121" t="s">
        <v>4008</v>
      </c>
      <c r="C4121">
        <v>686.07</v>
      </c>
      <c r="D4121" t="str">
        <f t="shared" si="178"/>
        <v>278</v>
      </c>
    </row>
    <row r="4122" spans="1:4" x14ac:dyDescent="0.25">
      <c r="A4122" t="str">
        <f>"838278351"</f>
        <v>838278351</v>
      </c>
      <c r="B4122" t="s">
        <v>4009</v>
      </c>
      <c r="C4122" s="1">
        <v>1507.28</v>
      </c>
      <c r="D4122" t="str">
        <f t="shared" si="178"/>
        <v>278</v>
      </c>
    </row>
    <row r="4123" spans="1:4" x14ac:dyDescent="0.25">
      <c r="A4123" t="str">
        <f>"838278352"</f>
        <v>838278352</v>
      </c>
      <c r="B4123" t="s">
        <v>4010</v>
      </c>
      <c r="C4123" s="1">
        <v>4279.28</v>
      </c>
      <c r="D4123" t="str">
        <f t="shared" si="178"/>
        <v>278</v>
      </c>
    </row>
    <row r="4124" spans="1:4" x14ac:dyDescent="0.25">
      <c r="A4124" t="str">
        <f>"838278353"</f>
        <v>838278353</v>
      </c>
      <c r="B4124" t="s">
        <v>4011</v>
      </c>
      <c r="C4124">
        <v>519.75</v>
      </c>
      <c r="D4124" t="str">
        <f>"361"</f>
        <v>361</v>
      </c>
    </row>
    <row r="4125" spans="1:4" x14ac:dyDescent="0.25">
      <c r="A4125" t="str">
        <f>"838278354"</f>
        <v>838278354</v>
      </c>
      <c r="B4125" t="s">
        <v>4012</v>
      </c>
      <c r="C4125">
        <v>420.13</v>
      </c>
      <c r="D4125" t="str">
        <f t="shared" ref="D4125:D4137" si="179">"278"</f>
        <v>278</v>
      </c>
    </row>
    <row r="4126" spans="1:4" x14ac:dyDescent="0.25">
      <c r="A4126" t="str">
        <f>"838278355"</f>
        <v>838278355</v>
      </c>
      <c r="B4126" t="s">
        <v>4012</v>
      </c>
      <c r="C4126">
        <v>420.13</v>
      </c>
      <c r="D4126" t="str">
        <f t="shared" si="179"/>
        <v>278</v>
      </c>
    </row>
    <row r="4127" spans="1:4" x14ac:dyDescent="0.25">
      <c r="A4127" t="str">
        <f>"838278356"</f>
        <v>838278356</v>
      </c>
      <c r="B4127" t="s">
        <v>4013</v>
      </c>
      <c r="C4127">
        <v>776.16</v>
      </c>
      <c r="D4127" t="str">
        <f t="shared" si="179"/>
        <v>278</v>
      </c>
    </row>
    <row r="4128" spans="1:4" x14ac:dyDescent="0.25">
      <c r="A4128" t="str">
        <f>"838278357"</f>
        <v>838278357</v>
      </c>
      <c r="B4128" t="s">
        <v>4014</v>
      </c>
      <c r="C4128">
        <v>762.3</v>
      </c>
      <c r="D4128" t="str">
        <f t="shared" si="179"/>
        <v>278</v>
      </c>
    </row>
    <row r="4129" spans="1:4" x14ac:dyDescent="0.25">
      <c r="A4129" t="str">
        <f>"838278358"</f>
        <v>838278358</v>
      </c>
      <c r="B4129" t="s">
        <v>4015</v>
      </c>
      <c r="C4129" s="1">
        <v>1133.06</v>
      </c>
      <c r="D4129" t="str">
        <f t="shared" si="179"/>
        <v>278</v>
      </c>
    </row>
    <row r="4130" spans="1:4" x14ac:dyDescent="0.25">
      <c r="A4130" t="str">
        <f>"838278359"</f>
        <v>838278359</v>
      </c>
      <c r="B4130" t="s">
        <v>4016</v>
      </c>
      <c r="C4130" s="1">
        <v>2236.73</v>
      </c>
      <c r="D4130" t="str">
        <f t="shared" si="179"/>
        <v>278</v>
      </c>
    </row>
    <row r="4131" spans="1:4" x14ac:dyDescent="0.25">
      <c r="A4131" t="str">
        <f>"838278360"</f>
        <v>838278360</v>
      </c>
      <c r="B4131" t="s">
        <v>4017</v>
      </c>
      <c r="C4131">
        <v>251.22</v>
      </c>
      <c r="D4131" t="str">
        <f t="shared" si="179"/>
        <v>278</v>
      </c>
    </row>
    <row r="4132" spans="1:4" x14ac:dyDescent="0.25">
      <c r="A4132" t="str">
        <f>"838278361"</f>
        <v>838278361</v>
      </c>
      <c r="B4132" t="s">
        <v>4018</v>
      </c>
      <c r="C4132">
        <v>277.2</v>
      </c>
      <c r="D4132" t="str">
        <f t="shared" si="179"/>
        <v>278</v>
      </c>
    </row>
    <row r="4133" spans="1:4" x14ac:dyDescent="0.25">
      <c r="A4133" t="str">
        <f>"838278362"</f>
        <v>838278362</v>
      </c>
      <c r="B4133" t="s">
        <v>4019</v>
      </c>
      <c r="C4133">
        <v>154.61000000000001</v>
      </c>
      <c r="D4133" t="str">
        <f t="shared" si="179"/>
        <v>278</v>
      </c>
    </row>
    <row r="4134" spans="1:4" x14ac:dyDescent="0.25">
      <c r="A4134" t="str">
        <f>"838278363"</f>
        <v>838278363</v>
      </c>
      <c r="B4134" t="s">
        <v>4020</v>
      </c>
      <c r="C4134">
        <v>154.61000000000001</v>
      </c>
      <c r="D4134" t="str">
        <f t="shared" si="179"/>
        <v>278</v>
      </c>
    </row>
    <row r="4135" spans="1:4" x14ac:dyDescent="0.25">
      <c r="A4135" t="str">
        <f>"838278364"</f>
        <v>838278364</v>
      </c>
      <c r="B4135" t="s">
        <v>4021</v>
      </c>
      <c r="C4135">
        <v>154.61000000000001</v>
      </c>
      <c r="D4135" t="str">
        <f t="shared" si="179"/>
        <v>278</v>
      </c>
    </row>
    <row r="4136" spans="1:4" x14ac:dyDescent="0.25">
      <c r="A4136" t="str">
        <f>"838278365"</f>
        <v>838278365</v>
      </c>
      <c r="B4136" t="s">
        <v>4022</v>
      </c>
      <c r="C4136">
        <v>966.74</v>
      </c>
      <c r="D4136" t="str">
        <f t="shared" si="179"/>
        <v>278</v>
      </c>
    </row>
    <row r="4137" spans="1:4" x14ac:dyDescent="0.25">
      <c r="A4137" t="str">
        <f>"838278366"</f>
        <v>838278366</v>
      </c>
      <c r="B4137" t="s">
        <v>4022</v>
      </c>
      <c r="C4137">
        <v>966.74</v>
      </c>
      <c r="D4137" t="str">
        <f t="shared" si="179"/>
        <v>278</v>
      </c>
    </row>
    <row r="4138" spans="1:4" x14ac:dyDescent="0.25">
      <c r="A4138" t="str">
        <f>"838278367"</f>
        <v>838278367</v>
      </c>
      <c r="B4138" t="s">
        <v>2568</v>
      </c>
      <c r="C4138">
        <v>675.68</v>
      </c>
      <c r="D4138" t="str">
        <f>"272"</f>
        <v>272</v>
      </c>
    </row>
    <row r="4139" spans="1:4" x14ac:dyDescent="0.25">
      <c r="A4139" t="str">
        <f>"838278368"</f>
        <v>838278368</v>
      </c>
      <c r="B4139" t="s">
        <v>4023</v>
      </c>
      <c r="C4139">
        <v>675.68</v>
      </c>
      <c r="D4139" t="str">
        <f t="shared" ref="D4139:D4190" si="180">"278"</f>
        <v>278</v>
      </c>
    </row>
    <row r="4140" spans="1:4" x14ac:dyDescent="0.25">
      <c r="A4140" t="str">
        <f>"838278369"</f>
        <v>838278369</v>
      </c>
      <c r="B4140" t="s">
        <v>4024</v>
      </c>
      <c r="C4140">
        <v>675.68</v>
      </c>
      <c r="D4140" t="str">
        <f t="shared" si="180"/>
        <v>278</v>
      </c>
    </row>
    <row r="4141" spans="1:4" x14ac:dyDescent="0.25">
      <c r="A4141" t="str">
        <f>"838278370"</f>
        <v>838278370</v>
      </c>
      <c r="B4141" t="s">
        <v>4025</v>
      </c>
      <c r="C4141">
        <v>228.55</v>
      </c>
      <c r="D4141" t="str">
        <f t="shared" si="180"/>
        <v>278</v>
      </c>
    </row>
    <row r="4142" spans="1:4" x14ac:dyDescent="0.25">
      <c r="A4142" t="str">
        <f>"838278371"</f>
        <v>838278371</v>
      </c>
      <c r="B4142" t="s">
        <v>4026</v>
      </c>
      <c r="C4142">
        <v>189.92</v>
      </c>
      <c r="D4142" t="str">
        <f t="shared" si="180"/>
        <v>278</v>
      </c>
    </row>
    <row r="4143" spans="1:4" x14ac:dyDescent="0.25">
      <c r="A4143" t="str">
        <f>"838278372"</f>
        <v>838278372</v>
      </c>
      <c r="B4143" t="s">
        <v>4027</v>
      </c>
      <c r="C4143">
        <v>189.92</v>
      </c>
      <c r="D4143" t="str">
        <f t="shared" si="180"/>
        <v>278</v>
      </c>
    </row>
    <row r="4144" spans="1:4" x14ac:dyDescent="0.25">
      <c r="A4144" t="str">
        <f>"838278373"</f>
        <v>838278373</v>
      </c>
      <c r="B4144" t="s">
        <v>4028</v>
      </c>
      <c r="C4144">
        <v>256.41000000000003</v>
      </c>
      <c r="D4144" t="str">
        <f t="shared" si="180"/>
        <v>278</v>
      </c>
    </row>
    <row r="4145" spans="1:5" x14ac:dyDescent="0.25">
      <c r="A4145" t="str">
        <f>"838278374"</f>
        <v>838278374</v>
      </c>
      <c r="B4145" t="s">
        <v>4029</v>
      </c>
      <c r="C4145" s="1">
        <v>1930.01</v>
      </c>
      <c r="D4145" t="str">
        <f t="shared" si="180"/>
        <v>278</v>
      </c>
    </row>
    <row r="4146" spans="1:5" x14ac:dyDescent="0.25">
      <c r="A4146" t="str">
        <f>"838278375"</f>
        <v>838278375</v>
      </c>
      <c r="B4146" t="s">
        <v>4030</v>
      </c>
      <c r="C4146">
        <v>474.43</v>
      </c>
      <c r="D4146" t="str">
        <f t="shared" si="180"/>
        <v>278</v>
      </c>
    </row>
    <row r="4147" spans="1:5" x14ac:dyDescent="0.25">
      <c r="A4147" t="str">
        <f>"838278376"</f>
        <v>838278376</v>
      </c>
      <c r="B4147" t="s">
        <v>4031</v>
      </c>
      <c r="C4147">
        <v>187.11</v>
      </c>
      <c r="D4147" t="str">
        <f t="shared" si="180"/>
        <v>278</v>
      </c>
    </row>
    <row r="4148" spans="1:5" x14ac:dyDescent="0.25">
      <c r="A4148" t="str">
        <f>"838278377"</f>
        <v>838278377</v>
      </c>
      <c r="B4148" t="s">
        <v>4032</v>
      </c>
      <c r="C4148">
        <v>287.60000000000002</v>
      </c>
      <c r="D4148" t="str">
        <f t="shared" si="180"/>
        <v>278</v>
      </c>
    </row>
    <row r="4149" spans="1:5" x14ac:dyDescent="0.25">
      <c r="A4149" t="str">
        <f>"838278378"</f>
        <v>838278378</v>
      </c>
      <c r="B4149" t="s">
        <v>4033</v>
      </c>
      <c r="C4149">
        <v>467.78</v>
      </c>
      <c r="D4149" t="str">
        <f t="shared" si="180"/>
        <v>278</v>
      </c>
    </row>
    <row r="4150" spans="1:5" x14ac:dyDescent="0.25">
      <c r="A4150" t="str">
        <f>"838278379"</f>
        <v>838278379</v>
      </c>
      <c r="B4150" t="s">
        <v>4034</v>
      </c>
      <c r="C4150" s="1">
        <v>1804.69</v>
      </c>
      <c r="D4150" t="str">
        <f t="shared" si="180"/>
        <v>278</v>
      </c>
    </row>
    <row r="4151" spans="1:5" x14ac:dyDescent="0.25">
      <c r="A4151" t="str">
        <f>"838278380"</f>
        <v>838278380</v>
      </c>
      <c r="B4151" t="s">
        <v>4035</v>
      </c>
      <c r="C4151" s="1">
        <v>1819.13</v>
      </c>
      <c r="D4151" t="str">
        <f t="shared" si="180"/>
        <v>278</v>
      </c>
    </row>
    <row r="4152" spans="1:5" x14ac:dyDescent="0.25">
      <c r="A4152" t="str">
        <f>"838278381"</f>
        <v>838278381</v>
      </c>
      <c r="B4152" t="s">
        <v>4036</v>
      </c>
      <c r="C4152" s="1">
        <v>1819.13</v>
      </c>
      <c r="D4152" t="str">
        <f t="shared" si="180"/>
        <v>278</v>
      </c>
    </row>
    <row r="4153" spans="1:5" x14ac:dyDescent="0.25">
      <c r="A4153" t="str">
        <f>"838278382"</f>
        <v>838278382</v>
      </c>
      <c r="B4153" t="s">
        <v>4037</v>
      </c>
      <c r="C4153" s="1">
        <v>5428.5</v>
      </c>
      <c r="D4153" t="str">
        <f t="shared" si="180"/>
        <v>278</v>
      </c>
    </row>
    <row r="4154" spans="1:5" x14ac:dyDescent="0.25">
      <c r="A4154" t="str">
        <f>"838278383"</f>
        <v>838278383</v>
      </c>
      <c r="B4154" t="s">
        <v>4037</v>
      </c>
      <c r="C4154" s="1">
        <v>3363.94</v>
      </c>
      <c r="D4154" t="str">
        <f t="shared" si="180"/>
        <v>278</v>
      </c>
    </row>
    <row r="4155" spans="1:5" x14ac:dyDescent="0.25">
      <c r="A4155" t="str">
        <f>"838278384"</f>
        <v>838278384</v>
      </c>
      <c r="B4155" t="s">
        <v>4037</v>
      </c>
      <c r="C4155" s="1">
        <v>1588.13</v>
      </c>
      <c r="D4155" t="str">
        <f t="shared" si="180"/>
        <v>278</v>
      </c>
    </row>
    <row r="4156" spans="1:5" x14ac:dyDescent="0.25">
      <c r="A4156" t="str">
        <f>"838278385"</f>
        <v>838278385</v>
      </c>
      <c r="B4156" t="s">
        <v>4038</v>
      </c>
      <c r="C4156">
        <v>518.30999999999995</v>
      </c>
      <c r="D4156" t="str">
        <f t="shared" si="180"/>
        <v>278</v>
      </c>
    </row>
    <row r="4157" spans="1:5" x14ac:dyDescent="0.25">
      <c r="A4157" t="str">
        <f>"838278386"</f>
        <v>838278386</v>
      </c>
      <c r="B4157" t="s">
        <v>4039</v>
      </c>
      <c r="C4157">
        <v>966.74</v>
      </c>
      <c r="D4157" t="str">
        <f t="shared" si="180"/>
        <v>278</v>
      </c>
      <c r="E4157" t="str">
        <f>"C9359"</f>
        <v>C9359</v>
      </c>
    </row>
    <row r="4158" spans="1:5" x14ac:dyDescent="0.25">
      <c r="A4158" t="str">
        <f>"838278387"</f>
        <v>838278387</v>
      </c>
      <c r="B4158" t="s">
        <v>4040</v>
      </c>
      <c r="C4158" s="1">
        <v>2237.8200000000002</v>
      </c>
      <c r="D4158" t="str">
        <f t="shared" si="180"/>
        <v>278</v>
      </c>
    </row>
    <row r="4159" spans="1:5" x14ac:dyDescent="0.25">
      <c r="A4159" t="str">
        <f>"838278388"</f>
        <v>838278388</v>
      </c>
      <c r="B4159" t="s">
        <v>4041</v>
      </c>
      <c r="C4159" s="1">
        <v>3970.32</v>
      </c>
      <c r="D4159" t="str">
        <f t="shared" si="180"/>
        <v>278</v>
      </c>
    </row>
    <row r="4160" spans="1:5" x14ac:dyDescent="0.25">
      <c r="A4160" t="str">
        <f>"838278389"</f>
        <v>838278389</v>
      </c>
      <c r="B4160" t="s">
        <v>4042</v>
      </c>
      <c r="C4160" s="1">
        <v>3970.32</v>
      </c>
      <c r="D4160" t="str">
        <f t="shared" si="180"/>
        <v>278</v>
      </c>
    </row>
    <row r="4161" spans="1:5" x14ac:dyDescent="0.25">
      <c r="A4161" t="str">
        <f>"838278390"</f>
        <v>838278390</v>
      </c>
      <c r="B4161" t="s">
        <v>4043</v>
      </c>
      <c r="C4161" s="1">
        <v>1803.24</v>
      </c>
      <c r="D4161" t="str">
        <f t="shared" si="180"/>
        <v>278</v>
      </c>
    </row>
    <row r="4162" spans="1:5" x14ac:dyDescent="0.25">
      <c r="A4162" t="str">
        <f>"838278391"</f>
        <v>838278391</v>
      </c>
      <c r="B4162" t="s">
        <v>4044</v>
      </c>
      <c r="C4162">
        <v>457.62</v>
      </c>
      <c r="D4162" t="str">
        <f t="shared" si="180"/>
        <v>278</v>
      </c>
    </row>
    <row r="4163" spans="1:5" x14ac:dyDescent="0.25">
      <c r="A4163" t="str">
        <f>"838278392"</f>
        <v>838278392</v>
      </c>
      <c r="B4163" t="s">
        <v>4045</v>
      </c>
      <c r="C4163" s="1">
        <v>1932.29</v>
      </c>
      <c r="D4163" t="str">
        <f t="shared" si="180"/>
        <v>278</v>
      </c>
    </row>
    <row r="4164" spans="1:5" x14ac:dyDescent="0.25">
      <c r="A4164" t="str">
        <f>"838278393"</f>
        <v>838278393</v>
      </c>
      <c r="B4164" t="s">
        <v>4046</v>
      </c>
      <c r="C4164">
        <v>415.8</v>
      </c>
      <c r="D4164" t="str">
        <f t="shared" si="180"/>
        <v>278</v>
      </c>
    </row>
    <row r="4165" spans="1:5" x14ac:dyDescent="0.25">
      <c r="A4165" t="str">
        <f>"838278394"</f>
        <v>838278394</v>
      </c>
      <c r="B4165" t="s">
        <v>4047</v>
      </c>
      <c r="C4165">
        <v>681.08</v>
      </c>
      <c r="D4165" t="str">
        <f t="shared" si="180"/>
        <v>278</v>
      </c>
      <c r="E4165" t="str">
        <f>"A4335"</f>
        <v>A4335</v>
      </c>
    </row>
    <row r="4166" spans="1:5" x14ac:dyDescent="0.25">
      <c r="A4166" t="str">
        <f>"838278395"</f>
        <v>838278395</v>
      </c>
      <c r="B4166" t="s">
        <v>4048</v>
      </c>
      <c r="C4166" s="1">
        <v>5991.57</v>
      </c>
      <c r="D4166" t="str">
        <f t="shared" si="180"/>
        <v>278</v>
      </c>
    </row>
    <row r="4167" spans="1:5" x14ac:dyDescent="0.25">
      <c r="A4167" t="str">
        <f>"838278396"</f>
        <v>838278396</v>
      </c>
      <c r="B4167" t="s">
        <v>4049</v>
      </c>
      <c r="C4167" s="1">
        <v>2061.6799999999998</v>
      </c>
      <c r="D4167" t="str">
        <f t="shared" si="180"/>
        <v>278</v>
      </c>
    </row>
    <row r="4168" spans="1:5" x14ac:dyDescent="0.25">
      <c r="A4168" t="str">
        <f>"838278397"</f>
        <v>838278397</v>
      </c>
      <c r="B4168" t="s">
        <v>4050</v>
      </c>
      <c r="C4168" s="1">
        <v>3984.75</v>
      </c>
      <c r="D4168" t="str">
        <f t="shared" si="180"/>
        <v>278</v>
      </c>
      <c r="E4168" t="str">
        <f>"C1876"</f>
        <v>C1876</v>
      </c>
    </row>
    <row r="4169" spans="1:5" x14ac:dyDescent="0.25">
      <c r="A4169" t="str">
        <f>"838278398"</f>
        <v>838278398</v>
      </c>
      <c r="B4169" t="s">
        <v>4051</v>
      </c>
      <c r="C4169" s="1">
        <v>2072.0700000000002</v>
      </c>
      <c r="D4169" t="str">
        <f t="shared" si="180"/>
        <v>278</v>
      </c>
    </row>
    <row r="4170" spans="1:5" x14ac:dyDescent="0.25">
      <c r="A4170" t="str">
        <f>"838278399"</f>
        <v>838278399</v>
      </c>
      <c r="B4170" t="s">
        <v>4052</v>
      </c>
      <c r="C4170">
        <v>464.89</v>
      </c>
      <c r="D4170" t="str">
        <f t="shared" si="180"/>
        <v>278</v>
      </c>
    </row>
    <row r="4171" spans="1:5" x14ac:dyDescent="0.25">
      <c r="A4171" t="str">
        <f>"838278400"</f>
        <v>838278400</v>
      </c>
      <c r="B4171" t="s">
        <v>4053</v>
      </c>
      <c r="C4171">
        <v>678.57</v>
      </c>
      <c r="D4171" t="str">
        <f t="shared" si="180"/>
        <v>278</v>
      </c>
    </row>
    <row r="4172" spans="1:5" x14ac:dyDescent="0.25">
      <c r="A4172" t="str">
        <f>"838278401"</f>
        <v>838278401</v>
      </c>
      <c r="B4172" t="s">
        <v>4054</v>
      </c>
      <c r="C4172" s="1">
        <v>1949.07</v>
      </c>
      <c r="D4172" t="str">
        <f t="shared" si="180"/>
        <v>278</v>
      </c>
    </row>
    <row r="4173" spans="1:5" x14ac:dyDescent="0.25">
      <c r="A4173" t="str">
        <f>"838278402"</f>
        <v>838278402</v>
      </c>
      <c r="B4173" t="s">
        <v>4055</v>
      </c>
      <c r="C4173" s="1">
        <v>1949.07</v>
      </c>
      <c r="D4173" t="str">
        <f t="shared" si="180"/>
        <v>278</v>
      </c>
    </row>
    <row r="4174" spans="1:5" x14ac:dyDescent="0.25">
      <c r="A4174" t="str">
        <f>"838278403"</f>
        <v>838278403</v>
      </c>
      <c r="B4174" t="s">
        <v>4056</v>
      </c>
      <c r="C4174" s="1">
        <v>1949.07</v>
      </c>
      <c r="D4174" t="str">
        <f t="shared" si="180"/>
        <v>278</v>
      </c>
    </row>
    <row r="4175" spans="1:5" x14ac:dyDescent="0.25">
      <c r="A4175" t="str">
        <f>"838278404"</f>
        <v>838278404</v>
      </c>
      <c r="B4175" t="s">
        <v>4057</v>
      </c>
      <c r="C4175" s="1">
        <v>1949.07</v>
      </c>
      <c r="D4175" t="str">
        <f t="shared" si="180"/>
        <v>278</v>
      </c>
    </row>
    <row r="4176" spans="1:5" x14ac:dyDescent="0.25">
      <c r="A4176" t="str">
        <f>"838278405"</f>
        <v>838278405</v>
      </c>
      <c r="B4176" t="s">
        <v>4058</v>
      </c>
      <c r="C4176" s="1">
        <v>1949.07</v>
      </c>
      <c r="D4176" t="str">
        <f t="shared" si="180"/>
        <v>278</v>
      </c>
    </row>
    <row r="4177" spans="1:4" x14ac:dyDescent="0.25">
      <c r="A4177" t="str">
        <f>"838278406"</f>
        <v>838278406</v>
      </c>
      <c r="B4177" t="s">
        <v>4059</v>
      </c>
      <c r="C4177" s="1">
        <v>1949.07</v>
      </c>
      <c r="D4177" t="str">
        <f t="shared" si="180"/>
        <v>278</v>
      </c>
    </row>
    <row r="4178" spans="1:4" x14ac:dyDescent="0.25">
      <c r="A4178" t="str">
        <f>"838278407"</f>
        <v>838278407</v>
      </c>
      <c r="B4178" t="s">
        <v>4060</v>
      </c>
      <c r="C4178" s="1">
        <v>1949.07</v>
      </c>
      <c r="D4178" t="str">
        <f t="shared" si="180"/>
        <v>278</v>
      </c>
    </row>
    <row r="4179" spans="1:4" x14ac:dyDescent="0.25">
      <c r="A4179" t="str">
        <f>"838278408"</f>
        <v>838278408</v>
      </c>
      <c r="B4179" t="s">
        <v>4061</v>
      </c>
      <c r="C4179" s="1">
        <v>1949.07</v>
      </c>
      <c r="D4179" t="str">
        <f t="shared" si="180"/>
        <v>278</v>
      </c>
    </row>
    <row r="4180" spans="1:4" x14ac:dyDescent="0.25">
      <c r="A4180" t="str">
        <f>"838278409"</f>
        <v>838278409</v>
      </c>
      <c r="B4180" t="s">
        <v>4062</v>
      </c>
      <c r="C4180" s="1">
        <v>1949.07</v>
      </c>
      <c r="D4180" t="str">
        <f t="shared" si="180"/>
        <v>278</v>
      </c>
    </row>
    <row r="4181" spans="1:4" x14ac:dyDescent="0.25">
      <c r="A4181" t="str">
        <f>"838278410"</f>
        <v>838278410</v>
      </c>
      <c r="B4181" t="s">
        <v>4063</v>
      </c>
      <c r="C4181">
        <v>779.63</v>
      </c>
      <c r="D4181" t="str">
        <f t="shared" si="180"/>
        <v>278</v>
      </c>
    </row>
    <row r="4182" spans="1:4" x14ac:dyDescent="0.25">
      <c r="A4182" t="str">
        <f>"838278411"</f>
        <v>838278411</v>
      </c>
      <c r="B4182" t="s">
        <v>4063</v>
      </c>
      <c r="C4182">
        <v>779.63</v>
      </c>
      <c r="D4182" t="str">
        <f t="shared" si="180"/>
        <v>278</v>
      </c>
    </row>
    <row r="4183" spans="1:4" x14ac:dyDescent="0.25">
      <c r="A4183" t="str">
        <f>"838278412"</f>
        <v>838278412</v>
      </c>
      <c r="B4183" t="s">
        <v>4063</v>
      </c>
      <c r="C4183">
        <v>779.63</v>
      </c>
      <c r="D4183" t="str">
        <f t="shared" si="180"/>
        <v>278</v>
      </c>
    </row>
    <row r="4184" spans="1:4" x14ac:dyDescent="0.25">
      <c r="A4184" t="str">
        <f>"838278413"</f>
        <v>838278413</v>
      </c>
      <c r="B4184" t="s">
        <v>4063</v>
      </c>
      <c r="C4184">
        <v>779.63</v>
      </c>
      <c r="D4184" t="str">
        <f t="shared" si="180"/>
        <v>278</v>
      </c>
    </row>
    <row r="4185" spans="1:4" x14ac:dyDescent="0.25">
      <c r="A4185" t="str">
        <f>"838278414"</f>
        <v>838278414</v>
      </c>
      <c r="B4185" t="s">
        <v>4063</v>
      </c>
      <c r="C4185">
        <v>779.63</v>
      </c>
      <c r="D4185" t="str">
        <f t="shared" si="180"/>
        <v>278</v>
      </c>
    </row>
    <row r="4186" spans="1:4" x14ac:dyDescent="0.25">
      <c r="A4186" t="str">
        <f>"838278415"</f>
        <v>838278415</v>
      </c>
      <c r="B4186" t="s">
        <v>4064</v>
      </c>
      <c r="C4186" s="1">
        <v>1949.07</v>
      </c>
      <c r="D4186" t="str">
        <f t="shared" si="180"/>
        <v>278</v>
      </c>
    </row>
    <row r="4187" spans="1:4" x14ac:dyDescent="0.25">
      <c r="A4187" t="str">
        <f>"838278416"</f>
        <v>838278416</v>
      </c>
      <c r="B4187" t="s">
        <v>4065</v>
      </c>
      <c r="C4187" s="1">
        <v>1949.07</v>
      </c>
      <c r="D4187" t="str">
        <f t="shared" si="180"/>
        <v>278</v>
      </c>
    </row>
    <row r="4188" spans="1:4" x14ac:dyDescent="0.25">
      <c r="A4188" t="str">
        <f>"838278417"</f>
        <v>838278417</v>
      </c>
      <c r="B4188" t="s">
        <v>4066</v>
      </c>
      <c r="C4188" s="1">
        <v>1949.07</v>
      </c>
      <c r="D4188" t="str">
        <f t="shared" si="180"/>
        <v>278</v>
      </c>
    </row>
    <row r="4189" spans="1:4" x14ac:dyDescent="0.25">
      <c r="A4189" t="str">
        <f>"838278418"</f>
        <v>838278418</v>
      </c>
      <c r="B4189" t="s">
        <v>4067</v>
      </c>
      <c r="C4189">
        <v>389.82</v>
      </c>
      <c r="D4189" t="str">
        <f t="shared" si="180"/>
        <v>278</v>
      </c>
    </row>
    <row r="4190" spans="1:4" x14ac:dyDescent="0.25">
      <c r="A4190" t="str">
        <f>"838278419"</f>
        <v>838278419</v>
      </c>
      <c r="B4190" t="s">
        <v>4068</v>
      </c>
      <c r="C4190" s="1">
        <v>6237</v>
      </c>
      <c r="D4190" t="str">
        <f t="shared" si="180"/>
        <v>278</v>
      </c>
    </row>
    <row r="4191" spans="1:4" x14ac:dyDescent="0.25">
      <c r="A4191" t="str">
        <f>"838278420"</f>
        <v>838278420</v>
      </c>
      <c r="B4191" t="s">
        <v>4069</v>
      </c>
      <c r="C4191">
        <v>990</v>
      </c>
      <c r="D4191" t="str">
        <f>"272"</f>
        <v>272</v>
      </c>
    </row>
    <row r="4192" spans="1:4" x14ac:dyDescent="0.25">
      <c r="A4192" t="str">
        <f>"838278421"</f>
        <v>838278421</v>
      </c>
      <c r="B4192" t="s">
        <v>4070</v>
      </c>
      <c r="C4192">
        <v>440.06</v>
      </c>
      <c r="D4192" t="str">
        <f>"272"</f>
        <v>272</v>
      </c>
    </row>
    <row r="4193" spans="1:4" x14ac:dyDescent="0.25">
      <c r="A4193" t="str">
        <f>"838278422"</f>
        <v>838278422</v>
      </c>
      <c r="B4193" t="s">
        <v>4070</v>
      </c>
      <c r="C4193">
        <v>85.61</v>
      </c>
      <c r="D4193" t="str">
        <f>"272"</f>
        <v>272</v>
      </c>
    </row>
    <row r="4194" spans="1:4" x14ac:dyDescent="0.25">
      <c r="A4194" t="str">
        <f>"838278423"</f>
        <v>838278423</v>
      </c>
      <c r="B4194" t="s">
        <v>4071</v>
      </c>
      <c r="C4194" s="1">
        <v>6237</v>
      </c>
      <c r="D4194" t="str">
        <f t="shared" ref="D4194:D4199" si="181">"278"</f>
        <v>278</v>
      </c>
    </row>
    <row r="4195" spans="1:4" x14ac:dyDescent="0.25">
      <c r="A4195" t="str">
        <f>"838278424"</f>
        <v>838278424</v>
      </c>
      <c r="B4195" t="s">
        <v>4072</v>
      </c>
      <c r="C4195" s="1">
        <v>6237</v>
      </c>
      <c r="D4195" t="str">
        <f t="shared" si="181"/>
        <v>278</v>
      </c>
    </row>
    <row r="4196" spans="1:4" x14ac:dyDescent="0.25">
      <c r="A4196" t="str">
        <f>"838278425"</f>
        <v>838278425</v>
      </c>
      <c r="B4196" t="s">
        <v>4073</v>
      </c>
      <c r="C4196" s="1">
        <v>6237</v>
      </c>
      <c r="D4196" t="str">
        <f t="shared" si="181"/>
        <v>278</v>
      </c>
    </row>
    <row r="4197" spans="1:4" x14ac:dyDescent="0.25">
      <c r="A4197" t="str">
        <f>"838278426"</f>
        <v>838278426</v>
      </c>
      <c r="B4197" t="s">
        <v>4074</v>
      </c>
      <c r="C4197" s="1">
        <v>6237</v>
      </c>
      <c r="D4197" t="str">
        <f t="shared" si="181"/>
        <v>278</v>
      </c>
    </row>
    <row r="4198" spans="1:4" x14ac:dyDescent="0.25">
      <c r="A4198" t="str">
        <f>"838278427"</f>
        <v>838278427</v>
      </c>
      <c r="B4198" t="s">
        <v>4075</v>
      </c>
      <c r="C4198" s="1">
        <v>6237</v>
      </c>
      <c r="D4198" t="str">
        <f t="shared" si="181"/>
        <v>278</v>
      </c>
    </row>
    <row r="4199" spans="1:4" x14ac:dyDescent="0.25">
      <c r="A4199" t="str">
        <f>"838278428"</f>
        <v>838278428</v>
      </c>
      <c r="B4199" t="s">
        <v>4076</v>
      </c>
      <c r="C4199" s="1">
        <v>6237</v>
      </c>
      <c r="D4199" t="str">
        <f t="shared" si="181"/>
        <v>278</v>
      </c>
    </row>
    <row r="4200" spans="1:4" x14ac:dyDescent="0.25">
      <c r="A4200" t="str">
        <f>"838278429"</f>
        <v>838278429</v>
      </c>
      <c r="B4200" t="s">
        <v>4077</v>
      </c>
      <c r="C4200">
        <v>282.98</v>
      </c>
      <c r="D4200" t="str">
        <f>"250"</f>
        <v>250</v>
      </c>
    </row>
    <row r="4201" spans="1:4" x14ac:dyDescent="0.25">
      <c r="A4201" t="str">
        <f>"838278430"</f>
        <v>838278430</v>
      </c>
      <c r="B4201" t="s">
        <v>4078</v>
      </c>
      <c r="C4201" s="1">
        <v>4511.72</v>
      </c>
      <c r="D4201" t="str">
        <f t="shared" ref="D4201:D4228" si="182">"278"</f>
        <v>278</v>
      </c>
    </row>
    <row r="4202" spans="1:4" x14ac:dyDescent="0.25">
      <c r="A4202" t="str">
        <f>"838278431"</f>
        <v>838278431</v>
      </c>
      <c r="B4202" t="s">
        <v>4079</v>
      </c>
      <c r="C4202" s="1">
        <v>4511.72</v>
      </c>
      <c r="D4202" t="str">
        <f t="shared" si="182"/>
        <v>278</v>
      </c>
    </row>
    <row r="4203" spans="1:4" x14ac:dyDescent="0.25">
      <c r="A4203" t="str">
        <f>"838278432"</f>
        <v>838278432</v>
      </c>
      <c r="B4203" t="s">
        <v>4080</v>
      </c>
      <c r="C4203" s="1">
        <v>4511.72</v>
      </c>
      <c r="D4203" t="str">
        <f t="shared" si="182"/>
        <v>278</v>
      </c>
    </row>
    <row r="4204" spans="1:4" x14ac:dyDescent="0.25">
      <c r="A4204" t="str">
        <f>"838278433"</f>
        <v>838278433</v>
      </c>
      <c r="B4204" t="s">
        <v>4081</v>
      </c>
      <c r="C4204" s="1">
        <v>4511.72</v>
      </c>
      <c r="D4204" t="str">
        <f t="shared" si="182"/>
        <v>278</v>
      </c>
    </row>
    <row r="4205" spans="1:4" x14ac:dyDescent="0.25">
      <c r="A4205" t="str">
        <f>"838278434"</f>
        <v>838278434</v>
      </c>
      <c r="B4205" t="s">
        <v>4082</v>
      </c>
      <c r="C4205" s="1">
        <v>4511.72</v>
      </c>
      <c r="D4205" t="str">
        <f t="shared" si="182"/>
        <v>278</v>
      </c>
    </row>
    <row r="4206" spans="1:4" x14ac:dyDescent="0.25">
      <c r="A4206" t="str">
        <f>"838278435"</f>
        <v>838278435</v>
      </c>
      <c r="B4206" t="s">
        <v>4083</v>
      </c>
      <c r="C4206" s="1">
        <v>4511.72</v>
      </c>
      <c r="D4206" t="str">
        <f t="shared" si="182"/>
        <v>278</v>
      </c>
    </row>
    <row r="4207" spans="1:4" x14ac:dyDescent="0.25">
      <c r="A4207" t="str">
        <f>"838278436"</f>
        <v>838278436</v>
      </c>
      <c r="B4207" t="s">
        <v>4084</v>
      </c>
      <c r="C4207" s="1">
        <v>4511.72</v>
      </c>
      <c r="D4207" t="str">
        <f t="shared" si="182"/>
        <v>278</v>
      </c>
    </row>
    <row r="4208" spans="1:4" x14ac:dyDescent="0.25">
      <c r="A4208" t="str">
        <f>"838278437"</f>
        <v>838278437</v>
      </c>
      <c r="B4208" t="s">
        <v>4085</v>
      </c>
      <c r="C4208" s="1">
        <v>4511.72</v>
      </c>
      <c r="D4208" t="str">
        <f t="shared" si="182"/>
        <v>278</v>
      </c>
    </row>
    <row r="4209" spans="1:4" x14ac:dyDescent="0.25">
      <c r="A4209" t="str">
        <f>"838278438"</f>
        <v>838278438</v>
      </c>
      <c r="B4209" t="s">
        <v>4086</v>
      </c>
      <c r="C4209" s="1">
        <v>4511.72</v>
      </c>
      <c r="D4209" t="str">
        <f t="shared" si="182"/>
        <v>278</v>
      </c>
    </row>
    <row r="4210" spans="1:4" x14ac:dyDescent="0.25">
      <c r="A4210" t="str">
        <f>"838278439"</f>
        <v>838278439</v>
      </c>
      <c r="B4210" t="s">
        <v>4087</v>
      </c>
      <c r="C4210" s="1">
        <v>4259.07</v>
      </c>
      <c r="D4210" t="str">
        <f t="shared" si="182"/>
        <v>278</v>
      </c>
    </row>
    <row r="4211" spans="1:4" x14ac:dyDescent="0.25">
      <c r="A4211" t="str">
        <f>"838278440"</f>
        <v>838278440</v>
      </c>
      <c r="B4211" t="s">
        <v>4088</v>
      </c>
      <c r="C4211" s="1">
        <v>4259.07</v>
      </c>
      <c r="D4211" t="str">
        <f t="shared" si="182"/>
        <v>278</v>
      </c>
    </row>
    <row r="4212" spans="1:4" x14ac:dyDescent="0.25">
      <c r="A4212" t="str">
        <f>"838278441"</f>
        <v>838278441</v>
      </c>
      <c r="B4212" t="s">
        <v>4089</v>
      </c>
      <c r="C4212" s="1">
        <v>4475.63</v>
      </c>
      <c r="D4212" t="str">
        <f t="shared" si="182"/>
        <v>278</v>
      </c>
    </row>
    <row r="4213" spans="1:4" x14ac:dyDescent="0.25">
      <c r="A4213" t="str">
        <f>"838278442"</f>
        <v>838278442</v>
      </c>
      <c r="B4213" t="s">
        <v>4090</v>
      </c>
      <c r="C4213" s="1">
        <v>4475.63</v>
      </c>
      <c r="D4213" t="str">
        <f t="shared" si="182"/>
        <v>278</v>
      </c>
    </row>
    <row r="4214" spans="1:4" x14ac:dyDescent="0.25">
      <c r="A4214" t="str">
        <f>"838278443"</f>
        <v>838278443</v>
      </c>
      <c r="B4214" t="s">
        <v>4091</v>
      </c>
      <c r="C4214" s="1">
        <v>4475.63</v>
      </c>
      <c r="D4214" t="str">
        <f t="shared" si="182"/>
        <v>278</v>
      </c>
    </row>
    <row r="4215" spans="1:4" x14ac:dyDescent="0.25">
      <c r="A4215" t="str">
        <f>"838278444"</f>
        <v>838278444</v>
      </c>
      <c r="B4215" t="s">
        <v>4092</v>
      </c>
      <c r="C4215" s="1">
        <v>5197.5</v>
      </c>
      <c r="D4215" t="str">
        <f t="shared" si="182"/>
        <v>278</v>
      </c>
    </row>
    <row r="4216" spans="1:4" x14ac:dyDescent="0.25">
      <c r="A4216" t="str">
        <f>"838278445"</f>
        <v>838278445</v>
      </c>
      <c r="B4216" t="s">
        <v>4093</v>
      </c>
      <c r="C4216" s="1">
        <v>5197.5</v>
      </c>
      <c r="D4216" t="str">
        <f t="shared" si="182"/>
        <v>278</v>
      </c>
    </row>
    <row r="4217" spans="1:4" x14ac:dyDescent="0.25">
      <c r="A4217" t="str">
        <f>"838278446"</f>
        <v>838278446</v>
      </c>
      <c r="B4217" t="s">
        <v>4094</v>
      </c>
      <c r="C4217" s="1">
        <v>5197.5</v>
      </c>
      <c r="D4217" t="str">
        <f t="shared" si="182"/>
        <v>278</v>
      </c>
    </row>
    <row r="4218" spans="1:4" x14ac:dyDescent="0.25">
      <c r="A4218" t="str">
        <f>"838278447"</f>
        <v>838278447</v>
      </c>
      <c r="B4218" t="s">
        <v>4095</v>
      </c>
      <c r="C4218">
        <v>404.25</v>
      </c>
      <c r="D4218" t="str">
        <f t="shared" si="182"/>
        <v>278</v>
      </c>
    </row>
    <row r="4219" spans="1:4" x14ac:dyDescent="0.25">
      <c r="A4219" t="str">
        <f>"838278448"</f>
        <v>838278448</v>
      </c>
      <c r="B4219" t="s">
        <v>4096</v>
      </c>
      <c r="C4219" s="1">
        <v>4285.05</v>
      </c>
      <c r="D4219" t="str">
        <f t="shared" si="182"/>
        <v>278</v>
      </c>
    </row>
    <row r="4220" spans="1:4" x14ac:dyDescent="0.25">
      <c r="A4220" t="str">
        <f>"838278449"</f>
        <v>838278449</v>
      </c>
      <c r="B4220" t="s">
        <v>4097</v>
      </c>
      <c r="C4220">
        <v>404.25</v>
      </c>
      <c r="D4220" t="str">
        <f t="shared" si="182"/>
        <v>278</v>
      </c>
    </row>
    <row r="4221" spans="1:4" x14ac:dyDescent="0.25">
      <c r="A4221" t="str">
        <f>"838278450"</f>
        <v>838278450</v>
      </c>
      <c r="B4221" t="s">
        <v>4098</v>
      </c>
      <c r="C4221">
        <v>866.25</v>
      </c>
      <c r="D4221" t="str">
        <f t="shared" si="182"/>
        <v>278</v>
      </c>
    </row>
    <row r="4222" spans="1:4" x14ac:dyDescent="0.25">
      <c r="A4222" t="str">
        <f>"838278451"</f>
        <v>838278451</v>
      </c>
      <c r="B4222" t="s">
        <v>4098</v>
      </c>
      <c r="C4222">
        <v>866.25</v>
      </c>
      <c r="D4222" t="str">
        <f t="shared" si="182"/>
        <v>278</v>
      </c>
    </row>
    <row r="4223" spans="1:4" x14ac:dyDescent="0.25">
      <c r="A4223" t="str">
        <f>"838278452"</f>
        <v>838278452</v>
      </c>
      <c r="B4223" t="s">
        <v>4098</v>
      </c>
      <c r="C4223">
        <v>866.25</v>
      </c>
      <c r="D4223" t="str">
        <f t="shared" si="182"/>
        <v>278</v>
      </c>
    </row>
    <row r="4224" spans="1:4" x14ac:dyDescent="0.25">
      <c r="A4224" t="str">
        <f>"838278453"</f>
        <v>838278453</v>
      </c>
      <c r="B4224" t="s">
        <v>4099</v>
      </c>
      <c r="C4224">
        <v>866.25</v>
      </c>
      <c r="D4224" t="str">
        <f t="shared" si="182"/>
        <v>278</v>
      </c>
    </row>
    <row r="4225" spans="1:5" x14ac:dyDescent="0.25">
      <c r="A4225" t="str">
        <f>"838278454"</f>
        <v>838278454</v>
      </c>
      <c r="B4225" t="s">
        <v>4099</v>
      </c>
      <c r="C4225">
        <v>866.25</v>
      </c>
      <c r="D4225" t="str">
        <f t="shared" si="182"/>
        <v>278</v>
      </c>
    </row>
    <row r="4226" spans="1:5" x14ac:dyDescent="0.25">
      <c r="A4226" t="str">
        <f>"838278455"</f>
        <v>838278455</v>
      </c>
      <c r="B4226" t="s">
        <v>4099</v>
      </c>
      <c r="C4226">
        <v>866.25</v>
      </c>
      <c r="D4226" t="str">
        <f t="shared" si="182"/>
        <v>278</v>
      </c>
    </row>
    <row r="4227" spans="1:5" x14ac:dyDescent="0.25">
      <c r="A4227" t="str">
        <f>"838278456"</f>
        <v>838278456</v>
      </c>
      <c r="B4227" t="s">
        <v>4100</v>
      </c>
      <c r="C4227" s="1">
        <v>2165.63</v>
      </c>
      <c r="D4227" t="str">
        <f t="shared" si="182"/>
        <v>278</v>
      </c>
      <c r="E4227" t="str">
        <f>"C1880"</f>
        <v>C1880</v>
      </c>
    </row>
    <row r="4228" spans="1:5" x14ac:dyDescent="0.25">
      <c r="A4228" t="str">
        <f>"838278457"</f>
        <v>838278457</v>
      </c>
      <c r="B4228" t="s">
        <v>4101</v>
      </c>
      <c r="C4228" s="1">
        <v>2165.63</v>
      </c>
      <c r="D4228" t="str">
        <f t="shared" si="182"/>
        <v>278</v>
      </c>
      <c r="E4228" t="str">
        <f>"C1880"</f>
        <v>C1880</v>
      </c>
    </row>
    <row r="4229" spans="1:5" x14ac:dyDescent="0.25">
      <c r="A4229" t="str">
        <f>"838278458"</f>
        <v>838278458</v>
      </c>
      <c r="B4229" t="s">
        <v>4102</v>
      </c>
      <c r="C4229">
        <v>682.89</v>
      </c>
      <c r="D4229" t="str">
        <f>"309"</f>
        <v>309</v>
      </c>
    </row>
    <row r="4230" spans="1:5" x14ac:dyDescent="0.25">
      <c r="A4230" t="str">
        <f>"838278459"</f>
        <v>838278459</v>
      </c>
      <c r="B4230" t="s">
        <v>4103</v>
      </c>
      <c r="C4230" s="1">
        <v>2165.63</v>
      </c>
      <c r="D4230" t="str">
        <f t="shared" ref="D4230:D4235" si="183">"278"</f>
        <v>278</v>
      </c>
    </row>
    <row r="4231" spans="1:5" x14ac:dyDescent="0.25">
      <c r="A4231" t="str">
        <f>"838278460"</f>
        <v>838278460</v>
      </c>
      <c r="B4231" t="s">
        <v>4104</v>
      </c>
      <c r="C4231" s="1">
        <v>3937.11</v>
      </c>
      <c r="D4231" t="str">
        <f t="shared" si="183"/>
        <v>278</v>
      </c>
    </row>
    <row r="4232" spans="1:5" x14ac:dyDescent="0.25">
      <c r="A4232" t="str">
        <f>"838278461"</f>
        <v>838278461</v>
      </c>
      <c r="B4232" t="s">
        <v>4105</v>
      </c>
      <c r="C4232" s="1">
        <v>1573.39</v>
      </c>
      <c r="D4232" t="str">
        <f t="shared" si="183"/>
        <v>278</v>
      </c>
    </row>
    <row r="4233" spans="1:5" x14ac:dyDescent="0.25">
      <c r="A4233" t="str">
        <f>"838278462"</f>
        <v>838278462</v>
      </c>
      <c r="B4233" t="s">
        <v>4106</v>
      </c>
      <c r="C4233" s="1">
        <v>1126.1300000000001</v>
      </c>
      <c r="D4233" t="str">
        <f t="shared" si="183"/>
        <v>278</v>
      </c>
    </row>
    <row r="4234" spans="1:5" x14ac:dyDescent="0.25">
      <c r="A4234" t="str">
        <f>"838278463"</f>
        <v>838278463</v>
      </c>
      <c r="B4234" t="s">
        <v>4107</v>
      </c>
      <c r="C4234" s="1">
        <v>1501.5</v>
      </c>
      <c r="D4234" t="str">
        <f t="shared" si="183"/>
        <v>278</v>
      </c>
    </row>
    <row r="4235" spans="1:5" x14ac:dyDescent="0.25">
      <c r="A4235" t="str">
        <f>"838278464"</f>
        <v>838278464</v>
      </c>
      <c r="B4235" t="s">
        <v>4108</v>
      </c>
      <c r="C4235">
        <v>519.75</v>
      </c>
      <c r="D4235" t="str">
        <f t="shared" si="183"/>
        <v>278</v>
      </c>
      <c r="E4235" t="str">
        <f>"V2630"</f>
        <v>V2630</v>
      </c>
    </row>
    <row r="4236" spans="1:5" x14ac:dyDescent="0.25">
      <c r="A4236" t="str">
        <f>"838278465"</f>
        <v>838278465</v>
      </c>
      <c r="B4236" t="s">
        <v>4109</v>
      </c>
      <c r="C4236">
        <v>519.75</v>
      </c>
      <c r="D4236" t="str">
        <f>"272"</f>
        <v>272</v>
      </c>
      <c r="E4236" t="str">
        <f>"C1780"</f>
        <v>C1780</v>
      </c>
    </row>
    <row r="4237" spans="1:5" x14ac:dyDescent="0.25">
      <c r="A4237" t="str">
        <f>"838278466"</f>
        <v>838278466</v>
      </c>
      <c r="B4237" t="s">
        <v>4110</v>
      </c>
      <c r="C4237">
        <v>247.75</v>
      </c>
      <c r="D4237" t="str">
        <f>"278"</f>
        <v>278</v>
      </c>
      <c r="E4237" t="str">
        <f>"C1769"</f>
        <v>C1769</v>
      </c>
    </row>
    <row r="4238" spans="1:5" x14ac:dyDescent="0.25">
      <c r="A4238" t="str">
        <f>"838278467"</f>
        <v>838278467</v>
      </c>
      <c r="B4238" t="s">
        <v>4111</v>
      </c>
      <c r="C4238" s="1">
        <v>1348.93</v>
      </c>
      <c r="D4238" t="str">
        <f>"278"</f>
        <v>278</v>
      </c>
      <c r="E4238" t="str">
        <f>"C2617"</f>
        <v>C2617</v>
      </c>
    </row>
    <row r="4239" spans="1:5" x14ac:dyDescent="0.25">
      <c r="A4239" t="str">
        <f>"838278500"</f>
        <v>838278500</v>
      </c>
      <c r="B4239" t="s">
        <v>4112</v>
      </c>
      <c r="C4239" s="1">
        <v>16170</v>
      </c>
      <c r="D4239" t="str">
        <f>"278"</f>
        <v>278</v>
      </c>
    </row>
    <row r="4240" spans="1:5" x14ac:dyDescent="0.25">
      <c r="A4240" t="str">
        <f>"838278501"</f>
        <v>838278501</v>
      </c>
      <c r="B4240" t="s">
        <v>4113</v>
      </c>
      <c r="C4240" s="1">
        <v>7259.18</v>
      </c>
      <c r="D4240" t="str">
        <f>"278"</f>
        <v>278</v>
      </c>
      <c r="E4240" t="str">
        <f>"C1874"</f>
        <v>C1874</v>
      </c>
    </row>
    <row r="4241" spans="1:5" x14ac:dyDescent="0.25">
      <c r="A4241" t="str">
        <f>"838278502"</f>
        <v>838278502</v>
      </c>
      <c r="B4241" t="s">
        <v>4114</v>
      </c>
      <c r="C4241">
        <v>831.6</v>
      </c>
      <c r="D4241" t="str">
        <f>"272"</f>
        <v>272</v>
      </c>
      <c r="E4241" t="str">
        <f>"C1713"</f>
        <v>C1713</v>
      </c>
    </row>
    <row r="4242" spans="1:5" x14ac:dyDescent="0.25">
      <c r="A4242" t="str">
        <f>"838278503"</f>
        <v>838278503</v>
      </c>
      <c r="B4242" t="s">
        <v>4115</v>
      </c>
      <c r="C4242">
        <v>883.58</v>
      </c>
      <c r="D4242" t="str">
        <f>"278"</f>
        <v>278</v>
      </c>
      <c r="E4242" t="str">
        <f>"C1713"</f>
        <v>C1713</v>
      </c>
    </row>
    <row r="4243" spans="1:5" x14ac:dyDescent="0.25">
      <c r="A4243" t="str">
        <f>"838278505"</f>
        <v>838278505</v>
      </c>
      <c r="B4243" t="s">
        <v>4116</v>
      </c>
      <c r="C4243" s="1">
        <v>20097</v>
      </c>
      <c r="D4243" t="str">
        <f>"275"</f>
        <v>275</v>
      </c>
      <c r="E4243" t="str">
        <f>"C1785"</f>
        <v>C1785</v>
      </c>
    </row>
    <row r="4244" spans="1:5" x14ac:dyDescent="0.25">
      <c r="A4244" t="str">
        <f>"838278507"</f>
        <v>838278507</v>
      </c>
      <c r="B4244" t="s">
        <v>4117</v>
      </c>
      <c r="C4244">
        <v>987.53</v>
      </c>
      <c r="D4244" t="str">
        <f t="shared" ref="D4244:D4302" si="184">"278"</f>
        <v>278</v>
      </c>
      <c r="E4244" t="str">
        <f>"C1713"</f>
        <v>C1713</v>
      </c>
    </row>
    <row r="4245" spans="1:5" x14ac:dyDescent="0.25">
      <c r="A4245" t="str">
        <f>"838278508"</f>
        <v>838278508</v>
      </c>
      <c r="B4245" t="s">
        <v>4118</v>
      </c>
      <c r="C4245" s="1">
        <v>8375.4</v>
      </c>
      <c r="D4245" t="str">
        <f t="shared" si="184"/>
        <v>278</v>
      </c>
      <c r="E4245" t="str">
        <f>"Q4118"</f>
        <v>Q4118</v>
      </c>
    </row>
    <row r="4246" spans="1:5" x14ac:dyDescent="0.25">
      <c r="A4246" t="str">
        <f>"838278509"</f>
        <v>838278509</v>
      </c>
      <c r="B4246" t="s">
        <v>4119</v>
      </c>
      <c r="C4246" s="1">
        <v>6979.5</v>
      </c>
      <c r="D4246" t="str">
        <f t="shared" si="184"/>
        <v>278</v>
      </c>
      <c r="E4246" t="str">
        <f>"Q4166"</f>
        <v>Q4166</v>
      </c>
    </row>
    <row r="4247" spans="1:5" x14ac:dyDescent="0.25">
      <c r="A4247" t="str">
        <f>"838278510"</f>
        <v>838278510</v>
      </c>
      <c r="B4247" t="s">
        <v>4120</v>
      </c>
      <c r="C4247">
        <v>495</v>
      </c>
      <c r="D4247" t="str">
        <f t="shared" si="184"/>
        <v>278</v>
      </c>
    </row>
    <row r="4248" spans="1:5" x14ac:dyDescent="0.25">
      <c r="A4248" t="str">
        <f>"838278511"</f>
        <v>838278511</v>
      </c>
      <c r="B4248" t="s">
        <v>4121</v>
      </c>
      <c r="C4248">
        <v>165</v>
      </c>
      <c r="D4248" t="str">
        <f t="shared" si="184"/>
        <v>278</v>
      </c>
    </row>
    <row r="4249" spans="1:5" x14ac:dyDescent="0.25">
      <c r="A4249" t="str">
        <f>"838278512"</f>
        <v>838278512</v>
      </c>
      <c r="B4249" t="s">
        <v>4122</v>
      </c>
      <c r="C4249">
        <v>594</v>
      </c>
      <c r="D4249" t="str">
        <f t="shared" si="184"/>
        <v>278</v>
      </c>
    </row>
    <row r="4250" spans="1:5" x14ac:dyDescent="0.25">
      <c r="A4250" t="str">
        <f>"838278513"</f>
        <v>838278513</v>
      </c>
      <c r="B4250" t="s">
        <v>4123</v>
      </c>
      <c r="C4250" s="1">
        <v>2145</v>
      </c>
      <c r="D4250" t="str">
        <f t="shared" si="184"/>
        <v>278</v>
      </c>
    </row>
    <row r="4251" spans="1:5" x14ac:dyDescent="0.25">
      <c r="A4251" t="str">
        <f>"838278514"</f>
        <v>838278514</v>
      </c>
      <c r="B4251" t="s">
        <v>4124</v>
      </c>
      <c r="C4251" s="1">
        <v>3003</v>
      </c>
      <c r="D4251" t="str">
        <f t="shared" si="184"/>
        <v>278</v>
      </c>
    </row>
    <row r="4252" spans="1:5" x14ac:dyDescent="0.25">
      <c r="A4252" t="str">
        <f>"838278515"</f>
        <v>838278515</v>
      </c>
      <c r="B4252" t="s">
        <v>4125</v>
      </c>
      <c r="C4252" s="1">
        <v>19470</v>
      </c>
      <c r="D4252" t="str">
        <f t="shared" si="184"/>
        <v>278</v>
      </c>
    </row>
    <row r="4253" spans="1:5" x14ac:dyDescent="0.25">
      <c r="A4253" t="str">
        <f>"838278516"</f>
        <v>838278516</v>
      </c>
      <c r="B4253" t="s">
        <v>4126</v>
      </c>
      <c r="C4253">
        <v>528</v>
      </c>
      <c r="D4253" t="str">
        <f t="shared" si="184"/>
        <v>278</v>
      </c>
    </row>
    <row r="4254" spans="1:5" x14ac:dyDescent="0.25">
      <c r="A4254" t="str">
        <f>"838278517"</f>
        <v>838278517</v>
      </c>
      <c r="B4254" t="s">
        <v>4127</v>
      </c>
      <c r="C4254">
        <v>501.6</v>
      </c>
      <c r="D4254" t="str">
        <f t="shared" si="184"/>
        <v>278</v>
      </c>
    </row>
    <row r="4255" spans="1:5" x14ac:dyDescent="0.25">
      <c r="A4255" t="str">
        <f>"838278518"</f>
        <v>838278518</v>
      </c>
      <c r="B4255" t="s">
        <v>4128</v>
      </c>
      <c r="C4255" s="1">
        <v>6468</v>
      </c>
      <c r="D4255" t="str">
        <f t="shared" si="184"/>
        <v>278</v>
      </c>
    </row>
    <row r="4256" spans="1:5" x14ac:dyDescent="0.25">
      <c r="A4256" t="str">
        <f>"838278519"</f>
        <v>838278519</v>
      </c>
      <c r="B4256" t="s">
        <v>4129</v>
      </c>
      <c r="C4256">
        <v>422.4</v>
      </c>
      <c r="D4256" t="str">
        <f t="shared" si="184"/>
        <v>278</v>
      </c>
    </row>
    <row r="4257" spans="1:4" x14ac:dyDescent="0.25">
      <c r="A4257" t="str">
        <f>"838278520"</f>
        <v>838278520</v>
      </c>
      <c r="B4257" t="s">
        <v>4130</v>
      </c>
      <c r="C4257">
        <v>132</v>
      </c>
      <c r="D4257" t="str">
        <f t="shared" si="184"/>
        <v>278</v>
      </c>
    </row>
    <row r="4258" spans="1:4" x14ac:dyDescent="0.25">
      <c r="A4258" t="str">
        <f>"838278521"</f>
        <v>838278521</v>
      </c>
      <c r="B4258" t="s">
        <v>4131</v>
      </c>
      <c r="C4258">
        <v>660</v>
      </c>
      <c r="D4258" t="str">
        <f t="shared" si="184"/>
        <v>278</v>
      </c>
    </row>
    <row r="4259" spans="1:4" x14ac:dyDescent="0.25">
      <c r="A4259" t="str">
        <f>"838278522"</f>
        <v>838278522</v>
      </c>
      <c r="B4259" t="s">
        <v>4132</v>
      </c>
      <c r="C4259">
        <v>660</v>
      </c>
      <c r="D4259" t="str">
        <f t="shared" si="184"/>
        <v>278</v>
      </c>
    </row>
    <row r="4260" spans="1:4" x14ac:dyDescent="0.25">
      <c r="A4260" t="str">
        <f>"838278523"</f>
        <v>838278523</v>
      </c>
      <c r="B4260" t="s">
        <v>4133</v>
      </c>
      <c r="C4260">
        <v>765.6</v>
      </c>
      <c r="D4260" t="str">
        <f t="shared" si="184"/>
        <v>278</v>
      </c>
    </row>
    <row r="4261" spans="1:4" x14ac:dyDescent="0.25">
      <c r="A4261" t="str">
        <f>"838278524"</f>
        <v>838278524</v>
      </c>
      <c r="B4261" t="s">
        <v>4134</v>
      </c>
      <c r="C4261">
        <v>501.6</v>
      </c>
      <c r="D4261" t="str">
        <f t="shared" si="184"/>
        <v>278</v>
      </c>
    </row>
    <row r="4262" spans="1:4" x14ac:dyDescent="0.25">
      <c r="A4262" t="str">
        <f>"838278525"</f>
        <v>838278525</v>
      </c>
      <c r="B4262" t="s">
        <v>4135</v>
      </c>
      <c r="C4262">
        <v>712.8</v>
      </c>
      <c r="D4262" t="str">
        <f t="shared" si="184"/>
        <v>278</v>
      </c>
    </row>
    <row r="4263" spans="1:4" x14ac:dyDescent="0.25">
      <c r="A4263" t="str">
        <f>"838278526"</f>
        <v>838278526</v>
      </c>
      <c r="B4263" t="s">
        <v>4136</v>
      </c>
      <c r="C4263">
        <v>660</v>
      </c>
      <c r="D4263" t="str">
        <f t="shared" si="184"/>
        <v>278</v>
      </c>
    </row>
    <row r="4264" spans="1:4" x14ac:dyDescent="0.25">
      <c r="A4264" t="str">
        <f>"838278527"</f>
        <v>838278527</v>
      </c>
      <c r="B4264" t="s">
        <v>4137</v>
      </c>
      <c r="C4264">
        <v>765.6</v>
      </c>
      <c r="D4264" t="str">
        <f t="shared" si="184"/>
        <v>278</v>
      </c>
    </row>
    <row r="4265" spans="1:4" x14ac:dyDescent="0.25">
      <c r="A4265" t="str">
        <f>"838278528"</f>
        <v>838278528</v>
      </c>
      <c r="B4265" t="s">
        <v>4138</v>
      </c>
      <c r="C4265">
        <v>765.6</v>
      </c>
      <c r="D4265" t="str">
        <f t="shared" si="184"/>
        <v>278</v>
      </c>
    </row>
    <row r="4266" spans="1:4" x14ac:dyDescent="0.25">
      <c r="A4266" t="str">
        <f>"838278529"</f>
        <v>838278529</v>
      </c>
      <c r="B4266" t="s">
        <v>4139</v>
      </c>
      <c r="C4266" s="1">
        <v>29700</v>
      </c>
      <c r="D4266" t="str">
        <f t="shared" si="184"/>
        <v>278</v>
      </c>
    </row>
    <row r="4267" spans="1:4" x14ac:dyDescent="0.25">
      <c r="A4267" t="str">
        <f>"838278530"</f>
        <v>838278530</v>
      </c>
      <c r="B4267" t="s">
        <v>4140</v>
      </c>
      <c r="C4267" s="1">
        <v>1155</v>
      </c>
      <c r="D4267" t="str">
        <f t="shared" si="184"/>
        <v>278</v>
      </c>
    </row>
    <row r="4268" spans="1:4" x14ac:dyDescent="0.25">
      <c r="A4268" t="str">
        <f>"838278531"</f>
        <v>838278531</v>
      </c>
      <c r="B4268" t="s">
        <v>3343</v>
      </c>
      <c r="C4268" s="1">
        <v>3135</v>
      </c>
      <c r="D4268" t="str">
        <f t="shared" si="184"/>
        <v>278</v>
      </c>
    </row>
    <row r="4269" spans="1:4" x14ac:dyDescent="0.25">
      <c r="A4269" t="str">
        <f>"838278532"</f>
        <v>838278532</v>
      </c>
      <c r="B4269" t="s">
        <v>3201</v>
      </c>
      <c r="C4269">
        <v>589.04999999999995</v>
      </c>
      <c r="D4269" t="str">
        <f t="shared" si="184"/>
        <v>278</v>
      </c>
    </row>
    <row r="4270" spans="1:4" x14ac:dyDescent="0.25">
      <c r="A4270" t="str">
        <f>"838278533"</f>
        <v>838278533</v>
      </c>
      <c r="B4270" t="s">
        <v>4141</v>
      </c>
      <c r="C4270" s="1">
        <v>7425</v>
      </c>
      <c r="D4270" t="str">
        <f t="shared" si="184"/>
        <v>278</v>
      </c>
    </row>
    <row r="4271" spans="1:4" x14ac:dyDescent="0.25">
      <c r="A4271" t="str">
        <f>"838278534"</f>
        <v>838278534</v>
      </c>
      <c r="B4271" t="s">
        <v>4142</v>
      </c>
      <c r="C4271">
        <v>495</v>
      </c>
      <c r="D4271" t="str">
        <f t="shared" si="184"/>
        <v>278</v>
      </c>
    </row>
    <row r="4272" spans="1:4" x14ac:dyDescent="0.25">
      <c r="A4272" t="str">
        <f>"838278535"</f>
        <v>838278535</v>
      </c>
      <c r="B4272" t="s">
        <v>4143</v>
      </c>
      <c r="C4272" s="1">
        <v>7425</v>
      </c>
      <c r="D4272" t="str">
        <f t="shared" si="184"/>
        <v>278</v>
      </c>
    </row>
    <row r="4273" spans="1:4" x14ac:dyDescent="0.25">
      <c r="A4273" t="str">
        <f>"838278536"</f>
        <v>838278536</v>
      </c>
      <c r="B4273" t="s">
        <v>4144</v>
      </c>
      <c r="C4273" s="1">
        <v>3298.48</v>
      </c>
      <c r="D4273" t="str">
        <f t="shared" si="184"/>
        <v>278</v>
      </c>
    </row>
    <row r="4274" spans="1:4" x14ac:dyDescent="0.25">
      <c r="A4274" t="str">
        <f>"838278537"</f>
        <v>838278537</v>
      </c>
      <c r="B4274" t="s">
        <v>4145</v>
      </c>
      <c r="C4274" s="1">
        <v>1111.97</v>
      </c>
      <c r="D4274" t="str">
        <f t="shared" si="184"/>
        <v>278</v>
      </c>
    </row>
    <row r="4275" spans="1:4" x14ac:dyDescent="0.25">
      <c r="A4275" t="str">
        <f>"838278538"</f>
        <v>838278538</v>
      </c>
      <c r="B4275" t="s">
        <v>4146</v>
      </c>
      <c r="C4275">
        <v>171.07</v>
      </c>
      <c r="D4275" t="str">
        <f t="shared" si="184"/>
        <v>278</v>
      </c>
    </row>
    <row r="4276" spans="1:4" x14ac:dyDescent="0.25">
      <c r="A4276" t="str">
        <f>"838278539"</f>
        <v>838278539</v>
      </c>
      <c r="B4276" t="s">
        <v>4147</v>
      </c>
      <c r="C4276">
        <v>171.07</v>
      </c>
      <c r="D4276" t="str">
        <f t="shared" si="184"/>
        <v>278</v>
      </c>
    </row>
    <row r="4277" spans="1:4" x14ac:dyDescent="0.25">
      <c r="A4277" t="str">
        <f>"838278540"</f>
        <v>838278540</v>
      </c>
      <c r="B4277" t="s">
        <v>4148</v>
      </c>
      <c r="C4277">
        <v>171.07</v>
      </c>
      <c r="D4277" t="str">
        <f t="shared" si="184"/>
        <v>278</v>
      </c>
    </row>
    <row r="4278" spans="1:4" x14ac:dyDescent="0.25">
      <c r="A4278" t="str">
        <f>"838278541"</f>
        <v>838278541</v>
      </c>
      <c r="B4278" t="s">
        <v>4149</v>
      </c>
      <c r="C4278">
        <v>171.07</v>
      </c>
      <c r="D4278" t="str">
        <f t="shared" si="184"/>
        <v>278</v>
      </c>
    </row>
    <row r="4279" spans="1:4" x14ac:dyDescent="0.25">
      <c r="A4279" t="str">
        <f>"838278542"</f>
        <v>838278542</v>
      </c>
      <c r="B4279" t="s">
        <v>4150</v>
      </c>
      <c r="C4279">
        <v>171.07</v>
      </c>
      <c r="D4279" t="str">
        <f t="shared" si="184"/>
        <v>278</v>
      </c>
    </row>
    <row r="4280" spans="1:4" x14ac:dyDescent="0.25">
      <c r="A4280" t="str">
        <f>"838278543"</f>
        <v>838278543</v>
      </c>
      <c r="B4280" t="s">
        <v>4151</v>
      </c>
      <c r="C4280">
        <v>171.07</v>
      </c>
      <c r="D4280" t="str">
        <f t="shared" si="184"/>
        <v>278</v>
      </c>
    </row>
    <row r="4281" spans="1:4" x14ac:dyDescent="0.25">
      <c r="A4281" t="str">
        <f>"838278544"</f>
        <v>838278544</v>
      </c>
      <c r="B4281" t="s">
        <v>4152</v>
      </c>
      <c r="C4281">
        <v>211.38</v>
      </c>
      <c r="D4281" t="str">
        <f t="shared" si="184"/>
        <v>278</v>
      </c>
    </row>
    <row r="4282" spans="1:4" x14ac:dyDescent="0.25">
      <c r="A4282" t="str">
        <f>"838278545"</f>
        <v>838278545</v>
      </c>
      <c r="B4282" t="s">
        <v>4153</v>
      </c>
      <c r="C4282">
        <v>577.37</v>
      </c>
      <c r="D4282" t="str">
        <f t="shared" si="184"/>
        <v>278</v>
      </c>
    </row>
    <row r="4283" spans="1:4" x14ac:dyDescent="0.25">
      <c r="A4283" t="str">
        <f>"838278546"</f>
        <v>838278546</v>
      </c>
      <c r="B4283" t="s">
        <v>4154</v>
      </c>
      <c r="C4283">
        <v>58.81</v>
      </c>
      <c r="D4283" t="str">
        <f t="shared" si="184"/>
        <v>278</v>
      </c>
    </row>
    <row r="4284" spans="1:4" x14ac:dyDescent="0.25">
      <c r="A4284" t="str">
        <f>"838278547"</f>
        <v>838278547</v>
      </c>
      <c r="B4284" t="s">
        <v>4155</v>
      </c>
      <c r="C4284" s="1">
        <v>2640</v>
      </c>
      <c r="D4284" t="str">
        <f t="shared" si="184"/>
        <v>278</v>
      </c>
    </row>
    <row r="4285" spans="1:4" x14ac:dyDescent="0.25">
      <c r="A4285" t="str">
        <f>"838278548"</f>
        <v>838278548</v>
      </c>
      <c r="B4285" t="s">
        <v>4156</v>
      </c>
      <c r="C4285" s="1">
        <v>2640</v>
      </c>
      <c r="D4285" t="str">
        <f t="shared" si="184"/>
        <v>278</v>
      </c>
    </row>
    <row r="4286" spans="1:4" x14ac:dyDescent="0.25">
      <c r="A4286" t="str">
        <f>"838278549"</f>
        <v>838278549</v>
      </c>
      <c r="B4286" t="s">
        <v>4157</v>
      </c>
      <c r="C4286" s="1">
        <v>2640</v>
      </c>
      <c r="D4286" t="str">
        <f t="shared" si="184"/>
        <v>278</v>
      </c>
    </row>
    <row r="4287" spans="1:4" x14ac:dyDescent="0.25">
      <c r="A4287" t="str">
        <f>"838278550"</f>
        <v>838278550</v>
      </c>
      <c r="B4287" t="s">
        <v>4158</v>
      </c>
      <c r="C4287" s="1">
        <v>2640</v>
      </c>
      <c r="D4287" t="str">
        <f t="shared" si="184"/>
        <v>278</v>
      </c>
    </row>
    <row r="4288" spans="1:4" x14ac:dyDescent="0.25">
      <c r="A4288" t="str">
        <f>"838278551"</f>
        <v>838278551</v>
      </c>
      <c r="B4288" t="s">
        <v>4159</v>
      </c>
      <c r="C4288">
        <v>165</v>
      </c>
      <c r="D4288" t="str">
        <f t="shared" si="184"/>
        <v>278</v>
      </c>
    </row>
    <row r="4289" spans="1:4" x14ac:dyDescent="0.25">
      <c r="A4289" t="str">
        <f>"838278552"</f>
        <v>838278552</v>
      </c>
      <c r="B4289" t="s">
        <v>4160</v>
      </c>
      <c r="C4289">
        <v>330</v>
      </c>
      <c r="D4289" t="str">
        <f t="shared" si="184"/>
        <v>278</v>
      </c>
    </row>
    <row r="4290" spans="1:4" x14ac:dyDescent="0.25">
      <c r="A4290" t="str">
        <f>"838278553"</f>
        <v>838278553</v>
      </c>
      <c r="B4290" t="s">
        <v>4161</v>
      </c>
      <c r="C4290">
        <v>990</v>
      </c>
      <c r="D4290" t="str">
        <f t="shared" si="184"/>
        <v>278</v>
      </c>
    </row>
    <row r="4291" spans="1:4" x14ac:dyDescent="0.25">
      <c r="A4291" t="str">
        <f>"838278554"</f>
        <v>838278554</v>
      </c>
      <c r="B4291" t="s">
        <v>4162</v>
      </c>
      <c r="C4291" s="1">
        <v>2310</v>
      </c>
      <c r="D4291" t="str">
        <f t="shared" si="184"/>
        <v>278</v>
      </c>
    </row>
    <row r="4292" spans="1:4" x14ac:dyDescent="0.25">
      <c r="A4292" t="str">
        <f>"838278555"</f>
        <v>838278555</v>
      </c>
      <c r="B4292" t="s">
        <v>4163</v>
      </c>
      <c r="C4292" s="1">
        <v>2310</v>
      </c>
      <c r="D4292" t="str">
        <f t="shared" si="184"/>
        <v>278</v>
      </c>
    </row>
    <row r="4293" spans="1:4" x14ac:dyDescent="0.25">
      <c r="A4293" t="str">
        <f>"838278556"</f>
        <v>838278556</v>
      </c>
      <c r="B4293" t="s">
        <v>4164</v>
      </c>
      <c r="C4293" s="1">
        <v>29700</v>
      </c>
      <c r="D4293" t="str">
        <f t="shared" si="184"/>
        <v>278</v>
      </c>
    </row>
    <row r="4294" spans="1:4" x14ac:dyDescent="0.25">
      <c r="A4294" t="str">
        <f>"838278557"</f>
        <v>838278557</v>
      </c>
      <c r="B4294" t="s">
        <v>3385</v>
      </c>
      <c r="C4294" s="1">
        <v>7920</v>
      </c>
      <c r="D4294" t="str">
        <f t="shared" si="184"/>
        <v>278</v>
      </c>
    </row>
    <row r="4295" spans="1:4" x14ac:dyDescent="0.25">
      <c r="A4295" t="str">
        <f>"838278558"</f>
        <v>838278558</v>
      </c>
      <c r="B4295" t="s">
        <v>3301</v>
      </c>
      <c r="C4295" s="1">
        <v>2640</v>
      </c>
      <c r="D4295" t="str">
        <f t="shared" si="184"/>
        <v>278</v>
      </c>
    </row>
    <row r="4296" spans="1:4" x14ac:dyDescent="0.25">
      <c r="A4296" t="str">
        <f>"838278559"</f>
        <v>838278559</v>
      </c>
      <c r="B4296" t="s">
        <v>4165</v>
      </c>
      <c r="C4296" s="1">
        <v>2640</v>
      </c>
      <c r="D4296" t="str">
        <f t="shared" si="184"/>
        <v>278</v>
      </c>
    </row>
    <row r="4297" spans="1:4" x14ac:dyDescent="0.25">
      <c r="A4297" t="str">
        <f>"838278560"</f>
        <v>838278560</v>
      </c>
      <c r="B4297" t="s">
        <v>3303</v>
      </c>
      <c r="C4297">
        <v>165</v>
      </c>
      <c r="D4297" t="str">
        <f t="shared" si="184"/>
        <v>278</v>
      </c>
    </row>
    <row r="4298" spans="1:4" x14ac:dyDescent="0.25">
      <c r="A4298" t="str">
        <f>"838278561"</f>
        <v>838278561</v>
      </c>
      <c r="B4298" t="s">
        <v>4166</v>
      </c>
      <c r="C4298" s="1">
        <v>16500</v>
      </c>
      <c r="D4298" t="str">
        <f t="shared" si="184"/>
        <v>278</v>
      </c>
    </row>
    <row r="4299" spans="1:4" x14ac:dyDescent="0.25">
      <c r="A4299" t="str">
        <f>"838278562"</f>
        <v>838278562</v>
      </c>
      <c r="B4299" t="s">
        <v>3342</v>
      </c>
      <c r="C4299" s="1">
        <v>5940</v>
      </c>
      <c r="D4299" t="str">
        <f t="shared" si="184"/>
        <v>278</v>
      </c>
    </row>
    <row r="4300" spans="1:4" x14ac:dyDescent="0.25">
      <c r="A4300" t="str">
        <f>"838278563"</f>
        <v>838278563</v>
      </c>
      <c r="B4300" t="s">
        <v>4167</v>
      </c>
      <c r="C4300">
        <v>495</v>
      </c>
      <c r="D4300" t="str">
        <f t="shared" si="184"/>
        <v>278</v>
      </c>
    </row>
    <row r="4301" spans="1:4" x14ac:dyDescent="0.25">
      <c r="A4301" t="str">
        <f>"838278564"</f>
        <v>838278564</v>
      </c>
      <c r="B4301" t="s">
        <v>4168</v>
      </c>
      <c r="C4301" s="1">
        <v>2640</v>
      </c>
      <c r="D4301" t="str">
        <f t="shared" si="184"/>
        <v>278</v>
      </c>
    </row>
    <row r="4302" spans="1:4" x14ac:dyDescent="0.25">
      <c r="A4302" t="str">
        <f>"838278565"</f>
        <v>838278565</v>
      </c>
      <c r="B4302" t="s">
        <v>3339</v>
      </c>
      <c r="C4302">
        <v>278.85000000000002</v>
      </c>
      <c r="D4302" t="str">
        <f t="shared" si="184"/>
        <v>278</v>
      </c>
    </row>
    <row r="4303" spans="1:4" x14ac:dyDescent="0.25">
      <c r="A4303" t="str">
        <f>"838278566"</f>
        <v>838278566</v>
      </c>
      <c r="B4303" t="s">
        <v>4169</v>
      </c>
      <c r="C4303" s="1">
        <v>2475</v>
      </c>
      <c r="D4303" t="str">
        <f>"270"</f>
        <v>270</v>
      </c>
    </row>
    <row r="4304" spans="1:4" x14ac:dyDescent="0.25">
      <c r="A4304" t="str">
        <f>"838278567"</f>
        <v>838278567</v>
      </c>
      <c r="B4304" t="s">
        <v>4170</v>
      </c>
      <c r="C4304" s="1">
        <v>7920</v>
      </c>
      <c r="D4304" t="str">
        <f t="shared" ref="D4304:D4366" si="185">"278"</f>
        <v>278</v>
      </c>
    </row>
    <row r="4305" spans="1:5" x14ac:dyDescent="0.25">
      <c r="A4305" t="str">
        <f>"838278568"</f>
        <v>838278568</v>
      </c>
      <c r="B4305" t="s">
        <v>4171</v>
      </c>
      <c r="C4305" s="1">
        <v>7920</v>
      </c>
      <c r="D4305" t="str">
        <f t="shared" si="185"/>
        <v>278</v>
      </c>
    </row>
    <row r="4306" spans="1:5" x14ac:dyDescent="0.25">
      <c r="A4306" t="str">
        <f>"838278569"</f>
        <v>838278569</v>
      </c>
      <c r="B4306" t="s">
        <v>3362</v>
      </c>
      <c r="C4306" s="1">
        <v>2640</v>
      </c>
      <c r="D4306" t="str">
        <f t="shared" si="185"/>
        <v>278</v>
      </c>
    </row>
    <row r="4307" spans="1:5" x14ac:dyDescent="0.25">
      <c r="A4307" t="str">
        <f>"838278570"</f>
        <v>838278570</v>
      </c>
      <c r="B4307" t="s">
        <v>3314</v>
      </c>
      <c r="C4307" s="1">
        <v>2640</v>
      </c>
      <c r="D4307" t="str">
        <f t="shared" si="185"/>
        <v>278</v>
      </c>
    </row>
    <row r="4308" spans="1:5" x14ac:dyDescent="0.25">
      <c r="A4308" t="str">
        <f>"838278571"</f>
        <v>838278571</v>
      </c>
      <c r="B4308" t="s">
        <v>4172</v>
      </c>
      <c r="C4308" s="1">
        <v>2640</v>
      </c>
      <c r="D4308" t="str">
        <f t="shared" si="185"/>
        <v>278</v>
      </c>
    </row>
    <row r="4309" spans="1:5" x14ac:dyDescent="0.25">
      <c r="A4309" t="str">
        <f>"838278572"</f>
        <v>838278572</v>
      </c>
      <c r="B4309" t="s">
        <v>3303</v>
      </c>
      <c r="C4309">
        <v>165</v>
      </c>
      <c r="D4309" t="str">
        <f t="shared" si="185"/>
        <v>278</v>
      </c>
    </row>
    <row r="4310" spans="1:5" x14ac:dyDescent="0.25">
      <c r="A4310" t="str">
        <f>"838278573"</f>
        <v>838278573</v>
      </c>
      <c r="B4310" t="s">
        <v>4173</v>
      </c>
      <c r="C4310">
        <v>330</v>
      </c>
      <c r="D4310" t="str">
        <f t="shared" si="185"/>
        <v>278</v>
      </c>
    </row>
    <row r="4311" spans="1:5" x14ac:dyDescent="0.25">
      <c r="A4311" t="str">
        <f>"838278574"</f>
        <v>838278574</v>
      </c>
      <c r="B4311" t="s">
        <v>4174</v>
      </c>
      <c r="C4311">
        <v>330</v>
      </c>
      <c r="D4311" t="str">
        <f t="shared" si="185"/>
        <v>278</v>
      </c>
    </row>
    <row r="4312" spans="1:5" x14ac:dyDescent="0.25">
      <c r="A4312" t="str">
        <f>"838278575"</f>
        <v>838278575</v>
      </c>
      <c r="B4312" t="s">
        <v>4175</v>
      </c>
      <c r="C4312" s="1">
        <v>5940</v>
      </c>
      <c r="D4312" t="str">
        <f t="shared" si="185"/>
        <v>278</v>
      </c>
    </row>
    <row r="4313" spans="1:5" x14ac:dyDescent="0.25">
      <c r="A4313" t="str">
        <f>"838278576"</f>
        <v>838278576</v>
      </c>
      <c r="B4313" t="s">
        <v>4176</v>
      </c>
      <c r="C4313" s="1">
        <v>2640</v>
      </c>
      <c r="D4313" t="str">
        <f t="shared" si="185"/>
        <v>278</v>
      </c>
    </row>
    <row r="4314" spans="1:5" x14ac:dyDescent="0.25">
      <c r="A4314" t="str">
        <f>"838278577"</f>
        <v>838278577</v>
      </c>
      <c r="B4314" t="s">
        <v>4177</v>
      </c>
      <c r="C4314" s="1">
        <v>2640</v>
      </c>
      <c r="D4314" t="str">
        <f t="shared" si="185"/>
        <v>278</v>
      </c>
    </row>
    <row r="4315" spans="1:5" x14ac:dyDescent="0.25">
      <c r="A4315" t="str">
        <f>"838278578"</f>
        <v>838278578</v>
      </c>
      <c r="B4315" t="s">
        <v>4178</v>
      </c>
      <c r="C4315" s="1">
        <v>2310</v>
      </c>
      <c r="D4315" t="str">
        <f t="shared" si="185"/>
        <v>278</v>
      </c>
      <c r="E4315" t="str">
        <f>"95920"</f>
        <v>95920</v>
      </c>
    </row>
    <row r="4316" spans="1:5" x14ac:dyDescent="0.25">
      <c r="A4316" t="str">
        <f>"838278579"</f>
        <v>838278579</v>
      </c>
      <c r="B4316" t="s">
        <v>4179</v>
      </c>
      <c r="C4316" s="1">
        <v>3960</v>
      </c>
      <c r="D4316" t="str">
        <f t="shared" si="185"/>
        <v>278</v>
      </c>
    </row>
    <row r="4317" spans="1:5" x14ac:dyDescent="0.25">
      <c r="A4317" t="str">
        <f>"838278580"</f>
        <v>838278580</v>
      </c>
      <c r="B4317" t="s">
        <v>4180</v>
      </c>
      <c r="C4317">
        <v>495</v>
      </c>
      <c r="D4317" t="str">
        <f t="shared" si="185"/>
        <v>278</v>
      </c>
    </row>
    <row r="4318" spans="1:5" x14ac:dyDescent="0.25">
      <c r="A4318" t="str">
        <f>"838278581"</f>
        <v>838278581</v>
      </c>
      <c r="B4318" t="s">
        <v>4181</v>
      </c>
      <c r="C4318" s="1">
        <v>3135</v>
      </c>
      <c r="D4318" t="str">
        <f t="shared" si="185"/>
        <v>278</v>
      </c>
    </row>
    <row r="4319" spans="1:5" x14ac:dyDescent="0.25">
      <c r="A4319" t="str">
        <f>"838278582"</f>
        <v>838278582</v>
      </c>
      <c r="B4319" t="s">
        <v>4182</v>
      </c>
      <c r="C4319" s="1">
        <v>3135</v>
      </c>
      <c r="D4319" t="str">
        <f t="shared" si="185"/>
        <v>278</v>
      </c>
    </row>
    <row r="4320" spans="1:5" x14ac:dyDescent="0.25">
      <c r="A4320" t="str">
        <f>"838278583"</f>
        <v>838278583</v>
      </c>
      <c r="B4320" t="s">
        <v>4183</v>
      </c>
      <c r="C4320" s="1">
        <v>2640</v>
      </c>
      <c r="D4320" t="str">
        <f t="shared" si="185"/>
        <v>278</v>
      </c>
    </row>
    <row r="4321" spans="1:4" x14ac:dyDescent="0.25">
      <c r="A4321" t="str">
        <f>"838278584"</f>
        <v>838278584</v>
      </c>
      <c r="B4321" t="s">
        <v>4184</v>
      </c>
      <c r="C4321" s="1">
        <v>3135</v>
      </c>
      <c r="D4321" t="str">
        <f t="shared" si="185"/>
        <v>278</v>
      </c>
    </row>
    <row r="4322" spans="1:4" x14ac:dyDescent="0.25">
      <c r="A4322" t="str">
        <f>"838278585"</f>
        <v>838278585</v>
      </c>
      <c r="B4322" t="s">
        <v>4185</v>
      </c>
      <c r="C4322">
        <v>801.9</v>
      </c>
      <c r="D4322" t="str">
        <f t="shared" si="185"/>
        <v>278</v>
      </c>
    </row>
    <row r="4323" spans="1:4" x14ac:dyDescent="0.25">
      <c r="A4323" t="str">
        <f>"838278586"</f>
        <v>838278586</v>
      </c>
      <c r="B4323" t="s">
        <v>4186</v>
      </c>
      <c r="C4323" s="1">
        <v>1346.4</v>
      </c>
      <c r="D4323" t="str">
        <f t="shared" si="185"/>
        <v>278</v>
      </c>
    </row>
    <row r="4324" spans="1:4" x14ac:dyDescent="0.25">
      <c r="A4324" t="str">
        <f>"838278587"</f>
        <v>838278587</v>
      </c>
      <c r="B4324" t="s">
        <v>4187</v>
      </c>
      <c r="C4324" s="1">
        <v>1887.6</v>
      </c>
      <c r="D4324" t="str">
        <f t="shared" si="185"/>
        <v>278</v>
      </c>
    </row>
    <row r="4325" spans="1:4" x14ac:dyDescent="0.25">
      <c r="A4325" t="str">
        <f>"838278588"</f>
        <v>838278588</v>
      </c>
      <c r="B4325" t="s">
        <v>4188</v>
      </c>
      <c r="C4325">
        <v>118.8</v>
      </c>
      <c r="D4325" t="str">
        <f t="shared" si="185"/>
        <v>278</v>
      </c>
    </row>
    <row r="4326" spans="1:4" x14ac:dyDescent="0.25">
      <c r="A4326" t="str">
        <f>"838278589"</f>
        <v>838278589</v>
      </c>
      <c r="B4326" t="s">
        <v>4189</v>
      </c>
      <c r="C4326">
        <v>825</v>
      </c>
      <c r="D4326" t="str">
        <f t="shared" si="185"/>
        <v>278</v>
      </c>
    </row>
    <row r="4327" spans="1:4" x14ac:dyDescent="0.25">
      <c r="A4327" t="str">
        <f>"838278590"</f>
        <v>838278590</v>
      </c>
      <c r="B4327" t="s">
        <v>4190</v>
      </c>
      <c r="C4327">
        <v>825</v>
      </c>
      <c r="D4327" t="str">
        <f t="shared" si="185"/>
        <v>278</v>
      </c>
    </row>
    <row r="4328" spans="1:4" x14ac:dyDescent="0.25">
      <c r="A4328" t="str">
        <f>"838278591"</f>
        <v>838278591</v>
      </c>
      <c r="B4328" t="s">
        <v>4191</v>
      </c>
      <c r="C4328" s="1">
        <v>4950</v>
      </c>
      <c r="D4328" t="str">
        <f t="shared" si="185"/>
        <v>278</v>
      </c>
    </row>
    <row r="4329" spans="1:4" x14ac:dyDescent="0.25">
      <c r="A4329" t="str">
        <f>"838278592"</f>
        <v>838278592</v>
      </c>
      <c r="B4329" t="s">
        <v>4192</v>
      </c>
      <c r="C4329" s="1">
        <v>4950</v>
      </c>
      <c r="D4329" t="str">
        <f t="shared" si="185"/>
        <v>278</v>
      </c>
    </row>
    <row r="4330" spans="1:4" x14ac:dyDescent="0.25">
      <c r="A4330" t="str">
        <f>"838278593"</f>
        <v>838278593</v>
      </c>
      <c r="B4330" t="s">
        <v>4193</v>
      </c>
      <c r="C4330" s="1">
        <v>1650</v>
      </c>
      <c r="D4330" t="str">
        <f t="shared" si="185"/>
        <v>278</v>
      </c>
    </row>
    <row r="4331" spans="1:4" x14ac:dyDescent="0.25">
      <c r="A4331" t="str">
        <f>"838278594"</f>
        <v>838278594</v>
      </c>
      <c r="B4331" t="s">
        <v>4194</v>
      </c>
      <c r="C4331" s="1">
        <v>3300</v>
      </c>
      <c r="D4331" t="str">
        <f t="shared" si="185"/>
        <v>278</v>
      </c>
    </row>
    <row r="4332" spans="1:4" x14ac:dyDescent="0.25">
      <c r="A4332" t="str">
        <f>"838278595"</f>
        <v>838278595</v>
      </c>
      <c r="B4332" t="s">
        <v>4195</v>
      </c>
      <c r="C4332">
        <v>990</v>
      </c>
      <c r="D4332" t="str">
        <f t="shared" si="185"/>
        <v>278</v>
      </c>
    </row>
    <row r="4333" spans="1:4" x14ac:dyDescent="0.25">
      <c r="A4333" t="str">
        <f>"838278596"</f>
        <v>838278596</v>
      </c>
      <c r="B4333" t="s">
        <v>4196</v>
      </c>
      <c r="C4333" s="1">
        <v>2640</v>
      </c>
      <c r="D4333" t="str">
        <f t="shared" si="185"/>
        <v>278</v>
      </c>
    </row>
    <row r="4334" spans="1:4" x14ac:dyDescent="0.25">
      <c r="A4334" t="str">
        <f>"838278597"</f>
        <v>838278597</v>
      </c>
      <c r="B4334" t="s">
        <v>4197</v>
      </c>
      <c r="C4334" s="1">
        <v>2640</v>
      </c>
      <c r="D4334" t="str">
        <f t="shared" si="185"/>
        <v>278</v>
      </c>
    </row>
    <row r="4335" spans="1:4" x14ac:dyDescent="0.25">
      <c r="A4335" t="str">
        <f>"838278598"</f>
        <v>838278598</v>
      </c>
      <c r="B4335" t="s">
        <v>4198</v>
      </c>
      <c r="C4335" s="1">
        <v>2640</v>
      </c>
      <c r="D4335" t="str">
        <f t="shared" si="185"/>
        <v>278</v>
      </c>
    </row>
    <row r="4336" spans="1:4" x14ac:dyDescent="0.25">
      <c r="A4336" t="str">
        <f>"838278599"</f>
        <v>838278599</v>
      </c>
      <c r="B4336" t="s">
        <v>4199</v>
      </c>
      <c r="C4336" s="1">
        <v>5940</v>
      </c>
      <c r="D4336" t="str">
        <f t="shared" si="185"/>
        <v>278</v>
      </c>
    </row>
    <row r="4337" spans="1:4" x14ac:dyDescent="0.25">
      <c r="A4337" t="str">
        <f>"838278601"</f>
        <v>838278601</v>
      </c>
      <c r="B4337" t="s">
        <v>4200</v>
      </c>
      <c r="C4337" s="1">
        <v>3300</v>
      </c>
      <c r="D4337" t="str">
        <f t="shared" si="185"/>
        <v>278</v>
      </c>
    </row>
    <row r="4338" spans="1:4" x14ac:dyDescent="0.25">
      <c r="A4338" t="str">
        <f>"838278602"</f>
        <v>838278602</v>
      </c>
      <c r="B4338" t="s">
        <v>4201</v>
      </c>
      <c r="C4338" s="1">
        <v>1485</v>
      </c>
      <c r="D4338" t="str">
        <f t="shared" si="185"/>
        <v>278</v>
      </c>
    </row>
    <row r="4339" spans="1:4" x14ac:dyDescent="0.25">
      <c r="A4339" t="str">
        <f>"838278603"</f>
        <v>838278603</v>
      </c>
      <c r="B4339" t="s">
        <v>4202</v>
      </c>
      <c r="C4339" s="1">
        <v>5940</v>
      </c>
      <c r="D4339" t="str">
        <f t="shared" si="185"/>
        <v>278</v>
      </c>
    </row>
    <row r="4340" spans="1:4" x14ac:dyDescent="0.25">
      <c r="A4340" t="str">
        <f>"838278604"</f>
        <v>838278604</v>
      </c>
      <c r="B4340" t="s">
        <v>4203</v>
      </c>
      <c r="C4340" s="1">
        <v>3300</v>
      </c>
      <c r="D4340" t="str">
        <f t="shared" si="185"/>
        <v>278</v>
      </c>
    </row>
    <row r="4341" spans="1:4" x14ac:dyDescent="0.25">
      <c r="A4341" t="str">
        <f>"838278605"</f>
        <v>838278605</v>
      </c>
      <c r="B4341" t="s">
        <v>4204</v>
      </c>
      <c r="C4341" s="1">
        <v>1485</v>
      </c>
      <c r="D4341" t="str">
        <f t="shared" si="185"/>
        <v>278</v>
      </c>
    </row>
    <row r="4342" spans="1:4" x14ac:dyDescent="0.25">
      <c r="A4342" t="str">
        <f>"838278606"</f>
        <v>838278606</v>
      </c>
      <c r="B4342" t="s">
        <v>4205</v>
      </c>
      <c r="C4342">
        <v>990</v>
      </c>
      <c r="D4342" t="str">
        <f t="shared" si="185"/>
        <v>278</v>
      </c>
    </row>
    <row r="4343" spans="1:4" x14ac:dyDescent="0.25">
      <c r="A4343" t="str">
        <f>"838278607"</f>
        <v>838278607</v>
      </c>
      <c r="B4343" t="s">
        <v>4196</v>
      </c>
      <c r="C4343" s="1">
        <v>2640</v>
      </c>
      <c r="D4343" t="str">
        <f t="shared" si="185"/>
        <v>278</v>
      </c>
    </row>
    <row r="4344" spans="1:4" x14ac:dyDescent="0.25">
      <c r="A4344" t="str">
        <f>"838278608"</f>
        <v>838278608</v>
      </c>
      <c r="B4344" t="s">
        <v>4206</v>
      </c>
      <c r="C4344" s="1">
        <v>2640</v>
      </c>
      <c r="D4344" t="str">
        <f t="shared" si="185"/>
        <v>278</v>
      </c>
    </row>
    <row r="4345" spans="1:4" x14ac:dyDescent="0.25">
      <c r="A4345" t="str">
        <f>"838278609"</f>
        <v>838278609</v>
      </c>
      <c r="B4345" t="s">
        <v>4198</v>
      </c>
      <c r="C4345" s="1">
        <v>2640</v>
      </c>
      <c r="D4345" t="str">
        <f t="shared" si="185"/>
        <v>278</v>
      </c>
    </row>
    <row r="4346" spans="1:4" x14ac:dyDescent="0.25">
      <c r="A4346" t="str">
        <f>"838278610"</f>
        <v>838278610</v>
      </c>
      <c r="B4346" t="s">
        <v>4185</v>
      </c>
      <c r="C4346">
        <v>801.9</v>
      </c>
      <c r="D4346" t="str">
        <f t="shared" si="185"/>
        <v>278</v>
      </c>
    </row>
    <row r="4347" spans="1:4" x14ac:dyDescent="0.25">
      <c r="A4347" t="str">
        <f>"838278611"</f>
        <v>838278611</v>
      </c>
      <c r="B4347" t="s">
        <v>4186</v>
      </c>
      <c r="C4347" s="1">
        <v>1346.4</v>
      </c>
      <c r="D4347" t="str">
        <f t="shared" si="185"/>
        <v>278</v>
      </c>
    </row>
    <row r="4348" spans="1:4" x14ac:dyDescent="0.25">
      <c r="A4348" t="str">
        <f>"838278612"</f>
        <v>838278612</v>
      </c>
      <c r="B4348" t="s">
        <v>4187</v>
      </c>
      <c r="C4348" s="1">
        <v>1887.6</v>
      </c>
      <c r="D4348" t="str">
        <f t="shared" si="185"/>
        <v>278</v>
      </c>
    </row>
    <row r="4349" spans="1:4" x14ac:dyDescent="0.25">
      <c r="A4349" t="str">
        <f>"838278613"</f>
        <v>838278613</v>
      </c>
      <c r="B4349" t="s">
        <v>4188</v>
      </c>
      <c r="C4349">
        <v>118.8</v>
      </c>
      <c r="D4349" t="str">
        <f t="shared" si="185"/>
        <v>278</v>
      </c>
    </row>
    <row r="4350" spans="1:4" x14ac:dyDescent="0.25">
      <c r="A4350" t="str">
        <f>"838278614"</f>
        <v>838278614</v>
      </c>
      <c r="B4350" t="s">
        <v>4207</v>
      </c>
      <c r="C4350">
        <v>825</v>
      </c>
      <c r="D4350" t="str">
        <f t="shared" si="185"/>
        <v>278</v>
      </c>
    </row>
    <row r="4351" spans="1:4" x14ac:dyDescent="0.25">
      <c r="A4351" t="str">
        <f>"838278615"</f>
        <v>838278615</v>
      </c>
      <c r="B4351" t="s">
        <v>4208</v>
      </c>
      <c r="C4351">
        <v>825</v>
      </c>
      <c r="D4351" t="str">
        <f t="shared" si="185"/>
        <v>278</v>
      </c>
    </row>
    <row r="4352" spans="1:4" x14ac:dyDescent="0.25">
      <c r="A4352" t="str">
        <f>"838278616"</f>
        <v>838278616</v>
      </c>
      <c r="B4352" t="s">
        <v>4209</v>
      </c>
      <c r="C4352" s="1">
        <v>4950</v>
      </c>
      <c r="D4352" t="str">
        <f t="shared" si="185"/>
        <v>278</v>
      </c>
    </row>
    <row r="4353" spans="1:4" x14ac:dyDescent="0.25">
      <c r="A4353" t="str">
        <f>"838278617"</f>
        <v>838278617</v>
      </c>
      <c r="B4353" t="s">
        <v>4192</v>
      </c>
      <c r="C4353" s="1">
        <v>4950</v>
      </c>
      <c r="D4353" t="str">
        <f t="shared" si="185"/>
        <v>278</v>
      </c>
    </row>
    <row r="4354" spans="1:4" x14ac:dyDescent="0.25">
      <c r="A4354" t="str">
        <f>"838278619"</f>
        <v>838278619</v>
      </c>
      <c r="B4354" t="s">
        <v>4194</v>
      </c>
      <c r="C4354" s="1">
        <v>3300</v>
      </c>
      <c r="D4354" t="str">
        <f t="shared" si="185"/>
        <v>278</v>
      </c>
    </row>
    <row r="4355" spans="1:4" x14ac:dyDescent="0.25">
      <c r="A4355" t="str">
        <f>"838278620"</f>
        <v>838278620</v>
      </c>
      <c r="B4355" t="s">
        <v>4210</v>
      </c>
      <c r="C4355" s="1">
        <v>6325</v>
      </c>
      <c r="D4355" t="str">
        <f t="shared" si="185"/>
        <v>278</v>
      </c>
    </row>
    <row r="4356" spans="1:4" x14ac:dyDescent="0.25">
      <c r="A4356" t="str">
        <f>"838278621"</f>
        <v>838278621</v>
      </c>
      <c r="B4356" t="s">
        <v>4211</v>
      </c>
      <c r="C4356" s="1">
        <v>8112.5</v>
      </c>
      <c r="D4356" t="str">
        <f t="shared" si="185"/>
        <v>278</v>
      </c>
    </row>
    <row r="4357" spans="1:4" x14ac:dyDescent="0.25">
      <c r="A4357" t="str">
        <f>"838278622"</f>
        <v>838278622</v>
      </c>
      <c r="B4357" t="s">
        <v>4212</v>
      </c>
      <c r="C4357" s="1">
        <v>3437.5</v>
      </c>
      <c r="D4357" t="str">
        <f t="shared" si="185"/>
        <v>278</v>
      </c>
    </row>
    <row r="4358" spans="1:4" x14ac:dyDescent="0.25">
      <c r="A4358" t="str">
        <f>"838278623"</f>
        <v>838278623</v>
      </c>
      <c r="B4358" t="s">
        <v>4213</v>
      </c>
      <c r="C4358" s="1">
        <v>3630</v>
      </c>
      <c r="D4358" t="str">
        <f t="shared" si="185"/>
        <v>278</v>
      </c>
    </row>
    <row r="4359" spans="1:4" x14ac:dyDescent="0.25">
      <c r="A4359" t="str">
        <f>"838278624"</f>
        <v>838278624</v>
      </c>
      <c r="B4359" t="s">
        <v>4214</v>
      </c>
      <c r="C4359" s="1">
        <v>5940</v>
      </c>
      <c r="D4359" t="str">
        <f t="shared" si="185"/>
        <v>278</v>
      </c>
    </row>
    <row r="4360" spans="1:4" x14ac:dyDescent="0.25">
      <c r="A4360" t="str">
        <f>"838278625"</f>
        <v>838278625</v>
      </c>
      <c r="B4360" t="s">
        <v>4215</v>
      </c>
      <c r="C4360" s="1">
        <v>5940</v>
      </c>
      <c r="D4360" t="str">
        <f t="shared" si="185"/>
        <v>278</v>
      </c>
    </row>
    <row r="4361" spans="1:4" x14ac:dyDescent="0.25">
      <c r="A4361" t="str">
        <f>"838278626"</f>
        <v>838278626</v>
      </c>
      <c r="B4361" t="s">
        <v>3338</v>
      </c>
      <c r="C4361">
        <v>495</v>
      </c>
      <c r="D4361" t="str">
        <f t="shared" si="185"/>
        <v>278</v>
      </c>
    </row>
    <row r="4362" spans="1:4" x14ac:dyDescent="0.25">
      <c r="A4362" t="str">
        <f>"838278627"</f>
        <v>838278627</v>
      </c>
      <c r="B4362" t="s">
        <v>4216</v>
      </c>
      <c r="C4362" s="1">
        <v>3135</v>
      </c>
      <c r="D4362" t="str">
        <f t="shared" si="185"/>
        <v>278</v>
      </c>
    </row>
    <row r="4363" spans="1:4" x14ac:dyDescent="0.25">
      <c r="A4363" t="str">
        <f>"838278628"</f>
        <v>838278628</v>
      </c>
      <c r="B4363" t="s">
        <v>3344</v>
      </c>
      <c r="C4363" s="1">
        <v>3135</v>
      </c>
      <c r="D4363" t="str">
        <f t="shared" si="185"/>
        <v>278</v>
      </c>
    </row>
    <row r="4364" spans="1:4" x14ac:dyDescent="0.25">
      <c r="A4364" t="str">
        <f>"838278629"</f>
        <v>838278629</v>
      </c>
      <c r="B4364" t="s">
        <v>3198</v>
      </c>
      <c r="C4364" s="1">
        <v>1155</v>
      </c>
      <c r="D4364" t="str">
        <f t="shared" si="185"/>
        <v>278</v>
      </c>
    </row>
    <row r="4365" spans="1:4" x14ac:dyDescent="0.25">
      <c r="A4365" t="str">
        <f>"838278630"</f>
        <v>838278630</v>
      </c>
      <c r="B4365" t="s">
        <v>3346</v>
      </c>
      <c r="C4365">
        <v>165</v>
      </c>
      <c r="D4365" t="str">
        <f t="shared" si="185"/>
        <v>278</v>
      </c>
    </row>
    <row r="4366" spans="1:4" x14ac:dyDescent="0.25">
      <c r="A4366" t="str">
        <f>"838278631"</f>
        <v>838278631</v>
      </c>
      <c r="B4366" t="s">
        <v>4217</v>
      </c>
      <c r="C4366">
        <v>864.6</v>
      </c>
      <c r="D4366" t="str">
        <f t="shared" si="185"/>
        <v>278</v>
      </c>
    </row>
    <row r="4367" spans="1:4" x14ac:dyDescent="0.25">
      <c r="A4367" t="str">
        <f>"838278632"</f>
        <v>838278632</v>
      </c>
      <c r="B4367" t="s">
        <v>3201</v>
      </c>
      <c r="C4367">
        <v>589.04999999999995</v>
      </c>
      <c r="D4367" t="str">
        <f t="shared" ref="D4367:D4371" si="186">"278"</f>
        <v>278</v>
      </c>
    </row>
    <row r="4368" spans="1:4" x14ac:dyDescent="0.25">
      <c r="A4368" t="str">
        <f>"838278633"</f>
        <v>838278633</v>
      </c>
      <c r="B4368" t="s">
        <v>4218</v>
      </c>
      <c r="C4368" s="1">
        <v>5940</v>
      </c>
      <c r="D4368" t="str">
        <f t="shared" si="186"/>
        <v>278</v>
      </c>
    </row>
    <row r="4369" spans="1:4" x14ac:dyDescent="0.25">
      <c r="A4369" t="str">
        <f>"838278634"</f>
        <v>838278634</v>
      </c>
      <c r="B4369" t="s">
        <v>4219</v>
      </c>
      <c r="C4369" s="1">
        <v>2640</v>
      </c>
      <c r="D4369" t="str">
        <f t="shared" si="186"/>
        <v>278</v>
      </c>
    </row>
    <row r="4370" spans="1:4" x14ac:dyDescent="0.25">
      <c r="A4370" t="str">
        <f>"838278635"</f>
        <v>838278635</v>
      </c>
      <c r="B4370" t="s">
        <v>4220</v>
      </c>
      <c r="C4370">
        <v>825</v>
      </c>
      <c r="D4370" t="str">
        <f t="shared" si="186"/>
        <v>278</v>
      </c>
    </row>
    <row r="4371" spans="1:4" x14ac:dyDescent="0.25">
      <c r="A4371" t="str">
        <f>"838278636"</f>
        <v>838278636</v>
      </c>
      <c r="B4371" t="s">
        <v>3339</v>
      </c>
      <c r="C4371">
        <v>278.85000000000002</v>
      </c>
      <c r="D4371" t="str">
        <f t="shared" si="186"/>
        <v>278</v>
      </c>
    </row>
    <row r="4372" spans="1:4" x14ac:dyDescent="0.25">
      <c r="A4372" t="str">
        <f>"838278637"</f>
        <v>838278637</v>
      </c>
      <c r="B4372" t="s">
        <v>4221</v>
      </c>
      <c r="C4372" s="1">
        <v>27500</v>
      </c>
      <c r="D4372" t="str">
        <f>"279"</f>
        <v>279</v>
      </c>
    </row>
    <row r="4373" spans="1:4" x14ac:dyDescent="0.25">
      <c r="A4373" t="str">
        <f>"838278638"</f>
        <v>838278638</v>
      </c>
      <c r="B4373" t="s">
        <v>4222</v>
      </c>
      <c r="C4373" s="1">
        <v>16500</v>
      </c>
      <c r="D4373" t="str">
        <f t="shared" ref="D4373:D4388" si="187">"278"</f>
        <v>278</v>
      </c>
    </row>
    <row r="4374" spans="1:4" x14ac:dyDescent="0.25">
      <c r="A4374" t="str">
        <f>"838278639"</f>
        <v>838278639</v>
      </c>
      <c r="B4374" t="s">
        <v>4223</v>
      </c>
      <c r="C4374">
        <v>660</v>
      </c>
      <c r="D4374" t="str">
        <f t="shared" si="187"/>
        <v>278</v>
      </c>
    </row>
    <row r="4375" spans="1:4" x14ac:dyDescent="0.25">
      <c r="A4375" t="str">
        <f>"838278640"</f>
        <v>838278640</v>
      </c>
      <c r="B4375" t="s">
        <v>4224</v>
      </c>
      <c r="C4375">
        <v>275</v>
      </c>
      <c r="D4375" t="str">
        <f t="shared" si="187"/>
        <v>278</v>
      </c>
    </row>
    <row r="4376" spans="1:4" x14ac:dyDescent="0.25">
      <c r="A4376" t="str">
        <f>"838278641"</f>
        <v>838278641</v>
      </c>
      <c r="B4376" t="s">
        <v>4225</v>
      </c>
      <c r="C4376">
        <v>165</v>
      </c>
      <c r="D4376" t="str">
        <f t="shared" si="187"/>
        <v>278</v>
      </c>
    </row>
    <row r="4377" spans="1:4" x14ac:dyDescent="0.25">
      <c r="A4377" t="str">
        <f>"838278642"</f>
        <v>838278642</v>
      </c>
      <c r="B4377" t="s">
        <v>4226</v>
      </c>
      <c r="C4377" s="1">
        <v>2970</v>
      </c>
      <c r="D4377" t="str">
        <f t="shared" si="187"/>
        <v>278</v>
      </c>
    </row>
    <row r="4378" spans="1:4" x14ac:dyDescent="0.25">
      <c r="A4378" t="str">
        <f>"838278643"</f>
        <v>838278643</v>
      </c>
      <c r="B4378" t="s">
        <v>4227</v>
      </c>
      <c r="C4378" s="1">
        <v>2970</v>
      </c>
      <c r="D4378" t="str">
        <f t="shared" si="187"/>
        <v>278</v>
      </c>
    </row>
    <row r="4379" spans="1:4" x14ac:dyDescent="0.25">
      <c r="A4379" t="str">
        <f>"838278644"</f>
        <v>838278644</v>
      </c>
      <c r="B4379" t="s">
        <v>4228</v>
      </c>
      <c r="C4379" s="1">
        <v>2970</v>
      </c>
      <c r="D4379" t="str">
        <f t="shared" si="187"/>
        <v>278</v>
      </c>
    </row>
    <row r="4380" spans="1:4" x14ac:dyDescent="0.25">
      <c r="A4380" t="str">
        <f>"838278645"</f>
        <v>838278645</v>
      </c>
      <c r="B4380" t="s">
        <v>4229</v>
      </c>
      <c r="C4380" s="1">
        <v>2970</v>
      </c>
      <c r="D4380" t="str">
        <f t="shared" si="187"/>
        <v>278</v>
      </c>
    </row>
    <row r="4381" spans="1:4" x14ac:dyDescent="0.25">
      <c r="A4381" t="str">
        <f>"838278646"</f>
        <v>838278646</v>
      </c>
      <c r="B4381" t="s">
        <v>4230</v>
      </c>
      <c r="C4381" s="1">
        <v>1237.5</v>
      </c>
      <c r="D4381" t="str">
        <f t="shared" si="187"/>
        <v>278</v>
      </c>
    </row>
    <row r="4382" spans="1:4" x14ac:dyDescent="0.25">
      <c r="A4382" t="str">
        <f>"838278647"</f>
        <v>838278647</v>
      </c>
      <c r="B4382" t="s">
        <v>4231</v>
      </c>
      <c r="C4382" s="1">
        <v>4125</v>
      </c>
      <c r="D4382" t="str">
        <f t="shared" si="187"/>
        <v>278</v>
      </c>
    </row>
    <row r="4383" spans="1:4" x14ac:dyDescent="0.25">
      <c r="A4383" t="str">
        <f>"838278648"</f>
        <v>838278648</v>
      </c>
      <c r="B4383" t="s">
        <v>4232</v>
      </c>
      <c r="C4383">
        <v>165</v>
      </c>
      <c r="D4383" t="str">
        <f t="shared" si="187"/>
        <v>278</v>
      </c>
    </row>
    <row r="4384" spans="1:4" x14ac:dyDescent="0.25">
      <c r="A4384" t="str">
        <f>"838278649"</f>
        <v>838278649</v>
      </c>
      <c r="B4384" t="s">
        <v>4233</v>
      </c>
      <c r="C4384" s="1">
        <v>9185</v>
      </c>
      <c r="D4384" t="str">
        <f t="shared" si="187"/>
        <v>278</v>
      </c>
    </row>
    <row r="4385" spans="1:4" x14ac:dyDescent="0.25">
      <c r="A4385" t="str">
        <f>"838278650"</f>
        <v>838278650</v>
      </c>
      <c r="B4385" t="s">
        <v>3188</v>
      </c>
      <c r="C4385" s="1">
        <v>3630</v>
      </c>
      <c r="D4385" t="str">
        <f t="shared" si="187"/>
        <v>278</v>
      </c>
    </row>
    <row r="4386" spans="1:4" x14ac:dyDescent="0.25">
      <c r="A4386" t="str">
        <f>"838278651"</f>
        <v>838278651</v>
      </c>
      <c r="B4386" t="s">
        <v>4234</v>
      </c>
      <c r="C4386">
        <v>660</v>
      </c>
      <c r="D4386" t="str">
        <f t="shared" si="187"/>
        <v>278</v>
      </c>
    </row>
    <row r="4387" spans="1:4" x14ac:dyDescent="0.25">
      <c r="A4387" t="str">
        <f>"8382786518"</f>
        <v>8382786518</v>
      </c>
      <c r="B4387" t="s">
        <v>4235</v>
      </c>
      <c r="C4387" s="1">
        <v>6468</v>
      </c>
      <c r="D4387" t="str">
        <f t="shared" si="187"/>
        <v>278</v>
      </c>
    </row>
    <row r="4388" spans="1:4" x14ac:dyDescent="0.25">
      <c r="A4388" t="str">
        <f>"838278652"</f>
        <v>838278652</v>
      </c>
      <c r="B4388" t="s">
        <v>4236</v>
      </c>
      <c r="C4388" s="1">
        <v>4675</v>
      </c>
      <c r="D4388" t="str">
        <f t="shared" si="187"/>
        <v>278</v>
      </c>
    </row>
    <row r="4389" spans="1:4" x14ac:dyDescent="0.25">
      <c r="A4389" t="str">
        <f>"838278653"</f>
        <v>838278653</v>
      </c>
      <c r="B4389" t="s">
        <v>4237</v>
      </c>
      <c r="C4389">
        <v>104.5</v>
      </c>
      <c r="D4389" t="str">
        <f>"270"</f>
        <v>270</v>
      </c>
    </row>
    <row r="4390" spans="1:4" x14ac:dyDescent="0.25">
      <c r="A4390" t="str">
        <f>"838278654"</f>
        <v>838278654</v>
      </c>
      <c r="B4390" t="s">
        <v>2394</v>
      </c>
      <c r="C4390">
        <v>432.03</v>
      </c>
      <c r="D4390" t="str">
        <f>"270"</f>
        <v>270</v>
      </c>
    </row>
    <row r="4391" spans="1:4" x14ac:dyDescent="0.25">
      <c r="A4391" t="str">
        <f>"838278655"</f>
        <v>838278655</v>
      </c>
      <c r="B4391" t="s">
        <v>4238</v>
      </c>
      <c r="C4391" s="1">
        <v>4070</v>
      </c>
      <c r="D4391" t="str">
        <f t="shared" ref="D4391:D4401" si="188">"278"</f>
        <v>278</v>
      </c>
    </row>
    <row r="4392" spans="1:4" x14ac:dyDescent="0.25">
      <c r="A4392" t="str">
        <f>"838278656"</f>
        <v>838278656</v>
      </c>
      <c r="B4392" t="s">
        <v>4239</v>
      </c>
      <c r="C4392" s="1">
        <v>18315</v>
      </c>
      <c r="D4392" t="str">
        <f t="shared" si="188"/>
        <v>278</v>
      </c>
    </row>
    <row r="4393" spans="1:4" x14ac:dyDescent="0.25">
      <c r="A4393" t="str">
        <f>"838278800"</f>
        <v>838278800</v>
      </c>
      <c r="B4393" t="s">
        <v>4240</v>
      </c>
      <c r="C4393" s="1">
        <v>3300</v>
      </c>
      <c r="D4393" t="str">
        <f t="shared" si="188"/>
        <v>278</v>
      </c>
    </row>
    <row r="4394" spans="1:4" x14ac:dyDescent="0.25">
      <c r="A4394" t="str">
        <f>"838279003"</f>
        <v>838279003</v>
      </c>
      <c r="B4394" t="s">
        <v>4241</v>
      </c>
      <c r="C4394" s="1">
        <v>5500</v>
      </c>
      <c r="D4394" t="str">
        <f t="shared" si="188"/>
        <v>278</v>
      </c>
    </row>
    <row r="4395" spans="1:4" x14ac:dyDescent="0.25">
      <c r="A4395" t="str">
        <f>"838280000"</f>
        <v>838280000</v>
      </c>
      <c r="B4395" t="s">
        <v>4242</v>
      </c>
      <c r="C4395">
        <v>330</v>
      </c>
      <c r="D4395" t="str">
        <f t="shared" si="188"/>
        <v>278</v>
      </c>
    </row>
    <row r="4396" spans="1:4" x14ac:dyDescent="0.25">
      <c r="A4396" t="str">
        <f>"838280001"</f>
        <v>838280001</v>
      </c>
      <c r="B4396" t="s">
        <v>4243</v>
      </c>
      <c r="C4396">
        <v>440</v>
      </c>
      <c r="D4396" t="str">
        <f t="shared" si="188"/>
        <v>278</v>
      </c>
    </row>
    <row r="4397" spans="1:4" x14ac:dyDescent="0.25">
      <c r="A4397" t="str">
        <f>"838280002"</f>
        <v>838280002</v>
      </c>
      <c r="B4397" t="s">
        <v>4244</v>
      </c>
      <c r="C4397">
        <v>440</v>
      </c>
      <c r="D4397" t="str">
        <f t="shared" si="188"/>
        <v>278</v>
      </c>
    </row>
    <row r="4398" spans="1:4" x14ac:dyDescent="0.25">
      <c r="A4398" t="str">
        <f>"838280003"</f>
        <v>838280003</v>
      </c>
      <c r="B4398" t="s">
        <v>4245</v>
      </c>
      <c r="C4398">
        <v>801.9</v>
      </c>
      <c r="D4398" t="str">
        <f t="shared" si="188"/>
        <v>278</v>
      </c>
    </row>
    <row r="4399" spans="1:4" x14ac:dyDescent="0.25">
      <c r="A4399" t="str">
        <f>"838280004"</f>
        <v>838280004</v>
      </c>
      <c r="B4399" t="s">
        <v>4246</v>
      </c>
      <c r="C4399" s="1">
        <v>1676.4</v>
      </c>
      <c r="D4399" t="str">
        <f t="shared" si="188"/>
        <v>278</v>
      </c>
    </row>
    <row r="4400" spans="1:4" x14ac:dyDescent="0.25">
      <c r="A4400" t="str">
        <f>"838280005"</f>
        <v>838280005</v>
      </c>
      <c r="B4400" t="s">
        <v>4247</v>
      </c>
      <c r="C4400" s="1">
        <v>1887.6</v>
      </c>
      <c r="D4400" t="str">
        <f t="shared" si="188"/>
        <v>278</v>
      </c>
    </row>
    <row r="4401" spans="1:4" x14ac:dyDescent="0.25">
      <c r="A4401" t="str">
        <f>"838280006"</f>
        <v>838280006</v>
      </c>
      <c r="B4401" t="s">
        <v>4248</v>
      </c>
      <c r="C4401">
        <v>118.8</v>
      </c>
      <c r="D4401" t="str">
        <f t="shared" si="188"/>
        <v>278</v>
      </c>
    </row>
    <row r="4402" spans="1:4" x14ac:dyDescent="0.25">
      <c r="A4402" t="str">
        <f>"838280007"</f>
        <v>838280007</v>
      </c>
      <c r="B4402" t="s">
        <v>4249</v>
      </c>
      <c r="C4402" s="1">
        <v>1188</v>
      </c>
      <c r="D4402" t="str">
        <f>"270"</f>
        <v>270</v>
      </c>
    </row>
    <row r="4403" spans="1:4" x14ac:dyDescent="0.25">
      <c r="A4403" t="str">
        <f>"838280008"</f>
        <v>838280008</v>
      </c>
      <c r="B4403" t="s">
        <v>4250</v>
      </c>
      <c r="C4403" s="1">
        <v>8200.5</v>
      </c>
      <c r="D4403" t="str">
        <f t="shared" ref="D4403:D4438" si="189">"278"</f>
        <v>278</v>
      </c>
    </row>
    <row r="4404" spans="1:4" x14ac:dyDescent="0.25">
      <c r="A4404" t="str">
        <f>"838280009"</f>
        <v>838280009</v>
      </c>
      <c r="B4404" t="s">
        <v>4251</v>
      </c>
      <c r="C4404" s="1">
        <v>5890.5</v>
      </c>
      <c r="D4404" t="str">
        <f t="shared" si="189"/>
        <v>278</v>
      </c>
    </row>
    <row r="4405" spans="1:4" x14ac:dyDescent="0.25">
      <c r="A4405" t="str">
        <f>"838280010"</f>
        <v>838280010</v>
      </c>
      <c r="B4405" t="s">
        <v>4252</v>
      </c>
      <c r="C4405" s="1">
        <v>3349.5</v>
      </c>
      <c r="D4405" t="str">
        <f t="shared" si="189"/>
        <v>278</v>
      </c>
    </row>
    <row r="4406" spans="1:4" x14ac:dyDescent="0.25">
      <c r="A4406" t="str">
        <f>"838280011"</f>
        <v>838280011</v>
      </c>
      <c r="B4406" t="s">
        <v>4253</v>
      </c>
      <c r="C4406" s="1">
        <v>6435</v>
      </c>
      <c r="D4406" t="str">
        <f t="shared" si="189"/>
        <v>278</v>
      </c>
    </row>
    <row r="4407" spans="1:4" x14ac:dyDescent="0.25">
      <c r="A4407" t="str">
        <f>"838280012"</f>
        <v>838280012</v>
      </c>
      <c r="B4407" t="s">
        <v>4254</v>
      </c>
      <c r="C4407">
        <v>396</v>
      </c>
      <c r="D4407" t="str">
        <f t="shared" si="189"/>
        <v>278</v>
      </c>
    </row>
    <row r="4408" spans="1:4" x14ac:dyDescent="0.25">
      <c r="A4408" t="str">
        <f>"838280013"</f>
        <v>838280013</v>
      </c>
      <c r="B4408" t="s">
        <v>4255</v>
      </c>
      <c r="C4408" s="1">
        <v>7590</v>
      </c>
      <c r="D4408" t="str">
        <f t="shared" si="189"/>
        <v>278</v>
      </c>
    </row>
    <row r="4409" spans="1:4" x14ac:dyDescent="0.25">
      <c r="A4409" t="str">
        <f>"838280014"</f>
        <v>838280014</v>
      </c>
      <c r="B4409" t="s">
        <v>4256</v>
      </c>
      <c r="C4409">
        <v>825</v>
      </c>
      <c r="D4409" t="str">
        <f t="shared" si="189"/>
        <v>278</v>
      </c>
    </row>
    <row r="4410" spans="1:4" x14ac:dyDescent="0.25">
      <c r="A4410" t="str">
        <f>"838280015"</f>
        <v>838280015</v>
      </c>
      <c r="B4410" t="s">
        <v>4257</v>
      </c>
      <c r="C4410">
        <v>260.7</v>
      </c>
      <c r="D4410" t="str">
        <f t="shared" si="189"/>
        <v>278</v>
      </c>
    </row>
    <row r="4411" spans="1:4" x14ac:dyDescent="0.25">
      <c r="A4411" t="str">
        <f>"838280016"</f>
        <v>838280016</v>
      </c>
      <c r="B4411" t="s">
        <v>4258</v>
      </c>
      <c r="C4411">
        <v>544.5</v>
      </c>
      <c r="D4411" t="str">
        <f t="shared" si="189"/>
        <v>278</v>
      </c>
    </row>
    <row r="4412" spans="1:4" x14ac:dyDescent="0.25">
      <c r="A4412" t="str">
        <f>"838280017"</f>
        <v>838280017</v>
      </c>
      <c r="B4412" t="s">
        <v>4259</v>
      </c>
      <c r="C4412">
        <v>544.5</v>
      </c>
      <c r="D4412" t="str">
        <f t="shared" si="189"/>
        <v>278</v>
      </c>
    </row>
    <row r="4413" spans="1:4" x14ac:dyDescent="0.25">
      <c r="A4413" t="str">
        <f>"838280018"</f>
        <v>838280018</v>
      </c>
      <c r="B4413" t="s">
        <v>4260</v>
      </c>
      <c r="C4413">
        <v>544.5</v>
      </c>
      <c r="D4413" t="str">
        <f t="shared" si="189"/>
        <v>278</v>
      </c>
    </row>
    <row r="4414" spans="1:4" x14ac:dyDescent="0.25">
      <c r="A4414" t="str">
        <f>"838280019"</f>
        <v>838280019</v>
      </c>
      <c r="B4414" t="s">
        <v>4261</v>
      </c>
      <c r="C4414">
        <v>165</v>
      </c>
      <c r="D4414" t="str">
        <f t="shared" si="189"/>
        <v>278</v>
      </c>
    </row>
    <row r="4415" spans="1:4" x14ac:dyDescent="0.25">
      <c r="A4415" t="str">
        <f>"838280020"</f>
        <v>838280020</v>
      </c>
      <c r="B4415" t="s">
        <v>4262</v>
      </c>
      <c r="C4415">
        <v>165</v>
      </c>
      <c r="D4415" t="str">
        <f t="shared" si="189"/>
        <v>278</v>
      </c>
    </row>
    <row r="4416" spans="1:4" x14ac:dyDescent="0.25">
      <c r="A4416" t="str">
        <f>"838280021"</f>
        <v>838280021</v>
      </c>
      <c r="B4416" t="s">
        <v>4263</v>
      </c>
      <c r="C4416">
        <v>165</v>
      </c>
      <c r="D4416" t="str">
        <f t="shared" si="189"/>
        <v>278</v>
      </c>
    </row>
    <row r="4417" spans="1:4" x14ac:dyDescent="0.25">
      <c r="A4417" t="str">
        <f>"838280022"</f>
        <v>838280022</v>
      </c>
      <c r="B4417" t="s">
        <v>3399</v>
      </c>
      <c r="C4417">
        <v>313.5</v>
      </c>
      <c r="D4417" t="str">
        <f t="shared" si="189"/>
        <v>278</v>
      </c>
    </row>
    <row r="4418" spans="1:4" x14ac:dyDescent="0.25">
      <c r="A4418" t="str">
        <f>"838280023"</f>
        <v>838280023</v>
      </c>
      <c r="B4418" t="s">
        <v>4264</v>
      </c>
      <c r="C4418">
        <v>280.5</v>
      </c>
      <c r="D4418" t="str">
        <f t="shared" si="189"/>
        <v>278</v>
      </c>
    </row>
    <row r="4419" spans="1:4" x14ac:dyDescent="0.25">
      <c r="A4419" t="str">
        <f>"838280024"</f>
        <v>838280024</v>
      </c>
      <c r="B4419" t="s">
        <v>4265</v>
      </c>
      <c r="C4419" s="1">
        <v>3065.7</v>
      </c>
      <c r="D4419" t="str">
        <f t="shared" si="189"/>
        <v>278</v>
      </c>
    </row>
    <row r="4420" spans="1:4" x14ac:dyDescent="0.25">
      <c r="A4420" t="str">
        <f>"838280025"</f>
        <v>838280025</v>
      </c>
      <c r="B4420" t="s">
        <v>4204</v>
      </c>
      <c r="C4420" s="1">
        <v>1485</v>
      </c>
      <c r="D4420" t="str">
        <f t="shared" si="189"/>
        <v>278</v>
      </c>
    </row>
    <row r="4421" spans="1:4" x14ac:dyDescent="0.25">
      <c r="A4421" t="str">
        <f>"838280026"</f>
        <v>838280026</v>
      </c>
      <c r="B4421" t="s">
        <v>4266</v>
      </c>
      <c r="C4421" s="1">
        <v>2640</v>
      </c>
      <c r="D4421" t="str">
        <f t="shared" si="189"/>
        <v>278</v>
      </c>
    </row>
    <row r="4422" spans="1:4" x14ac:dyDescent="0.25">
      <c r="A4422" t="str">
        <f>"838280027"</f>
        <v>838280027</v>
      </c>
      <c r="B4422" t="s">
        <v>4267</v>
      </c>
      <c r="C4422">
        <v>990</v>
      </c>
      <c r="D4422" t="str">
        <f t="shared" si="189"/>
        <v>278</v>
      </c>
    </row>
    <row r="4423" spans="1:4" x14ac:dyDescent="0.25">
      <c r="A4423" t="str">
        <f>"838280028"</f>
        <v>838280028</v>
      </c>
      <c r="B4423" t="s">
        <v>4268</v>
      </c>
      <c r="C4423" s="1">
        <v>2640</v>
      </c>
      <c r="D4423" t="str">
        <f t="shared" si="189"/>
        <v>278</v>
      </c>
    </row>
    <row r="4424" spans="1:4" x14ac:dyDescent="0.25">
      <c r="A4424" t="str">
        <f>"838280029"</f>
        <v>838280029</v>
      </c>
      <c r="B4424" t="s">
        <v>4269</v>
      </c>
      <c r="C4424" s="1">
        <v>4950</v>
      </c>
      <c r="D4424" t="str">
        <f t="shared" si="189"/>
        <v>278</v>
      </c>
    </row>
    <row r="4425" spans="1:4" x14ac:dyDescent="0.25">
      <c r="A4425" t="str">
        <f>"838280030"</f>
        <v>838280030</v>
      </c>
      <c r="B4425" t="s">
        <v>4270</v>
      </c>
      <c r="C4425" s="1">
        <v>5940</v>
      </c>
      <c r="D4425" t="str">
        <f t="shared" si="189"/>
        <v>278</v>
      </c>
    </row>
    <row r="4426" spans="1:4" x14ac:dyDescent="0.25">
      <c r="A4426" t="str">
        <f>"838280031"</f>
        <v>838280031</v>
      </c>
      <c r="B4426" t="s">
        <v>4271</v>
      </c>
      <c r="C4426" s="1">
        <v>3630</v>
      </c>
      <c r="D4426" t="str">
        <f t="shared" si="189"/>
        <v>278</v>
      </c>
    </row>
    <row r="4427" spans="1:4" x14ac:dyDescent="0.25">
      <c r="A4427" t="str">
        <f>"838280032"</f>
        <v>838280032</v>
      </c>
      <c r="B4427" t="s">
        <v>4272</v>
      </c>
      <c r="C4427" s="1">
        <v>3135</v>
      </c>
      <c r="D4427" t="str">
        <f t="shared" si="189"/>
        <v>278</v>
      </c>
    </row>
    <row r="4428" spans="1:4" x14ac:dyDescent="0.25">
      <c r="A4428" t="str">
        <f>"838280033"</f>
        <v>838280033</v>
      </c>
      <c r="B4428" t="s">
        <v>4273</v>
      </c>
      <c r="C4428" s="1">
        <v>3135</v>
      </c>
      <c r="D4428" t="str">
        <f t="shared" si="189"/>
        <v>278</v>
      </c>
    </row>
    <row r="4429" spans="1:4" x14ac:dyDescent="0.25">
      <c r="A4429" t="str">
        <f>"838280034"</f>
        <v>838280034</v>
      </c>
      <c r="B4429" t="s">
        <v>4274</v>
      </c>
      <c r="C4429" s="1">
        <v>3135</v>
      </c>
      <c r="D4429" t="str">
        <f t="shared" si="189"/>
        <v>278</v>
      </c>
    </row>
    <row r="4430" spans="1:4" x14ac:dyDescent="0.25">
      <c r="A4430" t="str">
        <f>"838280035"</f>
        <v>838280035</v>
      </c>
      <c r="B4430" t="s">
        <v>4275</v>
      </c>
      <c r="C4430" s="1">
        <v>2640</v>
      </c>
      <c r="D4430" t="str">
        <f t="shared" si="189"/>
        <v>278</v>
      </c>
    </row>
    <row r="4431" spans="1:4" x14ac:dyDescent="0.25">
      <c r="A4431" t="str">
        <f>"838280036"</f>
        <v>838280036</v>
      </c>
      <c r="B4431" t="s">
        <v>4276</v>
      </c>
      <c r="C4431" s="1">
        <v>2640</v>
      </c>
      <c r="D4431" t="str">
        <f t="shared" si="189"/>
        <v>278</v>
      </c>
    </row>
    <row r="4432" spans="1:4" x14ac:dyDescent="0.25">
      <c r="A4432" t="str">
        <f>"838280037"</f>
        <v>838280037</v>
      </c>
      <c r="B4432" t="s">
        <v>4204</v>
      </c>
      <c r="C4432" s="1">
        <v>1158.3</v>
      </c>
      <c r="D4432" t="str">
        <f t="shared" si="189"/>
        <v>278</v>
      </c>
    </row>
    <row r="4433" spans="1:4" x14ac:dyDescent="0.25">
      <c r="A4433" t="str">
        <f>"838280700"</f>
        <v>838280700</v>
      </c>
      <c r="B4433" t="s">
        <v>4277</v>
      </c>
      <c r="C4433">
        <v>165</v>
      </c>
      <c r="D4433" t="str">
        <f t="shared" si="189"/>
        <v>278</v>
      </c>
    </row>
    <row r="4434" spans="1:4" x14ac:dyDescent="0.25">
      <c r="A4434" t="str">
        <f>"838280888"</f>
        <v>838280888</v>
      </c>
      <c r="B4434" t="s">
        <v>4278</v>
      </c>
      <c r="C4434">
        <v>880</v>
      </c>
      <c r="D4434" t="str">
        <f t="shared" si="189"/>
        <v>278</v>
      </c>
    </row>
    <row r="4435" spans="1:4" x14ac:dyDescent="0.25">
      <c r="A4435" t="str">
        <f>"838280889"</f>
        <v>838280889</v>
      </c>
      <c r="B4435" t="s">
        <v>4279</v>
      </c>
      <c r="C4435" s="1">
        <v>1725.9</v>
      </c>
      <c r="D4435" t="str">
        <f t="shared" si="189"/>
        <v>278</v>
      </c>
    </row>
    <row r="4436" spans="1:4" x14ac:dyDescent="0.25">
      <c r="A4436" t="str">
        <f>"838280900"</f>
        <v>838280900</v>
      </c>
      <c r="B4436" t="s">
        <v>4280</v>
      </c>
      <c r="C4436" s="1">
        <v>1666.5</v>
      </c>
      <c r="D4436" t="str">
        <f t="shared" si="189"/>
        <v>278</v>
      </c>
    </row>
    <row r="4437" spans="1:4" x14ac:dyDescent="0.25">
      <c r="A4437" t="str">
        <f>"838280901"</f>
        <v>838280901</v>
      </c>
      <c r="B4437" t="s">
        <v>4281</v>
      </c>
      <c r="C4437">
        <v>907.5</v>
      </c>
      <c r="D4437" t="str">
        <f t="shared" si="189"/>
        <v>278</v>
      </c>
    </row>
    <row r="4438" spans="1:4" x14ac:dyDescent="0.25">
      <c r="A4438" t="str">
        <f>"838280902"</f>
        <v>838280902</v>
      </c>
      <c r="B4438" t="s">
        <v>4282</v>
      </c>
      <c r="C4438">
        <v>907.5</v>
      </c>
      <c r="D4438" t="str">
        <f t="shared" si="189"/>
        <v>278</v>
      </c>
    </row>
    <row r="4439" spans="1:4" x14ac:dyDescent="0.25">
      <c r="A4439" t="str">
        <f>"838288771"</f>
        <v>838288771</v>
      </c>
      <c r="B4439" t="s">
        <v>4283</v>
      </c>
      <c r="C4439">
        <v>55</v>
      </c>
      <c r="D4439" t="str">
        <f>"270"</f>
        <v>270</v>
      </c>
    </row>
    <row r="4440" spans="1:4" x14ac:dyDescent="0.25">
      <c r="A4440" t="str">
        <f>"838288777"</f>
        <v>838288777</v>
      </c>
      <c r="B4440" t="s">
        <v>4284</v>
      </c>
      <c r="C4440" s="1">
        <v>2145</v>
      </c>
      <c r="D4440" t="str">
        <f t="shared" ref="D4440:D4447" si="190">"278"</f>
        <v>278</v>
      </c>
    </row>
    <row r="4441" spans="1:4" x14ac:dyDescent="0.25">
      <c r="A4441" t="str">
        <f>"838288778"</f>
        <v>838288778</v>
      </c>
      <c r="B4441" t="s">
        <v>4285</v>
      </c>
      <c r="C4441" s="1">
        <v>2145</v>
      </c>
      <c r="D4441" t="str">
        <f t="shared" si="190"/>
        <v>278</v>
      </c>
    </row>
    <row r="4442" spans="1:4" x14ac:dyDescent="0.25">
      <c r="A4442" t="str">
        <f>"838288779"</f>
        <v>838288779</v>
      </c>
      <c r="B4442" t="s">
        <v>4286</v>
      </c>
      <c r="C4442" s="1">
        <v>2145</v>
      </c>
      <c r="D4442" t="str">
        <f t="shared" si="190"/>
        <v>278</v>
      </c>
    </row>
    <row r="4443" spans="1:4" x14ac:dyDescent="0.25">
      <c r="A4443" t="str">
        <f>"838288780"</f>
        <v>838288780</v>
      </c>
      <c r="B4443" t="s">
        <v>4287</v>
      </c>
      <c r="C4443">
        <v>275</v>
      </c>
      <c r="D4443" t="str">
        <f t="shared" si="190"/>
        <v>278</v>
      </c>
    </row>
    <row r="4444" spans="1:4" x14ac:dyDescent="0.25">
      <c r="A4444" t="str">
        <f>"838288781"</f>
        <v>838288781</v>
      </c>
      <c r="B4444" t="s">
        <v>4288</v>
      </c>
      <c r="C4444" s="1">
        <v>2750</v>
      </c>
      <c r="D4444" t="str">
        <f t="shared" si="190"/>
        <v>278</v>
      </c>
    </row>
    <row r="4445" spans="1:4" x14ac:dyDescent="0.25">
      <c r="A4445" t="str">
        <f>"838288782"</f>
        <v>838288782</v>
      </c>
      <c r="B4445" t="s">
        <v>4289</v>
      </c>
      <c r="C4445">
        <v>990</v>
      </c>
      <c r="D4445" t="str">
        <f t="shared" si="190"/>
        <v>278</v>
      </c>
    </row>
    <row r="4446" spans="1:4" x14ac:dyDescent="0.25">
      <c r="A4446" t="str">
        <f>"838288784"</f>
        <v>838288784</v>
      </c>
      <c r="B4446" t="s">
        <v>4290</v>
      </c>
      <c r="C4446" s="1">
        <v>1177</v>
      </c>
      <c r="D4446" t="str">
        <f t="shared" si="190"/>
        <v>278</v>
      </c>
    </row>
    <row r="4447" spans="1:4" x14ac:dyDescent="0.25">
      <c r="A4447" t="str">
        <f>"838288785"</f>
        <v>838288785</v>
      </c>
      <c r="B4447" t="s">
        <v>4291</v>
      </c>
      <c r="C4447">
        <v>275</v>
      </c>
      <c r="D4447" t="str">
        <f t="shared" si="190"/>
        <v>278</v>
      </c>
    </row>
    <row r="4448" spans="1:4" x14ac:dyDescent="0.25">
      <c r="A4448" t="str">
        <f>"838300100"</f>
        <v>838300100</v>
      </c>
      <c r="B4448" t="s">
        <v>4292</v>
      </c>
      <c r="C4448" s="1">
        <v>2090</v>
      </c>
      <c r="D4448" t="str">
        <f t="shared" ref="D4448:D4477" si="191">"270"</f>
        <v>270</v>
      </c>
    </row>
    <row r="4449" spans="1:4" x14ac:dyDescent="0.25">
      <c r="A4449" t="str">
        <f>"838300101"</f>
        <v>838300101</v>
      </c>
      <c r="B4449" t="s">
        <v>117</v>
      </c>
      <c r="C4449" s="1">
        <v>5500</v>
      </c>
      <c r="D4449" t="str">
        <f t="shared" si="191"/>
        <v>270</v>
      </c>
    </row>
    <row r="4450" spans="1:4" x14ac:dyDescent="0.25">
      <c r="A4450" t="str">
        <f>"838300102"</f>
        <v>838300102</v>
      </c>
      <c r="B4450" t="s">
        <v>4293</v>
      </c>
      <c r="C4450" s="1">
        <v>11000</v>
      </c>
      <c r="D4450" t="str">
        <f t="shared" si="191"/>
        <v>270</v>
      </c>
    </row>
    <row r="4451" spans="1:4" x14ac:dyDescent="0.25">
      <c r="A4451" t="str">
        <f>"838300103"</f>
        <v>838300103</v>
      </c>
      <c r="B4451" t="s">
        <v>4294</v>
      </c>
      <c r="C4451" s="1">
        <v>1100</v>
      </c>
      <c r="D4451" t="str">
        <f t="shared" si="191"/>
        <v>270</v>
      </c>
    </row>
    <row r="4452" spans="1:4" x14ac:dyDescent="0.25">
      <c r="A4452" t="str">
        <f>"838300104"</f>
        <v>838300104</v>
      </c>
      <c r="B4452" t="s">
        <v>4295</v>
      </c>
      <c r="C4452" s="1">
        <v>11000</v>
      </c>
      <c r="D4452" t="str">
        <f t="shared" si="191"/>
        <v>270</v>
      </c>
    </row>
    <row r="4453" spans="1:4" x14ac:dyDescent="0.25">
      <c r="A4453" t="str">
        <f>"838300105"</f>
        <v>838300105</v>
      </c>
      <c r="B4453" t="s">
        <v>4296</v>
      </c>
      <c r="C4453" s="1">
        <v>11000</v>
      </c>
      <c r="D4453" t="str">
        <f t="shared" si="191"/>
        <v>270</v>
      </c>
    </row>
    <row r="4454" spans="1:4" x14ac:dyDescent="0.25">
      <c r="A4454" t="str">
        <f>"838300106"</f>
        <v>838300106</v>
      </c>
      <c r="B4454" t="s">
        <v>4297</v>
      </c>
      <c r="C4454" s="1">
        <v>1100</v>
      </c>
      <c r="D4454" t="str">
        <f t="shared" si="191"/>
        <v>270</v>
      </c>
    </row>
    <row r="4455" spans="1:4" x14ac:dyDescent="0.25">
      <c r="A4455" t="str">
        <f>"838300107"</f>
        <v>838300107</v>
      </c>
      <c r="B4455" t="s">
        <v>4298</v>
      </c>
      <c r="C4455" s="1">
        <v>2750</v>
      </c>
      <c r="D4455" t="str">
        <f t="shared" si="191"/>
        <v>270</v>
      </c>
    </row>
    <row r="4456" spans="1:4" x14ac:dyDescent="0.25">
      <c r="A4456" t="str">
        <f>"838300108"</f>
        <v>838300108</v>
      </c>
      <c r="B4456" t="s">
        <v>4299</v>
      </c>
      <c r="C4456" s="1">
        <v>1100</v>
      </c>
      <c r="D4456" t="str">
        <f t="shared" si="191"/>
        <v>270</v>
      </c>
    </row>
    <row r="4457" spans="1:4" x14ac:dyDescent="0.25">
      <c r="A4457" t="str">
        <f>"838300109"</f>
        <v>838300109</v>
      </c>
      <c r="B4457" t="s">
        <v>4300</v>
      </c>
      <c r="C4457" s="1">
        <v>1100</v>
      </c>
      <c r="D4457" t="str">
        <f t="shared" si="191"/>
        <v>270</v>
      </c>
    </row>
    <row r="4458" spans="1:4" x14ac:dyDescent="0.25">
      <c r="A4458" t="str">
        <f>"838300110"</f>
        <v>838300110</v>
      </c>
      <c r="B4458" t="s">
        <v>4301</v>
      </c>
      <c r="C4458" s="1">
        <v>2750</v>
      </c>
      <c r="D4458" t="str">
        <f t="shared" si="191"/>
        <v>270</v>
      </c>
    </row>
    <row r="4459" spans="1:4" x14ac:dyDescent="0.25">
      <c r="A4459" t="str">
        <f>"838300111"</f>
        <v>838300111</v>
      </c>
      <c r="B4459" t="s">
        <v>4302</v>
      </c>
      <c r="C4459" s="1">
        <v>1100</v>
      </c>
      <c r="D4459" t="str">
        <f t="shared" si="191"/>
        <v>270</v>
      </c>
    </row>
    <row r="4460" spans="1:4" x14ac:dyDescent="0.25">
      <c r="A4460" t="str">
        <f>"838300112"</f>
        <v>838300112</v>
      </c>
      <c r="B4460" t="s">
        <v>4303</v>
      </c>
      <c r="C4460" s="1">
        <v>5500</v>
      </c>
      <c r="D4460" t="str">
        <f t="shared" si="191"/>
        <v>270</v>
      </c>
    </row>
    <row r="4461" spans="1:4" x14ac:dyDescent="0.25">
      <c r="A4461" t="str">
        <f>"838300113"</f>
        <v>838300113</v>
      </c>
      <c r="B4461" t="s">
        <v>4304</v>
      </c>
      <c r="C4461" s="1">
        <v>1100</v>
      </c>
      <c r="D4461" t="str">
        <f t="shared" si="191"/>
        <v>270</v>
      </c>
    </row>
    <row r="4462" spans="1:4" x14ac:dyDescent="0.25">
      <c r="A4462" t="str">
        <f>"838300114"</f>
        <v>838300114</v>
      </c>
      <c r="B4462" t="s">
        <v>4305</v>
      </c>
      <c r="C4462" s="1">
        <v>1100</v>
      </c>
      <c r="D4462" t="str">
        <f t="shared" si="191"/>
        <v>270</v>
      </c>
    </row>
    <row r="4463" spans="1:4" x14ac:dyDescent="0.25">
      <c r="A4463" t="str">
        <f>"838300115"</f>
        <v>838300115</v>
      </c>
      <c r="B4463" t="s">
        <v>4306</v>
      </c>
      <c r="C4463" s="1">
        <v>1210</v>
      </c>
      <c r="D4463" t="str">
        <f t="shared" si="191"/>
        <v>270</v>
      </c>
    </row>
    <row r="4464" spans="1:4" x14ac:dyDescent="0.25">
      <c r="A4464" t="str">
        <f>"838300116"</f>
        <v>838300116</v>
      </c>
      <c r="B4464" t="s">
        <v>4307</v>
      </c>
      <c r="C4464" s="1">
        <v>2750</v>
      </c>
      <c r="D4464" t="str">
        <f t="shared" si="191"/>
        <v>270</v>
      </c>
    </row>
    <row r="4465" spans="1:4" x14ac:dyDescent="0.25">
      <c r="A4465" t="str">
        <f>"838300117"</f>
        <v>838300117</v>
      </c>
      <c r="B4465" t="s">
        <v>4308</v>
      </c>
      <c r="C4465" s="1">
        <v>1100</v>
      </c>
      <c r="D4465" t="str">
        <f t="shared" si="191"/>
        <v>270</v>
      </c>
    </row>
    <row r="4466" spans="1:4" x14ac:dyDescent="0.25">
      <c r="A4466" t="str">
        <f>"838300118"</f>
        <v>838300118</v>
      </c>
      <c r="B4466" t="s">
        <v>4309</v>
      </c>
      <c r="C4466" s="1">
        <v>1100</v>
      </c>
      <c r="D4466" t="str">
        <f t="shared" si="191"/>
        <v>270</v>
      </c>
    </row>
    <row r="4467" spans="1:4" x14ac:dyDescent="0.25">
      <c r="A4467" t="str">
        <f>"838300119"</f>
        <v>838300119</v>
      </c>
      <c r="B4467" t="s">
        <v>4310</v>
      </c>
      <c r="C4467" s="1">
        <v>16500</v>
      </c>
      <c r="D4467" t="str">
        <f t="shared" si="191"/>
        <v>270</v>
      </c>
    </row>
    <row r="4468" spans="1:4" x14ac:dyDescent="0.25">
      <c r="A4468" t="str">
        <f>"838300120"</f>
        <v>838300120</v>
      </c>
      <c r="B4468" t="s">
        <v>4311</v>
      </c>
      <c r="C4468" s="1">
        <v>1100</v>
      </c>
      <c r="D4468" t="str">
        <f t="shared" si="191"/>
        <v>270</v>
      </c>
    </row>
    <row r="4469" spans="1:4" x14ac:dyDescent="0.25">
      <c r="A4469" t="str">
        <f>"838300121"</f>
        <v>838300121</v>
      </c>
      <c r="B4469" t="s">
        <v>4312</v>
      </c>
      <c r="C4469" s="1">
        <v>5500</v>
      </c>
      <c r="D4469" t="str">
        <f t="shared" si="191"/>
        <v>270</v>
      </c>
    </row>
    <row r="4470" spans="1:4" x14ac:dyDescent="0.25">
      <c r="A4470" t="str">
        <f>"838300122"</f>
        <v>838300122</v>
      </c>
      <c r="B4470" t="s">
        <v>4313</v>
      </c>
      <c r="C4470" s="1">
        <v>1624.7</v>
      </c>
      <c r="D4470" t="str">
        <f t="shared" si="191"/>
        <v>270</v>
      </c>
    </row>
    <row r="4471" spans="1:4" x14ac:dyDescent="0.25">
      <c r="A4471" t="str">
        <f>"838300123"</f>
        <v>838300123</v>
      </c>
      <c r="B4471" t="s">
        <v>4314</v>
      </c>
      <c r="C4471" s="1">
        <v>1467.13</v>
      </c>
      <c r="D4471" t="str">
        <f t="shared" si="191"/>
        <v>270</v>
      </c>
    </row>
    <row r="4472" spans="1:4" x14ac:dyDescent="0.25">
      <c r="A4472" t="str">
        <f>"838300124"</f>
        <v>838300124</v>
      </c>
      <c r="B4472" t="s">
        <v>4315</v>
      </c>
      <c r="C4472" s="1">
        <v>1210</v>
      </c>
      <c r="D4472" t="str">
        <f t="shared" si="191"/>
        <v>270</v>
      </c>
    </row>
    <row r="4473" spans="1:4" x14ac:dyDescent="0.25">
      <c r="A4473" t="str">
        <f>"838300125"</f>
        <v>838300125</v>
      </c>
      <c r="B4473" t="s">
        <v>4316</v>
      </c>
      <c r="C4473" s="1">
        <v>1166</v>
      </c>
      <c r="D4473" t="str">
        <f t="shared" si="191"/>
        <v>270</v>
      </c>
    </row>
    <row r="4474" spans="1:4" x14ac:dyDescent="0.25">
      <c r="A4474" t="str">
        <f>"838300126"</f>
        <v>838300126</v>
      </c>
      <c r="B4474" t="s">
        <v>4317</v>
      </c>
      <c r="C4474" s="1">
        <v>1045</v>
      </c>
      <c r="D4474" t="str">
        <f t="shared" si="191"/>
        <v>270</v>
      </c>
    </row>
    <row r="4475" spans="1:4" x14ac:dyDescent="0.25">
      <c r="A4475" t="str">
        <f>"838300127"</f>
        <v>838300127</v>
      </c>
      <c r="B4475" t="s">
        <v>4318</v>
      </c>
      <c r="C4475" s="1">
        <v>1430</v>
      </c>
      <c r="D4475" t="str">
        <f t="shared" si="191"/>
        <v>270</v>
      </c>
    </row>
    <row r="4476" spans="1:4" x14ac:dyDescent="0.25">
      <c r="A4476" t="str">
        <f>"838300128"</f>
        <v>838300128</v>
      </c>
      <c r="B4476" t="s">
        <v>4319</v>
      </c>
      <c r="C4476">
        <v>836</v>
      </c>
      <c r="D4476" t="str">
        <f t="shared" si="191"/>
        <v>270</v>
      </c>
    </row>
    <row r="4477" spans="1:4" x14ac:dyDescent="0.25">
      <c r="A4477" t="str">
        <f>"838300129"</f>
        <v>838300129</v>
      </c>
      <c r="B4477" t="s">
        <v>4320</v>
      </c>
      <c r="C4477" s="1">
        <v>1210</v>
      </c>
      <c r="D4477" t="str">
        <f t="shared" si="191"/>
        <v>270</v>
      </c>
    </row>
    <row r="4478" spans="1:4" x14ac:dyDescent="0.25">
      <c r="A4478" t="str">
        <f>"838300130"</f>
        <v>838300130</v>
      </c>
      <c r="B4478" t="s">
        <v>4321</v>
      </c>
      <c r="C4478" s="1">
        <v>1210</v>
      </c>
      <c r="D4478" t="str">
        <f>"272"</f>
        <v>272</v>
      </c>
    </row>
    <row r="4479" spans="1:4" x14ac:dyDescent="0.25">
      <c r="A4479" t="str">
        <f>"838300131"</f>
        <v>838300131</v>
      </c>
      <c r="B4479" t="s">
        <v>4322</v>
      </c>
      <c r="C4479">
        <v>55</v>
      </c>
      <c r="D4479" t="str">
        <f t="shared" ref="D4479:D4510" si="192">"270"</f>
        <v>270</v>
      </c>
    </row>
    <row r="4480" spans="1:4" x14ac:dyDescent="0.25">
      <c r="A4480" t="str">
        <f>"838300132"</f>
        <v>838300132</v>
      </c>
      <c r="B4480" t="s">
        <v>4323</v>
      </c>
      <c r="C4480" s="1">
        <v>8140</v>
      </c>
      <c r="D4480" t="str">
        <f t="shared" si="192"/>
        <v>270</v>
      </c>
    </row>
    <row r="4481" spans="1:4" x14ac:dyDescent="0.25">
      <c r="A4481" t="str">
        <f>"838300133"</f>
        <v>838300133</v>
      </c>
      <c r="B4481" t="s">
        <v>4324</v>
      </c>
      <c r="C4481">
        <v>66</v>
      </c>
      <c r="D4481" t="str">
        <f t="shared" si="192"/>
        <v>270</v>
      </c>
    </row>
    <row r="4482" spans="1:4" x14ac:dyDescent="0.25">
      <c r="A4482" t="str">
        <f>"838300134"</f>
        <v>838300134</v>
      </c>
      <c r="B4482" t="s">
        <v>4325</v>
      </c>
      <c r="C4482">
        <v>8.58</v>
      </c>
      <c r="D4482" t="str">
        <f t="shared" si="192"/>
        <v>270</v>
      </c>
    </row>
    <row r="4483" spans="1:4" x14ac:dyDescent="0.25">
      <c r="A4483" t="str">
        <f>"838300135"</f>
        <v>838300135</v>
      </c>
      <c r="B4483" t="s">
        <v>4326</v>
      </c>
      <c r="C4483" s="1">
        <v>2332</v>
      </c>
      <c r="D4483" t="str">
        <f t="shared" si="192"/>
        <v>270</v>
      </c>
    </row>
    <row r="4484" spans="1:4" x14ac:dyDescent="0.25">
      <c r="A4484" t="str">
        <f>"838300136"</f>
        <v>838300136</v>
      </c>
      <c r="B4484" t="s">
        <v>4327</v>
      </c>
      <c r="C4484" s="1">
        <v>1980</v>
      </c>
      <c r="D4484" t="str">
        <f t="shared" si="192"/>
        <v>270</v>
      </c>
    </row>
    <row r="4485" spans="1:4" x14ac:dyDescent="0.25">
      <c r="A4485" t="str">
        <f>"838300137"</f>
        <v>838300137</v>
      </c>
      <c r="B4485" t="s">
        <v>4328</v>
      </c>
      <c r="C4485">
        <v>235.4</v>
      </c>
      <c r="D4485" t="str">
        <f t="shared" si="192"/>
        <v>270</v>
      </c>
    </row>
    <row r="4486" spans="1:4" x14ac:dyDescent="0.25">
      <c r="A4486" t="str">
        <f>"838300138"</f>
        <v>838300138</v>
      </c>
      <c r="B4486" t="s">
        <v>4329</v>
      </c>
      <c r="C4486">
        <v>110</v>
      </c>
      <c r="D4486" t="str">
        <f t="shared" si="192"/>
        <v>270</v>
      </c>
    </row>
    <row r="4487" spans="1:4" x14ac:dyDescent="0.25">
      <c r="A4487" t="str">
        <f>"838300139"</f>
        <v>838300139</v>
      </c>
      <c r="B4487" t="s">
        <v>4330</v>
      </c>
      <c r="C4487">
        <v>26.4</v>
      </c>
      <c r="D4487" t="str">
        <f t="shared" si="192"/>
        <v>270</v>
      </c>
    </row>
    <row r="4488" spans="1:4" x14ac:dyDescent="0.25">
      <c r="A4488" t="str">
        <f>"838300140"</f>
        <v>838300140</v>
      </c>
      <c r="B4488" t="s">
        <v>4331</v>
      </c>
      <c r="C4488">
        <v>60.94</v>
      </c>
      <c r="D4488" t="str">
        <f t="shared" si="192"/>
        <v>270</v>
      </c>
    </row>
    <row r="4489" spans="1:4" x14ac:dyDescent="0.25">
      <c r="A4489" t="str">
        <f>"838300141"</f>
        <v>838300141</v>
      </c>
      <c r="B4489" t="s">
        <v>4332</v>
      </c>
      <c r="C4489">
        <v>44.77</v>
      </c>
      <c r="D4489" t="str">
        <f t="shared" si="192"/>
        <v>270</v>
      </c>
    </row>
    <row r="4490" spans="1:4" x14ac:dyDescent="0.25">
      <c r="A4490" t="str">
        <f>"838300142"</f>
        <v>838300142</v>
      </c>
      <c r="B4490" t="s">
        <v>4333</v>
      </c>
      <c r="C4490">
        <v>44.77</v>
      </c>
      <c r="D4490" t="str">
        <f t="shared" si="192"/>
        <v>270</v>
      </c>
    </row>
    <row r="4491" spans="1:4" x14ac:dyDescent="0.25">
      <c r="A4491" t="str">
        <f>"838300143"</f>
        <v>838300143</v>
      </c>
      <c r="B4491" t="s">
        <v>4334</v>
      </c>
      <c r="C4491">
        <v>957</v>
      </c>
      <c r="D4491" t="str">
        <f t="shared" si="192"/>
        <v>270</v>
      </c>
    </row>
    <row r="4492" spans="1:4" x14ac:dyDescent="0.25">
      <c r="A4492" t="str">
        <f>"838300144"</f>
        <v>838300144</v>
      </c>
      <c r="B4492" t="s">
        <v>4335</v>
      </c>
      <c r="C4492">
        <v>13.2</v>
      </c>
      <c r="D4492" t="str">
        <f t="shared" si="192"/>
        <v>270</v>
      </c>
    </row>
    <row r="4493" spans="1:4" x14ac:dyDescent="0.25">
      <c r="A4493" t="str">
        <f>"838300145"</f>
        <v>838300145</v>
      </c>
      <c r="B4493" t="s">
        <v>4336</v>
      </c>
      <c r="C4493">
        <v>14.41</v>
      </c>
      <c r="D4493" t="str">
        <f t="shared" si="192"/>
        <v>270</v>
      </c>
    </row>
    <row r="4494" spans="1:4" x14ac:dyDescent="0.25">
      <c r="A4494" t="str">
        <f>"838300146"</f>
        <v>838300146</v>
      </c>
      <c r="B4494" t="s">
        <v>4337</v>
      </c>
      <c r="C4494">
        <v>68.64</v>
      </c>
      <c r="D4494" t="str">
        <f t="shared" si="192"/>
        <v>270</v>
      </c>
    </row>
    <row r="4495" spans="1:4" x14ac:dyDescent="0.25">
      <c r="A4495" t="str">
        <f>"838300147"</f>
        <v>838300147</v>
      </c>
      <c r="B4495" t="s">
        <v>4338</v>
      </c>
      <c r="C4495">
        <v>138.6</v>
      </c>
      <c r="D4495" t="str">
        <f t="shared" si="192"/>
        <v>270</v>
      </c>
    </row>
    <row r="4496" spans="1:4" x14ac:dyDescent="0.25">
      <c r="A4496" t="str">
        <f>"838300148"</f>
        <v>838300148</v>
      </c>
      <c r="B4496" t="s">
        <v>4339</v>
      </c>
      <c r="C4496">
        <v>14.63</v>
      </c>
      <c r="D4496" t="str">
        <f t="shared" si="192"/>
        <v>270</v>
      </c>
    </row>
    <row r="4497" spans="1:4" x14ac:dyDescent="0.25">
      <c r="A4497" t="str">
        <f>"838300149"</f>
        <v>838300149</v>
      </c>
      <c r="B4497" t="s">
        <v>4340</v>
      </c>
      <c r="C4497">
        <v>6.27</v>
      </c>
      <c r="D4497" t="str">
        <f t="shared" si="192"/>
        <v>270</v>
      </c>
    </row>
    <row r="4498" spans="1:4" x14ac:dyDescent="0.25">
      <c r="A4498" t="str">
        <f>"838300150"</f>
        <v>838300150</v>
      </c>
      <c r="B4498" t="s">
        <v>4341</v>
      </c>
      <c r="C4498">
        <v>7.15</v>
      </c>
      <c r="D4498" t="str">
        <f t="shared" si="192"/>
        <v>270</v>
      </c>
    </row>
    <row r="4499" spans="1:4" x14ac:dyDescent="0.25">
      <c r="A4499" t="str">
        <f>"838300151"</f>
        <v>838300151</v>
      </c>
      <c r="B4499" t="s">
        <v>4342</v>
      </c>
      <c r="C4499">
        <v>29.7</v>
      </c>
      <c r="D4499" t="str">
        <f t="shared" si="192"/>
        <v>270</v>
      </c>
    </row>
    <row r="4500" spans="1:4" x14ac:dyDescent="0.25">
      <c r="A4500" t="str">
        <f>"838300152"</f>
        <v>838300152</v>
      </c>
      <c r="B4500" t="s">
        <v>4343</v>
      </c>
      <c r="C4500">
        <v>231</v>
      </c>
      <c r="D4500" t="str">
        <f t="shared" si="192"/>
        <v>270</v>
      </c>
    </row>
    <row r="4501" spans="1:4" x14ac:dyDescent="0.25">
      <c r="A4501" t="str">
        <f>"838300153"</f>
        <v>838300153</v>
      </c>
      <c r="B4501" t="s">
        <v>4344</v>
      </c>
      <c r="C4501" s="1">
        <v>2200</v>
      </c>
      <c r="D4501" t="str">
        <f t="shared" si="192"/>
        <v>270</v>
      </c>
    </row>
    <row r="4502" spans="1:4" x14ac:dyDescent="0.25">
      <c r="A4502" t="str">
        <f>"838300155"</f>
        <v>838300155</v>
      </c>
      <c r="B4502" t="s">
        <v>4345</v>
      </c>
      <c r="C4502" s="1">
        <v>2145</v>
      </c>
      <c r="D4502" t="str">
        <f t="shared" si="192"/>
        <v>270</v>
      </c>
    </row>
    <row r="4503" spans="1:4" x14ac:dyDescent="0.25">
      <c r="A4503" t="str">
        <f>"838300156"</f>
        <v>838300156</v>
      </c>
      <c r="B4503" t="s">
        <v>4346</v>
      </c>
      <c r="C4503" s="1">
        <v>1155</v>
      </c>
      <c r="D4503" t="str">
        <f t="shared" si="192"/>
        <v>270</v>
      </c>
    </row>
    <row r="4504" spans="1:4" x14ac:dyDescent="0.25">
      <c r="A4504" t="str">
        <f>"838300157"</f>
        <v>838300157</v>
      </c>
      <c r="B4504" t="s">
        <v>4347</v>
      </c>
      <c r="C4504" s="1">
        <v>1155</v>
      </c>
      <c r="D4504" t="str">
        <f t="shared" si="192"/>
        <v>270</v>
      </c>
    </row>
    <row r="4505" spans="1:4" x14ac:dyDescent="0.25">
      <c r="A4505" t="str">
        <f>"838300158"</f>
        <v>838300158</v>
      </c>
      <c r="B4505" t="s">
        <v>4348</v>
      </c>
      <c r="C4505">
        <v>132</v>
      </c>
      <c r="D4505" t="str">
        <f t="shared" si="192"/>
        <v>270</v>
      </c>
    </row>
    <row r="4506" spans="1:4" x14ac:dyDescent="0.25">
      <c r="A4506" t="str">
        <f>"838300159"</f>
        <v>838300159</v>
      </c>
      <c r="B4506" t="s">
        <v>4349</v>
      </c>
      <c r="C4506">
        <v>253</v>
      </c>
      <c r="D4506" t="str">
        <f t="shared" si="192"/>
        <v>270</v>
      </c>
    </row>
    <row r="4507" spans="1:4" x14ac:dyDescent="0.25">
      <c r="A4507" t="str">
        <f>"838300160"</f>
        <v>838300160</v>
      </c>
      <c r="B4507" t="s">
        <v>4350</v>
      </c>
      <c r="C4507">
        <v>35.86</v>
      </c>
      <c r="D4507" t="str">
        <f t="shared" si="192"/>
        <v>270</v>
      </c>
    </row>
    <row r="4508" spans="1:4" x14ac:dyDescent="0.25">
      <c r="A4508" t="str">
        <f>"838300161"</f>
        <v>838300161</v>
      </c>
      <c r="B4508" t="s">
        <v>4351</v>
      </c>
      <c r="C4508">
        <v>219.78</v>
      </c>
      <c r="D4508" t="str">
        <f t="shared" si="192"/>
        <v>270</v>
      </c>
    </row>
    <row r="4509" spans="1:4" x14ac:dyDescent="0.25">
      <c r="A4509" t="str">
        <f>"838300162"</f>
        <v>838300162</v>
      </c>
      <c r="B4509" t="s">
        <v>4352</v>
      </c>
      <c r="C4509">
        <v>34.1</v>
      </c>
      <c r="D4509" t="str">
        <f t="shared" si="192"/>
        <v>270</v>
      </c>
    </row>
    <row r="4510" spans="1:4" x14ac:dyDescent="0.25">
      <c r="A4510" t="str">
        <f>"838300163"</f>
        <v>838300163</v>
      </c>
      <c r="B4510" t="s">
        <v>4353</v>
      </c>
      <c r="C4510">
        <v>35.86</v>
      </c>
      <c r="D4510" t="str">
        <f t="shared" si="192"/>
        <v>270</v>
      </c>
    </row>
    <row r="4511" spans="1:4" x14ac:dyDescent="0.25">
      <c r="A4511" t="str">
        <f>"838300165"</f>
        <v>838300165</v>
      </c>
      <c r="B4511" t="s">
        <v>4354</v>
      </c>
      <c r="C4511">
        <v>330</v>
      </c>
      <c r="D4511" t="str">
        <f>"278"</f>
        <v>278</v>
      </c>
    </row>
    <row r="4512" spans="1:4" x14ac:dyDescent="0.25">
      <c r="A4512" t="str">
        <f>"838300169"</f>
        <v>838300169</v>
      </c>
      <c r="B4512" t="s">
        <v>4355</v>
      </c>
      <c r="C4512">
        <v>8.8000000000000007</v>
      </c>
      <c r="D4512" t="str">
        <f>"270"</f>
        <v>270</v>
      </c>
    </row>
    <row r="4513" spans="1:4" x14ac:dyDescent="0.25">
      <c r="A4513" t="str">
        <f>"838300170"</f>
        <v>838300170</v>
      </c>
      <c r="B4513" t="s">
        <v>4356</v>
      </c>
      <c r="C4513">
        <v>11</v>
      </c>
      <c r="D4513" t="str">
        <f>"272"</f>
        <v>272</v>
      </c>
    </row>
    <row r="4514" spans="1:4" x14ac:dyDescent="0.25">
      <c r="A4514" t="str">
        <f>"838300171"</f>
        <v>838300171</v>
      </c>
      <c r="B4514" t="s">
        <v>4357</v>
      </c>
      <c r="C4514">
        <v>82.5</v>
      </c>
      <c r="D4514" t="str">
        <f>"270"</f>
        <v>270</v>
      </c>
    </row>
    <row r="4515" spans="1:4" x14ac:dyDescent="0.25">
      <c r="A4515" t="str">
        <f>"838300172"</f>
        <v>838300172</v>
      </c>
      <c r="B4515" t="s">
        <v>4358</v>
      </c>
      <c r="C4515">
        <v>109.45</v>
      </c>
      <c r="D4515" t="str">
        <f>"272"</f>
        <v>272</v>
      </c>
    </row>
    <row r="4516" spans="1:4" x14ac:dyDescent="0.25">
      <c r="A4516" t="str">
        <f>"838300173"</f>
        <v>838300173</v>
      </c>
      <c r="B4516" t="s">
        <v>4359</v>
      </c>
      <c r="C4516">
        <v>220</v>
      </c>
      <c r="D4516" t="str">
        <f>"278"</f>
        <v>278</v>
      </c>
    </row>
    <row r="4517" spans="1:4" x14ac:dyDescent="0.25">
      <c r="A4517" t="str">
        <f>"838300174"</f>
        <v>838300174</v>
      </c>
      <c r="B4517" t="s">
        <v>4360</v>
      </c>
      <c r="C4517">
        <v>4.18</v>
      </c>
      <c r="D4517" t="str">
        <f>"278"</f>
        <v>278</v>
      </c>
    </row>
    <row r="4518" spans="1:4" x14ac:dyDescent="0.25">
      <c r="A4518" t="str">
        <f>"838300175"</f>
        <v>838300175</v>
      </c>
      <c r="B4518" t="s">
        <v>4361</v>
      </c>
      <c r="C4518">
        <v>22</v>
      </c>
      <c r="D4518" t="str">
        <f>"270"</f>
        <v>270</v>
      </c>
    </row>
    <row r="4519" spans="1:4" x14ac:dyDescent="0.25">
      <c r="A4519" t="str">
        <f>"838300176"</f>
        <v>838300176</v>
      </c>
      <c r="B4519" t="s">
        <v>4362</v>
      </c>
      <c r="C4519">
        <v>34.76</v>
      </c>
      <c r="D4519" t="str">
        <f>"270"</f>
        <v>270</v>
      </c>
    </row>
    <row r="4520" spans="1:4" x14ac:dyDescent="0.25">
      <c r="A4520" t="str">
        <f>"838300177"</f>
        <v>838300177</v>
      </c>
      <c r="B4520" t="s">
        <v>4363</v>
      </c>
      <c r="C4520">
        <v>60.5</v>
      </c>
      <c r="D4520" t="str">
        <f>"270"</f>
        <v>270</v>
      </c>
    </row>
    <row r="4521" spans="1:4" x14ac:dyDescent="0.25">
      <c r="A4521" t="str">
        <f>"838300178"</f>
        <v>838300178</v>
      </c>
      <c r="B4521" t="s">
        <v>4364</v>
      </c>
      <c r="C4521">
        <v>22</v>
      </c>
      <c r="D4521" t="str">
        <f>"270"</f>
        <v>270</v>
      </c>
    </row>
    <row r="4522" spans="1:4" x14ac:dyDescent="0.25">
      <c r="A4522" t="str">
        <f>"838300180"</f>
        <v>838300180</v>
      </c>
      <c r="B4522" t="s">
        <v>4365</v>
      </c>
      <c r="C4522">
        <v>33.130000000000003</v>
      </c>
      <c r="D4522" t="str">
        <f>"278"</f>
        <v>278</v>
      </c>
    </row>
    <row r="4523" spans="1:4" x14ac:dyDescent="0.25">
      <c r="A4523" t="str">
        <f>"838300300"</f>
        <v>838300300</v>
      </c>
      <c r="B4523" t="s">
        <v>4366</v>
      </c>
      <c r="C4523" s="1">
        <v>2849</v>
      </c>
      <c r="D4523" t="str">
        <f>"278       "</f>
        <v xml:space="preserve">278       </v>
      </c>
    </row>
    <row r="4524" spans="1:4" x14ac:dyDescent="0.25">
      <c r="A4524" t="str">
        <f>"838300301"</f>
        <v>838300301</v>
      </c>
      <c r="B4524" t="s">
        <v>4367</v>
      </c>
      <c r="C4524">
        <v>82.5</v>
      </c>
      <c r="D4524" t="str">
        <f>"272       "</f>
        <v xml:space="preserve">272       </v>
      </c>
    </row>
    <row r="4525" spans="1:4" x14ac:dyDescent="0.25">
      <c r="A4525" t="str">
        <f>"838300302"</f>
        <v>838300302</v>
      </c>
      <c r="B4525" t="s">
        <v>4368</v>
      </c>
      <c r="C4525">
        <v>242</v>
      </c>
      <c r="D4525" t="str">
        <f>"272"</f>
        <v>272</v>
      </c>
    </row>
    <row r="4526" spans="1:4" x14ac:dyDescent="0.25">
      <c r="A4526" t="str">
        <f>"838675813"</f>
        <v>838675813</v>
      </c>
      <c r="B4526" t="s">
        <v>4369</v>
      </c>
      <c r="C4526" s="1">
        <v>6325</v>
      </c>
      <c r="D4526" t="str">
        <f t="shared" ref="D4526:D4533" si="193">"278"</f>
        <v>278</v>
      </c>
    </row>
    <row r="4527" spans="1:4" x14ac:dyDescent="0.25">
      <c r="A4527" t="str">
        <f>"838678804"</f>
        <v>838678804</v>
      </c>
      <c r="B4527" t="s">
        <v>4370</v>
      </c>
      <c r="C4527" s="1">
        <v>1320</v>
      </c>
      <c r="D4527" t="str">
        <f t="shared" si="193"/>
        <v>278</v>
      </c>
    </row>
    <row r="4528" spans="1:4" x14ac:dyDescent="0.25">
      <c r="A4528" t="str">
        <f>"838678807"</f>
        <v>838678807</v>
      </c>
      <c r="B4528" t="s">
        <v>4371</v>
      </c>
      <c r="C4528" s="1">
        <v>1925</v>
      </c>
      <c r="D4528" t="str">
        <f t="shared" si="193"/>
        <v>278</v>
      </c>
    </row>
    <row r="4529" spans="1:4" x14ac:dyDescent="0.25">
      <c r="A4529" t="str">
        <f>"838678814"</f>
        <v>838678814</v>
      </c>
      <c r="B4529" t="s">
        <v>4372</v>
      </c>
      <c r="C4529" s="1">
        <v>10777.8</v>
      </c>
      <c r="D4529" t="str">
        <f t="shared" si="193"/>
        <v>278</v>
      </c>
    </row>
    <row r="4530" spans="1:4" x14ac:dyDescent="0.25">
      <c r="A4530" t="str">
        <f>"838678815"</f>
        <v>838678815</v>
      </c>
      <c r="B4530" t="s">
        <v>4373</v>
      </c>
      <c r="C4530" s="1">
        <v>10777.8</v>
      </c>
      <c r="D4530" t="str">
        <f t="shared" si="193"/>
        <v>278</v>
      </c>
    </row>
    <row r="4531" spans="1:4" x14ac:dyDescent="0.25">
      <c r="A4531" t="str">
        <f>"838678832"</f>
        <v>838678832</v>
      </c>
      <c r="B4531" t="s">
        <v>4374</v>
      </c>
      <c r="C4531" s="1">
        <v>1452</v>
      </c>
      <c r="D4531" t="str">
        <f t="shared" si="193"/>
        <v>278</v>
      </c>
    </row>
    <row r="4532" spans="1:4" x14ac:dyDescent="0.25">
      <c r="A4532" t="str">
        <f>"838678935"</f>
        <v>838678935</v>
      </c>
      <c r="B4532" t="s">
        <v>4375</v>
      </c>
      <c r="C4532">
        <v>825</v>
      </c>
      <c r="D4532" t="str">
        <f t="shared" si="193"/>
        <v>278</v>
      </c>
    </row>
    <row r="4533" spans="1:4" x14ac:dyDescent="0.25">
      <c r="A4533" t="str">
        <f>"838678958"</f>
        <v>838678958</v>
      </c>
      <c r="B4533" t="s">
        <v>4376</v>
      </c>
      <c r="C4533">
        <v>223.3</v>
      </c>
      <c r="D4533" t="str">
        <f t="shared" si="193"/>
        <v>278</v>
      </c>
    </row>
    <row r="4534" spans="1:4" x14ac:dyDescent="0.25">
      <c r="A4534" t="str">
        <f>"838750500"</f>
        <v>838750500</v>
      </c>
      <c r="B4534" t="s">
        <v>4377</v>
      </c>
      <c r="C4534" s="1">
        <v>1472.63</v>
      </c>
      <c r="D4534" t="str">
        <f>"801"</f>
        <v>801</v>
      </c>
    </row>
    <row r="4535" spans="1:4" x14ac:dyDescent="0.25">
      <c r="A4535" t="str">
        <f>"838750501"</f>
        <v>838750501</v>
      </c>
      <c r="B4535" t="s">
        <v>4378</v>
      </c>
      <c r="C4535" s="1">
        <v>1685.38</v>
      </c>
      <c r="D4535" t="str">
        <f>"800"</f>
        <v>800</v>
      </c>
    </row>
    <row r="4536" spans="1:4" x14ac:dyDescent="0.25">
      <c r="A4536" t="str">
        <f>"838750502"</f>
        <v>838750502</v>
      </c>
      <c r="B4536" t="s">
        <v>4379</v>
      </c>
      <c r="C4536" s="1">
        <v>1962.58</v>
      </c>
      <c r="D4536" t="str">
        <f>"800"</f>
        <v>800</v>
      </c>
    </row>
    <row r="4537" spans="1:4" x14ac:dyDescent="0.25">
      <c r="A4537" t="str">
        <f>"838750504"</f>
        <v>838750504</v>
      </c>
      <c r="B4537" t="s">
        <v>4380</v>
      </c>
      <c r="C4537">
        <v>519.75</v>
      </c>
      <c r="D4537" t="str">
        <f>"802"</f>
        <v>802</v>
      </c>
    </row>
    <row r="4538" spans="1:4" x14ac:dyDescent="0.25">
      <c r="A4538" t="str">
        <f>"838750505"</f>
        <v>838750505</v>
      </c>
      <c r="B4538" t="s">
        <v>4381</v>
      </c>
      <c r="C4538">
        <v>519.75</v>
      </c>
      <c r="D4538" t="str">
        <f>"801"</f>
        <v>801</v>
      </c>
    </row>
    <row r="4539" spans="1:4" x14ac:dyDescent="0.25">
      <c r="A4539" t="str">
        <f>"838750506"</f>
        <v>838750506</v>
      </c>
      <c r="B4539" t="s">
        <v>4382</v>
      </c>
      <c r="C4539" s="1">
        <v>1351.35</v>
      </c>
      <c r="D4539" t="str">
        <f>"804"</f>
        <v>804</v>
      </c>
    </row>
    <row r="4540" spans="1:4" x14ac:dyDescent="0.25">
      <c r="A4540" t="str">
        <f>"838780709"</f>
        <v>838780709</v>
      </c>
      <c r="B4540" t="s">
        <v>4383</v>
      </c>
      <c r="C4540">
        <v>13.37</v>
      </c>
      <c r="D4540" t="str">
        <f>"270"</f>
        <v>270</v>
      </c>
    </row>
    <row r="4541" spans="1:4" x14ac:dyDescent="0.25">
      <c r="A4541" t="str">
        <f>"838800150"</f>
        <v>838800150</v>
      </c>
      <c r="B4541" t="s">
        <v>4384</v>
      </c>
      <c r="C4541">
        <v>253</v>
      </c>
      <c r="D4541" t="str">
        <f>"272"</f>
        <v>272</v>
      </c>
    </row>
    <row r="4542" spans="1:4" x14ac:dyDescent="0.25">
      <c r="A4542" t="str">
        <f>"838800151"</f>
        <v>838800151</v>
      </c>
      <c r="B4542" t="s">
        <v>4385</v>
      </c>
      <c r="C4542">
        <v>246.4</v>
      </c>
      <c r="D4542" t="str">
        <f>"272"</f>
        <v>272</v>
      </c>
    </row>
    <row r="4543" spans="1:4" x14ac:dyDescent="0.25">
      <c r="A4543" t="str">
        <f>"838800152"</f>
        <v>838800152</v>
      </c>
      <c r="B4543" t="s">
        <v>4386</v>
      </c>
      <c r="C4543">
        <v>82.5</v>
      </c>
      <c r="D4543" t="str">
        <f>"270"</f>
        <v>270</v>
      </c>
    </row>
    <row r="4544" spans="1:4" x14ac:dyDescent="0.25">
      <c r="A4544" t="str">
        <f>"838800153"</f>
        <v>838800153</v>
      </c>
      <c r="B4544" t="s">
        <v>4387</v>
      </c>
      <c r="C4544">
        <v>55</v>
      </c>
      <c r="D4544" t="str">
        <f>"278"</f>
        <v>278</v>
      </c>
    </row>
    <row r="4545" spans="1:4" x14ac:dyDescent="0.25">
      <c r="A4545" t="str">
        <f>"838800154"</f>
        <v>838800154</v>
      </c>
      <c r="B4545" t="s">
        <v>4388</v>
      </c>
      <c r="C4545" s="1">
        <v>1732.5</v>
      </c>
      <c r="D4545" t="str">
        <f>"272"</f>
        <v>272</v>
      </c>
    </row>
    <row r="4546" spans="1:4" x14ac:dyDescent="0.25">
      <c r="A4546" t="str">
        <f>"838800155"</f>
        <v>838800155</v>
      </c>
      <c r="B4546" t="s">
        <v>4389</v>
      </c>
      <c r="C4546">
        <v>968.83</v>
      </c>
      <c r="D4546" t="str">
        <f>"278"</f>
        <v>278</v>
      </c>
    </row>
    <row r="4547" spans="1:4" x14ac:dyDescent="0.25">
      <c r="A4547" t="str">
        <f>"838800156"</f>
        <v>838800156</v>
      </c>
      <c r="B4547" t="s">
        <v>4390</v>
      </c>
      <c r="C4547" s="1">
        <v>3465.99</v>
      </c>
      <c r="D4547" t="str">
        <f>"278"</f>
        <v>278</v>
      </c>
    </row>
    <row r="4548" spans="1:4" x14ac:dyDescent="0.25">
      <c r="A4548" t="str">
        <f>"838800158"</f>
        <v>838800158</v>
      </c>
      <c r="B4548" t="s">
        <v>4391</v>
      </c>
      <c r="C4548">
        <v>88</v>
      </c>
      <c r="D4548" t="str">
        <f>"272"</f>
        <v>272</v>
      </c>
    </row>
    <row r="4549" spans="1:4" x14ac:dyDescent="0.25">
      <c r="A4549" t="str">
        <f>"838800159"</f>
        <v>838800159</v>
      </c>
      <c r="B4549" t="s">
        <v>4392</v>
      </c>
      <c r="C4549">
        <v>132</v>
      </c>
      <c r="D4549" t="str">
        <f>"272"</f>
        <v>272</v>
      </c>
    </row>
    <row r="4550" spans="1:4" x14ac:dyDescent="0.25">
      <c r="A4550" t="str">
        <f>"838800161"</f>
        <v>838800161</v>
      </c>
      <c r="B4550" t="s">
        <v>4393</v>
      </c>
      <c r="C4550">
        <v>27.5</v>
      </c>
      <c r="D4550" t="str">
        <f t="shared" ref="D4550:D4555" si="194">"278"</f>
        <v>278</v>
      </c>
    </row>
    <row r="4551" spans="1:4" x14ac:dyDescent="0.25">
      <c r="A4551" t="str">
        <f>"838800162"</f>
        <v>838800162</v>
      </c>
      <c r="B4551" t="s">
        <v>4394</v>
      </c>
      <c r="C4551">
        <v>475.2</v>
      </c>
      <c r="D4551" t="str">
        <f t="shared" si="194"/>
        <v>278</v>
      </c>
    </row>
    <row r="4552" spans="1:4" x14ac:dyDescent="0.25">
      <c r="A4552" t="str">
        <f>"838800163"</f>
        <v>838800163</v>
      </c>
      <c r="B4552" t="s">
        <v>4395</v>
      </c>
      <c r="C4552">
        <v>633.6</v>
      </c>
      <c r="D4552" t="str">
        <f t="shared" si="194"/>
        <v>278</v>
      </c>
    </row>
    <row r="4553" spans="1:4" x14ac:dyDescent="0.25">
      <c r="A4553" t="str">
        <f>"838800164"</f>
        <v>838800164</v>
      </c>
      <c r="B4553" t="s">
        <v>4396</v>
      </c>
      <c r="C4553">
        <v>924</v>
      </c>
      <c r="D4553" t="str">
        <f t="shared" si="194"/>
        <v>278</v>
      </c>
    </row>
    <row r="4554" spans="1:4" x14ac:dyDescent="0.25">
      <c r="A4554" t="str">
        <f>"838800165"</f>
        <v>838800165</v>
      </c>
      <c r="B4554" t="s">
        <v>4397</v>
      </c>
      <c r="C4554" s="1">
        <v>2508</v>
      </c>
      <c r="D4554" t="str">
        <f t="shared" si="194"/>
        <v>278</v>
      </c>
    </row>
    <row r="4555" spans="1:4" x14ac:dyDescent="0.25">
      <c r="A4555" t="str">
        <f>"838800168"</f>
        <v>838800168</v>
      </c>
      <c r="B4555" t="s">
        <v>4398</v>
      </c>
      <c r="C4555">
        <v>198</v>
      </c>
      <c r="D4555" t="str">
        <f t="shared" si="194"/>
        <v>278</v>
      </c>
    </row>
    <row r="4556" spans="1:4" x14ac:dyDescent="0.25">
      <c r="A4556" t="str">
        <f>"838800169"</f>
        <v>838800169</v>
      </c>
      <c r="B4556" t="s">
        <v>4399</v>
      </c>
      <c r="C4556">
        <v>88</v>
      </c>
      <c r="D4556" t="str">
        <f>"270"</f>
        <v>270</v>
      </c>
    </row>
    <row r="4557" spans="1:4" x14ac:dyDescent="0.25">
      <c r="A4557" t="str">
        <f>"838800170"</f>
        <v>838800170</v>
      </c>
      <c r="B4557" t="s">
        <v>4400</v>
      </c>
      <c r="C4557">
        <v>99</v>
      </c>
      <c r="D4557" t="str">
        <f t="shared" ref="D4557:D4570" si="195">"278"</f>
        <v>278</v>
      </c>
    </row>
    <row r="4558" spans="1:4" x14ac:dyDescent="0.25">
      <c r="A4558" t="str">
        <f>"838800171"</f>
        <v>838800171</v>
      </c>
      <c r="B4558" t="s">
        <v>4401</v>
      </c>
      <c r="C4558">
        <v>550</v>
      </c>
      <c r="D4558" t="str">
        <f t="shared" si="195"/>
        <v>278</v>
      </c>
    </row>
    <row r="4559" spans="1:4" x14ac:dyDescent="0.25">
      <c r="A4559" t="str">
        <f>"838800172"</f>
        <v>838800172</v>
      </c>
      <c r="B4559" t="s">
        <v>4402</v>
      </c>
      <c r="C4559">
        <v>164.42</v>
      </c>
      <c r="D4559" t="str">
        <f t="shared" si="195"/>
        <v>278</v>
      </c>
    </row>
    <row r="4560" spans="1:4" x14ac:dyDescent="0.25">
      <c r="A4560" t="str">
        <f>"838800173"</f>
        <v>838800173</v>
      </c>
      <c r="B4560" t="s">
        <v>4403</v>
      </c>
      <c r="C4560">
        <v>164.42</v>
      </c>
      <c r="D4560" t="str">
        <f t="shared" si="195"/>
        <v>278</v>
      </c>
    </row>
    <row r="4561" spans="1:4" x14ac:dyDescent="0.25">
      <c r="A4561" t="str">
        <f>"838800174"</f>
        <v>838800174</v>
      </c>
      <c r="B4561" t="s">
        <v>4404</v>
      </c>
      <c r="C4561">
        <v>132</v>
      </c>
      <c r="D4561" t="str">
        <f t="shared" si="195"/>
        <v>278</v>
      </c>
    </row>
    <row r="4562" spans="1:4" x14ac:dyDescent="0.25">
      <c r="A4562" t="str">
        <f>"838800175"</f>
        <v>838800175</v>
      </c>
      <c r="B4562" t="s">
        <v>4405</v>
      </c>
      <c r="C4562">
        <v>23.32</v>
      </c>
      <c r="D4562" t="str">
        <f t="shared" si="195"/>
        <v>278</v>
      </c>
    </row>
    <row r="4563" spans="1:4" x14ac:dyDescent="0.25">
      <c r="A4563" t="str">
        <f>"838800176"</f>
        <v>838800176</v>
      </c>
      <c r="B4563" t="s">
        <v>4406</v>
      </c>
      <c r="C4563">
        <v>36.74</v>
      </c>
      <c r="D4563" t="str">
        <f t="shared" si="195"/>
        <v>278</v>
      </c>
    </row>
    <row r="4564" spans="1:4" x14ac:dyDescent="0.25">
      <c r="A4564" t="str">
        <f>"838800177"</f>
        <v>838800177</v>
      </c>
      <c r="B4564" t="s">
        <v>4407</v>
      </c>
      <c r="C4564">
        <v>25.41</v>
      </c>
      <c r="D4564" t="str">
        <f t="shared" si="195"/>
        <v>278</v>
      </c>
    </row>
    <row r="4565" spans="1:4" x14ac:dyDescent="0.25">
      <c r="A4565" t="str">
        <f>"838800178"</f>
        <v>838800178</v>
      </c>
      <c r="B4565" t="s">
        <v>4408</v>
      </c>
      <c r="C4565">
        <v>53.9</v>
      </c>
      <c r="D4565" t="str">
        <f t="shared" si="195"/>
        <v>278</v>
      </c>
    </row>
    <row r="4566" spans="1:4" x14ac:dyDescent="0.25">
      <c r="A4566" t="str">
        <f>"838800179"</f>
        <v>838800179</v>
      </c>
      <c r="B4566" t="s">
        <v>4409</v>
      </c>
      <c r="C4566">
        <v>46.2</v>
      </c>
      <c r="D4566" t="str">
        <f t="shared" si="195"/>
        <v>278</v>
      </c>
    </row>
    <row r="4567" spans="1:4" x14ac:dyDescent="0.25">
      <c r="A4567" t="str">
        <f>"838800180"</f>
        <v>838800180</v>
      </c>
      <c r="B4567" t="s">
        <v>4410</v>
      </c>
      <c r="C4567">
        <v>34.1</v>
      </c>
      <c r="D4567" t="str">
        <f t="shared" si="195"/>
        <v>278</v>
      </c>
    </row>
    <row r="4568" spans="1:4" x14ac:dyDescent="0.25">
      <c r="A4568" t="str">
        <f>"838800181"</f>
        <v>838800181</v>
      </c>
      <c r="B4568" t="s">
        <v>4411</v>
      </c>
      <c r="C4568">
        <v>132</v>
      </c>
      <c r="D4568" t="str">
        <f t="shared" si="195"/>
        <v>278</v>
      </c>
    </row>
    <row r="4569" spans="1:4" x14ac:dyDescent="0.25">
      <c r="A4569" t="str">
        <f>"838800182"</f>
        <v>838800182</v>
      </c>
      <c r="B4569" t="s">
        <v>4412</v>
      </c>
      <c r="C4569">
        <v>132</v>
      </c>
      <c r="D4569" t="str">
        <f t="shared" si="195"/>
        <v>278</v>
      </c>
    </row>
    <row r="4570" spans="1:4" x14ac:dyDescent="0.25">
      <c r="A4570" t="str">
        <f>"838800183"</f>
        <v>838800183</v>
      </c>
      <c r="B4570" t="s">
        <v>4413</v>
      </c>
      <c r="C4570" s="1">
        <v>1123.0999999999999</v>
      </c>
      <c r="D4570" t="str">
        <f t="shared" si="195"/>
        <v>278</v>
      </c>
    </row>
    <row r="4571" spans="1:4" x14ac:dyDescent="0.25">
      <c r="A4571" t="str">
        <f>"838800184"</f>
        <v>838800184</v>
      </c>
      <c r="B4571" t="s">
        <v>4414</v>
      </c>
      <c r="C4571">
        <v>825</v>
      </c>
      <c r="D4571" t="str">
        <f t="shared" ref="D4571:D4587" si="196">"270"</f>
        <v>270</v>
      </c>
    </row>
    <row r="4572" spans="1:4" x14ac:dyDescent="0.25">
      <c r="A4572" t="str">
        <f>"838800185"</f>
        <v>838800185</v>
      </c>
      <c r="B4572" t="s">
        <v>4415</v>
      </c>
      <c r="C4572">
        <v>341</v>
      </c>
      <c r="D4572" t="str">
        <f t="shared" si="196"/>
        <v>270</v>
      </c>
    </row>
    <row r="4573" spans="1:4" x14ac:dyDescent="0.25">
      <c r="A4573" t="str">
        <f>"838800186"</f>
        <v>838800186</v>
      </c>
      <c r="B4573" t="s">
        <v>4416</v>
      </c>
      <c r="C4573">
        <v>935</v>
      </c>
      <c r="D4573" t="str">
        <f t="shared" si="196"/>
        <v>270</v>
      </c>
    </row>
    <row r="4574" spans="1:4" x14ac:dyDescent="0.25">
      <c r="A4574" t="str">
        <f>"838800187"</f>
        <v>838800187</v>
      </c>
      <c r="B4574" t="s">
        <v>4417</v>
      </c>
      <c r="C4574">
        <v>880</v>
      </c>
      <c r="D4574" t="str">
        <f t="shared" si="196"/>
        <v>270</v>
      </c>
    </row>
    <row r="4575" spans="1:4" x14ac:dyDescent="0.25">
      <c r="A4575" t="str">
        <f>"838800188"</f>
        <v>838800188</v>
      </c>
      <c r="B4575" t="s">
        <v>4418</v>
      </c>
      <c r="C4575">
        <v>82.5</v>
      </c>
      <c r="D4575" t="str">
        <f t="shared" si="196"/>
        <v>270</v>
      </c>
    </row>
    <row r="4576" spans="1:4" x14ac:dyDescent="0.25">
      <c r="A4576" t="str">
        <f>"838800189"</f>
        <v>838800189</v>
      </c>
      <c r="B4576" t="s">
        <v>4419</v>
      </c>
      <c r="C4576" s="1">
        <v>1017.5</v>
      </c>
      <c r="D4576" t="str">
        <f t="shared" si="196"/>
        <v>270</v>
      </c>
    </row>
    <row r="4577" spans="1:4" x14ac:dyDescent="0.25">
      <c r="A4577" t="str">
        <f>"838800190"</f>
        <v>838800190</v>
      </c>
      <c r="B4577" t="s">
        <v>4420</v>
      </c>
      <c r="C4577">
        <v>907.5</v>
      </c>
      <c r="D4577" t="str">
        <f t="shared" si="196"/>
        <v>270</v>
      </c>
    </row>
    <row r="4578" spans="1:4" x14ac:dyDescent="0.25">
      <c r="A4578" t="str">
        <f>"838800191"</f>
        <v>838800191</v>
      </c>
      <c r="B4578" t="s">
        <v>4421</v>
      </c>
      <c r="C4578">
        <v>101.75</v>
      </c>
      <c r="D4578" t="str">
        <f t="shared" si="196"/>
        <v>270</v>
      </c>
    </row>
    <row r="4579" spans="1:4" x14ac:dyDescent="0.25">
      <c r="A4579" t="str">
        <f>"838800192"</f>
        <v>838800192</v>
      </c>
      <c r="B4579" t="s">
        <v>4422</v>
      </c>
      <c r="C4579">
        <v>145.19999999999999</v>
      </c>
      <c r="D4579" t="str">
        <f t="shared" si="196"/>
        <v>270</v>
      </c>
    </row>
    <row r="4580" spans="1:4" x14ac:dyDescent="0.25">
      <c r="A4580" t="str">
        <f>"838800193"</f>
        <v>838800193</v>
      </c>
      <c r="B4580" t="s">
        <v>4423</v>
      </c>
      <c r="C4580">
        <v>409.2</v>
      </c>
      <c r="D4580" t="str">
        <f t="shared" si="196"/>
        <v>270</v>
      </c>
    </row>
    <row r="4581" spans="1:4" x14ac:dyDescent="0.25">
      <c r="A4581" t="str">
        <f>"838800194"</f>
        <v>838800194</v>
      </c>
      <c r="B4581" t="s">
        <v>4424</v>
      </c>
      <c r="C4581">
        <v>105.16</v>
      </c>
      <c r="D4581" t="str">
        <f t="shared" si="196"/>
        <v>270</v>
      </c>
    </row>
    <row r="4582" spans="1:4" x14ac:dyDescent="0.25">
      <c r="A4582" t="str">
        <f>"838800195"</f>
        <v>838800195</v>
      </c>
      <c r="B4582" t="s">
        <v>4425</v>
      </c>
      <c r="C4582">
        <v>82.5</v>
      </c>
      <c r="D4582" t="str">
        <f t="shared" si="196"/>
        <v>270</v>
      </c>
    </row>
    <row r="4583" spans="1:4" x14ac:dyDescent="0.25">
      <c r="A4583" t="str">
        <f>"838800196"</f>
        <v>838800196</v>
      </c>
      <c r="B4583" t="s">
        <v>4426</v>
      </c>
      <c r="C4583">
        <v>523.33000000000004</v>
      </c>
      <c r="D4583" t="str">
        <f t="shared" si="196"/>
        <v>270</v>
      </c>
    </row>
    <row r="4584" spans="1:4" x14ac:dyDescent="0.25">
      <c r="A4584" t="str">
        <f>"838800197"</f>
        <v>838800197</v>
      </c>
      <c r="B4584" t="s">
        <v>4427</v>
      </c>
      <c r="C4584">
        <v>453.75</v>
      </c>
      <c r="D4584" t="str">
        <f t="shared" si="196"/>
        <v>270</v>
      </c>
    </row>
    <row r="4585" spans="1:4" x14ac:dyDescent="0.25">
      <c r="A4585" t="str">
        <f>"838800198"</f>
        <v>838800198</v>
      </c>
      <c r="B4585" t="s">
        <v>4428</v>
      </c>
      <c r="C4585">
        <v>115.23</v>
      </c>
      <c r="D4585" t="str">
        <f t="shared" si="196"/>
        <v>270</v>
      </c>
    </row>
    <row r="4586" spans="1:4" x14ac:dyDescent="0.25">
      <c r="A4586" t="str">
        <f>"838800199"</f>
        <v>838800199</v>
      </c>
      <c r="B4586" t="s">
        <v>4429</v>
      </c>
      <c r="C4586">
        <v>495.18</v>
      </c>
      <c r="D4586" t="str">
        <f t="shared" si="196"/>
        <v>270</v>
      </c>
    </row>
    <row r="4587" spans="1:4" x14ac:dyDescent="0.25">
      <c r="A4587" t="str">
        <f>"838800200"</f>
        <v>838800200</v>
      </c>
      <c r="B4587" t="s">
        <v>4430</v>
      </c>
      <c r="C4587">
        <v>65.84</v>
      </c>
      <c r="D4587" t="str">
        <f t="shared" si="196"/>
        <v>270</v>
      </c>
    </row>
    <row r="4588" spans="1:4" x14ac:dyDescent="0.25">
      <c r="A4588" t="str">
        <f>"838800201"</f>
        <v>838800201</v>
      </c>
      <c r="B4588" t="s">
        <v>4431</v>
      </c>
      <c r="C4588">
        <v>28.68</v>
      </c>
      <c r="D4588" t="str">
        <f>"278"</f>
        <v>278</v>
      </c>
    </row>
    <row r="4589" spans="1:4" x14ac:dyDescent="0.25">
      <c r="A4589" t="str">
        <f>"838800202"</f>
        <v>838800202</v>
      </c>
      <c r="B4589" t="s">
        <v>4432</v>
      </c>
      <c r="C4589">
        <v>27.59</v>
      </c>
      <c r="D4589" t="str">
        <f>"278"</f>
        <v>278</v>
      </c>
    </row>
    <row r="4590" spans="1:4" x14ac:dyDescent="0.25">
      <c r="A4590" t="str">
        <f>"838800203"</f>
        <v>838800203</v>
      </c>
      <c r="B4590" t="s">
        <v>4433</v>
      </c>
      <c r="C4590">
        <v>72.11</v>
      </c>
      <c r="D4590" t="str">
        <f>"278"</f>
        <v>278</v>
      </c>
    </row>
    <row r="4591" spans="1:4" x14ac:dyDescent="0.25">
      <c r="A4591" t="str">
        <f>"838800204"</f>
        <v>838800204</v>
      </c>
      <c r="B4591" t="s">
        <v>4434</v>
      </c>
      <c r="C4591">
        <v>42.9</v>
      </c>
      <c r="D4591" t="str">
        <f>"272"</f>
        <v>272</v>
      </c>
    </row>
    <row r="4592" spans="1:4" x14ac:dyDescent="0.25">
      <c r="A4592" t="str">
        <f>"838800205"</f>
        <v>838800205</v>
      </c>
      <c r="B4592" t="s">
        <v>4435</v>
      </c>
      <c r="C4592">
        <v>54.48</v>
      </c>
      <c r="D4592" t="str">
        <f>"272"</f>
        <v>272</v>
      </c>
    </row>
    <row r="4593" spans="1:4" x14ac:dyDescent="0.25">
      <c r="A4593" t="str">
        <f>"838800206"</f>
        <v>838800206</v>
      </c>
      <c r="B4593" t="s">
        <v>4436</v>
      </c>
      <c r="C4593">
        <v>33</v>
      </c>
      <c r="D4593" t="str">
        <f>"270"</f>
        <v>270</v>
      </c>
    </row>
    <row r="4594" spans="1:4" x14ac:dyDescent="0.25">
      <c r="A4594" t="str">
        <f>"838800207"</f>
        <v>838800207</v>
      </c>
      <c r="B4594" t="s">
        <v>4437</v>
      </c>
      <c r="C4594">
        <v>6.05</v>
      </c>
      <c r="D4594" t="str">
        <f>"278"</f>
        <v>278</v>
      </c>
    </row>
    <row r="4595" spans="1:4" x14ac:dyDescent="0.25">
      <c r="A4595" t="str">
        <f>"838800208"</f>
        <v>838800208</v>
      </c>
      <c r="B4595" t="s">
        <v>4438</v>
      </c>
      <c r="C4595">
        <v>7.87</v>
      </c>
      <c r="D4595" t="str">
        <f>"278"</f>
        <v>278</v>
      </c>
    </row>
    <row r="4596" spans="1:4" x14ac:dyDescent="0.25">
      <c r="A4596" t="str">
        <f>"838800209"</f>
        <v>838800209</v>
      </c>
      <c r="B4596" t="s">
        <v>4439</v>
      </c>
      <c r="C4596">
        <v>393.25</v>
      </c>
      <c r="D4596" t="str">
        <f>"270"</f>
        <v>270</v>
      </c>
    </row>
    <row r="4597" spans="1:4" x14ac:dyDescent="0.25">
      <c r="A4597" t="str">
        <f>"838800210"</f>
        <v>838800210</v>
      </c>
      <c r="B4597" t="s">
        <v>4440</v>
      </c>
      <c r="C4597">
        <v>189.54</v>
      </c>
      <c r="D4597" t="str">
        <f t="shared" ref="D4597:D4603" si="197">"278"</f>
        <v>278</v>
      </c>
    </row>
    <row r="4598" spans="1:4" x14ac:dyDescent="0.25">
      <c r="A4598" t="str">
        <f>"838800211"</f>
        <v>838800211</v>
      </c>
      <c r="B4598" t="s">
        <v>4441</v>
      </c>
      <c r="C4598" s="1">
        <v>1980</v>
      </c>
      <c r="D4598" t="str">
        <f t="shared" si="197"/>
        <v>278</v>
      </c>
    </row>
    <row r="4599" spans="1:4" x14ac:dyDescent="0.25">
      <c r="A4599" t="str">
        <f>"838800212"</f>
        <v>838800212</v>
      </c>
      <c r="B4599" t="s">
        <v>4442</v>
      </c>
      <c r="C4599">
        <v>165</v>
      </c>
      <c r="D4599" t="str">
        <f t="shared" si="197"/>
        <v>278</v>
      </c>
    </row>
    <row r="4600" spans="1:4" x14ac:dyDescent="0.25">
      <c r="A4600" t="str">
        <f>"838800213"</f>
        <v>838800213</v>
      </c>
      <c r="B4600" t="s">
        <v>4443</v>
      </c>
      <c r="C4600">
        <v>550</v>
      </c>
      <c r="D4600" t="str">
        <f t="shared" si="197"/>
        <v>278</v>
      </c>
    </row>
    <row r="4601" spans="1:4" x14ac:dyDescent="0.25">
      <c r="A4601" t="str">
        <f>"838800220"</f>
        <v>838800220</v>
      </c>
      <c r="B4601" t="s">
        <v>4444</v>
      </c>
      <c r="C4601">
        <v>209</v>
      </c>
      <c r="D4601" t="str">
        <f t="shared" si="197"/>
        <v>278</v>
      </c>
    </row>
    <row r="4602" spans="1:4" x14ac:dyDescent="0.25">
      <c r="A4602" t="str">
        <f>"838800221"</f>
        <v>838800221</v>
      </c>
      <c r="B4602" t="s">
        <v>4445</v>
      </c>
      <c r="C4602">
        <v>209</v>
      </c>
      <c r="D4602" t="str">
        <f t="shared" si="197"/>
        <v>278</v>
      </c>
    </row>
    <row r="4603" spans="1:4" x14ac:dyDescent="0.25">
      <c r="A4603" t="str">
        <f>"838846858"</f>
        <v>838846858</v>
      </c>
      <c r="B4603" t="s">
        <v>4446</v>
      </c>
      <c r="C4603">
        <v>462</v>
      </c>
      <c r="D4603" t="str">
        <f t="shared" si="197"/>
        <v>278</v>
      </c>
    </row>
    <row r="4604" spans="1:4" x14ac:dyDescent="0.25">
      <c r="A4604" t="str">
        <f>"838942001"</f>
        <v>838942001</v>
      </c>
      <c r="B4604" t="s">
        <v>4447</v>
      </c>
      <c r="C4604">
        <v>464.31</v>
      </c>
      <c r="D4604" t="str">
        <f>"942"</f>
        <v>942</v>
      </c>
    </row>
    <row r="4605" spans="1:4" x14ac:dyDescent="0.25">
      <c r="A4605" t="str">
        <f>"838942003"</f>
        <v>838942003</v>
      </c>
      <c r="B4605" t="s">
        <v>4448</v>
      </c>
      <c r="C4605">
        <v>382.54</v>
      </c>
      <c r="D4605" t="str">
        <f>"942"</f>
        <v>942</v>
      </c>
    </row>
    <row r="4606" spans="1:4" x14ac:dyDescent="0.25">
      <c r="A4606" t="str">
        <f>"838942004"</f>
        <v>838942004</v>
      </c>
      <c r="B4606" t="s">
        <v>4449</v>
      </c>
      <c r="C4606">
        <v>51.98</v>
      </c>
      <c r="D4606" t="str">
        <f>"942"</f>
        <v>942</v>
      </c>
    </row>
    <row r="4607" spans="1:4" x14ac:dyDescent="0.25">
      <c r="A4607" t="str">
        <f>"838942005"</f>
        <v>838942005</v>
      </c>
      <c r="B4607" t="s">
        <v>4450</v>
      </c>
      <c r="C4607" s="1">
        <v>5500</v>
      </c>
      <c r="D4607" t="str">
        <f t="shared" ref="D4607:D4620" si="198">"278"</f>
        <v>278</v>
      </c>
    </row>
    <row r="4608" spans="1:4" x14ac:dyDescent="0.25">
      <c r="A4608" t="str">
        <f>"838942006"</f>
        <v>838942006</v>
      </c>
      <c r="B4608" t="s">
        <v>4451</v>
      </c>
      <c r="C4608" s="1">
        <v>5500</v>
      </c>
      <c r="D4608" t="str">
        <f t="shared" si="198"/>
        <v>278</v>
      </c>
    </row>
    <row r="4609" spans="1:4" x14ac:dyDescent="0.25">
      <c r="A4609" t="str">
        <f>"838942007"</f>
        <v>838942007</v>
      </c>
      <c r="B4609" t="s">
        <v>4452</v>
      </c>
      <c r="C4609" s="1">
        <v>5500</v>
      </c>
      <c r="D4609" t="str">
        <f t="shared" si="198"/>
        <v>278</v>
      </c>
    </row>
    <row r="4610" spans="1:4" x14ac:dyDescent="0.25">
      <c r="A4610" t="str">
        <f>"838942008"</f>
        <v>838942008</v>
      </c>
      <c r="B4610" t="s">
        <v>4453</v>
      </c>
      <c r="C4610">
        <v>550</v>
      </c>
      <c r="D4610" t="str">
        <f t="shared" si="198"/>
        <v>278</v>
      </c>
    </row>
    <row r="4611" spans="1:4" x14ac:dyDescent="0.25">
      <c r="A4611" t="str">
        <f>"838942009"</f>
        <v>838942009</v>
      </c>
      <c r="B4611" t="s">
        <v>4454</v>
      </c>
      <c r="C4611" s="1">
        <v>5500</v>
      </c>
      <c r="D4611" t="str">
        <f t="shared" si="198"/>
        <v>278</v>
      </c>
    </row>
    <row r="4612" spans="1:4" x14ac:dyDescent="0.25">
      <c r="A4612" t="str">
        <f>"838942010"</f>
        <v>838942010</v>
      </c>
      <c r="B4612" t="s">
        <v>4455</v>
      </c>
      <c r="C4612" s="1">
        <v>1650</v>
      </c>
      <c r="D4612" t="str">
        <f t="shared" si="198"/>
        <v>278</v>
      </c>
    </row>
    <row r="4613" spans="1:4" x14ac:dyDescent="0.25">
      <c r="A4613" t="str">
        <f>"838942011"</f>
        <v>838942011</v>
      </c>
      <c r="B4613" t="s">
        <v>4456</v>
      </c>
      <c r="C4613" s="1">
        <v>13200</v>
      </c>
      <c r="D4613" t="str">
        <f t="shared" si="198"/>
        <v>278</v>
      </c>
    </row>
    <row r="4614" spans="1:4" x14ac:dyDescent="0.25">
      <c r="A4614" t="str">
        <f>"838942012"</f>
        <v>838942012</v>
      </c>
      <c r="B4614" t="s">
        <v>4457</v>
      </c>
      <c r="C4614" s="1">
        <v>13200</v>
      </c>
      <c r="D4614" t="str">
        <f t="shared" si="198"/>
        <v>278</v>
      </c>
    </row>
    <row r="4615" spans="1:4" x14ac:dyDescent="0.25">
      <c r="A4615" t="str">
        <f>"838942013"</f>
        <v>838942013</v>
      </c>
      <c r="B4615" t="s">
        <v>4458</v>
      </c>
      <c r="C4615" s="1">
        <v>5500</v>
      </c>
      <c r="D4615" t="str">
        <f t="shared" si="198"/>
        <v>278</v>
      </c>
    </row>
    <row r="4616" spans="1:4" x14ac:dyDescent="0.25">
      <c r="A4616" t="str">
        <f>"838942014"</f>
        <v>838942014</v>
      </c>
      <c r="B4616" t="s">
        <v>4459</v>
      </c>
      <c r="C4616" s="1">
        <v>5500</v>
      </c>
      <c r="D4616" t="str">
        <f t="shared" si="198"/>
        <v>278</v>
      </c>
    </row>
    <row r="4617" spans="1:4" x14ac:dyDescent="0.25">
      <c r="A4617" t="str">
        <f>"838942015"</f>
        <v>838942015</v>
      </c>
      <c r="B4617" t="s">
        <v>4460</v>
      </c>
      <c r="C4617" s="1">
        <v>5500</v>
      </c>
      <c r="D4617" t="str">
        <f t="shared" si="198"/>
        <v>278</v>
      </c>
    </row>
    <row r="4618" spans="1:4" x14ac:dyDescent="0.25">
      <c r="A4618" t="str">
        <f>"838942016"</f>
        <v>838942016</v>
      </c>
      <c r="B4618" t="s">
        <v>4461</v>
      </c>
      <c r="C4618" s="1">
        <v>5500</v>
      </c>
      <c r="D4618" t="str">
        <f t="shared" si="198"/>
        <v>278</v>
      </c>
    </row>
    <row r="4619" spans="1:4" x14ac:dyDescent="0.25">
      <c r="A4619" t="str">
        <f>"838942017"</f>
        <v>838942017</v>
      </c>
      <c r="B4619" t="s">
        <v>4462</v>
      </c>
      <c r="C4619" s="1">
        <v>5500</v>
      </c>
      <c r="D4619" t="str">
        <f t="shared" si="198"/>
        <v>278</v>
      </c>
    </row>
    <row r="4620" spans="1:4" x14ac:dyDescent="0.25">
      <c r="A4620" t="str">
        <f>"838942018"</f>
        <v>838942018</v>
      </c>
      <c r="B4620" t="s">
        <v>4463</v>
      </c>
      <c r="C4620" s="1">
        <v>5500</v>
      </c>
      <c r="D4620" t="str">
        <f t="shared" si="198"/>
        <v>278</v>
      </c>
    </row>
    <row r="4621" spans="1:4" x14ac:dyDescent="0.25">
      <c r="A4621" t="str">
        <f>"838942019"</f>
        <v>838942019</v>
      </c>
      <c r="B4621" t="s">
        <v>4464</v>
      </c>
      <c r="C4621" s="1">
        <v>2200</v>
      </c>
      <c r="D4621" t="str">
        <f>"270"</f>
        <v>270</v>
      </c>
    </row>
    <row r="4622" spans="1:4" x14ac:dyDescent="0.25">
      <c r="A4622" t="str">
        <f>"838942020"</f>
        <v>838942020</v>
      </c>
      <c r="B4622" t="s">
        <v>4465</v>
      </c>
      <c r="C4622">
        <v>550</v>
      </c>
      <c r="D4622" t="str">
        <f>"270"</f>
        <v>270</v>
      </c>
    </row>
    <row r="4623" spans="1:4" x14ac:dyDescent="0.25">
      <c r="A4623" t="str">
        <f>"838942021"</f>
        <v>838942021</v>
      </c>
      <c r="B4623" t="s">
        <v>4466</v>
      </c>
      <c r="C4623" s="1">
        <v>7150</v>
      </c>
      <c r="D4623" t="str">
        <f>"270"</f>
        <v>270</v>
      </c>
    </row>
    <row r="4624" spans="1:4" x14ac:dyDescent="0.25">
      <c r="A4624" t="str">
        <f>"838942022"</f>
        <v>838942022</v>
      </c>
      <c r="B4624" t="s">
        <v>4467</v>
      </c>
      <c r="C4624">
        <v>550</v>
      </c>
      <c r="D4624" t="str">
        <f>"270"</f>
        <v>270</v>
      </c>
    </row>
    <row r="4625" spans="1:4" x14ac:dyDescent="0.25">
      <c r="A4625" t="str">
        <f>"838942023"</f>
        <v>838942023</v>
      </c>
      <c r="B4625" t="s">
        <v>4468</v>
      </c>
      <c r="C4625" s="1">
        <v>1650</v>
      </c>
      <c r="D4625" t="str">
        <f>"270"</f>
        <v>270</v>
      </c>
    </row>
    <row r="4626" spans="1:4" x14ac:dyDescent="0.25">
      <c r="A4626" t="str">
        <f>"838942024"</f>
        <v>838942024</v>
      </c>
      <c r="B4626" t="s">
        <v>4469</v>
      </c>
      <c r="C4626" s="1">
        <v>5428.5</v>
      </c>
      <c r="D4626" t="str">
        <f t="shared" ref="D4626:D4666" si="199">"278"</f>
        <v>278</v>
      </c>
    </row>
    <row r="4627" spans="1:4" x14ac:dyDescent="0.25">
      <c r="A4627" t="str">
        <f>"838942025"</f>
        <v>838942025</v>
      </c>
      <c r="B4627" t="s">
        <v>4470</v>
      </c>
      <c r="C4627" s="1">
        <v>2750</v>
      </c>
      <c r="D4627" t="str">
        <f t="shared" si="199"/>
        <v>278</v>
      </c>
    </row>
    <row r="4628" spans="1:4" x14ac:dyDescent="0.25">
      <c r="A4628" t="str">
        <f>"838942026"</f>
        <v>838942026</v>
      </c>
      <c r="B4628" t="s">
        <v>4471</v>
      </c>
      <c r="C4628" s="1">
        <v>3300</v>
      </c>
      <c r="D4628" t="str">
        <f t="shared" si="199"/>
        <v>278</v>
      </c>
    </row>
    <row r="4629" spans="1:4" x14ac:dyDescent="0.25">
      <c r="A4629" t="str">
        <f>"838942027"</f>
        <v>838942027</v>
      </c>
      <c r="B4629" t="s">
        <v>4472</v>
      </c>
      <c r="C4629" s="1">
        <v>2310</v>
      </c>
      <c r="D4629" t="str">
        <f t="shared" si="199"/>
        <v>278</v>
      </c>
    </row>
    <row r="4630" spans="1:4" x14ac:dyDescent="0.25">
      <c r="A4630" t="str">
        <f>"838942028"</f>
        <v>838942028</v>
      </c>
      <c r="B4630" t="s">
        <v>4473</v>
      </c>
      <c r="C4630">
        <v>594</v>
      </c>
      <c r="D4630" t="str">
        <f t="shared" si="199"/>
        <v>278</v>
      </c>
    </row>
    <row r="4631" spans="1:4" x14ac:dyDescent="0.25">
      <c r="A4631" t="str">
        <f>"838942029"</f>
        <v>838942029</v>
      </c>
      <c r="B4631" t="s">
        <v>4474</v>
      </c>
      <c r="C4631">
        <v>165</v>
      </c>
      <c r="D4631" t="str">
        <f t="shared" si="199"/>
        <v>278</v>
      </c>
    </row>
    <row r="4632" spans="1:4" x14ac:dyDescent="0.25">
      <c r="A4632" t="str">
        <f>"838942030"</f>
        <v>838942030</v>
      </c>
      <c r="B4632" t="s">
        <v>4475</v>
      </c>
      <c r="C4632">
        <v>594</v>
      </c>
      <c r="D4632" t="str">
        <f t="shared" si="199"/>
        <v>278</v>
      </c>
    </row>
    <row r="4633" spans="1:4" x14ac:dyDescent="0.25">
      <c r="A4633" t="str">
        <f>"838942031"</f>
        <v>838942031</v>
      </c>
      <c r="B4633" t="s">
        <v>4476</v>
      </c>
      <c r="C4633" s="1">
        <v>6600</v>
      </c>
      <c r="D4633" t="str">
        <f t="shared" si="199"/>
        <v>278</v>
      </c>
    </row>
    <row r="4634" spans="1:4" x14ac:dyDescent="0.25">
      <c r="A4634" t="str">
        <f>"838942032"</f>
        <v>838942032</v>
      </c>
      <c r="B4634" t="s">
        <v>4477</v>
      </c>
      <c r="C4634">
        <v>660</v>
      </c>
      <c r="D4634" t="str">
        <f t="shared" si="199"/>
        <v>278</v>
      </c>
    </row>
    <row r="4635" spans="1:4" x14ac:dyDescent="0.25">
      <c r="A4635" t="str">
        <f>"838942033"</f>
        <v>838942033</v>
      </c>
      <c r="B4635" t="s">
        <v>4478</v>
      </c>
      <c r="C4635" s="1">
        <v>1650</v>
      </c>
      <c r="D4635" t="str">
        <f t="shared" si="199"/>
        <v>278</v>
      </c>
    </row>
    <row r="4636" spans="1:4" x14ac:dyDescent="0.25">
      <c r="A4636" t="str">
        <f>"838942034"</f>
        <v>838942034</v>
      </c>
      <c r="B4636" t="s">
        <v>4479</v>
      </c>
      <c r="C4636" s="1">
        <v>11440</v>
      </c>
      <c r="D4636" t="str">
        <f t="shared" si="199"/>
        <v>278</v>
      </c>
    </row>
    <row r="4637" spans="1:4" x14ac:dyDescent="0.25">
      <c r="A4637" t="str">
        <f>"838942035"</f>
        <v>838942035</v>
      </c>
      <c r="B4637" t="s">
        <v>4480</v>
      </c>
      <c r="C4637">
        <v>330</v>
      </c>
      <c r="D4637" t="str">
        <f t="shared" si="199"/>
        <v>278</v>
      </c>
    </row>
    <row r="4638" spans="1:4" x14ac:dyDescent="0.25">
      <c r="A4638" t="str">
        <f>"838942036"</f>
        <v>838942036</v>
      </c>
      <c r="B4638" t="s">
        <v>4481</v>
      </c>
      <c r="C4638">
        <v>330</v>
      </c>
      <c r="D4638" t="str">
        <f t="shared" si="199"/>
        <v>278</v>
      </c>
    </row>
    <row r="4639" spans="1:4" x14ac:dyDescent="0.25">
      <c r="A4639" t="str">
        <f>"838942037"</f>
        <v>838942037</v>
      </c>
      <c r="B4639" t="s">
        <v>4482</v>
      </c>
      <c r="C4639" s="1">
        <v>2970</v>
      </c>
      <c r="D4639" t="str">
        <f t="shared" si="199"/>
        <v>278</v>
      </c>
    </row>
    <row r="4640" spans="1:4" x14ac:dyDescent="0.25">
      <c r="A4640" t="str">
        <f>"838942038"</f>
        <v>838942038</v>
      </c>
      <c r="B4640" t="s">
        <v>3339</v>
      </c>
      <c r="C4640">
        <v>278.85000000000002</v>
      </c>
      <c r="D4640" t="str">
        <f t="shared" si="199"/>
        <v>278</v>
      </c>
    </row>
    <row r="4641" spans="1:4" x14ac:dyDescent="0.25">
      <c r="A4641" t="str">
        <f>"838942039"</f>
        <v>838942039</v>
      </c>
      <c r="B4641" t="s">
        <v>3338</v>
      </c>
      <c r="C4641">
        <v>495</v>
      </c>
      <c r="D4641" t="str">
        <f t="shared" si="199"/>
        <v>278</v>
      </c>
    </row>
    <row r="4642" spans="1:4" x14ac:dyDescent="0.25">
      <c r="A4642" t="str">
        <f>"838942040"</f>
        <v>838942040</v>
      </c>
      <c r="B4642" t="s">
        <v>4483</v>
      </c>
      <c r="C4642" s="1">
        <v>5940</v>
      </c>
      <c r="D4642" t="str">
        <f t="shared" si="199"/>
        <v>278</v>
      </c>
    </row>
    <row r="4643" spans="1:4" x14ac:dyDescent="0.25">
      <c r="A4643" t="str">
        <f>"838942041"</f>
        <v>838942041</v>
      </c>
      <c r="B4643" t="s">
        <v>3342</v>
      </c>
      <c r="C4643" s="1">
        <v>5940</v>
      </c>
      <c r="D4643" t="str">
        <f t="shared" si="199"/>
        <v>278</v>
      </c>
    </row>
    <row r="4644" spans="1:4" x14ac:dyDescent="0.25">
      <c r="A4644" t="str">
        <f>"838942042"</f>
        <v>838942042</v>
      </c>
      <c r="B4644" t="s">
        <v>3344</v>
      </c>
      <c r="C4644" s="1">
        <v>3135</v>
      </c>
      <c r="D4644" t="str">
        <f t="shared" si="199"/>
        <v>278</v>
      </c>
    </row>
    <row r="4645" spans="1:4" x14ac:dyDescent="0.25">
      <c r="A4645" t="str">
        <f>"838942043"</f>
        <v>838942043</v>
      </c>
      <c r="B4645" t="s">
        <v>4204</v>
      </c>
      <c r="C4645" s="1">
        <v>1485</v>
      </c>
      <c r="D4645" t="str">
        <f t="shared" si="199"/>
        <v>278</v>
      </c>
    </row>
    <row r="4646" spans="1:4" x14ac:dyDescent="0.25">
      <c r="A4646" t="str">
        <f>"838942044"</f>
        <v>838942044</v>
      </c>
      <c r="B4646" t="s">
        <v>3346</v>
      </c>
      <c r="C4646">
        <v>165</v>
      </c>
      <c r="D4646" t="str">
        <f t="shared" si="199"/>
        <v>278</v>
      </c>
    </row>
    <row r="4647" spans="1:4" x14ac:dyDescent="0.25">
      <c r="A4647" t="str">
        <f>"838942045"</f>
        <v>838942045</v>
      </c>
      <c r="B4647" t="s">
        <v>4275</v>
      </c>
      <c r="C4647" s="1">
        <v>3300</v>
      </c>
      <c r="D4647" t="str">
        <f t="shared" si="199"/>
        <v>278</v>
      </c>
    </row>
    <row r="4648" spans="1:4" x14ac:dyDescent="0.25">
      <c r="A4648" t="str">
        <f>"838942046"</f>
        <v>838942046</v>
      </c>
      <c r="B4648" t="s">
        <v>4484</v>
      </c>
      <c r="C4648" s="1">
        <v>3300</v>
      </c>
      <c r="D4648" t="str">
        <f t="shared" si="199"/>
        <v>278</v>
      </c>
    </row>
    <row r="4649" spans="1:4" x14ac:dyDescent="0.25">
      <c r="A4649" t="str">
        <f>"838942047"</f>
        <v>838942047</v>
      </c>
      <c r="B4649" t="s">
        <v>3303</v>
      </c>
      <c r="C4649">
        <v>330</v>
      </c>
      <c r="D4649" t="str">
        <f t="shared" si="199"/>
        <v>278</v>
      </c>
    </row>
    <row r="4650" spans="1:4" x14ac:dyDescent="0.25">
      <c r="A4650" t="str">
        <f>"838942048"</f>
        <v>838942048</v>
      </c>
      <c r="B4650" t="s">
        <v>4485</v>
      </c>
      <c r="C4650" s="1">
        <v>3135</v>
      </c>
      <c r="D4650" t="str">
        <f t="shared" si="199"/>
        <v>278</v>
      </c>
    </row>
    <row r="4651" spans="1:4" x14ac:dyDescent="0.25">
      <c r="A4651" t="str">
        <f>"838942049"</f>
        <v>838942049</v>
      </c>
      <c r="B4651" t="s">
        <v>4267</v>
      </c>
      <c r="C4651" s="1">
        <v>2310</v>
      </c>
      <c r="D4651" t="str">
        <f t="shared" si="199"/>
        <v>278</v>
      </c>
    </row>
    <row r="4652" spans="1:4" x14ac:dyDescent="0.25">
      <c r="A4652" t="str">
        <f>"838942050"</f>
        <v>838942050</v>
      </c>
      <c r="B4652" t="s">
        <v>4486</v>
      </c>
      <c r="C4652" s="1">
        <v>1617</v>
      </c>
      <c r="D4652" t="str">
        <f t="shared" si="199"/>
        <v>278</v>
      </c>
    </row>
    <row r="4653" spans="1:4" x14ac:dyDescent="0.25">
      <c r="A4653" t="str">
        <f>"838942051"</f>
        <v>838942051</v>
      </c>
      <c r="B4653" t="s">
        <v>4487</v>
      </c>
      <c r="C4653" s="1">
        <v>20680</v>
      </c>
      <c r="D4653" t="str">
        <f t="shared" si="199"/>
        <v>278</v>
      </c>
    </row>
    <row r="4654" spans="1:4" x14ac:dyDescent="0.25">
      <c r="A4654" t="str">
        <f>"838942052"</f>
        <v>838942052</v>
      </c>
      <c r="B4654" t="s">
        <v>4488</v>
      </c>
      <c r="C4654" s="1">
        <v>3960</v>
      </c>
      <c r="D4654" t="str">
        <f t="shared" si="199"/>
        <v>278</v>
      </c>
    </row>
    <row r="4655" spans="1:4" x14ac:dyDescent="0.25">
      <c r="A4655" t="str">
        <f>"838942053"</f>
        <v>838942053</v>
      </c>
      <c r="B4655" t="s">
        <v>4489</v>
      </c>
      <c r="C4655" s="1">
        <v>3960</v>
      </c>
      <c r="D4655" t="str">
        <f t="shared" si="199"/>
        <v>278</v>
      </c>
    </row>
    <row r="4656" spans="1:4" x14ac:dyDescent="0.25">
      <c r="A4656" t="str">
        <f>"838942054"</f>
        <v>838942054</v>
      </c>
      <c r="B4656" t="s">
        <v>4490</v>
      </c>
      <c r="C4656" s="1">
        <v>2200</v>
      </c>
      <c r="D4656" t="str">
        <f t="shared" si="199"/>
        <v>278</v>
      </c>
    </row>
    <row r="4657" spans="1:4" x14ac:dyDescent="0.25">
      <c r="A4657" t="str">
        <f>"838942055"</f>
        <v>838942055</v>
      </c>
      <c r="B4657" t="s">
        <v>4491</v>
      </c>
      <c r="C4657" s="1">
        <v>2200</v>
      </c>
      <c r="D4657" t="str">
        <f t="shared" si="199"/>
        <v>278</v>
      </c>
    </row>
    <row r="4658" spans="1:4" x14ac:dyDescent="0.25">
      <c r="A4658" t="str">
        <f>"838942056"</f>
        <v>838942056</v>
      </c>
      <c r="B4658" t="s">
        <v>4492</v>
      </c>
      <c r="C4658">
        <v>759</v>
      </c>
      <c r="D4658" t="str">
        <f t="shared" si="199"/>
        <v>278</v>
      </c>
    </row>
    <row r="4659" spans="1:4" x14ac:dyDescent="0.25">
      <c r="A4659" t="str">
        <f>"838942057"</f>
        <v>838942057</v>
      </c>
      <c r="B4659" t="s">
        <v>4493</v>
      </c>
      <c r="C4659">
        <v>759</v>
      </c>
      <c r="D4659" t="str">
        <f t="shared" si="199"/>
        <v>278</v>
      </c>
    </row>
    <row r="4660" spans="1:4" x14ac:dyDescent="0.25">
      <c r="A4660" t="str">
        <f>"838942058"</f>
        <v>838942058</v>
      </c>
      <c r="B4660" t="s">
        <v>4494</v>
      </c>
      <c r="C4660">
        <v>346.5</v>
      </c>
      <c r="D4660" t="str">
        <f t="shared" si="199"/>
        <v>278</v>
      </c>
    </row>
    <row r="4661" spans="1:4" x14ac:dyDescent="0.25">
      <c r="A4661" t="str">
        <f>"838942059"</f>
        <v>838942059</v>
      </c>
      <c r="B4661" t="s">
        <v>4495</v>
      </c>
      <c r="C4661">
        <v>632.5</v>
      </c>
      <c r="D4661" t="str">
        <f t="shared" si="199"/>
        <v>278</v>
      </c>
    </row>
    <row r="4662" spans="1:4" x14ac:dyDescent="0.25">
      <c r="A4662" t="str">
        <f>"838942060"</f>
        <v>838942060</v>
      </c>
      <c r="B4662" t="s">
        <v>4496</v>
      </c>
      <c r="C4662">
        <v>632.5</v>
      </c>
      <c r="D4662" t="str">
        <f t="shared" si="199"/>
        <v>278</v>
      </c>
    </row>
    <row r="4663" spans="1:4" x14ac:dyDescent="0.25">
      <c r="A4663" t="str">
        <f>"838942061"</f>
        <v>838942061</v>
      </c>
      <c r="B4663" t="s">
        <v>4497</v>
      </c>
      <c r="C4663" s="1">
        <v>19800</v>
      </c>
      <c r="D4663" t="str">
        <f t="shared" si="199"/>
        <v>278</v>
      </c>
    </row>
    <row r="4664" spans="1:4" x14ac:dyDescent="0.25">
      <c r="A4664" t="str">
        <f>"838942062"</f>
        <v>838942062</v>
      </c>
      <c r="B4664" t="s">
        <v>4497</v>
      </c>
      <c r="C4664" s="1">
        <v>9696.5</v>
      </c>
      <c r="D4664" t="str">
        <f t="shared" si="199"/>
        <v>278</v>
      </c>
    </row>
    <row r="4665" spans="1:4" x14ac:dyDescent="0.25">
      <c r="A4665" t="str">
        <f>"838942063"</f>
        <v>838942063</v>
      </c>
      <c r="B4665" t="s">
        <v>4498</v>
      </c>
      <c r="C4665" s="1">
        <v>2392.5</v>
      </c>
      <c r="D4665" t="str">
        <f t="shared" si="199"/>
        <v>278</v>
      </c>
    </row>
    <row r="4666" spans="1:4" x14ac:dyDescent="0.25">
      <c r="A4666" t="str">
        <f>"838942064"</f>
        <v>838942064</v>
      </c>
      <c r="B4666" t="s">
        <v>4499</v>
      </c>
      <c r="C4666" s="1">
        <v>6600</v>
      </c>
      <c r="D4666" t="str">
        <f t="shared" si="199"/>
        <v>278</v>
      </c>
    </row>
    <row r="4667" spans="1:4" x14ac:dyDescent="0.25">
      <c r="A4667" t="str">
        <f>"838942065"</f>
        <v>838942065</v>
      </c>
      <c r="B4667" t="s">
        <v>4500</v>
      </c>
      <c r="C4667">
        <v>1.1000000000000001</v>
      </c>
      <c r="D4667" t="str">
        <f t="shared" ref="D4667:D4730" si="200">"270"</f>
        <v>270</v>
      </c>
    </row>
    <row r="4668" spans="1:4" x14ac:dyDescent="0.25">
      <c r="A4668" t="str">
        <f>"838942066"</f>
        <v>838942066</v>
      </c>
      <c r="B4668" t="s">
        <v>4500</v>
      </c>
      <c r="C4668">
        <v>1.1000000000000001</v>
      </c>
      <c r="D4668" t="str">
        <f t="shared" si="200"/>
        <v>270</v>
      </c>
    </row>
    <row r="4669" spans="1:4" x14ac:dyDescent="0.25">
      <c r="A4669" t="str">
        <f>"838942067"</f>
        <v>838942067</v>
      </c>
      <c r="B4669" t="s">
        <v>4501</v>
      </c>
      <c r="C4669">
        <v>1.1000000000000001</v>
      </c>
      <c r="D4669" t="str">
        <f t="shared" si="200"/>
        <v>270</v>
      </c>
    </row>
    <row r="4670" spans="1:4" x14ac:dyDescent="0.25">
      <c r="A4670" t="str">
        <f>"838942068"</f>
        <v>838942068</v>
      </c>
      <c r="B4670" t="s">
        <v>4501</v>
      </c>
      <c r="C4670">
        <v>1.1000000000000001</v>
      </c>
      <c r="D4670" t="str">
        <f t="shared" si="200"/>
        <v>270</v>
      </c>
    </row>
    <row r="4671" spans="1:4" x14ac:dyDescent="0.25">
      <c r="A4671" t="str">
        <f>"838942069"</f>
        <v>838942069</v>
      </c>
      <c r="B4671" t="s">
        <v>4502</v>
      </c>
      <c r="C4671">
        <v>72.849999999999994</v>
      </c>
      <c r="D4671" t="str">
        <f t="shared" si="200"/>
        <v>270</v>
      </c>
    </row>
    <row r="4672" spans="1:4" x14ac:dyDescent="0.25">
      <c r="A4672" t="str">
        <f>"838942070"</f>
        <v>838942070</v>
      </c>
      <c r="B4672" t="s">
        <v>4502</v>
      </c>
      <c r="C4672">
        <v>72.849999999999994</v>
      </c>
      <c r="D4672" t="str">
        <f t="shared" si="200"/>
        <v>270</v>
      </c>
    </row>
    <row r="4673" spans="1:4" x14ac:dyDescent="0.25">
      <c r="A4673" t="str">
        <f>"838942071"</f>
        <v>838942071</v>
      </c>
      <c r="B4673" t="s">
        <v>4503</v>
      </c>
      <c r="C4673">
        <v>25.5</v>
      </c>
      <c r="D4673" t="str">
        <f t="shared" si="200"/>
        <v>270</v>
      </c>
    </row>
    <row r="4674" spans="1:4" x14ac:dyDescent="0.25">
      <c r="A4674" t="str">
        <f>"838942072"</f>
        <v>838942072</v>
      </c>
      <c r="B4674" t="s">
        <v>4503</v>
      </c>
      <c r="C4674">
        <v>25.5</v>
      </c>
      <c r="D4674" t="str">
        <f t="shared" si="200"/>
        <v>270</v>
      </c>
    </row>
    <row r="4675" spans="1:4" x14ac:dyDescent="0.25">
      <c r="A4675" t="str">
        <f>"838942073"</f>
        <v>838942073</v>
      </c>
      <c r="B4675" t="s">
        <v>4504</v>
      </c>
      <c r="C4675">
        <v>1.1000000000000001</v>
      </c>
      <c r="D4675" t="str">
        <f t="shared" si="200"/>
        <v>270</v>
      </c>
    </row>
    <row r="4676" spans="1:4" x14ac:dyDescent="0.25">
      <c r="A4676" t="str">
        <f>"838942074"</f>
        <v>838942074</v>
      </c>
      <c r="B4676" t="s">
        <v>4505</v>
      </c>
      <c r="C4676">
        <v>1.1000000000000001</v>
      </c>
      <c r="D4676" t="str">
        <f t="shared" si="200"/>
        <v>270</v>
      </c>
    </row>
    <row r="4677" spans="1:4" x14ac:dyDescent="0.25">
      <c r="A4677" t="str">
        <f>"838942075"</f>
        <v>838942075</v>
      </c>
      <c r="B4677" t="s">
        <v>4506</v>
      </c>
      <c r="C4677">
        <v>2.2000000000000002</v>
      </c>
      <c r="D4677" t="str">
        <f t="shared" si="200"/>
        <v>270</v>
      </c>
    </row>
    <row r="4678" spans="1:4" x14ac:dyDescent="0.25">
      <c r="A4678" t="str">
        <f>"838942076"</f>
        <v>838942076</v>
      </c>
      <c r="B4678" t="s">
        <v>4506</v>
      </c>
      <c r="C4678">
        <v>2.2000000000000002</v>
      </c>
      <c r="D4678" t="str">
        <f t="shared" si="200"/>
        <v>270</v>
      </c>
    </row>
    <row r="4679" spans="1:4" x14ac:dyDescent="0.25">
      <c r="A4679" t="str">
        <f>"838942077"</f>
        <v>838942077</v>
      </c>
      <c r="B4679" t="s">
        <v>4507</v>
      </c>
      <c r="C4679">
        <v>1.1000000000000001</v>
      </c>
      <c r="D4679" t="str">
        <f t="shared" si="200"/>
        <v>270</v>
      </c>
    </row>
    <row r="4680" spans="1:4" x14ac:dyDescent="0.25">
      <c r="A4680" t="str">
        <f>"838942078"</f>
        <v>838942078</v>
      </c>
      <c r="B4680" t="s">
        <v>4508</v>
      </c>
      <c r="C4680">
        <v>1.1000000000000001</v>
      </c>
      <c r="D4680" t="str">
        <f t="shared" si="200"/>
        <v>270</v>
      </c>
    </row>
    <row r="4681" spans="1:4" x14ac:dyDescent="0.25">
      <c r="A4681" t="str">
        <f>"838942079"</f>
        <v>838942079</v>
      </c>
      <c r="B4681" t="s">
        <v>4506</v>
      </c>
      <c r="C4681">
        <v>2.2000000000000002</v>
      </c>
      <c r="D4681" t="str">
        <f t="shared" si="200"/>
        <v>270</v>
      </c>
    </row>
    <row r="4682" spans="1:4" x14ac:dyDescent="0.25">
      <c r="A4682" t="str">
        <f>"838942080"</f>
        <v>838942080</v>
      </c>
      <c r="B4682" t="s">
        <v>4506</v>
      </c>
      <c r="C4682">
        <v>2.2000000000000002</v>
      </c>
      <c r="D4682" t="str">
        <f t="shared" si="200"/>
        <v>270</v>
      </c>
    </row>
    <row r="4683" spans="1:4" x14ac:dyDescent="0.25">
      <c r="A4683" t="str">
        <f>"838942081"</f>
        <v>838942081</v>
      </c>
      <c r="B4683" t="s">
        <v>4509</v>
      </c>
      <c r="C4683">
        <v>1.1000000000000001</v>
      </c>
      <c r="D4683" t="str">
        <f t="shared" si="200"/>
        <v>270</v>
      </c>
    </row>
    <row r="4684" spans="1:4" x14ac:dyDescent="0.25">
      <c r="A4684" t="str">
        <f>"838942082"</f>
        <v>838942082</v>
      </c>
      <c r="B4684" t="s">
        <v>4509</v>
      </c>
      <c r="C4684">
        <v>1.1000000000000001</v>
      </c>
      <c r="D4684" t="str">
        <f t="shared" si="200"/>
        <v>270</v>
      </c>
    </row>
    <row r="4685" spans="1:4" x14ac:dyDescent="0.25">
      <c r="A4685" t="str">
        <f>"838942083"</f>
        <v>838942083</v>
      </c>
      <c r="B4685" t="s">
        <v>4506</v>
      </c>
      <c r="C4685">
        <v>2.2000000000000002</v>
      </c>
      <c r="D4685" t="str">
        <f t="shared" si="200"/>
        <v>270</v>
      </c>
    </row>
    <row r="4686" spans="1:4" x14ac:dyDescent="0.25">
      <c r="A4686" t="str">
        <f>"838942084"</f>
        <v>838942084</v>
      </c>
      <c r="B4686" t="s">
        <v>4506</v>
      </c>
      <c r="C4686">
        <v>2.2000000000000002</v>
      </c>
      <c r="D4686" t="str">
        <f t="shared" si="200"/>
        <v>270</v>
      </c>
    </row>
    <row r="4687" spans="1:4" x14ac:dyDescent="0.25">
      <c r="A4687" t="str">
        <f>"838942085"</f>
        <v>838942085</v>
      </c>
      <c r="B4687" t="s">
        <v>4506</v>
      </c>
      <c r="C4687">
        <v>2.2000000000000002</v>
      </c>
      <c r="D4687" t="str">
        <f t="shared" si="200"/>
        <v>270</v>
      </c>
    </row>
    <row r="4688" spans="1:4" x14ac:dyDescent="0.25">
      <c r="A4688" t="str">
        <f>"838942086"</f>
        <v>838942086</v>
      </c>
      <c r="B4688" t="s">
        <v>4506</v>
      </c>
      <c r="C4688">
        <v>2.2000000000000002</v>
      </c>
      <c r="D4688" t="str">
        <f t="shared" si="200"/>
        <v>270</v>
      </c>
    </row>
    <row r="4689" spans="1:4" x14ac:dyDescent="0.25">
      <c r="A4689" t="str">
        <f>"838942087"</f>
        <v>838942087</v>
      </c>
      <c r="B4689" t="s">
        <v>4510</v>
      </c>
      <c r="C4689">
        <v>1.1000000000000001</v>
      </c>
      <c r="D4689" t="str">
        <f t="shared" si="200"/>
        <v>270</v>
      </c>
    </row>
    <row r="4690" spans="1:4" x14ac:dyDescent="0.25">
      <c r="A4690" t="str">
        <f>"838942088"</f>
        <v>838942088</v>
      </c>
      <c r="B4690" t="s">
        <v>4511</v>
      </c>
      <c r="C4690">
        <v>1.1000000000000001</v>
      </c>
      <c r="D4690" t="str">
        <f t="shared" si="200"/>
        <v>270</v>
      </c>
    </row>
    <row r="4691" spans="1:4" x14ac:dyDescent="0.25">
      <c r="A4691" t="str">
        <f>"838942089"</f>
        <v>838942089</v>
      </c>
      <c r="B4691" t="s">
        <v>4512</v>
      </c>
      <c r="C4691">
        <v>290.88</v>
      </c>
      <c r="D4691" t="str">
        <f t="shared" si="200"/>
        <v>270</v>
      </c>
    </row>
    <row r="4692" spans="1:4" x14ac:dyDescent="0.25">
      <c r="A4692" t="str">
        <f>"838942090"</f>
        <v>838942090</v>
      </c>
      <c r="B4692" t="s">
        <v>4512</v>
      </c>
      <c r="C4692">
        <v>290.88</v>
      </c>
      <c r="D4692" t="str">
        <f t="shared" si="200"/>
        <v>270</v>
      </c>
    </row>
    <row r="4693" spans="1:4" x14ac:dyDescent="0.25">
      <c r="A4693" t="str">
        <f>"838942091"</f>
        <v>838942091</v>
      </c>
      <c r="B4693" t="s">
        <v>4513</v>
      </c>
      <c r="C4693">
        <v>290.88</v>
      </c>
      <c r="D4693" t="str">
        <f t="shared" si="200"/>
        <v>270</v>
      </c>
    </row>
    <row r="4694" spans="1:4" x14ac:dyDescent="0.25">
      <c r="A4694" t="str">
        <f>"838942092"</f>
        <v>838942092</v>
      </c>
      <c r="B4694" t="s">
        <v>4513</v>
      </c>
      <c r="C4694">
        <v>290.88</v>
      </c>
      <c r="D4694" t="str">
        <f t="shared" si="200"/>
        <v>270</v>
      </c>
    </row>
    <row r="4695" spans="1:4" x14ac:dyDescent="0.25">
      <c r="A4695" t="str">
        <f>"838942093"</f>
        <v>838942093</v>
      </c>
      <c r="B4695" t="s">
        <v>4514</v>
      </c>
      <c r="C4695">
        <v>105</v>
      </c>
      <c r="D4695" t="str">
        <f t="shared" si="200"/>
        <v>270</v>
      </c>
    </row>
    <row r="4696" spans="1:4" x14ac:dyDescent="0.25">
      <c r="A4696" t="str">
        <f>"838942094"</f>
        <v>838942094</v>
      </c>
      <c r="B4696" t="s">
        <v>4514</v>
      </c>
      <c r="C4696">
        <v>105</v>
      </c>
      <c r="D4696" t="str">
        <f t="shared" si="200"/>
        <v>270</v>
      </c>
    </row>
    <row r="4697" spans="1:4" x14ac:dyDescent="0.25">
      <c r="A4697" t="str">
        <f>"838942095"</f>
        <v>838942095</v>
      </c>
      <c r="B4697" t="s">
        <v>4514</v>
      </c>
      <c r="C4697">
        <v>105</v>
      </c>
      <c r="D4697" t="str">
        <f t="shared" si="200"/>
        <v>270</v>
      </c>
    </row>
    <row r="4698" spans="1:4" x14ac:dyDescent="0.25">
      <c r="A4698" t="str">
        <f>"838942096"</f>
        <v>838942096</v>
      </c>
      <c r="B4698" t="s">
        <v>4514</v>
      </c>
      <c r="C4698">
        <v>105</v>
      </c>
      <c r="D4698" t="str">
        <f t="shared" si="200"/>
        <v>270</v>
      </c>
    </row>
    <row r="4699" spans="1:4" x14ac:dyDescent="0.25">
      <c r="A4699" t="str">
        <f>"838942097"</f>
        <v>838942097</v>
      </c>
      <c r="B4699" t="s">
        <v>4515</v>
      </c>
      <c r="C4699">
        <v>1.1000000000000001</v>
      </c>
      <c r="D4699" t="str">
        <f t="shared" si="200"/>
        <v>270</v>
      </c>
    </row>
    <row r="4700" spans="1:4" x14ac:dyDescent="0.25">
      <c r="A4700" t="str">
        <f>"838942098"</f>
        <v>838942098</v>
      </c>
      <c r="B4700" t="s">
        <v>4515</v>
      </c>
      <c r="C4700">
        <v>1.1000000000000001</v>
      </c>
      <c r="D4700" t="str">
        <f t="shared" si="200"/>
        <v>270</v>
      </c>
    </row>
    <row r="4701" spans="1:4" x14ac:dyDescent="0.25">
      <c r="A4701" t="str">
        <f>"838942099"</f>
        <v>838942099</v>
      </c>
      <c r="B4701" t="s">
        <v>4515</v>
      </c>
      <c r="C4701">
        <v>1.1000000000000001</v>
      </c>
      <c r="D4701" t="str">
        <f t="shared" si="200"/>
        <v>270</v>
      </c>
    </row>
    <row r="4702" spans="1:4" x14ac:dyDescent="0.25">
      <c r="A4702" t="str">
        <f>"838942100"</f>
        <v>838942100</v>
      </c>
      <c r="B4702" t="s">
        <v>4515</v>
      </c>
      <c r="C4702">
        <v>1.1000000000000001</v>
      </c>
      <c r="D4702" t="str">
        <f t="shared" si="200"/>
        <v>270</v>
      </c>
    </row>
    <row r="4703" spans="1:4" x14ac:dyDescent="0.25">
      <c r="A4703" t="str">
        <f>"838942101"</f>
        <v>838942101</v>
      </c>
      <c r="B4703" t="s">
        <v>4516</v>
      </c>
      <c r="C4703">
        <v>1.1000000000000001</v>
      </c>
      <c r="D4703" t="str">
        <f t="shared" si="200"/>
        <v>270</v>
      </c>
    </row>
    <row r="4704" spans="1:4" x14ac:dyDescent="0.25">
      <c r="A4704" t="str">
        <f>"838942102"</f>
        <v>838942102</v>
      </c>
      <c r="B4704" t="s">
        <v>4516</v>
      </c>
      <c r="C4704">
        <v>1.1000000000000001</v>
      </c>
      <c r="D4704" t="str">
        <f t="shared" si="200"/>
        <v>270</v>
      </c>
    </row>
    <row r="4705" spans="1:4" x14ac:dyDescent="0.25">
      <c r="A4705" t="str">
        <f>"838942103"</f>
        <v>838942103</v>
      </c>
      <c r="B4705" t="s">
        <v>4517</v>
      </c>
      <c r="C4705">
        <v>838.29</v>
      </c>
      <c r="D4705" t="str">
        <f t="shared" si="200"/>
        <v>270</v>
      </c>
    </row>
    <row r="4706" spans="1:4" x14ac:dyDescent="0.25">
      <c r="A4706" t="str">
        <f>"838942104"</f>
        <v>838942104</v>
      </c>
      <c r="B4706" t="s">
        <v>4517</v>
      </c>
      <c r="C4706">
        <v>838.29</v>
      </c>
      <c r="D4706" t="str">
        <f t="shared" si="200"/>
        <v>270</v>
      </c>
    </row>
    <row r="4707" spans="1:4" x14ac:dyDescent="0.25">
      <c r="A4707" t="str">
        <f>"838942105"</f>
        <v>838942105</v>
      </c>
      <c r="B4707" t="s">
        <v>4518</v>
      </c>
      <c r="C4707">
        <v>838.29</v>
      </c>
      <c r="D4707" t="str">
        <f t="shared" si="200"/>
        <v>270</v>
      </c>
    </row>
    <row r="4708" spans="1:4" x14ac:dyDescent="0.25">
      <c r="A4708" t="str">
        <f>"838942106"</f>
        <v>838942106</v>
      </c>
      <c r="B4708" t="s">
        <v>4518</v>
      </c>
      <c r="C4708">
        <v>838.29</v>
      </c>
      <c r="D4708" t="str">
        <f t="shared" si="200"/>
        <v>270</v>
      </c>
    </row>
    <row r="4709" spans="1:4" x14ac:dyDescent="0.25">
      <c r="A4709" t="str">
        <f>"838942107"</f>
        <v>838942107</v>
      </c>
      <c r="B4709" t="s">
        <v>4519</v>
      </c>
      <c r="C4709">
        <v>838.29</v>
      </c>
      <c r="D4709" t="str">
        <f t="shared" si="200"/>
        <v>270</v>
      </c>
    </row>
    <row r="4710" spans="1:4" x14ac:dyDescent="0.25">
      <c r="A4710" t="str">
        <f>"838942108"</f>
        <v>838942108</v>
      </c>
      <c r="B4710" t="s">
        <v>4520</v>
      </c>
      <c r="C4710">
        <v>838.29</v>
      </c>
      <c r="D4710" t="str">
        <f t="shared" si="200"/>
        <v>270</v>
      </c>
    </row>
    <row r="4711" spans="1:4" x14ac:dyDescent="0.25">
      <c r="A4711" t="str">
        <f>"838942109"</f>
        <v>838942109</v>
      </c>
      <c r="B4711" t="s">
        <v>4521</v>
      </c>
      <c r="C4711">
        <v>838.29</v>
      </c>
      <c r="D4711" t="str">
        <f t="shared" si="200"/>
        <v>270</v>
      </c>
    </row>
    <row r="4712" spans="1:4" x14ac:dyDescent="0.25">
      <c r="A4712" t="str">
        <f>"838942110"</f>
        <v>838942110</v>
      </c>
      <c r="B4712" t="s">
        <v>4521</v>
      </c>
      <c r="C4712">
        <v>838.29</v>
      </c>
      <c r="D4712" t="str">
        <f t="shared" si="200"/>
        <v>270</v>
      </c>
    </row>
    <row r="4713" spans="1:4" x14ac:dyDescent="0.25">
      <c r="A4713" t="str">
        <f>"838942111"</f>
        <v>838942111</v>
      </c>
      <c r="B4713" t="s">
        <v>4522</v>
      </c>
      <c r="C4713">
        <v>838.29</v>
      </c>
      <c r="D4713" t="str">
        <f t="shared" si="200"/>
        <v>270</v>
      </c>
    </row>
    <row r="4714" spans="1:4" x14ac:dyDescent="0.25">
      <c r="A4714" t="str">
        <f>"838942112"</f>
        <v>838942112</v>
      </c>
      <c r="B4714" t="s">
        <v>4522</v>
      </c>
      <c r="C4714">
        <v>838.29</v>
      </c>
      <c r="D4714" t="str">
        <f t="shared" si="200"/>
        <v>270</v>
      </c>
    </row>
    <row r="4715" spans="1:4" x14ac:dyDescent="0.25">
      <c r="A4715" t="str">
        <f>"838942113"</f>
        <v>838942113</v>
      </c>
      <c r="B4715" t="s">
        <v>4523</v>
      </c>
      <c r="C4715" s="1">
        <v>1081.6600000000001</v>
      </c>
      <c r="D4715" t="str">
        <f t="shared" si="200"/>
        <v>270</v>
      </c>
    </row>
    <row r="4716" spans="1:4" x14ac:dyDescent="0.25">
      <c r="A4716" t="str">
        <f>"838942114"</f>
        <v>838942114</v>
      </c>
      <c r="B4716" t="s">
        <v>4524</v>
      </c>
      <c r="C4716" s="1">
        <v>1081.6600000000001</v>
      </c>
      <c r="D4716" t="str">
        <f t="shared" si="200"/>
        <v>270</v>
      </c>
    </row>
    <row r="4717" spans="1:4" x14ac:dyDescent="0.25">
      <c r="A4717" t="str">
        <f>"838942115"</f>
        <v>838942115</v>
      </c>
      <c r="B4717" t="s">
        <v>4525</v>
      </c>
      <c r="C4717" s="1">
        <v>1081.6600000000001</v>
      </c>
      <c r="D4717" t="str">
        <f t="shared" si="200"/>
        <v>270</v>
      </c>
    </row>
    <row r="4718" spans="1:4" x14ac:dyDescent="0.25">
      <c r="A4718" t="str">
        <f>"838942116"</f>
        <v>838942116</v>
      </c>
      <c r="B4718" t="s">
        <v>4526</v>
      </c>
      <c r="C4718" s="1">
        <v>1081.6600000000001</v>
      </c>
      <c r="D4718" t="str">
        <f t="shared" si="200"/>
        <v>270</v>
      </c>
    </row>
    <row r="4719" spans="1:4" x14ac:dyDescent="0.25">
      <c r="A4719" t="str">
        <f>"838942117"</f>
        <v>838942117</v>
      </c>
      <c r="B4719" t="s">
        <v>4527</v>
      </c>
      <c r="C4719" s="1">
        <v>1081.6600000000001</v>
      </c>
      <c r="D4719" t="str">
        <f t="shared" si="200"/>
        <v>270</v>
      </c>
    </row>
    <row r="4720" spans="1:4" x14ac:dyDescent="0.25">
      <c r="A4720" t="str">
        <f>"838942118"</f>
        <v>838942118</v>
      </c>
      <c r="B4720" t="s">
        <v>4527</v>
      </c>
      <c r="C4720" s="1">
        <v>1081.6600000000001</v>
      </c>
      <c r="D4720" t="str">
        <f t="shared" si="200"/>
        <v>270</v>
      </c>
    </row>
    <row r="4721" spans="1:4" x14ac:dyDescent="0.25">
      <c r="A4721" t="str">
        <f>"838942119"</f>
        <v>838942119</v>
      </c>
      <c r="B4721" t="s">
        <v>4528</v>
      </c>
      <c r="C4721" s="1">
        <v>1081.6600000000001</v>
      </c>
      <c r="D4721" t="str">
        <f t="shared" si="200"/>
        <v>270</v>
      </c>
    </row>
    <row r="4722" spans="1:4" x14ac:dyDescent="0.25">
      <c r="A4722" t="str">
        <f>"838942120"</f>
        <v>838942120</v>
      </c>
      <c r="B4722" t="s">
        <v>4529</v>
      </c>
      <c r="C4722" s="1">
        <v>1081.6600000000001</v>
      </c>
      <c r="D4722" t="str">
        <f t="shared" si="200"/>
        <v>270</v>
      </c>
    </row>
    <row r="4723" spans="1:4" x14ac:dyDescent="0.25">
      <c r="A4723" t="str">
        <f>"838942121"</f>
        <v>838942121</v>
      </c>
      <c r="B4723" t="s">
        <v>4530</v>
      </c>
      <c r="C4723">
        <v>1.1000000000000001</v>
      </c>
      <c r="D4723" t="str">
        <f t="shared" si="200"/>
        <v>270</v>
      </c>
    </row>
    <row r="4724" spans="1:4" x14ac:dyDescent="0.25">
      <c r="A4724" t="str">
        <f>"838942122"</f>
        <v>838942122</v>
      </c>
      <c r="B4724" t="s">
        <v>4531</v>
      </c>
      <c r="C4724">
        <v>1.1000000000000001</v>
      </c>
      <c r="D4724" t="str">
        <f t="shared" si="200"/>
        <v>270</v>
      </c>
    </row>
    <row r="4725" spans="1:4" x14ac:dyDescent="0.25">
      <c r="A4725" t="str">
        <f>"838942123"</f>
        <v>838942123</v>
      </c>
      <c r="B4725" t="s">
        <v>4532</v>
      </c>
      <c r="C4725">
        <v>1.1000000000000001</v>
      </c>
      <c r="D4725" t="str">
        <f t="shared" si="200"/>
        <v>270</v>
      </c>
    </row>
    <row r="4726" spans="1:4" x14ac:dyDescent="0.25">
      <c r="A4726" t="str">
        <f>"838942124"</f>
        <v>838942124</v>
      </c>
      <c r="B4726" t="s">
        <v>4533</v>
      </c>
      <c r="C4726">
        <v>1.1000000000000001</v>
      </c>
      <c r="D4726" t="str">
        <f t="shared" si="200"/>
        <v>270</v>
      </c>
    </row>
    <row r="4727" spans="1:4" x14ac:dyDescent="0.25">
      <c r="A4727" t="str">
        <f>"838942125"</f>
        <v>838942125</v>
      </c>
      <c r="B4727" t="s">
        <v>4534</v>
      </c>
      <c r="C4727">
        <v>1.1000000000000001</v>
      </c>
      <c r="D4727" t="str">
        <f t="shared" si="200"/>
        <v>270</v>
      </c>
    </row>
    <row r="4728" spans="1:4" x14ac:dyDescent="0.25">
      <c r="A4728" t="str">
        <f>"838942126"</f>
        <v>838942126</v>
      </c>
      <c r="B4728" t="s">
        <v>4535</v>
      </c>
      <c r="C4728">
        <v>1.1000000000000001</v>
      </c>
      <c r="D4728" t="str">
        <f t="shared" si="200"/>
        <v>270</v>
      </c>
    </row>
    <row r="4729" spans="1:4" x14ac:dyDescent="0.25">
      <c r="A4729" t="str">
        <f>"838942127"</f>
        <v>838942127</v>
      </c>
      <c r="B4729" t="s">
        <v>4536</v>
      </c>
      <c r="C4729">
        <v>1.1000000000000001</v>
      </c>
      <c r="D4729" t="str">
        <f t="shared" si="200"/>
        <v>270</v>
      </c>
    </row>
    <row r="4730" spans="1:4" x14ac:dyDescent="0.25">
      <c r="A4730" t="str">
        <f>"838942128"</f>
        <v>838942128</v>
      </c>
      <c r="B4730" t="s">
        <v>4537</v>
      </c>
      <c r="C4730">
        <v>1.1000000000000001</v>
      </c>
      <c r="D4730" t="str">
        <f t="shared" si="200"/>
        <v>270</v>
      </c>
    </row>
    <row r="4731" spans="1:4" x14ac:dyDescent="0.25">
      <c r="A4731" t="str">
        <f>"838942129"</f>
        <v>838942129</v>
      </c>
      <c r="B4731" t="s">
        <v>4538</v>
      </c>
      <c r="C4731">
        <v>199.58</v>
      </c>
      <c r="D4731" t="str">
        <f t="shared" ref="D4731:D4794" si="201">"270"</f>
        <v>270</v>
      </c>
    </row>
    <row r="4732" spans="1:4" x14ac:dyDescent="0.25">
      <c r="A4732" t="str">
        <f>"838942130"</f>
        <v>838942130</v>
      </c>
      <c r="B4732" t="s">
        <v>4538</v>
      </c>
      <c r="C4732">
        <v>199.58</v>
      </c>
      <c r="D4732" t="str">
        <f t="shared" si="201"/>
        <v>270</v>
      </c>
    </row>
    <row r="4733" spans="1:4" x14ac:dyDescent="0.25">
      <c r="A4733" t="str">
        <f>"838942131"</f>
        <v>838942131</v>
      </c>
      <c r="B4733" t="s">
        <v>4539</v>
      </c>
      <c r="C4733">
        <v>762.19</v>
      </c>
      <c r="D4733" t="str">
        <f t="shared" si="201"/>
        <v>270</v>
      </c>
    </row>
    <row r="4734" spans="1:4" x14ac:dyDescent="0.25">
      <c r="A4734" t="str">
        <f>"838942132"</f>
        <v>838942132</v>
      </c>
      <c r="B4734" t="s">
        <v>4540</v>
      </c>
      <c r="C4734">
        <v>435.24</v>
      </c>
      <c r="D4734" t="str">
        <f t="shared" si="201"/>
        <v>270</v>
      </c>
    </row>
    <row r="4735" spans="1:4" x14ac:dyDescent="0.25">
      <c r="A4735" t="str">
        <f>"838942133"</f>
        <v>838942133</v>
      </c>
      <c r="B4735" t="s">
        <v>4541</v>
      </c>
      <c r="C4735">
        <v>435.24</v>
      </c>
      <c r="D4735" t="str">
        <f t="shared" si="201"/>
        <v>270</v>
      </c>
    </row>
    <row r="4736" spans="1:4" x14ac:dyDescent="0.25">
      <c r="A4736" t="str">
        <f>"838942134"</f>
        <v>838942134</v>
      </c>
      <c r="B4736" t="s">
        <v>4542</v>
      </c>
      <c r="C4736">
        <v>451.97</v>
      </c>
      <c r="D4736" t="str">
        <f t="shared" si="201"/>
        <v>270</v>
      </c>
    </row>
    <row r="4737" spans="1:4" x14ac:dyDescent="0.25">
      <c r="A4737" t="str">
        <f>"838942135"</f>
        <v>838942135</v>
      </c>
      <c r="B4737" t="s">
        <v>4543</v>
      </c>
      <c r="C4737">
        <v>451.97</v>
      </c>
      <c r="D4737" t="str">
        <f t="shared" si="201"/>
        <v>270</v>
      </c>
    </row>
    <row r="4738" spans="1:4" x14ac:dyDescent="0.25">
      <c r="A4738" t="str">
        <f>"838942136"</f>
        <v>838942136</v>
      </c>
      <c r="B4738" t="s">
        <v>4544</v>
      </c>
      <c r="C4738">
        <v>1.1000000000000001</v>
      </c>
      <c r="D4738" t="str">
        <f t="shared" si="201"/>
        <v>270</v>
      </c>
    </row>
    <row r="4739" spans="1:4" x14ac:dyDescent="0.25">
      <c r="A4739" t="str">
        <f>"838942137"</f>
        <v>838942137</v>
      </c>
      <c r="B4739" t="s">
        <v>4544</v>
      </c>
      <c r="C4739">
        <v>1.1000000000000001</v>
      </c>
      <c r="D4739" t="str">
        <f t="shared" si="201"/>
        <v>270</v>
      </c>
    </row>
    <row r="4740" spans="1:4" x14ac:dyDescent="0.25">
      <c r="A4740" t="str">
        <f>"838942138"</f>
        <v>838942138</v>
      </c>
      <c r="B4740" t="s">
        <v>4545</v>
      </c>
      <c r="C4740">
        <v>153.96</v>
      </c>
      <c r="D4740" t="str">
        <f t="shared" si="201"/>
        <v>270</v>
      </c>
    </row>
    <row r="4741" spans="1:4" x14ac:dyDescent="0.25">
      <c r="A4741" t="str">
        <f>"838942139"</f>
        <v>838942139</v>
      </c>
      <c r="B4741" t="s">
        <v>4546</v>
      </c>
      <c r="C4741">
        <v>153.96</v>
      </c>
      <c r="D4741" t="str">
        <f t="shared" si="201"/>
        <v>270</v>
      </c>
    </row>
    <row r="4742" spans="1:4" x14ac:dyDescent="0.25">
      <c r="A4742" t="str">
        <f>"838942140"</f>
        <v>838942140</v>
      </c>
      <c r="B4742" t="s">
        <v>4547</v>
      </c>
      <c r="C4742">
        <v>199.58</v>
      </c>
      <c r="D4742" t="str">
        <f t="shared" si="201"/>
        <v>270</v>
      </c>
    </row>
    <row r="4743" spans="1:4" x14ac:dyDescent="0.25">
      <c r="A4743" t="str">
        <f>"838942141"</f>
        <v>838942141</v>
      </c>
      <c r="B4743" t="s">
        <v>4548</v>
      </c>
      <c r="C4743">
        <v>199.58</v>
      </c>
      <c r="D4743" t="str">
        <f t="shared" si="201"/>
        <v>270</v>
      </c>
    </row>
    <row r="4744" spans="1:4" x14ac:dyDescent="0.25">
      <c r="A4744" t="str">
        <f>"838942142"</f>
        <v>838942142</v>
      </c>
      <c r="B4744" t="s">
        <v>4549</v>
      </c>
      <c r="C4744">
        <v>972.42</v>
      </c>
      <c r="D4744" t="str">
        <f t="shared" si="201"/>
        <v>270</v>
      </c>
    </row>
    <row r="4745" spans="1:4" x14ac:dyDescent="0.25">
      <c r="A4745" t="str">
        <f>"838942143"</f>
        <v>838942143</v>
      </c>
      <c r="B4745" t="s">
        <v>4549</v>
      </c>
      <c r="C4745">
        <v>972.42</v>
      </c>
      <c r="D4745" t="str">
        <f t="shared" si="201"/>
        <v>270</v>
      </c>
    </row>
    <row r="4746" spans="1:4" x14ac:dyDescent="0.25">
      <c r="A4746" t="str">
        <f>"838942144"</f>
        <v>838942144</v>
      </c>
      <c r="B4746" t="s">
        <v>4549</v>
      </c>
      <c r="C4746">
        <v>972.42</v>
      </c>
      <c r="D4746" t="str">
        <f t="shared" si="201"/>
        <v>270</v>
      </c>
    </row>
    <row r="4747" spans="1:4" x14ac:dyDescent="0.25">
      <c r="A4747" t="str">
        <f>"838942145"</f>
        <v>838942145</v>
      </c>
      <c r="B4747" t="s">
        <v>4549</v>
      </c>
      <c r="C4747">
        <v>972.42</v>
      </c>
      <c r="D4747" t="str">
        <f t="shared" si="201"/>
        <v>270</v>
      </c>
    </row>
    <row r="4748" spans="1:4" x14ac:dyDescent="0.25">
      <c r="A4748" t="str">
        <f>"838942146"</f>
        <v>838942146</v>
      </c>
      <c r="B4748" t="s">
        <v>4549</v>
      </c>
      <c r="C4748">
        <v>972.42</v>
      </c>
      <c r="D4748" t="str">
        <f t="shared" si="201"/>
        <v>270</v>
      </c>
    </row>
    <row r="4749" spans="1:4" x14ac:dyDescent="0.25">
      <c r="A4749" t="str">
        <f>"838942147"</f>
        <v>838942147</v>
      </c>
      <c r="B4749" t="s">
        <v>4549</v>
      </c>
      <c r="C4749">
        <v>972.42</v>
      </c>
      <c r="D4749" t="str">
        <f t="shared" si="201"/>
        <v>270</v>
      </c>
    </row>
    <row r="4750" spans="1:4" x14ac:dyDescent="0.25">
      <c r="A4750" t="str">
        <f>"838942148"</f>
        <v>838942148</v>
      </c>
      <c r="B4750" t="s">
        <v>4549</v>
      </c>
      <c r="C4750">
        <v>972.42</v>
      </c>
      <c r="D4750" t="str">
        <f t="shared" si="201"/>
        <v>270</v>
      </c>
    </row>
    <row r="4751" spans="1:4" x14ac:dyDescent="0.25">
      <c r="A4751" t="str">
        <f>"838942149"</f>
        <v>838942149</v>
      </c>
      <c r="B4751" t="s">
        <v>4549</v>
      </c>
      <c r="C4751">
        <v>972.42</v>
      </c>
      <c r="D4751" t="str">
        <f t="shared" si="201"/>
        <v>270</v>
      </c>
    </row>
    <row r="4752" spans="1:4" x14ac:dyDescent="0.25">
      <c r="A4752" t="str">
        <f>"838942150"</f>
        <v>838942150</v>
      </c>
      <c r="B4752" t="s">
        <v>4549</v>
      </c>
      <c r="C4752">
        <v>972.42</v>
      </c>
      <c r="D4752" t="str">
        <f t="shared" si="201"/>
        <v>270</v>
      </c>
    </row>
    <row r="4753" spans="1:4" x14ac:dyDescent="0.25">
      <c r="A4753" t="str">
        <f>"838942151"</f>
        <v>838942151</v>
      </c>
      <c r="B4753" t="s">
        <v>4549</v>
      </c>
      <c r="C4753">
        <v>972.42</v>
      </c>
      <c r="D4753" t="str">
        <f t="shared" si="201"/>
        <v>270</v>
      </c>
    </row>
    <row r="4754" spans="1:4" x14ac:dyDescent="0.25">
      <c r="A4754" t="str">
        <f>"838942152"</f>
        <v>838942152</v>
      </c>
      <c r="B4754" t="s">
        <v>4550</v>
      </c>
      <c r="C4754" s="1">
        <v>1081.6600000000001</v>
      </c>
      <c r="D4754" t="str">
        <f t="shared" si="201"/>
        <v>270</v>
      </c>
    </row>
    <row r="4755" spans="1:4" x14ac:dyDescent="0.25">
      <c r="A4755" t="str">
        <f>"838942153"</f>
        <v>838942153</v>
      </c>
      <c r="B4755" t="s">
        <v>4550</v>
      </c>
      <c r="C4755" s="1">
        <v>1081.6600000000001</v>
      </c>
      <c r="D4755" t="str">
        <f t="shared" si="201"/>
        <v>270</v>
      </c>
    </row>
    <row r="4756" spans="1:4" x14ac:dyDescent="0.25">
      <c r="A4756" t="str">
        <f>"838942154"</f>
        <v>838942154</v>
      </c>
      <c r="B4756" t="s">
        <v>4550</v>
      </c>
      <c r="C4756" s="1">
        <v>1081.6600000000001</v>
      </c>
      <c r="D4756" t="str">
        <f t="shared" si="201"/>
        <v>270</v>
      </c>
    </row>
    <row r="4757" spans="1:4" x14ac:dyDescent="0.25">
      <c r="A4757" t="str">
        <f>"838942155"</f>
        <v>838942155</v>
      </c>
      <c r="B4757" t="s">
        <v>4550</v>
      </c>
      <c r="C4757" s="1">
        <v>1081.6600000000001</v>
      </c>
      <c r="D4757" t="str">
        <f t="shared" si="201"/>
        <v>270</v>
      </c>
    </row>
    <row r="4758" spans="1:4" x14ac:dyDescent="0.25">
      <c r="A4758" t="str">
        <f>"838942156"</f>
        <v>838942156</v>
      </c>
      <c r="B4758" t="s">
        <v>4550</v>
      </c>
      <c r="C4758" s="1">
        <v>1081.6600000000001</v>
      </c>
      <c r="D4758" t="str">
        <f t="shared" si="201"/>
        <v>270</v>
      </c>
    </row>
    <row r="4759" spans="1:4" x14ac:dyDescent="0.25">
      <c r="A4759" t="str">
        <f>"838942157"</f>
        <v>838942157</v>
      </c>
      <c r="B4759" t="s">
        <v>4550</v>
      </c>
      <c r="C4759" s="1">
        <v>1081.6600000000001</v>
      </c>
      <c r="D4759" t="str">
        <f t="shared" si="201"/>
        <v>270</v>
      </c>
    </row>
    <row r="4760" spans="1:4" x14ac:dyDescent="0.25">
      <c r="A4760" t="str">
        <f>"838942158"</f>
        <v>838942158</v>
      </c>
      <c r="B4760" t="s">
        <v>4550</v>
      </c>
      <c r="C4760" s="1">
        <v>1081.6600000000001</v>
      </c>
      <c r="D4760" t="str">
        <f t="shared" si="201"/>
        <v>270</v>
      </c>
    </row>
    <row r="4761" spans="1:4" x14ac:dyDescent="0.25">
      <c r="A4761" t="str">
        <f>"838942159"</f>
        <v>838942159</v>
      </c>
      <c r="B4761" t="s">
        <v>4550</v>
      </c>
      <c r="C4761" s="1">
        <v>1081.6600000000001</v>
      </c>
      <c r="D4761" t="str">
        <f t="shared" si="201"/>
        <v>270</v>
      </c>
    </row>
    <row r="4762" spans="1:4" x14ac:dyDescent="0.25">
      <c r="A4762" t="str">
        <f>"838942160"</f>
        <v>838942160</v>
      </c>
      <c r="B4762" t="s">
        <v>4550</v>
      </c>
      <c r="C4762" s="1">
        <v>1081.6600000000001</v>
      </c>
      <c r="D4762" t="str">
        <f t="shared" si="201"/>
        <v>270</v>
      </c>
    </row>
    <row r="4763" spans="1:4" x14ac:dyDescent="0.25">
      <c r="A4763" t="str">
        <f>"838942161"</f>
        <v>838942161</v>
      </c>
      <c r="B4763" t="s">
        <v>4550</v>
      </c>
      <c r="C4763" s="1">
        <v>1081.6600000000001</v>
      </c>
      <c r="D4763" t="str">
        <f t="shared" si="201"/>
        <v>270</v>
      </c>
    </row>
    <row r="4764" spans="1:4" x14ac:dyDescent="0.25">
      <c r="A4764" t="str">
        <f>"838942162"</f>
        <v>838942162</v>
      </c>
      <c r="B4764" t="s">
        <v>4551</v>
      </c>
      <c r="C4764">
        <v>153.96</v>
      </c>
      <c r="D4764" t="str">
        <f t="shared" si="201"/>
        <v>270</v>
      </c>
    </row>
    <row r="4765" spans="1:4" x14ac:dyDescent="0.25">
      <c r="A4765" t="str">
        <f>"838942163"</f>
        <v>838942163</v>
      </c>
      <c r="B4765" t="s">
        <v>4551</v>
      </c>
      <c r="C4765">
        <v>153.96</v>
      </c>
      <c r="D4765" t="str">
        <f t="shared" si="201"/>
        <v>270</v>
      </c>
    </row>
    <row r="4766" spans="1:4" x14ac:dyDescent="0.25">
      <c r="A4766" t="str">
        <f>"838942164"</f>
        <v>838942164</v>
      </c>
      <c r="B4766" t="s">
        <v>4552</v>
      </c>
      <c r="C4766">
        <v>153.96</v>
      </c>
      <c r="D4766" t="str">
        <f t="shared" si="201"/>
        <v>270</v>
      </c>
    </row>
    <row r="4767" spans="1:4" x14ac:dyDescent="0.25">
      <c r="A4767" t="str">
        <f>"838942165"</f>
        <v>838942165</v>
      </c>
      <c r="B4767" t="s">
        <v>4553</v>
      </c>
      <c r="C4767">
        <v>153.96</v>
      </c>
      <c r="D4767" t="str">
        <f t="shared" si="201"/>
        <v>270</v>
      </c>
    </row>
    <row r="4768" spans="1:4" x14ac:dyDescent="0.25">
      <c r="A4768" t="str">
        <f>"838942166"</f>
        <v>838942166</v>
      </c>
      <c r="B4768" t="s">
        <v>4551</v>
      </c>
      <c r="C4768">
        <v>144.16</v>
      </c>
      <c r="D4768" t="str">
        <f t="shared" si="201"/>
        <v>270</v>
      </c>
    </row>
    <row r="4769" spans="1:4" x14ac:dyDescent="0.25">
      <c r="A4769" t="str">
        <f>"838942167"</f>
        <v>838942167</v>
      </c>
      <c r="B4769" t="s">
        <v>4551</v>
      </c>
      <c r="C4769">
        <v>144.16</v>
      </c>
      <c r="D4769" t="str">
        <f t="shared" si="201"/>
        <v>270</v>
      </c>
    </row>
    <row r="4770" spans="1:4" x14ac:dyDescent="0.25">
      <c r="A4770" t="str">
        <f>"838942168"</f>
        <v>838942168</v>
      </c>
      <c r="B4770" t="s">
        <v>4554</v>
      </c>
      <c r="C4770">
        <v>4.4000000000000004</v>
      </c>
      <c r="D4770" t="str">
        <f t="shared" si="201"/>
        <v>270</v>
      </c>
    </row>
    <row r="4771" spans="1:4" x14ac:dyDescent="0.25">
      <c r="A4771" t="str">
        <f>"838942169"</f>
        <v>838942169</v>
      </c>
      <c r="B4771" t="s">
        <v>4555</v>
      </c>
      <c r="C4771">
        <v>4.4000000000000004</v>
      </c>
      <c r="D4771" t="str">
        <f t="shared" si="201"/>
        <v>270</v>
      </c>
    </row>
    <row r="4772" spans="1:4" x14ac:dyDescent="0.25">
      <c r="A4772" t="str">
        <f>"838942170"</f>
        <v>838942170</v>
      </c>
      <c r="B4772" t="s">
        <v>4556</v>
      </c>
      <c r="C4772">
        <v>3.3</v>
      </c>
      <c r="D4772" t="str">
        <f t="shared" si="201"/>
        <v>270</v>
      </c>
    </row>
    <row r="4773" spans="1:4" x14ac:dyDescent="0.25">
      <c r="A4773" t="str">
        <f>"838942171"</f>
        <v>838942171</v>
      </c>
      <c r="B4773" t="s">
        <v>4556</v>
      </c>
      <c r="C4773">
        <v>3.3</v>
      </c>
      <c r="D4773" t="str">
        <f t="shared" si="201"/>
        <v>270</v>
      </c>
    </row>
    <row r="4774" spans="1:4" x14ac:dyDescent="0.25">
      <c r="A4774" t="str">
        <f>"838942172"</f>
        <v>838942172</v>
      </c>
      <c r="B4774" t="s">
        <v>4557</v>
      </c>
      <c r="C4774">
        <v>1.1000000000000001</v>
      </c>
      <c r="D4774" t="str">
        <f t="shared" si="201"/>
        <v>270</v>
      </c>
    </row>
    <row r="4775" spans="1:4" x14ac:dyDescent="0.25">
      <c r="A4775" t="str">
        <f>"838942173"</f>
        <v>838942173</v>
      </c>
      <c r="B4775" t="s">
        <v>4557</v>
      </c>
      <c r="C4775">
        <v>1.1000000000000001</v>
      </c>
      <c r="D4775" t="str">
        <f t="shared" si="201"/>
        <v>270</v>
      </c>
    </row>
    <row r="4776" spans="1:4" x14ac:dyDescent="0.25">
      <c r="A4776" t="str">
        <f>"838942174"</f>
        <v>838942174</v>
      </c>
      <c r="B4776" t="s">
        <v>4558</v>
      </c>
      <c r="C4776">
        <v>11.03</v>
      </c>
      <c r="D4776" t="str">
        <f t="shared" si="201"/>
        <v>270</v>
      </c>
    </row>
    <row r="4777" spans="1:4" x14ac:dyDescent="0.25">
      <c r="A4777" t="str">
        <f>"838942175"</f>
        <v>838942175</v>
      </c>
      <c r="B4777" t="s">
        <v>4558</v>
      </c>
      <c r="C4777">
        <v>11.03</v>
      </c>
      <c r="D4777" t="str">
        <f t="shared" si="201"/>
        <v>270</v>
      </c>
    </row>
    <row r="4778" spans="1:4" x14ac:dyDescent="0.25">
      <c r="A4778" t="str">
        <f>"838942176"</f>
        <v>838942176</v>
      </c>
      <c r="B4778" t="s">
        <v>4558</v>
      </c>
      <c r="C4778">
        <v>34.83</v>
      </c>
      <c r="D4778" t="str">
        <f t="shared" si="201"/>
        <v>270</v>
      </c>
    </row>
    <row r="4779" spans="1:4" x14ac:dyDescent="0.25">
      <c r="A4779" t="str">
        <f>"838942177"</f>
        <v>838942177</v>
      </c>
      <c r="B4779" t="s">
        <v>4558</v>
      </c>
      <c r="C4779">
        <v>34.83</v>
      </c>
      <c r="D4779" t="str">
        <f t="shared" si="201"/>
        <v>270</v>
      </c>
    </row>
    <row r="4780" spans="1:4" x14ac:dyDescent="0.25">
      <c r="A4780" t="str">
        <f>"838942178"</f>
        <v>838942178</v>
      </c>
      <c r="B4780" t="s">
        <v>4558</v>
      </c>
      <c r="C4780">
        <v>13.3</v>
      </c>
      <c r="D4780" t="str">
        <f t="shared" si="201"/>
        <v>270</v>
      </c>
    </row>
    <row r="4781" spans="1:4" x14ac:dyDescent="0.25">
      <c r="A4781" t="str">
        <f>"838942179"</f>
        <v>838942179</v>
      </c>
      <c r="B4781" t="s">
        <v>4558</v>
      </c>
      <c r="C4781">
        <v>13.3</v>
      </c>
      <c r="D4781" t="str">
        <f t="shared" si="201"/>
        <v>270</v>
      </c>
    </row>
    <row r="4782" spans="1:4" x14ac:dyDescent="0.25">
      <c r="A4782" t="str">
        <f>"838942180"</f>
        <v>838942180</v>
      </c>
      <c r="B4782" t="s">
        <v>4558</v>
      </c>
      <c r="C4782">
        <v>41.26</v>
      </c>
      <c r="D4782" t="str">
        <f t="shared" si="201"/>
        <v>270</v>
      </c>
    </row>
    <row r="4783" spans="1:4" x14ac:dyDescent="0.25">
      <c r="A4783" t="str">
        <f>"838942181"</f>
        <v>838942181</v>
      </c>
      <c r="B4783" t="s">
        <v>4558</v>
      </c>
      <c r="C4783">
        <v>41.26</v>
      </c>
      <c r="D4783" t="str">
        <f t="shared" si="201"/>
        <v>270</v>
      </c>
    </row>
    <row r="4784" spans="1:4" x14ac:dyDescent="0.25">
      <c r="A4784" t="str">
        <f>"838942182"</f>
        <v>838942182</v>
      </c>
      <c r="B4784" t="s">
        <v>4558</v>
      </c>
      <c r="C4784">
        <v>17.23</v>
      </c>
      <c r="D4784" t="str">
        <f t="shared" si="201"/>
        <v>270</v>
      </c>
    </row>
    <row r="4785" spans="1:4" x14ac:dyDescent="0.25">
      <c r="A4785" t="str">
        <f>"838942183"</f>
        <v>838942183</v>
      </c>
      <c r="B4785" t="s">
        <v>4558</v>
      </c>
      <c r="C4785">
        <v>17.23</v>
      </c>
      <c r="D4785" t="str">
        <f t="shared" si="201"/>
        <v>270</v>
      </c>
    </row>
    <row r="4786" spans="1:4" x14ac:dyDescent="0.25">
      <c r="A4786" t="str">
        <f>"838942184"</f>
        <v>838942184</v>
      </c>
      <c r="B4786" t="s">
        <v>4558</v>
      </c>
      <c r="C4786">
        <v>25.97</v>
      </c>
      <c r="D4786" t="str">
        <f t="shared" si="201"/>
        <v>270</v>
      </c>
    </row>
    <row r="4787" spans="1:4" x14ac:dyDescent="0.25">
      <c r="A4787" t="str">
        <f>"838942185"</f>
        <v>838942185</v>
      </c>
      <c r="B4787" t="s">
        <v>4558</v>
      </c>
      <c r="C4787">
        <v>25.97</v>
      </c>
      <c r="D4787" t="str">
        <f t="shared" si="201"/>
        <v>270</v>
      </c>
    </row>
    <row r="4788" spans="1:4" x14ac:dyDescent="0.25">
      <c r="A4788" t="str">
        <f>"838942186"</f>
        <v>838942186</v>
      </c>
      <c r="B4788" t="s">
        <v>4559</v>
      </c>
      <c r="C4788">
        <v>540.32000000000005</v>
      </c>
      <c r="D4788" t="str">
        <f t="shared" si="201"/>
        <v>270</v>
      </c>
    </row>
    <row r="4789" spans="1:4" x14ac:dyDescent="0.25">
      <c r="A4789" t="str">
        <f>"838942187"</f>
        <v>838942187</v>
      </c>
      <c r="B4789" t="s">
        <v>4560</v>
      </c>
      <c r="C4789">
        <v>270.16000000000003</v>
      </c>
      <c r="D4789" t="str">
        <f t="shared" si="201"/>
        <v>270</v>
      </c>
    </row>
    <row r="4790" spans="1:4" x14ac:dyDescent="0.25">
      <c r="A4790" t="str">
        <f>"838942188"</f>
        <v>838942188</v>
      </c>
      <c r="B4790" t="s">
        <v>4561</v>
      </c>
      <c r="C4790">
        <v>267.20999999999998</v>
      </c>
      <c r="D4790" t="str">
        <f t="shared" si="201"/>
        <v>270</v>
      </c>
    </row>
    <row r="4791" spans="1:4" x14ac:dyDescent="0.25">
      <c r="A4791" t="str">
        <f>"838942189"</f>
        <v>838942189</v>
      </c>
      <c r="B4791" t="s">
        <v>4562</v>
      </c>
      <c r="C4791">
        <v>267.20999999999998</v>
      </c>
      <c r="D4791" t="str">
        <f t="shared" si="201"/>
        <v>270</v>
      </c>
    </row>
    <row r="4792" spans="1:4" x14ac:dyDescent="0.25">
      <c r="A4792" t="str">
        <f>"838942190"</f>
        <v>838942190</v>
      </c>
      <c r="B4792" t="s">
        <v>4563</v>
      </c>
      <c r="C4792">
        <v>309.94</v>
      </c>
      <c r="D4792" t="str">
        <f t="shared" si="201"/>
        <v>270</v>
      </c>
    </row>
    <row r="4793" spans="1:4" x14ac:dyDescent="0.25">
      <c r="A4793" t="str">
        <f>"838942191"</f>
        <v>838942191</v>
      </c>
      <c r="B4793" t="s">
        <v>4564</v>
      </c>
      <c r="C4793">
        <v>619.87</v>
      </c>
      <c r="D4793" t="str">
        <f t="shared" si="201"/>
        <v>270</v>
      </c>
    </row>
    <row r="4794" spans="1:4" x14ac:dyDescent="0.25">
      <c r="A4794" t="str">
        <f>"838942192"</f>
        <v>838942192</v>
      </c>
      <c r="B4794" t="s">
        <v>4565</v>
      </c>
      <c r="C4794">
        <v>532.03</v>
      </c>
      <c r="D4794" t="str">
        <f t="shared" si="201"/>
        <v>270</v>
      </c>
    </row>
    <row r="4795" spans="1:4" x14ac:dyDescent="0.25">
      <c r="A4795" t="str">
        <f>"838942193"</f>
        <v>838942193</v>
      </c>
      <c r="B4795" t="s">
        <v>4566</v>
      </c>
      <c r="C4795">
        <v>266.01</v>
      </c>
      <c r="D4795" t="str">
        <f t="shared" ref="D4795:D4858" si="202">"270"</f>
        <v>270</v>
      </c>
    </row>
    <row r="4796" spans="1:4" x14ac:dyDescent="0.25">
      <c r="A4796" t="str">
        <f>"838942194"</f>
        <v>838942194</v>
      </c>
      <c r="B4796" t="s">
        <v>4567</v>
      </c>
      <c r="C4796">
        <v>267.20999999999998</v>
      </c>
      <c r="D4796" t="str">
        <f t="shared" si="202"/>
        <v>270</v>
      </c>
    </row>
    <row r="4797" spans="1:4" x14ac:dyDescent="0.25">
      <c r="A4797" t="str">
        <f>"838942195"</f>
        <v>838942195</v>
      </c>
      <c r="B4797" t="s">
        <v>4567</v>
      </c>
      <c r="C4797">
        <v>267.20999999999998</v>
      </c>
      <c r="D4797" t="str">
        <f t="shared" si="202"/>
        <v>270</v>
      </c>
    </row>
    <row r="4798" spans="1:4" x14ac:dyDescent="0.25">
      <c r="A4798" t="str">
        <f>"838942196"</f>
        <v>838942196</v>
      </c>
      <c r="B4798" t="s">
        <v>4568</v>
      </c>
      <c r="C4798">
        <v>1.1000000000000001</v>
      </c>
      <c r="D4798" t="str">
        <f t="shared" si="202"/>
        <v>270</v>
      </c>
    </row>
    <row r="4799" spans="1:4" x14ac:dyDescent="0.25">
      <c r="A4799" t="str">
        <f>"838942197"</f>
        <v>838942197</v>
      </c>
      <c r="B4799" t="s">
        <v>4568</v>
      </c>
      <c r="C4799">
        <v>1.1000000000000001</v>
      </c>
      <c r="D4799" t="str">
        <f t="shared" si="202"/>
        <v>270</v>
      </c>
    </row>
    <row r="4800" spans="1:4" x14ac:dyDescent="0.25">
      <c r="A4800" t="str">
        <f>"838942198"</f>
        <v>838942198</v>
      </c>
      <c r="B4800" t="s">
        <v>4569</v>
      </c>
      <c r="C4800">
        <v>1.1000000000000001</v>
      </c>
      <c r="D4800" t="str">
        <f t="shared" si="202"/>
        <v>270</v>
      </c>
    </row>
    <row r="4801" spans="1:4" x14ac:dyDescent="0.25">
      <c r="A4801" t="str">
        <f>"838942199"</f>
        <v>838942199</v>
      </c>
      <c r="B4801" t="s">
        <v>4569</v>
      </c>
      <c r="C4801">
        <v>1.1000000000000001</v>
      </c>
      <c r="D4801" t="str">
        <f t="shared" si="202"/>
        <v>270</v>
      </c>
    </row>
    <row r="4802" spans="1:4" x14ac:dyDescent="0.25">
      <c r="A4802" t="str">
        <f>"838942200"</f>
        <v>838942200</v>
      </c>
      <c r="B4802" t="s">
        <v>4570</v>
      </c>
      <c r="C4802">
        <v>1.1000000000000001</v>
      </c>
      <c r="D4802" t="str">
        <f t="shared" si="202"/>
        <v>270</v>
      </c>
    </row>
    <row r="4803" spans="1:4" x14ac:dyDescent="0.25">
      <c r="A4803" t="str">
        <f>"838942201"</f>
        <v>838942201</v>
      </c>
      <c r="B4803" t="s">
        <v>4570</v>
      </c>
      <c r="C4803">
        <v>1.1000000000000001</v>
      </c>
      <c r="D4803" t="str">
        <f t="shared" si="202"/>
        <v>270</v>
      </c>
    </row>
    <row r="4804" spans="1:4" x14ac:dyDescent="0.25">
      <c r="A4804" t="str">
        <f>"838942202"</f>
        <v>838942202</v>
      </c>
      <c r="B4804" t="s">
        <v>4571</v>
      </c>
      <c r="C4804">
        <v>2.2000000000000002</v>
      </c>
      <c r="D4804" t="str">
        <f t="shared" si="202"/>
        <v>270</v>
      </c>
    </row>
    <row r="4805" spans="1:4" x14ac:dyDescent="0.25">
      <c r="A4805" t="str">
        <f>"838942203"</f>
        <v>838942203</v>
      </c>
      <c r="B4805" t="s">
        <v>4571</v>
      </c>
      <c r="C4805">
        <v>2.2000000000000002</v>
      </c>
      <c r="D4805" t="str">
        <f t="shared" si="202"/>
        <v>270</v>
      </c>
    </row>
    <row r="4806" spans="1:4" x14ac:dyDescent="0.25">
      <c r="A4806" t="str">
        <f>"838942204"</f>
        <v>838942204</v>
      </c>
      <c r="B4806" t="s">
        <v>4572</v>
      </c>
      <c r="C4806">
        <v>1.1000000000000001</v>
      </c>
      <c r="D4806" t="str">
        <f t="shared" si="202"/>
        <v>270</v>
      </c>
    </row>
    <row r="4807" spans="1:4" x14ac:dyDescent="0.25">
      <c r="A4807" t="str">
        <f>"838942205"</f>
        <v>838942205</v>
      </c>
      <c r="B4807" t="s">
        <v>4572</v>
      </c>
      <c r="C4807">
        <v>1.1000000000000001</v>
      </c>
      <c r="D4807" t="str">
        <f t="shared" si="202"/>
        <v>270</v>
      </c>
    </row>
    <row r="4808" spans="1:4" x14ac:dyDescent="0.25">
      <c r="A4808" t="str">
        <f>"838942206"</f>
        <v>838942206</v>
      </c>
      <c r="B4808" t="s">
        <v>4570</v>
      </c>
      <c r="C4808">
        <v>1.1000000000000001</v>
      </c>
      <c r="D4808" t="str">
        <f t="shared" si="202"/>
        <v>270</v>
      </c>
    </row>
    <row r="4809" spans="1:4" x14ac:dyDescent="0.25">
      <c r="A4809" t="str">
        <f>"838942207"</f>
        <v>838942207</v>
      </c>
      <c r="B4809" t="s">
        <v>4570</v>
      </c>
      <c r="C4809">
        <v>1.1000000000000001</v>
      </c>
      <c r="D4809" t="str">
        <f t="shared" si="202"/>
        <v>270</v>
      </c>
    </row>
    <row r="4810" spans="1:4" x14ac:dyDescent="0.25">
      <c r="A4810" t="str">
        <f>"838942208"</f>
        <v>838942208</v>
      </c>
      <c r="B4810" t="s">
        <v>4573</v>
      </c>
      <c r="C4810">
        <v>2.2000000000000002</v>
      </c>
      <c r="D4810" t="str">
        <f t="shared" si="202"/>
        <v>270</v>
      </c>
    </row>
    <row r="4811" spans="1:4" x14ac:dyDescent="0.25">
      <c r="A4811" t="str">
        <f>"838942209"</f>
        <v>838942209</v>
      </c>
      <c r="B4811" t="s">
        <v>4573</v>
      </c>
      <c r="C4811">
        <v>2.2000000000000002</v>
      </c>
      <c r="D4811" t="str">
        <f t="shared" si="202"/>
        <v>270</v>
      </c>
    </row>
    <row r="4812" spans="1:4" x14ac:dyDescent="0.25">
      <c r="A4812" t="str">
        <f>"838942210"</f>
        <v>838942210</v>
      </c>
      <c r="B4812" t="s">
        <v>4574</v>
      </c>
      <c r="C4812">
        <v>275</v>
      </c>
      <c r="D4812" t="str">
        <f t="shared" si="202"/>
        <v>270</v>
      </c>
    </row>
    <row r="4813" spans="1:4" x14ac:dyDescent="0.25">
      <c r="A4813" t="str">
        <f>"838942211"</f>
        <v>838942211</v>
      </c>
      <c r="B4813" t="s">
        <v>4574</v>
      </c>
      <c r="C4813">
        <v>275</v>
      </c>
      <c r="D4813" t="str">
        <f t="shared" si="202"/>
        <v>270</v>
      </c>
    </row>
    <row r="4814" spans="1:4" x14ac:dyDescent="0.25">
      <c r="A4814" t="str">
        <f>"838942212"</f>
        <v>838942212</v>
      </c>
      <c r="B4814" t="s">
        <v>4575</v>
      </c>
      <c r="C4814">
        <v>2.2000000000000002</v>
      </c>
      <c r="D4814" t="str">
        <f t="shared" si="202"/>
        <v>270</v>
      </c>
    </row>
    <row r="4815" spans="1:4" x14ac:dyDescent="0.25">
      <c r="A4815" t="str">
        <f>"838942213"</f>
        <v>838942213</v>
      </c>
      <c r="B4815" t="s">
        <v>4575</v>
      </c>
      <c r="C4815">
        <v>2.2000000000000002</v>
      </c>
      <c r="D4815" t="str">
        <f t="shared" si="202"/>
        <v>270</v>
      </c>
    </row>
    <row r="4816" spans="1:4" x14ac:dyDescent="0.25">
      <c r="A4816" t="str">
        <f>"838942214"</f>
        <v>838942214</v>
      </c>
      <c r="B4816" t="s">
        <v>4576</v>
      </c>
      <c r="C4816">
        <v>110</v>
      </c>
      <c r="D4816" t="str">
        <f t="shared" si="202"/>
        <v>270</v>
      </c>
    </row>
    <row r="4817" spans="1:4" x14ac:dyDescent="0.25">
      <c r="A4817" t="str">
        <f>"838942215"</f>
        <v>838942215</v>
      </c>
      <c r="B4817" t="s">
        <v>4576</v>
      </c>
      <c r="C4817">
        <v>110</v>
      </c>
      <c r="D4817" t="str">
        <f t="shared" si="202"/>
        <v>270</v>
      </c>
    </row>
    <row r="4818" spans="1:4" x14ac:dyDescent="0.25">
      <c r="A4818" t="str">
        <f>"838942216"</f>
        <v>838942216</v>
      </c>
      <c r="B4818" t="s">
        <v>4577</v>
      </c>
      <c r="C4818">
        <v>110</v>
      </c>
      <c r="D4818" t="str">
        <f t="shared" si="202"/>
        <v>270</v>
      </c>
    </row>
    <row r="4819" spans="1:4" x14ac:dyDescent="0.25">
      <c r="A4819" t="str">
        <f>"838942217"</f>
        <v>838942217</v>
      </c>
      <c r="B4819" t="s">
        <v>4577</v>
      </c>
      <c r="C4819">
        <v>110</v>
      </c>
      <c r="D4819" t="str">
        <f t="shared" si="202"/>
        <v>270</v>
      </c>
    </row>
    <row r="4820" spans="1:4" x14ac:dyDescent="0.25">
      <c r="A4820" t="str">
        <f>"838942218"</f>
        <v>838942218</v>
      </c>
      <c r="B4820" t="s">
        <v>4578</v>
      </c>
      <c r="C4820">
        <v>1.1000000000000001</v>
      </c>
      <c r="D4820" t="str">
        <f t="shared" si="202"/>
        <v>270</v>
      </c>
    </row>
    <row r="4821" spans="1:4" x14ac:dyDescent="0.25">
      <c r="A4821" t="str">
        <f>"838942219"</f>
        <v>838942219</v>
      </c>
      <c r="B4821" t="s">
        <v>4578</v>
      </c>
      <c r="C4821">
        <v>1.1000000000000001</v>
      </c>
      <c r="D4821" t="str">
        <f t="shared" si="202"/>
        <v>270</v>
      </c>
    </row>
    <row r="4822" spans="1:4" x14ac:dyDescent="0.25">
      <c r="A4822" t="str">
        <f>"838942220"</f>
        <v>838942220</v>
      </c>
      <c r="B4822" t="s">
        <v>4570</v>
      </c>
      <c r="C4822">
        <v>1.1000000000000001</v>
      </c>
      <c r="D4822" t="str">
        <f t="shared" si="202"/>
        <v>270</v>
      </c>
    </row>
    <row r="4823" spans="1:4" x14ac:dyDescent="0.25">
      <c r="A4823" t="str">
        <f>"838942221"</f>
        <v>838942221</v>
      </c>
      <c r="B4823" t="s">
        <v>4570</v>
      </c>
      <c r="C4823">
        <v>1.1000000000000001</v>
      </c>
      <c r="D4823" t="str">
        <f t="shared" si="202"/>
        <v>270</v>
      </c>
    </row>
    <row r="4824" spans="1:4" x14ac:dyDescent="0.25">
      <c r="A4824" t="str">
        <f>"838942222"</f>
        <v>838942222</v>
      </c>
      <c r="B4824" t="s">
        <v>4573</v>
      </c>
      <c r="C4824">
        <v>2.2000000000000002</v>
      </c>
      <c r="D4824" t="str">
        <f t="shared" si="202"/>
        <v>270</v>
      </c>
    </row>
    <row r="4825" spans="1:4" x14ac:dyDescent="0.25">
      <c r="A4825" t="str">
        <f>"838942223"</f>
        <v>838942223</v>
      </c>
      <c r="B4825" t="s">
        <v>4573</v>
      </c>
      <c r="C4825">
        <v>2.2000000000000002</v>
      </c>
      <c r="D4825" t="str">
        <f t="shared" si="202"/>
        <v>270</v>
      </c>
    </row>
    <row r="4826" spans="1:4" x14ac:dyDescent="0.25">
      <c r="A4826" t="str">
        <f>"838942224"</f>
        <v>838942224</v>
      </c>
      <c r="B4826" t="s">
        <v>4579</v>
      </c>
      <c r="C4826">
        <v>1.1000000000000001</v>
      </c>
      <c r="D4826" t="str">
        <f t="shared" si="202"/>
        <v>270</v>
      </c>
    </row>
    <row r="4827" spans="1:4" x14ac:dyDescent="0.25">
      <c r="A4827" t="str">
        <f>"838942225"</f>
        <v>838942225</v>
      </c>
      <c r="B4827" t="s">
        <v>4579</v>
      </c>
      <c r="C4827">
        <v>1.1000000000000001</v>
      </c>
      <c r="D4827" t="str">
        <f t="shared" si="202"/>
        <v>270</v>
      </c>
    </row>
    <row r="4828" spans="1:4" x14ac:dyDescent="0.25">
      <c r="A4828" t="str">
        <f>"838942226"</f>
        <v>838942226</v>
      </c>
      <c r="B4828" t="s">
        <v>4580</v>
      </c>
      <c r="C4828">
        <v>38.5</v>
      </c>
      <c r="D4828" t="str">
        <f t="shared" si="202"/>
        <v>270</v>
      </c>
    </row>
    <row r="4829" spans="1:4" x14ac:dyDescent="0.25">
      <c r="A4829" t="str">
        <f>"838942227"</f>
        <v>838942227</v>
      </c>
      <c r="B4829" t="s">
        <v>4580</v>
      </c>
      <c r="C4829">
        <v>38.5</v>
      </c>
      <c r="D4829" t="str">
        <f t="shared" si="202"/>
        <v>270</v>
      </c>
    </row>
    <row r="4830" spans="1:4" x14ac:dyDescent="0.25">
      <c r="A4830" t="str">
        <f>"838942228"</f>
        <v>838942228</v>
      </c>
      <c r="B4830" t="s">
        <v>4581</v>
      </c>
      <c r="C4830">
        <v>38.5</v>
      </c>
      <c r="D4830" t="str">
        <f t="shared" si="202"/>
        <v>270</v>
      </c>
    </row>
    <row r="4831" spans="1:4" x14ac:dyDescent="0.25">
      <c r="A4831" t="str">
        <f>"838942229"</f>
        <v>838942229</v>
      </c>
      <c r="B4831" t="s">
        <v>4581</v>
      </c>
      <c r="C4831">
        <v>38.5</v>
      </c>
      <c r="D4831" t="str">
        <f t="shared" si="202"/>
        <v>270</v>
      </c>
    </row>
    <row r="4832" spans="1:4" x14ac:dyDescent="0.25">
      <c r="A4832" t="str">
        <f>"838942230"</f>
        <v>838942230</v>
      </c>
      <c r="B4832" t="s">
        <v>4515</v>
      </c>
      <c r="C4832">
        <v>1.1000000000000001</v>
      </c>
      <c r="D4832" t="str">
        <f t="shared" si="202"/>
        <v>270</v>
      </c>
    </row>
    <row r="4833" spans="1:4" x14ac:dyDescent="0.25">
      <c r="A4833" t="str">
        <f>"838942231"</f>
        <v>838942231</v>
      </c>
      <c r="B4833" t="s">
        <v>4515</v>
      </c>
      <c r="C4833">
        <v>1.1000000000000001</v>
      </c>
      <c r="D4833" t="str">
        <f t="shared" si="202"/>
        <v>270</v>
      </c>
    </row>
    <row r="4834" spans="1:4" x14ac:dyDescent="0.25">
      <c r="A4834" t="str">
        <f>"838942232"</f>
        <v>838942232</v>
      </c>
      <c r="B4834" t="s">
        <v>4582</v>
      </c>
      <c r="C4834">
        <v>1.1000000000000001</v>
      </c>
      <c r="D4834" t="str">
        <f t="shared" si="202"/>
        <v>270</v>
      </c>
    </row>
    <row r="4835" spans="1:4" x14ac:dyDescent="0.25">
      <c r="A4835" t="str">
        <f>"838942233"</f>
        <v>838942233</v>
      </c>
      <c r="B4835" t="s">
        <v>4582</v>
      </c>
      <c r="C4835">
        <v>1.1000000000000001</v>
      </c>
      <c r="D4835" t="str">
        <f t="shared" si="202"/>
        <v>270</v>
      </c>
    </row>
    <row r="4836" spans="1:4" x14ac:dyDescent="0.25">
      <c r="A4836" t="str">
        <f>"838942234"</f>
        <v>838942234</v>
      </c>
      <c r="B4836" t="s">
        <v>4583</v>
      </c>
      <c r="C4836">
        <v>1.1000000000000001</v>
      </c>
      <c r="D4836" t="str">
        <f t="shared" si="202"/>
        <v>270</v>
      </c>
    </row>
    <row r="4837" spans="1:4" x14ac:dyDescent="0.25">
      <c r="A4837" t="str">
        <f>"838942235"</f>
        <v>838942235</v>
      </c>
      <c r="B4837" t="s">
        <v>4584</v>
      </c>
      <c r="C4837">
        <v>1.1000000000000001</v>
      </c>
      <c r="D4837" t="str">
        <f t="shared" si="202"/>
        <v>270</v>
      </c>
    </row>
    <row r="4838" spans="1:4" x14ac:dyDescent="0.25">
      <c r="A4838" t="str">
        <f>"838942236"</f>
        <v>838942236</v>
      </c>
      <c r="B4838" t="s">
        <v>4585</v>
      </c>
      <c r="C4838">
        <v>1.1000000000000001</v>
      </c>
      <c r="D4838" t="str">
        <f t="shared" si="202"/>
        <v>270</v>
      </c>
    </row>
    <row r="4839" spans="1:4" x14ac:dyDescent="0.25">
      <c r="A4839" t="str">
        <f>"838942237"</f>
        <v>838942237</v>
      </c>
      <c r="B4839" t="s">
        <v>4586</v>
      </c>
      <c r="C4839">
        <v>1.1000000000000001</v>
      </c>
      <c r="D4839" t="str">
        <f t="shared" si="202"/>
        <v>270</v>
      </c>
    </row>
    <row r="4840" spans="1:4" x14ac:dyDescent="0.25">
      <c r="A4840" t="str">
        <f>"838942238"</f>
        <v>838942238</v>
      </c>
      <c r="B4840" t="s">
        <v>4587</v>
      </c>
      <c r="C4840">
        <v>1.1000000000000001</v>
      </c>
      <c r="D4840" t="str">
        <f t="shared" si="202"/>
        <v>270</v>
      </c>
    </row>
    <row r="4841" spans="1:4" x14ac:dyDescent="0.25">
      <c r="A4841" t="str">
        <f>"838942239"</f>
        <v>838942239</v>
      </c>
      <c r="B4841" t="s">
        <v>4588</v>
      </c>
      <c r="C4841">
        <v>1.1000000000000001</v>
      </c>
      <c r="D4841" t="str">
        <f t="shared" si="202"/>
        <v>270</v>
      </c>
    </row>
    <row r="4842" spans="1:4" x14ac:dyDescent="0.25">
      <c r="A4842" t="str">
        <f>"838942240"</f>
        <v>838942240</v>
      </c>
      <c r="B4842" t="s">
        <v>4589</v>
      </c>
      <c r="C4842">
        <v>1.1000000000000001</v>
      </c>
      <c r="D4842" t="str">
        <f t="shared" si="202"/>
        <v>270</v>
      </c>
    </row>
    <row r="4843" spans="1:4" x14ac:dyDescent="0.25">
      <c r="A4843" t="str">
        <f>"838942241"</f>
        <v>838942241</v>
      </c>
      <c r="B4843" t="s">
        <v>4590</v>
      </c>
      <c r="C4843">
        <v>1.1000000000000001</v>
      </c>
      <c r="D4843" t="str">
        <f t="shared" si="202"/>
        <v>270</v>
      </c>
    </row>
    <row r="4844" spans="1:4" x14ac:dyDescent="0.25">
      <c r="A4844" t="str">
        <f>"838942242"</f>
        <v>838942242</v>
      </c>
      <c r="B4844" t="s">
        <v>4591</v>
      </c>
      <c r="C4844">
        <v>581.54999999999995</v>
      </c>
      <c r="D4844" t="str">
        <f t="shared" si="202"/>
        <v>270</v>
      </c>
    </row>
    <row r="4845" spans="1:4" x14ac:dyDescent="0.25">
      <c r="A4845" t="str">
        <f>"838942243"</f>
        <v>838942243</v>
      </c>
      <c r="B4845" t="s">
        <v>4591</v>
      </c>
      <c r="C4845">
        <v>581.54999999999995</v>
      </c>
      <c r="D4845" t="str">
        <f t="shared" si="202"/>
        <v>270</v>
      </c>
    </row>
    <row r="4846" spans="1:4" x14ac:dyDescent="0.25">
      <c r="A4846" t="str">
        <f>"838942244"</f>
        <v>838942244</v>
      </c>
      <c r="B4846" t="s">
        <v>4591</v>
      </c>
      <c r="C4846">
        <v>257.35000000000002</v>
      </c>
      <c r="D4846" t="str">
        <f t="shared" si="202"/>
        <v>270</v>
      </c>
    </row>
    <row r="4847" spans="1:4" x14ac:dyDescent="0.25">
      <c r="A4847" t="str">
        <f>"838942245"</f>
        <v>838942245</v>
      </c>
      <c r="B4847" t="s">
        <v>4591</v>
      </c>
      <c r="C4847">
        <v>257.35000000000002</v>
      </c>
      <c r="D4847" t="str">
        <f t="shared" si="202"/>
        <v>270</v>
      </c>
    </row>
    <row r="4848" spans="1:4" x14ac:dyDescent="0.25">
      <c r="A4848" t="str">
        <f>"838942246"</f>
        <v>838942246</v>
      </c>
      <c r="B4848" t="s">
        <v>4591</v>
      </c>
      <c r="C4848">
        <v>382.13</v>
      </c>
      <c r="D4848" t="str">
        <f t="shared" si="202"/>
        <v>270</v>
      </c>
    </row>
    <row r="4849" spans="1:4" x14ac:dyDescent="0.25">
      <c r="A4849" t="str">
        <f>"838942247"</f>
        <v>838942247</v>
      </c>
      <c r="B4849" t="s">
        <v>4591</v>
      </c>
      <c r="C4849">
        <v>382.13</v>
      </c>
      <c r="D4849" t="str">
        <f t="shared" si="202"/>
        <v>270</v>
      </c>
    </row>
    <row r="4850" spans="1:4" x14ac:dyDescent="0.25">
      <c r="A4850" t="str">
        <f>"838942248"</f>
        <v>838942248</v>
      </c>
      <c r="B4850" t="s">
        <v>4592</v>
      </c>
      <c r="C4850">
        <v>1.1000000000000001</v>
      </c>
      <c r="D4850" t="str">
        <f t="shared" si="202"/>
        <v>270</v>
      </c>
    </row>
    <row r="4851" spans="1:4" x14ac:dyDescent="0.25">
      <c r="A4851" t="str">
        <f>"838942249"</f>
        <v>838942249</v>
      </c>
      <c r="B4851" t="s">
        <v>4593</v>
      </c>
      <c r="C4851">
        <v>1.1000000000000001</v>
      </c>
      <c r="D4851" t="str">
        <f t="shared" si="202"/>
        <v>270</v>
      </c>
    </row>
    <row r="4852" spans="1:4" x14ac:dyDescent="0.25">
      <c r="A4852" t="str">
        <f>"838942250"</f>
        <v>838942250</v>
      </c>
      <c r="B4852" t="s">
        <v>4594</v>
      </c>
      <c r="C4852">
        <v>503.06</v>
      </c>
      <c r="D4852" t="str">
        <f t="shared" si="202"/>
        <v>270</v>
      </c>
    </row>
    <row r="4853" spans="1:4" x14ac:dyDescent="0.25">
      <c r="A4853" t="str">
        <f>"838942251"</f>
        <v>838942251</v>
      </c>
      <c r="B4853" t="s">
        <v>4594</v>
      </c>
      <c r="C4853">
        <v>503.06</v>
      </c>
      <c r="D4853" t="str">
        <f t="shared" si="202"/>
        <v>270</v>
      </c>
    </row>
    <row r="4854" spans="1:4" x14ac:dyDescent="0.25">
      <c r="A4854" t="str">
        <f>"838942252"</f>
        <v>838942252</v>
      </c>
      <c r="B4854" t="s">
        <v>4594</v>
      </c>
      <c r="C4854">
        <v>780.43</v>
      </c>
      <c r="D4854" t="str">
        <f t="shared" si="202"/>
        <v>270</v>
      </c>
    </row>
    <row r="4855" spans="1:4" x14ac:dyDescent="0.25">
      <c r="A4855" t="str">
        <f>"838942253"</f>
        <v>838942253</v>
      </c>
      <c r="B4855" t="s">
        <v>4594</v>
      </c>
      <c r="C4855">
        <v>780.43</v>
      </c>
      <c r="D4855" t="str">
        <f t="shared" si="202"/>
        <v>270</v>
      </c>
    </row>
    <row r="4856" spans="1:4" x14ac:dyDescent="0.25">
      <c r="A4856" t="str">
        <f>"838942254"</f>
        <v>838942254</v>
      </c>
      <c r="B4856" t="s">
        <v>4595</v>
      </c>
      <c r="C4856">
        <v>479.44</v>
      </c>
      <c r="D4856" t="str">
        <f t="shared" si="202"/>
        <v>270</v>
      </c>
    </row>
    <row r="4857" spans="1:4" x14ac:dyDescent="0.25">
      <c r="A4857" t="str">
        <f>"838942255"</f>
        <v>838942255</v>
      </c>
      <c r="B4857" t="s">
        <v>4595</v>
      </c>
      <c r="C4857">
        <v>479.44</v>
      </c>
      <c r="D4857" t="str">
        <f t="shared" si="202"/>
        <v>270</v>
      </c>
    </row>
    <row r="4858" spans="1:4" x14ac:dyDescent="0.25">
      <c r="A4858" t="str">
        <f>"838942256"</f>
        <v>838942256</v>
      </c>
      <c r="B4858" t="s">
        <v>4596</v>
      </c>
      <c r="C4858">
        <v>495.8</v>
      </c>
      <c r="D4858" t="str">
        <f t="shared" si="202"/>
        <v>270</v>
      </c>
    </row>
    <row r="4859" spans="1:4" x14ac:dyDescent="0.25">
      <c r="A4859" t="str">
        <f>"838942257"</f>
        <v>838942257</v>
      </c>
      <c r="B4859" t="s">
        <v>4596</v>
      </c>
      <c r="C4859">
        <v>495.8</v>
      </c>
      <c r="D4859" t="str">
        <f t="shared" ref="D4859:D4922" si="203">"270"</f>
        <v>270</v>
      </c>
    </row>
    <row r="4860" spans="1:4" x14ac:dyDescent="0.25">
      <c r="A4860" t="str">
        <f>"838942258"</f>
        <v>838942258</v>
      </c>
      <c r="B4860" t="s">
        <v>4596</v>
      </c>
      <c r="C4860">
        <v>527.36</v>
      </c>
      <c r="D4860" t="str">
        <f t="shared" si="203"/>
        <v>270</v>
      </c>
    </row>
    <row r="4861" spans="1:4" x14ac:dyDescent="0.25">
      <c r="A4861" t="str">
        <f>"838942259"</f>
        <v>838942259</v>
      </c>
      <c r="B4861" t="s">
        <v>4596</v>
      </c>
      <c r="C4861">
        <v>527.36</v>
      </c>
      <c r="D4861" t="str">
        <f t="shared" si="203"/>
        <v>270</v>
      </c>
    </row>
    <row r="4862" spans="1:4" x14ac:dyDescent="0.25">
      <c r="A4862" t="str">
        <f>"838942260"</f>
        <v>838942260</v>
      </c>
      <c r="B4862" t="s">
        <v>4597</v>
      </c>
      <c r="C4862" s="1">
        <v>1094.48</v>
      </c>
      <c r="D4862" t="str">
        <f t="shared" si="203"/>
        <v>270</v>
      </c>
    </row>
    <row r="4863" spans="1:4" x14ac:dyDescent="0.25">
      <c r="A4863" t="str">
        <f>"838942261"</f>
        <v>838942261</v>
      </c>
      <c r="B4863" t="s">
        <v>4598</v>
      </c>
      <c r="C4863" s="1">
        <v>1094.48</v>
      </c>
      <c r="D4863" t="str">
        <f t="shared" si="203"/>
        <v>270</v>
      </c>
    </row>
    <row r="4864" spans="1:4" x14ac:dyDescent="0.25">
      <c r="A4864" t="str">
        <f>"838942262"</f>
        <v>838942262</v>
      </c>
      <c r="B4864" t="s">
        <v>4599</v>
      </c>
      <c r="C4864">
        <v>480.17</v>
      </c>
      <c r="D4864" t="str">
        <f t="shared" si="203"/>
        <v>270</v>
      </c>
    </row>
    <row r="4865" spans="1:4" x14ac:dyDescent="0.25">
      <c r="A4865" t="str">
        <f>"838942263"</f>
        <v>838942263</v>
      </c>
      <c r="B4865" t="s">
        <v>4599</v>
      </c>
      <c r="C4865">
        <v>480.17</v>
      </c>
      <c r="D4865" t="str">
        <f t="shared" si="203"/>
        <v>270</v>
      </c>
    </row>
    <row r="4866" spans="1:4" x14ac:dyDescent="0.25">
      <c r="A4866" t="str">
        <f>"838942264"</f>
        <v>838942264</v>
      </c>
      <c r="B4866" t="s">
        <v>4600</v>
      </c>
      <c r="C4866">
        <v>716.57</v>
      </c>
      <c r="D4866" t="str">
        <f t="shared" si="203"/>
        <v>270</v>
      </c>
    </row>
    <row r="4867" spans="1:4" x14ac:dyDescent="0.25">
      <c r="A4867" t="str">
        <f>"838942265"</f>
        <v>838942265</v>
      </c>
      <c r="B4867" t="s">
        <v>4600</v>
      </c>
      <c r="C4867">
        <v>716.57</v>
      </c>
      <c r="D4867" t="str">
        <f t="shared" si="203"/>
        <v>270</v>
      </c>
    </row>
    <row r="4868" spans="1:4" x14ac:dyDescent="0.25">
      <c r="A4868" t="str">
        <f>"838942266"</f>
        <v>838942266</v>
      </c>
      <c r="B4868" t="s">
        <v>4601</v>
      </c>
      <c r="C4868">
        <v>227.81</v>
      </c>
      <c r="D4868" t="str">
        <f t="shared" si="203"/>
        <v>270</v>
      </c>
    </row>
    <row r="4869" spans="1:4" x14ac:dyDescent="0.25">
      <c r="A4869" t="str">
        <f>"838942267"</f>
        <v>838942267</v>
      </c>
      <c r="B4869" t="s">
        <v>4602</v>
      </c>
      <c r="C4869">
        <v>227.81</v>
      </c>
      <c r="D4869" t="str">
        <f t="shared" si="203"/>
        <v>270</v>
      </c>
    </row>
    <row r="4870" spans="1:4" x14ac:dyDescent="0.25">
      <c r="A4870" t="str">
        <f>"838942268"</f>
        <v>838942268</v>
      </c>
      <c r="B4870" t="s">
        <v>4603</v>
      </c>
      <c r="C4870">
        <v>676.04</v>
      </c>
      <c r="D4870" t="str">
        <f t="shared" si="203"/>
        <v>270</v>
      </c>
    </row>
    <row r="4871" spans="1:4" x14ac:dyDescent="0.25">
      <c r="A4871" t="str">
        <f>"838942269"</f>
        <v>838942269</v>
      </c>
      <c r="B4871" t="s">
        <v>4603</v>
      </c>
      <c r="C4871">
        <v>676.04</v>
      </c>
      <c r="D4871" t="str">
        <f t="shared" si="203"/>
        <v>270</v>
      </c>
    </row>
    <row r="4872" spans="1:4" x14ac:dyDescent="0.25">
      <c r="A4872" t="str">
        <f>"838942270"</f>
        <v>838942270</v>
      </c>
      <c r="B4872" t="s">
        <v>4604</v>
      </c>
      <c r="C4872">
        <v>676.04</v>
      </c>
      <c r="D4872" t="str">
        <f t="shared" si="203"/>
        <v>270</v>
      </c>
    </row>
    <row r="4873" spans="1:4" x14ac:dyDescent="0.25">
      <c r="A4873" t="str">
        <f>"838942271"</f>
        <v>838942271</v>
      </c>
      <c r="B4873" t="s">
        <v>4604</v>
      </c>
      <c r="C4873">
        <v>676.04</v>
      </c>
      <c r="D4873" t="str">
        <f t="shared" si="203"/>
        <v>270</v>
      </c>
    </row>
    <row r="4874" spans="1:4" x14ac:dyDescent="0.25">
      <c r="A4874" t="str">
        <f>"838942272"</f>
        <v>838942272</v>
      </c>
      <c r="B4874" t="s">
        <v>4605</v>
      </c>
      <c r="C4874">
        <v>245.36</v>
      </c>
      <c r="D4874" t="str">
        <f t="shared" si="203"/>
        <v>270</v>
      </c>
    </row>
    <row r="4875" spans="1:4" x14ac:dyDescent="0.25">
      <c r="A4875" t="str">
        <f>"838942273"</f>
        <v>838942273</v>
      </c>
      <c r="B4875" t="s">
        <v>4606</v>
      </c>
      <c r="C4875">
        <v>245.36</v>
      </c>
      <c r="D4875" t="str">
        <f t="shared" si="203"/>
        <v>270</v>
      </c>
    </row>
    <row r="4876" spans="1:4" x14ac:dyDescent="0.25">
      <c r="A4876" t="str">
        <f>"838942274"</f>
        <v>838942274</v>
      </c>
      <c r="B4876" t="s">
        <v>4607</v>
      </c>
      <c r="C4876">
        <v>261.06</v>
      </c>
      <c r="D4876" t="str">
        <f t="shared" si="203"/>
        <v>270</v>
      </c>
    </row>
    <row r="4877" spans="1:4" x14ac:dyDescent="0.25">
      <c r="A4877" t="str">
        <f>"838942275"</f>
        <v>838942275</v>
      </c>
      <c r="B4877" t="s">
        <v>4607</v>
      </c>
      <c r="C4877">
        <v>261.06</v>
      </c>
      <c r="D4877" t="str">
        <f t="shared" si="203"/>
        <v>270</v>
      </c>
    </row>
    <row r="4878" spans="1:4" x14ac:dyDescent="0.25">
      <c r="A4878" t="str">
        <f>"838942276"</f>
        <v>838942276</v>
      </c>
      <c r="B4878" t="s">
        <v>4608</v>
      </c>
      <c r="C4878">
        <v>428.56</v>
      </c>
      <c r="D4878" t="str">
        <f t="shared" si="203"/>
        <v>270</v>
      </c>
    </row>
    <row r="4879" spans="1:4" x14ac:dyDescent="0.25">
      <c r="A4879" t="str">
        <f>"838942277"</f>
        <v>838942277</v>
      </c>
      <c r="B4879" t="s">
        <v>4608</v>
      </c>
      <c r="C4879">
        <v>428.56</v>
      </c>
      <c r="D4879" t="str">
        <f t="shared" si="203"/>
        <v>270</v>
      </c>
    </row>
    <row r="4880" spans="1:4" x14ac:dyDescent="0.25">
      <c r="A4880" t="str">
        <f>"838942278"</f>
        <v>838942278</v>
      </c>
      <c r="B4880" t="s">
        <v>4609</v>
      </c>
      <c r="C4880">
        <v>249.49</v>
      </c>
      <c r="D4880" t="str">
        <f t="shared" si="203"/>
        <v>270</v>
      </c>
    </row>
    <row r="4881" spans="1:4" x14ac:dyDescent="0.25">
      <c r="A4881" t="str">
        <f>"838942279"</f>
        <v>838942279</v>
      </c>
      <c r="B4881" t="s">
        <v>4609</v>
      </c>
      <c r="C4881">
        <v>249.49</v>
      </c>
      <c r="D4881" t="str">
        <f t="shared" si="203"/>
        <v>270</v>
      </c>
    </row>
    <row r="4882" spans="1:4" x14ac:dyDescent="0.25">
      <c r="A4882" t="str">
        <f>"838942280"</f>
        <v>838942280</v>
      </c>
      <c r="B4882" t="s">
        <v>4610</v>
      </c>
      <c r="C4882">
        <v>268.73</v>
      </c>
      <c r="D4882" t="str">
        <f t="shared" si="203"/>
        <v>270</v>
      </c>
    </row>
    <row r="4883" spans="1:4" x14ac:dyDescent="0.25">
      <c r="A4883" t="str">
        <f>"838942281"</f>
        <v>838942281</v>
      </c>
      <c r="B4883" t="s">
        <v>4610</v>
      </c>
      <c r="C4883">
        <v>268.73</v>
      </c>
      <c r="D4883" t="str">
        <f t="shared" si="203"/>
        <v>270</v>
      </c>
    </row>
    <row r="4884" spans="1:4" x14ac:dyDescent="0.25">
      <c r="A4884" t="str">
        <f>"838942282"</f>
        <v>838942282</v>
      </c>
      <c r="B4884" t="s">
        <v>4611</v>
      </c>
      <c r="C4884">
        <v>285.93</v>
      </c>
      <c r="D4884" t="str">
        <f t="shared" si="203"/>
        <v>270</v>
      </c>
    </row>
    <row r="4885" spans="1:4" x14ac:dyDescent="0.25">
      <c r="A4885" t="str">
        <f>"838942283"</f>
        <v>838942283</v>
      </c>
      <c r="B4885" t="s">
        <v>4611</v>
      </c>
      <c r="C4885">
        <v>285.93</v>
      </c>
      <c r="D4885" t="str">
        <f t="shared" si="203"/>
        <v>270</v>
      </c>
    </row>
    <row r="4886" spans="1:4" x14ac:dyDescent="0.25">
      <c r="A4886" t="str">
        <f>"838942284"</f>
        <v>838942284</v>
      </c>
      <c r="B4886" t="s">
        <v>4612</v>
      </c>
      <c r="C4886">
        <v>575.89</v>
      </c>
      <c r="D4886" t="str">
        <f t="shared" si="203"/>
        <v>270</v>
      </c>
    </row>
    <row r="4887" spans="1:4" x14ac:dyDescent="0.25">
      <c r="A4887" t="str">
        <f>"838942285"</f>
        <v>838942285</v>
      </c>
      <c r="B4887" t="s">
        <v>4612</v>
      </c>
      <c r="C4887">
        <v>575.89</v>
      </c>
      <c r="D4887" t="str">
        <f t="shared" si="203"/>
        <v>270</v>
      </c>
    </row>
    <row r="4888" spans="1:4" x14ac:dyDescent="0.25">
      <c r="A4888" t="str">
        <f>"838942286"</f>
        <v>838942286</v>
      </c>
      <c r="B4888" t="s">
        <v>4612</v>
      </c>
      <c r="C4888">
        <v>257.35000000000002</v>
      </c>
      <c r="D4888" t="str">
        <f t="shared" si="203"/>
        <v>270</v>
      </c>
    </row>
    <row r="4889" spans="1:4" x14ac:dyDescent="0.25">
      <c r="A4889" t="str">
        <f>"838942287"</f>
        <v>838942287</v>
      </c>
      <c r="B4889" t="s">
        <v>4612</v>
      </c>
      <c r="C4889">
        <v>257.35000000000002</v>
      </c>
      <c r="D4889" t="str">
        <f t="shared" si="203"/>
        <v>270</v>
      </c>
    </row>
    <row r="4890" spans="1:4" x14ac:dyDescent="0.25">
      <c r="A4890" t="str">
        <f>"838942288"</f>
        <v>838942288</v>
      </c>
      <c r="B4890" t="s">
        <v>4612</v>
      </c>
      <c r="C4890">
        <v>389.61</v>
      </c>
      <c r="D4890" t="str">
        <f t="shared" si="203"/>
        <v>270</v>
      </c>
    </row>
    <row r="4891" spans="1:4" x14ac:dyDescent="0.25">
      <c r="A4891" t="str">
        <f>"838942289"</f>
        <v>838942289</v>
      </c>
      <c r="B4891" t="s">
        <v>4612</v>
      </c>
      <c r="C4891">
        <v>389.61</v>
      </c>
      <c r="D4891" t="str">
        <f t="shared" si="203"/>
        <v>270</v>
      </c>
    </row>
    <row r="4892" spans="1:4" x14ac:dyDescent="0.25">
      <c r="A4892" t="str">
        <f>"838942290"</f>
        <v>838942290</v>
      </c>
      <c r="B4892" t="s">
        <v>4613</v>
      </c>
      <c r="C4892">
        <v>254.01</v>
      </c>
      <c r="D4892" t="str">
        <f t="shared" si="203"/>
        <v>270</v>
      </c>
    </row>
    <row r="4893" spans="1:4" x14ac:dyDescent="0.25">
      <c r="A4893" t="str">
        <f>"838942291"</f>
        <v>838942291</v>
      </c>
      <c r="B4893" t="s">
        <v>4613</v>
      </c>
      <c r="C4893">
        <v>254.01</v>
      </c>
      <c r="D4893" t="str">
        <f t="shared" si="203"/>
        <v>270</v>
      </c>
    </row>
    <row r="4894" spans="1:4" x14ac:dyDescent="0.25">
      <c r="A4894" t="str">
        <f>"838942292"</f>
        <v>838942292</v>
      </c>
      <c r="B4894" t="s">
        <v>4614</v>
      </c>
      <c r="C4894">
        <v>514.55999999999995</v>
      </c>
      <c r="D4894" t="str">
        <f t="shared" si="203"/>
        <v>270</v>
      </c>
    </row>
    <row r="4895" spans="1:4" x14ac:dyDescent="0.25">
      <c r="A4895" t="str">
        <f>"838942293"</f>
        <v>838942293</v>
      </c>
      <c r="B4895" t="s">
        <v>4614</v>
      </c>
      <c r="C4895">
        <v>514.55999999999995</v>
      </c>
      <c r="D4895" t="str">
        <f t="shared" si="203"/>
        <v>270</v>
      </c>
    </row>
    <row r="4896" spans="1:4" x14ac:dyDescent="0.25">
      <c r="A4896" t="str">
        <f>"838942294"</f>
        <v>838942294</v>
      </c>
      <c r="B4896" t="s">
        <v>4615</v>
      </c>
      <c r="C4896">
        <v>284.01</v>
      </c>
      <c r="D4896" t="str">
        <f t="shared" si="203"/>
        <v>270</v>
      </c>
    </row>
    <row r="4897" spans="1:4" x14ac:dyDescent="0.25">
      <c r="A4897" t="str">
        <f>"838942295"</f>
        <v>838942295</v>
      </c>
      <c r="B4897" t="s">
        <v>4615</v>
      </c>
      <c r="C4897">
        <v>284.01</v>
      </c>
      <c r="D4897" t="str">
        <f t="shared" si="203"/>
        <v>270</v>
      </c>
    </row>
    <row r="4898" spans="1:4" x14ac:dyDescent="0.25">
      <c r="A4898" t="str">
        <f>"838942296"</f>
        <v>838942296</v>
      </c>
      <c r="B4898" t="s">
        <v>4616</v>
      </c>
      <c r="C4898">
        <v>222.35</v>
      </c>
      <c r="D4898" t="str">
        <f t="shared" si="203"/>
        <v>270</v>
      </c>
    </row>
    <row r="4899" spans="1:4" x14ac:dyDescent="0.25">
      <c r="A4899" t="str">
        <f>"838942297"</f>
        <v>838942297</v>
      </c>
      <c r="B4899" t="s">
        <v>4616</v>
      </c>
      <c r="C4899">
        <v>222.35</v>
      </c>
      <c r="D4899" t="str">
        <f t="shared" si="203"/>
        <v>270</v>
      </c>
    </row>
    <row r="4900" spans="1:4" x14ac:dyDescent="0.25">
      <c r="A4900" t="str">
        <f>"838942298"</f>
        <v>838942298</v>
      </c>
      <c r="B4900" t="s">
        <v>4616</v>
      </c>
      <c r="C4900">
        <v>222.35</v>
      </c>
      <c r="D4900" t="str">
        <f t="shared" si="203"/>
        <v>270</v>
      </c>
    </row>
    <row r="4901" spans="1:4" x14ac:dyDescent="0.25">
      <c r="A4901" t="str">
        <f>"838942299"</f>
        <v>838942299</v>
      </c>
      <c r="B4901" t="s">
        <v>4616</v>
      </c>
      <c r="C4901">
        <v>222.35</v>
      </c>
      <c r="D4901" t="str">
        <f t="shared" si="203"/>
        <v>270</v>
      </c>
    </row>
    <row r="4902" spans="1:4" x14ac:dyDescent="0.25">
      <c r="A4902" t="str">
        <f>"838942300"</f>
        <v>838942300</v>
      </c>
      <c r="B4902" t="s">
        <v>4617</v>
      </c>
      <c r="C4902">
        <v>228.59</v>
      </c>
      <c r="D4902" t="str">
        <f t="shared" si="203"/>
        <v>270</v>
      </c>
    </row>
    <row r="4903" spans="1:4" x14ac:dyDescent="0.25">
      <c r="A4903" t="str">
        <f>"838942301"</f>
        <v>838942301</v>
      </c>
      <c r="B4903" t="s">
        <v>4617</v>
      </c>
      <c r="C4903">
        <v>228.59</v>
      </c>
      <c r="D4903" t="str">
        <f t="shared" si="203"/>
        <v>270</v>
      </c>
    </row>
    <row r="4904" spans="1:4" x14ac:dyDescent="0.25">
      <c r="A4904" t="str">
        <f>"838942302"</f>
        <v>838942302</v>
      </c>
      <c r="B4904" t="s">
        <v>4616</v>
      </c>
      <c r="C4904">
        <v>239.5</v>
      </c>
      <c r="D4904" t="str">
        <f t="shared" si="203"/>
        <v>270</v>
      </c>
    </row>
    <row r="4905" spans="1:4" x14ac:dyDescent="0.25">
      <c r="A4905" t="str">
        <f>"838942303"</f>
        <v>838942303</v>
      </c>
      <c r="B4905" t="s">
        <v>4616</v>
      </c>
      <c r="C4905">
        <v>239.5</v>
      </c>
      <c r="D4905" t="str">
        <f t="shared" si="203"/>
        <v>270</v>
      </c>
    </row>
    <row r="4906" spans="1:4" x14ac:dyDescent="0.25">
      <c r="A4906" t="str">
        <f>"838942304"</f>
        <v>838942304</v>
      </c>
      <c r="B4906" t="s">
        <v>4616</v>
      </c>
      <c r="C4906">
        <v>239.5</v>
      </c>
      <c r="D4906" t="str">
        <f t="shared" si="203"/>
        <v>270</v>
      </c>
    </row>
    <row r="4907" spans="1:4" x14ac:dyDescent="0.25">
      <c r="A4907" t="str">
        <f>"838942305"</f>
        <v>838942305</v>
      </c>
      <c r="B4907" t="s">
        <v>4618</v>
      </c>
      <c r="C4907">
        <v>239.5</v>
      </c>
      <c r="D4907" t="str">
        <f t="shared" si="203"/>
        <v>270</v>
      </c>
    </row>
    <row r="4908" spans="1:4" x14ac:dyDescent="0.25">
      <c r="A4908" t="str">
        <f>"838942306"</f>
        <v>838942306</v>
      </c>
      <c r="B4908" t="s">
        <v>4619</v>
      </c>
      <c r="C4908">
        <v>153.96</v>
      </c>
      <c r="D4908" t="str">
        <f t="shared" si="203"/>
        <v>270</v>
      </c>
    </row>
    <row r="4909" spans="1:4" x14ac:dyDescent="0.25">
      <c r="A4909" t="str">
        <f>"838942307"</f>
        <v>838942307</v>
      </c>
      <c r="B4909" t="s">
        <v>4620</v>
      </c>
      <c r="C4909">
        <v>153.96</v>
      </c>
      <c r="D4909" t="str">
        <f t="shared" si="203"/>
        <v>270</v>
      </c>
    </row>
    <row r="4910" spans="1:4" x14ac:dyDescent="0.25">
      <c r="A4910" t="str">
        <f>"838942308"</f>
        <v>838942308</v>
      </c>
      <c r="B4910" t="s">
        <v>4621</v>
      </c>
      <c r="C4910">
        <v>153.96</v>
      </c>
      <c r="D4910" t="str">
        <f t="shared" si="203"/>
        <v>270</v>
      </c>
    </row>
    <row r="4911" spans="1:4" x14ac:dyDescent="0.25">
      <c r="A4911" t="str">
        <f>"838942309"</f>
        <v>838942309</v>
      </c>
      <c r="B4911" t="s">
        <v>4622</v>
      </c>
      <c r="C4911">
        <v>153.96</v>
      </c>
      <c r="D4911" t="str">
        <f t="shared" si="203"/>
        <v>270</v>
      </c>
    </row>
    <row r="4912" spans="1:4" x14ac:dyDescent="0.25">
      <c r="A4912" t="str">
        <f>"838942310"</f>
        <v>838942310</v>
      </c>
      <c r="B4912" t="s">
        <v>4623</v>
      </c>
      <c r="C4912">
        <v>184.87</v>
      </c>
      <c r="D4912" t="str">
        <f t="shared" si="203"/>
        <v>270</v>
      </c>
    </row>
    <row r="4913" spans="1:4" x14ac:dyDescent="0.25">
      <c r="A4913" t="str">
        <f>"838942311"</f>
        <v>838942311</v>
      </c>
      <c r="B4913" t="s">
        <v>4624</v>
      </c>
      <c r="C4913">
        <v>184.87</v>
      </c>
      <c r="D4913" t="str">
        <f t="shared" si="203"/>
        <v>270</v>
      </c>
    </row>
    <row r="4914" spans="1:4" x14ac:dyDescent="0.25">
      <c r="A4914" t="str">
        <f>"838942312"</f>
        <v>838942312</v>
      </c>
      <c r="B4914" t="s">
        <v>4625</v>
      </c>
      <c r="C4914">
        <v>267.8</v>
      </c>
      <c r="D4914" t="str">
        <f t="shared" si="203"/>
        <v>270</v>
      </c>
    </row>
    <row r="4915" spans="1:4" x14ac:dyDescent="0.25">
      <c r="A4915" t="str">
        <f>"838942313"</f>
        <v>838942313</v>
      </c>
      <c r="B4915" t="s">
        <v>4626</v>
      </c>
      <c r="C4915">
        <v>267.8</v>
      </c>
      <c r="D4915" t="str">
        <f t="shared" si="203"/>
        <v>270</v>
      </c>
    </row>
    <row r="4916" spans="1:4" x14ac:dyDescent="0.25">
      <c r="A4916" t="str">
        <f>"838942314"</f>
        <v>838942314</v>
      </c>
      <c r="B4916" t="s">
        <v>4627</v>
      </c>
      <c r="C4916">
        <v>270.68</v>
      </c>
      <c r="D4916" t="str">
        <f t="shared" si="203"/>
        <v>270</v>
      </c>
    </row>
    <row r="4917" spans="1:4" x14ac:dyDescent="0.25">
      <c r="A4917" t="str">
        <f>"838942315"</f>
        <v>838942315</v>
      </c>
      <c r="B4917" t="s">
        <v>4628</v>
      </c>
      <c r="C4917">
        <v>270.68</v>
      </c>
      <c r="D4917" t="str">
        <f t="shared" si="203"/>
        <v>270</v>
      </c>
    </row>
    <row r="4918" spans="1:4" x14ac:dyDescent="0.25">
      <c r="A4918" t="str">
        <f>"838942316"</f>
        <v>838942316</v>
      </c>
      <c r="B4918" t="s">
        <v>4629</v>
      </c>
      <c r="C4918">
        <v>270.3</v>
      </c>
      <c r="D4918" t="str">
        <f t="shared" si="203"/>
        <v>270</v>
      </c>
    </row>
    <row r="4919" spans="1:4" x14ac:dyDescent="0.25">
      <c r="A4919" t="str">
        <f>"838942317"</f>
        <v>838942317</v>
      </c>
      <c r="B4919" t="s">
        <v>4630</v>
      </c>
      <c r="C4919">
        <v>270.3</v>
      </c>
      <c r="D4919" t="str">
        <f t="shared" si="203"/>
        <v>270</v>
      </c>
    </row>
    <row r="4920" spans="1:4" x14ac:dyDescent="0.25">
      <c r="A4920" t="str">
        <f>"838942318"</f>
        <v>838942318</v>
      </c>
      <c r="B4920" t="s">
        <v>4631</v>
      </c>
      <c r="C4920">
        <v>268.16000000000003</v>
      </c>
      <c r="D4920" t="str">
        <f t="shared" si="203"/>
        <v>270</v>
      </c>
    </row>
    <row r="4921" spans="1:4" x14ac:dyDescent="0.25">
      <c r="A4921" t="str">
        <f>"838942319"</f>
        <v>838942319</v>
      </c>
      <c r="B4921" t="s">
        <v>4632</v>
      </c>
      <c r="C4921">
        <v>268.16000000000003</v>
      </c>
      <c r="D4921" t="str">
        <f t="shared" si="203"/>
        <v>270</v>
      </c>
    </row>
    <row r="4922" spans="1:4" x14ac:dyDescent="0.25">
      <c r="A4922" t="str">
        <f>"838942320"</f>
        <v>838942320</v>
      </c>
      <c r="B4922" t="s">
        <v>4633</v>
      </c>
      <c r="C4922">
        <v>182.49</v>
      </c>
      <c r="D4922" t="str">
        <f t="shared" si="203"/>
        <v>270</v>
      </c>
    </row>
    <row r="4923" spans="1:4" x14ac:dyDescent="0.25">
      <c r="A4923" t="str">
        <f>"838942321"</f>
        <v>838942321</v>
      </c>
      <c r="B4923" t="s">
        <v>4634</v>
      </c>
      <c r="C4923">
        <v>182.49</v>
      </c>
      <c r="D4923" t="str">
        <f t="shared" ref="D4923:D4986" si="204">"270"</f>
        <v>270</v>
      </c>
    </row>
    <row r="4924" spans="1:4" x14ac:dyDescent="0.25">
      <c r="A4924" t="str">
        <f>"838942322"</f>
        <v>838942322</v>
      </c>
      <c r="B4924" t="s">
        <v>4635</v>
      </c>
      <c r="C4924">
        <v>211.23</v>
      </c>
      <c r="D4924" t="str">
        <f t="shared" si="204"/>
        <v>270</v>
      </c>
    </row>
    <row r="4925" spans="1:4" x14ac:dyDescent="0.25">
      <c r="A4925" t="str">
        <f>"838942323"</f>
        <v>838942323</v>
      </c>
      <c r="B4925" t="s">
        <v>4636</v>
      </c>
      <c r="C4925">
        <v>211.23</v>
      </c>
      <c r="D4925" t="str">
        <f t="shared" si="204"/>
        <v>270</v>
      </c>
    </row>
    <row r="4926" spans="1:4" x14ac:dyDescent="0.25">
      <c r="A4926" t="str">
        <f>"838942324"</f>
        <v>838942324</v>
      </c>
      <c r="B4926" t="s">
        <v>4637</v>
      </c>
      <c r="C4926">
        <v>17.940000000000001</v>
      </c>
      <c r="D4926" t="str">
        <f t="shared" si="204"/>
        <v>270</v>
      </c>
    </row>
    <row r="4927" spans="1:4" x14ac:dyDescent="0.25">
      <c r="A4927" t="str">
        <f>"838942325"</f>
        <v>838942325</v>
      </c>
      <c r="B4927" t="s">
        <v>4638</v>
      </c>
      <c r="C4927">
        <v>17.940000000000001</v>
      </c>
      <c r="D4927" t="str">
        <f t="shared" si="204"/>
        <v>270</v>
      </c>
    </row>
    <row r="4928" spans="1:4" x14ac:dyDescent="0.25">
      <c r="A4928" t="str">
        <f>"838942326"</f>
        <v>838942326</v>
      </c>
      <c r="B4928" t="s">
        <v>4639</v>
      </c>
      <c r="C4928">
        <v>19.79</v>
      </c>
      <c r="D4928" t="str">
        <f t="shared" si="204"/>
        <v>270</v>
      </c>
    </row>
    <row r="4929" spans="1:4" x14ac:dyDescent="0.25">
      <c r="A4929" t="str">
        <f>"838942327"</f>
        <v>838942327</v>
      </c>
      <c r="B4929" t="s">
        <v>4640</v>
      </c>
      <c r="C4929">
        <v>19.79</v>
      </c>
      <c r="D4929" t="str">
        <f t="shared" si="204"/>
        <v>270</v>
      </c>
    </row>
    <row r="4930" spans="1:4" x14ac:dyDescent="0.25">
      <c r="A4930" t="str">
        <f>"838942328"</f>
        <v>838942328</v>
      </c>
      <c r="B4930" t="s">
        <v>4641</v>
      </c>
      <c r="C4930">
        <v>19.79</v>
      </c>
      <c r="D4930" t="str">
        <f t="shared" si="204"/>
        <v>270</v>
      </c>
    </row>
    <row r="4931" spans="1:4" x14ac:dyDescent="0.25">
      <c r="A4931" t="str">
        <f>"838942329"</f>
        <v>838942329</v>
      </c>
      <c r="B4931" t="s">
        <v>4642</v>
      </c>
      <c r="C4931">
        <v>19.79</v>
      </c>
      <c r="D4931" t="str">
        <f t="shared" si="204"/>
        <v>270</v>
      </c>
    </row>
    <row r="4932" spans="1:4" x14ac:dyDescent="0.25">
      <c r="A4932" t="str">
        <f>"838942330"</f>
        <v>838942330</v>
      </c>
      <c r="B4932" t="s">
        <v>4643</v>
      </c>
      <c r="C4932">
        <v>28.67</v>
      </c>
      <c r="D4932" t="str">
        <f t="shared" si="204"/>
        <v>270</v>
      </c>
    </row>
    <row r="4933" spans="1:4" x14ac:dyDescent="0.25">
      <c r="A4933" t="str">
        <f>"838942331"</f>
        <v>838942331</v>
      </c>
      <c r="B4933" t="s">
        <v>4644</v>
      </c>
      <c r="C4933">
        <v>28.67</v>
      </c>
      <c r="D4933" t="str">
        <f t="shared" si="204"/>
        <v>270</v>
      </c>
    </row>
    <row r="4934" spans="1:4" x14ac:dyDescent="0.25">
      <c r="A4934" t="str">
        <f>"838942332"</f>
        <v>838942332</v>
      </c>
      <c r="B4934" t="s">
        <v>4645</v>
      </c>
      <c r="C4934">
        <v>29.89</v>
      </c>
      <c r="D4934" t="str">
        <f t="shared" si="204"/>
        <v>270</v>
      </c>
    </row>
    <row r="4935" spans="1:4" x14ac:dyDescent="0.25">
      <c r="A4935" t="str">
        <f>"838942333"</f>
        <v>838942333</v>
      </c>
      <c r="B4935" t="s">
        <v>4646</v>
      </c>
      <c r="C4935">
        <v>29.89</v>
      </c>
      <c r="D4935" t="str">
        <f t="shared" si="204"/>
        <v>270</v>
      </c>
    </row>
    <row r="4936" spans="1:4" x14ac:dyDescent="0.25">
      <c r="A4936" t="str">
        <f>"838942334"</f>
        <v>838942334</v>
      </c>
      <c r="B4936" t="s">
        <v>4647</v>
      </c>
      <c r="C4936">
        <v>31.02</v>
      </c>
      <c r="D4936" t="str">
        <f t="shared" si="204"/>
        <v>270</v>
      </c>
    </row>
    <row r="4937" spans="1:4" x14ac:dyDescent="0.25">
      <c r="A4937" t="str">
        <f>"838942335"</f>
        <v>838942335</v>
      </c>
      <c r="B4937" t="s">
        <v>4648</v>
      </c>
      <c r="C4937">
        <v>31.02</v>
      </c>
      <c r="D4937" t="str">
        <f t="shared" si="204"/>
        <v>270</v>
      </c>
    </row>
    <row r="4938" spans="1:4" x14ac:dyDescent="0.25">
      <c r="A4938" t="str">
        <f>"838942336"</f>
        <v>838942336</v>
      </c>
      <c r="B4938" t="s">
        <v>4649</v>
      </c>
      <c r="C4938">
        <v>10.07</v>
      </c>
      <c r="D4938" t="str">
        <f t="shared" si="204"/>
        <v>270</v>
      </c>
    </row>
    <row r="4939" spans="1:4" x14ac:dyDescent="0.25">
      <c r="A4939" t="str">
        <f>"838942337"</f>
        <v>838942337</v>
      </c>
      <c r="B4939" t="s">
        <v>4650</v>
      </c>
      <c r="C4939">
        <v>10.07</v>
      </c>
      <c r="D4939" t="str">
        <f t="shared" si="204"/>
        <v>270</v>
      </c>
    </row>
    <row r="4940" spans="1:4" x14ac:dyDescent="0.25">
      <c r="A4940" t="str">
        <f>"838942338"</f>
        <v>838942338</v>
      </c>
      <c r="B4940" t="s">
        <v>4651</v>
      </c>
      <c r="C4940">
        <v>29.58</v>
      </c>
      <c r="D4940" t="str">
        <f t="shared" si="204"/>
        <v>270</v>
      </c>
    </row>
    <row r="4941" spans="1:4" x14ac:dyDescent="0.25">
      <c r="A4941" t="str">
        <f>"838942339"</f>
        <v>838942339</v>
      </c>
      <c r="B4941" t="s">
        <v>4652</v>
      </c>
      <c r="C4941">
        <v>29.58</v>
      </c>
      <c r="D4941" t="str">
        <f t="shared" si="204"/>
        <v>270</v>
      </c>
    </row>
    <row r="4942" spans="1:4" x14ac:dyDescent="0.25">
      <c r="A4942" t="str">
        <f>"838942340"</f>
        <v>838942340</v>
      </c>
      <c r="B4942" t="s">
        <v>4653</v>
      </c>
      <c r="C4942">
        <v>29.89</v>
      </c>
      <c r="D4942" t="str">
        <f t="shared" si="204"/>
        <v>270</v>
      </c>
    </row>
    <row r="4943" spans="1:4" x14ac:dyDescent="0.25">
      <c r="A4943" t="str">
        <f>"838942341"</f>
        <v>838942341</v>
      </c>
      <c r="B4943" t="s">
        <v>4654</v>
      </c>
      <c r="C4943">
        <v>29.89</v>
      </c>
      <c r="D4943" t="str">
        <f t="shared" si="204"/>
        <v>270</v>
      </c>
    </row>
    <row r="4944" spans="1:4" x14ac:dyDescent="0.25">
      <c r="A4944" t="str">
        <f>"838942342"</f>
        <v>838942342</v>
      </c>
      <c r="B4944" t="s">
        <v>4655</v>
      </c>
      <c r="C4944">
        <v>29.57</v>
      </c>
      <c r="D4944" t="str">
        <f t="shared" si="204"/>
        <v>270</v>
      </c>
    </row>
    <row r="4945" spans="1:4" x14ac:dyDescent="0.25">
      <c r="A4945" t="str">
        <f>"838942343"</f>
        <v>838942343</v>
      </c>
      <c r="B4945" t="s">
        <v>4656</v>
      </c>
      <c r="C4945">
        <v>29.57</v>
      </c>
      <c r="D4945" t="str">
        <f t="shared" si="204"/>
        <v>270</v>
      </c>
    </row>
    <row r="4946" spans="1:4" x14ac:dyDescent="0.25">
      <c r="A4946" t="str">
        <f>"838942344"</f>
        <v>838942344</v>
      </c>
      <c r="B4946" t="s">
        <v>4657</v>
      </c>
      <c r="C4946">
        <v>31.13</v>
      </c>
      <c r="D4946" t="str">
        <f t="shared" si="204"/>
        <v>270</v>
      </c>
    </row>
    <row r="4947" spans="1:4" x14ac:dyDescent="0.25">
      <c r="A4947" t="str">
        <f>"838942345"</f>
        <v>838942345</v>
      </c>
      <c r="B4947" t="s">
        <v>4658</v>
      </c>
      <c r="C4947">
        <v>31.13</v>
      </c>
      <c r="D4947" t="str">
        <f t="shared" si="204"/>
        <v>270</v>
      </c>
    </row>
    <row r="4948" spans="1:4" x14ac:dyDescent="0.25">
      <c r="A4948" t="str">
        <f>"838942346"</f>
        <v>838942346</v>
      </c>
      <c r="B4948" t="s">
        <v>4659</v>
      </c>
      <c r="C4948">
        <v>29.8</v>
      </c>
      <c r="D4948" t="str">
        <f t="shared" si="204"/>
        <v>270</v>
      </c>
    </row>
    <row r="4949" spans="1:4" x14ac:dyDescent="0.25">
      <c r="A4949" t="str">
        <f>"838942347"</f>
        <v>838942347</v>
      </c>
      <c r="B4949" t="s">
        <v>4660</v>
      </c>
      <c r="C4949">
        <v>29.8</v>
      </c>
      <c r="D4949" t="str">
        <f t="shared" si="204"/>
        <v>270</v>
      </c>
    </row>
    <row r="4950" spans="1:4" x14ac:dyDescent="0.25">
      <c r="A4950" t="str">
        <f>"838942348"</f>
        <v>838942348</v>
      </c>
      <c r="B4950" t="s">
        <v>4661</v>
      </c>
      <c r="C4950">
        <v>31.03</v>
      </c>
      <c r="D4950" t="str">
        <f t="shared" si="204"/>
        <v>270</v>
      </c>
    </row>
    <row r="4951" spans="1:4" x14ac:dyDescent="0.25">
      <c r="A4951" t="str">
        <f>"838942349"</f>
        <v>838942349</v>
      </c>
      <c r="B4951" t="s">
        <v>4662</v>
      </c>
      <c r="C4951">
        <v>31.03</v>
      </c>
      <c r="D4951" t="str">
        <f t="shared" si="204"/>
        <v>270</v>
      </c>
    </row>
    <row r="4952" spans="1:4" x14ac:dyDescent="0.25">
      <c r="A4952" t="str">
        <f>"838942350"</f>
        <v>838942350</v>
      </c>
      <c r="B4952" t="s">
        <v>4663</v>
      </c>
      <c r="C4952">
        <v>29.57</v>
      </c>
      <c r="D4952" t="str">
        <f t="shared" si="204"/>
        <v>270</v>
      </c>
    </row>
    <row r="4953" spans="1:4" x14ac:dyDescent="0.25">
      <c r="A4953" t="str">
        <f>"838942351"</f>
        <v>838942351</v>
      </c>
      <c r="B4953" t="s">
        <v>4664</v>
      </c>
      <c r="C4953">
        <v>29.57</v>
      </c>
      <c r="D4953" t="str">
        <f t="shared" si="204"/>
        <v>270</v>
      </c>
    </row>
    <row r="4954" spans="1:4" x14ac:dyDescent="0.25">
      <c r="A4954" t="str">
        <f>"838942352"</f>
        <v>838942352</v>
      </c>
      <c r="B4954" t="s">
        <v>4665</v>
      </c>
      <c r="C4954">
        <v>19.91</v>
      </c>
      <c r="D4954" t="str">
        <f t="shared" si="204"/>
        <v>270</v>
      </c>
    </row>
    <row r="4955" spans="1:4" x14ac:dyDescent="0.25">
      <c r="A4955" t="str">
        <f>"838942353"</f>
        <v>838942353</v>
      </c>
      <c r="B4955" t="s">
        <v>4666</v>
      </c>
      <c r="C4955">
        <v>19.91</v>
      </c>
      <c r="D4955" t="str">
        <f t="shared" si="204"/>
        <v>270</v>
      </c>
    </row>
    <row r="4956" spans="1:4" x14ac:dyDescent="0.25">
      <c r="A4956" t="str">
        <f>"838942354"</f>
        <v>838942354</v>
      </c>
      <c r="B4956" t="s">
        <v>4667</v>
      </c>
      <c r="C4956">
        <v>29.57</v>
      </c>
      <c r="D4956" t="str">
        <f t="shared" si="204"/>
        <v>270</v>
      </c>
    </row>
    <row r="4957" spans="1:4" x14ac:dyDescent="0.25">
      <c r="A4957" t="str">
        <f>"838942355"</f>
        <v>838942355</v>
      </c>
      <c r="B4957" t="s">
        <v>4668</v>
      </c>
      <c r="C4957">
        <v>29.57</v>
      </c>
      <c r="D4957" t="str">
        <f t="shared" si="204"/>
        <v>270</v>
      </c>
    </row>
    <row r="4958" spans="1:4" x14ac:dyDescent="0.25">
      <c r="A4958" t="str">
        <f>"838942356"</f>
        <v>838942356</v>
      </c>
      <c r="B4958" t="s">
        <v>4669</v>
      </c>
      <c r="C4958">
        <v>30.36</v>
      </c>
      <c r="D4958" t="str">
        <f t="shared" si="204"/>
        <v>270</v>
      </c>
    </row>
    <row r="4959" spans="1:4" x14ac:dyDescent="0.25">
      <c r="A4959" t="str">
        <f>"838942357"</f>
        <v>838942357</v>
      </c>
      <c r="B4959" t="s">
        <v>4670</v>
      </c>
      <c r="C4959">
        <v>30.36</v>
      </c>
      <c r="D4959" t="str">
        <f t="shared" si="204"/>
        <v>270</v>
      </c>
    </row>
    <row r="4960" spans="1:4" x14ac:dyDescent="0.25">
      <c r="A4960" t="str">
        <f>"838942358"</f>
        <v>838942358</v>
      </c>
      <c r="B4960" t="s">
        <v>4671</v>
      </c>
      <c r="C4960">
        <v>29.82</v>
      </c>
      <c r="D4960" t="str">
        <f t="shared" si="204"/>
        <v>270</v>
      </c>
    </row>
    <row r="4961" spans="1:4" x14ac:dyDescent="0.25">
      <c r="A4961" t="str">
        <f>"838942359"</f>
        <v>838942359</v>
      </c>
      <c r="B4961" t="s">
        <v>4672</v>
      </c>
      <c r="C4961">
        <v>29.82</v>
      </c>
      <c r="D4961" t="str">
        <f t="shared" si="204"/>
        <v>270</v>
      </c>
    </row>
    <row r="4962" spans="1:4" x14ac:dyDescent="0.25">
      <c r="A4962" t="str">
        <f>"838942360"</f>
        <v>838942360</v>
      </c>
      <c r="B4962" t="s">
        <v>4673</v>
      </c>
      <c r="C4962">
        <v>29.57</v>
      </c>
      <c r="D4962" t="str">
        <f t="shared" si="204"/>
        <v>270</v>
      </c>
    </row>
    <row r="4963" spans="1:4" x14ac:dyDescent="0.25">
      <c r="A4963" t="str">
        <f>"838942361"</f>
        <v>838942361</v>
      </c>
      <c r="B4963" t="s">
        <v>4674</v>
      </c>
      <c r="C4963">
        <v>29.57</v>
      </c>
      <c r="D4963" t="str">
        <f t="shared" si="204"/>
        <v>270</v>
      </c>
    </row>
    <row r="4964" spans="1:4" x14ac:dyDescent="0.25">
      <c r="A4964" t="str">
        <f>"838942362"</f>
        <v>838942362</v>
      </c>
      <c r="B4964" t="s">
        <v>4675</v>
      </c>
      <c r="C4964">
        <v>29.72</v>
      </c>
      <c r="D4964" t="str">
        <f t="shared" si="204"/>
        <v>270</v>
      </c>
    </row>
    <row r="4965" spans="1:4" x14ac:dyDescent="0.25">
      <c r="A4965" t="str">
        <f>"838942363"</f>
        <v>838942363</v>
      </c>
      <c r="B4965" t="s">
        <v>4676</v>
      </c>
      <c r="C4965">
        <v>29.72</v>
      </c>
      <c r="D4965" t="str">
        <f t="shared" si="204"/>
        <v>270</v>
      </c>
    </row>
    <row r="4966" spans="1:4" x14ac:dyDescent="0.25">
      <c r="A4966" t="str">
        <f>"838942364"</f>
        <v>838942364</v>
      </c>
      <c r="B4966" t="s">
        <v>4677</v>
      </c>
      <c r="C4966">
        <v>24.07</v>
      </c>
      <c r="D4966" t="str">
        <f t="shared" si="204"/>
        <v>270</v>
      </c>
    </row>
    <row r="4967" spans="1:4" x14ac:dyDescent="0.25">
      <c r="A4967" t="str">
        <f>"838942365"</f>
        <v>838942365</v>
      </c>
      <c r="B4967" t="s">
        <v>4678</v>
      </c>
      <c r="C4967">
        <v>24.07</v>
      </c>
      <c r="D4967" t="str">
        <f t="shared" si="204"/>
        <v>270</v>
      </c>
    </row>
    <row r="4968" spans="1:4" x14ac:dyDescent="0.25">
      <c r="A4968" t="str">
        <f>"838942366"</f>
        <v>838942366</v>
      </c>
      <c r="B4968" t="s">
        <v>4679</v>
      </c>
      <c r="C4968">
        <v>30.06</v>
      </c>
      <c r="D4968" t="str">
        <f t="shared" si="204"/>
        <v>270</v>
      </c>
    </row>
    <row r="4969" spans="1:4" x14ac:dyDescent="0.25">
      <c r="A4969" t="str">
        <f>"838942367"</f>
        <v>838942367</v>
      </c>
      <c r="B4969" t="s">
        <v>4680</v>
      </c>
      <c r="C4969">
        <v>30.06</v>
      </c>
      <c r="D4969" t="str">
        <f t="shared" si="204"/>
        <v>270</v>
      </c>
    </row>
    <row r="4970" spans="1:4" x14ac:dyDescent="0.25">
      <c r="A4970" t="str">
        <f>"838942368"</f>
        <v>838942368</v>
      </c>
      <c r="B4970" t="s">
        <v>4681</v>
      </c>
      <c r="C4970">
        <v>30.07</v>
      </c>
      <c r="D4970" t="str">
        <f t="shared" si="204"/>
        <v>270</v>
      </c>
    </row>
    <row r="4971" spans="1:4" x14ac:dyDescent="0.25">
      <c r="A4971" t="str">
        <f>"838942369"</f>
        <v>838942369</v>
      </c>
      <c r="B4971" t="s">
        <v>4682</v>
      </c>
      <c r="C4971">
        <v>30.07</v>
      </c>
      <c r="D4971" t="str">
        <f t="shared" si="204"/>
        <v>270</v>
      </c>
    </row>
    <row r="4972" spans="1:4" x14ac:dyDescent="0.25">
      <c r="A4972" t="str">
        <f>"838942370"</f>
        <v>838942370</v>
      </c>
      <c r="B4972" t="s">
        <v>4683</v>
      </c>
      <c r="C4972">
        <v>29.78</v>
      </c>
      <c r="D4972" t="str">
        <f t="shared" si="204"/>
        <v>270</v>
      </c>
    </row>
    <row r="4973" spans="1:4" x14ac:dyDescent="0.25">
      <c r="A4973" t="str">
        <f>"838942371"</f>
        <v>838942371</v>
      </c>
      <c r="B4973" t="s">
        <v>4684</v>
      </c>
      <c r="C4973">
        <v>29.78</v>
      </c>
      <c r="D4973" t="str">
        <f t="shared" si="204"/>
        <v>270</v>
      </c>
    </row>
    <row r="4974" spans="1:4" x14ac:dyDescent="0.25">
      <c r="A4974" t="str">
        <f>"838942372"</f>
        <v>838942372</v>
      </c>
      <c r="B4974" t="s">
        <v>4685</v>
      </c>
      <c r="C4974">
        <v>30.92</v>
      </c>
      <c r="D4974" t="str">
        <f t="shared" si="204"/>
        <v>270</v>
      </c>
    </row>
    <row r="4975" spans="1:4" x14ac:dyDescent="0.25">
      <c r="A4975" t="str">
        <f>"838942373"</f>
        <v>838942373</v>
      </c>
      <c r="B4975" t="s">
        <v>4686</v>
      </c>
      <c r="C4975">
        <v>30.92</v>
      </c>
      <c r="D4975" t="str">
        <f t="shared" si="204"/>
        <v>270</v>
      </c>
    </row>
    <row r="4976" spans="1:4" x14ac:dyDescent="0.25">
      <c r="A4976" t="str">
        <f>"838942374"</f>
        <v>838942374</v>
      </c>
      <c r="B4976" t="s">
        <v>4687</v>
      </c>
      <c r="C4976">
        <v>30.92</v>
      </c>
      <c r="D4976" t="str">
        <f t="shared" si="204"/>
        <v>270</v>
      </c>
    </row>
    <row r="4977" spans="1:4" x14ac:dyDescent="0.25">
      <c r="A4977" t="str">
        <f>"838942375"</f>
        <v>838942375</v>
      </c>
      <c r="B4977" t="s">
        <v>4688</v>
      </c>
      <c r="C4977">
        <v>30.92</v>
      </c>
      <c r="D4977" t="str">
        <f t="shared" si="204"/>
        <v>270</v>
      </c>
    </row>
    <row r="4978" spans="1:4" x14ac:dyDescent="0.25">
      <c r="A4978" t="str">
        <f>"838942376"</f>
        <v>838942376</v>
      </c>
      <c r="B4978" t="s">
        <v>4689</v>
      </c>
      <c r="C4978">
        <v>20.27</v>
      </c>
      <c r="D4978" t="str">
        <f t="shared" si="204"/>
        <v>270</v>
      </c>
    </row>
    <row r="4979" spans="1:4" x14ac:dyDescent="0.25">
      <c r="A4979" t="str">
        <f>"838942377"</f>
        <v>838942377</v>
      </c>
      <c r="B4979" t="s">
        <v>4690</v>
      </c>
      <c r="C4979">
        <v>20.27</v>
      </c>
      <c r="D4979" t="str">
        <f t="shared" si="204"/>
        <v>270</v>
      </c>
    </row>
    <row r="4980" spans="1:4" x14ac:dyDescent="0.25">
      <c r="A4980" t="str">
        <f>"838942378"</f>
        <v>838942378</v>
      </c>
      <c r="B4980" t="s">
        <v>4691</v>
      </c>
      <c r="C4980">
        <v>20</v>
      </c>
      <c r="D4980" t="str">
        <f t="shared" si="204"/>
        <v>270</v>
      </c>
    </row>
    <row r="4981" spans="1:4" x14ac:dyDescent="0.25">
      <c r="A4981" t="str">
        <f>"838942379"</f>
        <v>838942379</v>
      </c>
      <c r="B4981" t="s">
        <v>4692</v>
      </c>
      <c r="C4981">
        <v>20</v>
      </c>
      <c r="D4981" t="str">
        <f t="shared" si="204"/>
        <v>270</v>
      </c>
    </row>
    <row r="4982" spans="1:4" x14ac:dyDescent="0.25">
      <c r="A4982" t="str">
        <f>"838942380"</f>
        <v>838942380</v>
      </c>
      <c r="B4982" t="s">
        <v>4693</v>
      </c>
      <c r="C4982">
        <v>19.79</v>
      </c>
      <c r="D4982" t="str">
        <f t="shared" si="204"/>
        <v>270</v>
      </c>
    </row>
    <row r="4983" spans="1:4" x14ac:dyDescent="0.25">
      <c r="A4983" t="str">
        <f>"838942381"</f>
        <v>838942381</v>
      </c>
      <c r="B4983" t="s">
        <v>4694</v>
      </c>
      <c r="C4983">
        <v>19.79</v>
      </c>
      <c r="D4983" t="str">
        <f t="shared" si="204"/>
        <v>270</v>
      </c>
    </row>
    <row r="4984" spans="1:4" x14ac:dyDescent="0.25">
      <c r="A4984" t="str">
        <f>"838942382"</f>
        <v>838942382</v>
      </c>
      <c r="B4984" t="s">
        <v>4695</v>
      </c>
      <c r="C4984">
        <v>21.6</v>
      </c>
      <c r="D4984" t="str">
        <f t="shared" si="204"/>
        <v>270</v>
      </c>
    </row>
    <row r="4985" spans="1:4" x14ac:dyDescent="0.25">
      <c r="A4985" t="str">
        <f>"838942383"</f>
        <v>838942383</v>
      </c>
      <c r="B4985" t="s">
        <v>4696</v>
      </c>
      <c r="C4985">
        <v>21.6</v>
      </c>
      <c r="D4985" t="str">
        <f t="shared" si="204"/>
        <v>270</v>
      </c>
    </row>
    <row r="4986" spans="1:4" x14ac:dyDescent="0.25">
      <c r="A4986" t="str">
        <f>"838942384"</f>
        <v>838942384</v>
      </c>
      <c r="B4986" t="s">
        <v>4697</v>
      </c>
      <c r="C4986">
        <v>21.6</v>
      </c>
      <c r="D4986" t="str">
        <f t="shared" si="204"/>
        <v>270</v>
      </c>
    </row>
    <row r="4987" spans="1:4" x14ac:dyDescent="0.25">
      <c r="A4987" t="str">
        <f>"838942385"</f>
        <v>838942385</v>
      </c>
      <c r="B4987" t="s">
        <v>4698</v>
      </c>
      <c r="C4987">
        <v>21.6</v>
      </c>
      <c r="D4987" t="str">
        <f t="shared" ref="D4987:D5050" si="205">"270"</f>
        <v>270</v>
      </c>
    </row>
    <row r="4988" spans="1:4" x14ac:dyDescent="0.25">
      <c r="A4988" t="str">
        <f>"838942386"</f>
        <v>838942386</v>
      </c>
      <c r="B4988" t="s">
        <v>4699</v>
      </c>
      <c r="C4988">
        <v>18.87</v>
      </c>
      <c r="D4988" t="str">
        <f t="shared" si="205"/>
        <v>270</v>
      </c>
    </row>
    <row r="4989" spans="1:4" x14ac:dyDescent="0.25">
      <c r="A4989" t="str">
        <f>"838942387"</f>
        <v>838942387</v>
      </c>
      <c r="B4989" t="s">
        <v>4700</v>
      </c>
      <c r="C4989">
        <v>18.87</v>
      </c>
      <c r="D4989" t="str">
        <f t="shared" si="205"/>
        <v>270</v>
      </c>
    </row>
    <row r="4990" spans="1:4" x14ac:dyDescent="0.25">
      <c r="A4990" t="str">
        <f>"838942388"</f>
        <v>838942388</v>
      </c>
      <c r="B4990" t="s">
        <v>4701</v>
      </c>
      <c r="C4990">
        <v>20</v>
      </c>
      <c r="D4990" t="str">
        <f t="shared" si="205"/>
        <v>270</v>
      </c>
    </row>
    <row r="4991" spans="1:4" x14ac:dyDescent="0.25">
      <c r="A4991" t="str">
        <f>"838942389"</f>
        <v>838942389</v>
      </c>
      <c r="B4991" t="s">
        <v>4702</v>
      </c>
      <c r="C4991">
        <v>20</v>
      </c>
      <c r="D4991" t="str">
        <f t="shared" si="205"/>
        <v>270</v>
      </c>
    </row>
    <row r="4992" spans="1:4" x14ac:dyDescent="0.25">
      <c r="A4992" t="str">
        <f>"838942390"</f>
        <v>838942390</v>
      </c>
      <c r="B4992" t="s">
        <v>4703</v>
      </c>
      <c r="C4992">
        <v>20</v>
      </c>
      <c r="D4992" t="str">
        <f t="shared" si="205"/>
        <v>270</v>
      </c>
    </row>
    <row r="4993" spans="1:4" x14ac:dyDescent="0.25">
      <c r="A4993" t="str">
        <f>"838942391"</f>
        <v>838942391</v>
      </c>
      <c r="B4993" t="s">
        <v>4704</v>
      </c>
      <c r="C4993">
        <v>20</v>
      </c>
      <c r="D4993" t="str">
        <f t="shared" si="205"/>
        <v>270</v>
      </c>
    </row>
    <row r="4994" spans="1:4" x14ac:dyDescent="0.25">
      <c r="A4994" t="str">
        <f>"838942392"</f>
        <v>838942392</v>
      </c>
      <c r="B4994" t="s">
        <v>4705</v>
      </c>
      <c r="C4994">
        <v>19.79</v>
      </c>
      <c r="D4994" t="str">
        <f t="shared" si="205"/>
        <v>270</v>
      </c>
    </row>
    <row r="4995" spans="1:4" x14ac:dyDescent="0.25">
      <c r="A4995" t="str">
        <f>"838942393"</f>
        <v>838942393</v>
      </c>
      <c r="B4995" t="s">
        <v>4706</v>
      </c>
      <c r="C4995">
        <v>19.79</v>
      </c>
      <c r="D4995" t="str">
        <f t="shared" si="205"/>
        <v>270</v>
      </c>
    </row>
    <row r="4996" spans="1:4" x14ac:dyDescent="0.25">
      <c r="A4996" t="str">
        <f>"838942394"</f>
        <v>838942394</v>
      </c>
      <c r="B4996" t="s">
        <v>4707</v>
      </c>
      <c r="C4996">
        <v>19.79</v>
      </c>
      <c r="D4996" t="str">
        <f t="shared" si="205"/>
        <v>270</v>
      </c>
    </row>
    <row r="4997" spans="1:4" x14ac:dyDescent="0.25">
      <c r="A4997" t="str">
        <f>"838942395"</f>
        <v>838942395</v>
      </c>
      <c r="B4997" t="s">
        <v>4708</v>
      </c>
      <c r="C4997">
        <v>19.79</v>
      </c>
      <c r="D4997" t="str">
        <f t="shared" si="205"/>
        <v>270</v>
      </c>
    </row>
    <row r="4998" spans="1:4" x14ac:dyDescent="0.25">
      <c r="A4998" t="str">
        <f>"838942396"</f>
        <v>838942396</v>
      </c>
      <c r="B4998" t="s">
        <v>4709</v>
      </c>
      <c r="C4998">
        <v>20</v>
      </c>
      <c r="D4998" t="str">
        <f t="shared" si="205"/>
        <v>270</v>
      </c>
    </row>
    <row r="4999" spans="1:4" x14ac:dyDescent="0.25">
      <c r="A4999" t="str">
        <f>"838942397"</f>
        <v>838942397</v>
      </c>
      <c r="B4999" t="s">
        <v>4710</v>
      </c>
      <c r="C4999">
        <v>20</v>
      </c>
      <c r="D4999" t="str">
        <f t="shared" si="205"/>
        <v>270</v>
      </c>
    </row>
    <row r="5000" spans="1:4" x14ac:dyDescent="0.25">
      <c r="A5000" t="str">
        <f>"838942398"</f>
        <v>838942398</v>
      </c>
      <c r="B5000" t="s">
        <v>4711</v>
      </c>
      <c r="C5000">
        <v>20</v>
      </c>
      <c r="D5000" t="str">
        <f t="shared" si="205"/>
        <v>270</v>
      </c>
    </row>
    <row r="5001" spans="1:4" x14ac:dyDescent="0.25">
      <c r="A5001" t="str">
        <f>"838942399"</f>
        <v>838942399</v>
      </c>
      <c r="B5001" t="s">
        <v>4712</v>
      </c>
      <c r="C5001">
        <v>20</v>
      </c>
      <c r="D5001" t="str">
        <f t="shared" si="205"/>
        <v>270</v>
      </c>
    </row>
    <row r="5002" spans="1:4" x14ac:dyDescent="0.25">
      <c r="A5002" t="str">
        <f>"838942400"</f>
        <v>838942400</v>
      </c>
      <c r="B5002" t="s">
        <v>4713</v>
      </c>
      <c r="C5002">
        <v>19.66</v>
      </c>
      <c r="D5002" t="str">
        <f t="shared" si="205"/>
        <v>270</v>
      </c>
    </row>
    <row r="5003" spans="1:4" x14ac:dyDescent="0.25">
      <c r="A5003" t="str">
        <f>"838942401"</f>
        <v>838942401</v>
      </c>
      <c r="B5003" t="s">
        <v>4714</v>
      </c>
      <c r="C5003">
        <v>19.66</v>
      </c>
      <c r="D5003" t="str">
        <f t="shared" si="205"/>
        <v>270</v>
      </c>
    </row>
    <row r="5004" spans="1:4" x14ac:dyDescent="0.25">
      <c r="A5004" t="str">
        <f>"838942402"</f>
        <v>838942402</v>
      </c>
      <c r="B5004" t="s">
        <v>4715</v>
      </c>
      <c r="C5004">
        <v>10.43</v>
      </c>
      <c r="D5004" t="str">
        <f t="shared" si="205"/>
        <v>270</v>
      </c>
    </row>
    <row r="5005" spans="1:4" x14ac:dyDescent="0.25">
      <c r="A5005" t="str">
        <f>"838942403"</f>
        <v>838942403</v>
      </c>
      <c r="B5005" t="s">
        <v>4715</v>
      </c>
      <c r="C5005">
        <v>10.43</v>
      </c>
      <c r="D5005" t="str">
        <f t="shared" si="205"/>
        <v>270</v>
      </c>
    </row>
    <row r="5006" spans="1:4" x14ac:dyDescent="0.25">
      <c r="A5006" t="str">
        <f>"838942404"</f>
        <v>838942404</v>
      </c>
      <c r="B5006" t="s">
        <v>4716</v>
      </c>
      <c r="C5006">
        <v>10.43</v>
      </c>
      <c r="D5006" t="str">
        <f t="shared" si="205"/>
        <v>270</v>
      </c>
    </row>
    <row r="5007" spans="1:4" x14ac:dyDescent="0.25">
      <c r="A5007" t="str">
        <f>"838942405"</f>
        <v>838942405</v>
      </c>
      <c r="B5007" t="s">
        <v>4717</v>
      </c>
      <c r="C5007">
        <v>10.43</v>
      </c>
      <c r="D5007" t="str">
        <f t="shared" si="205"/>
        <v>270</v>
      </c>
    </row>
    <row r="5008" spans="1:4" x14ac:dyDescent="0.25">
      <c r="A5008" t="str">
        <f>"838942406"</f>
        <v>838942406</v>
      </c>
      <c r="B5008" t="s">
        <v>4718</v>
      </c>
      <c r="C5008">
        <v>10.29</v>
      </c>
      <c r="D5008" t="str">
        <f t="shared" si="205"/>
        <v>270</v>
      </c>
    </row>
    <row r="5009" spans="1:4" x14ac:dyDescent="0.25">
      <c r="A5009" t="str">
        <f>"838942407"</f>
        <v>838942407</v>
      </c>
      <c r="B5009" t="s">
        <v>4719</v>
      </c>
      <c r="C5009">
        <v>10.29</v>
      </c>
      <c r="D5009" t="str">
        <f t="shared" si="205"/>
        <v>270</v>
      </c>
    </row>
    <row r="5010" spans="1:4" x14ac:dyDescent="0.25">
      <c r="A5010" t="str">
        <f>"838942408"</f>
        <v>838942408</v>
      </c>
      <c r="B5010" t="s">
        <v>4720</v>
      </c>
      <c r="C5010">
        <v>10.29</v>
      </c>
      <c r="D5010" t="str">
        <f t="shared" si="205"/>
        <v>270</v>
      </c>
    </row>
    <row r="5011" spans="1:4" x14ac:dyDescent="0.25">
      <c r="A5011" t="str">
        <f>"838942409"</f>
        <v>838942409</v>
      </c>
      <c r="B5011" t="s">
        <v>4720</v>
      </c>
      <c r="C5011">
        <v>10.29</v>
      </c>
      <c r="D5011" t="str">
        <f t="shared" si="205"/>
        <v>270</v>
      </c>
    </row>
    <row r="5012" spans="1:4" x14ac:dyDescent="0.25">
      <c r="A5012" t="str">
        <f>"838942410"</f>
        <v>838942410</v>
      </c>
      <c r="B5012" t="s">
        <v>4721</v>
      </c>
      <c r="C5012">
        <v>10.29</v>
      </c>
      <c r="D5012" t="str">
        <f t="shared" si="205"/>
        <v>270</v>
      </c>
    </row>
    <row r="5013" spans="1:4" x14ac:dyDescent="0.25">
      <c r="A5013" t="str">
        <f>"838942411"</f>
        <v>838942411</v>
      </c>
      <c r="B5013" t="s">
        <v>4722</v>
      </c>
      <c r="C5013">
        <v>10.29</v>
      </c>
      <c r="D5013" t="str">
        <f t="shared" si="205"/>
        <v>270</v>
      </c>
    </row>
    <row r="5014" spans="1:4" x14ac:dyDescent="0.25">
      <c r="A5014" t="str">
        <f>"838942412"</f>
        <v>838942412</v>
      </c>
      <c r="B5014" t="s">
        <v>4723</v>
      </c>
      <c r="C5014">
        <v>10.07</v>
      </c>
      <c r="D5014" t="str">
        <f t="shared" si="205"/>
        <v>270</v>
      </c>
    </row>
    <row r="5015" spans="1:4" x14ac:dyDescent="0.25">
      <c r="A5015" t="str">
        <f>"838942413"</f>
        <v>838942413</v>
      </c>
      <c r="B5015" t="s">
        <v>4723</v>
      </c>
      <c r="C5015">
        <v>10.07</v>
      </c>
      <c r="D5015" t="str">
        <f t="shared" si="205"/>
        <v>270</v>
      </c>
    </row>
    <row r="5016" spans="1:4" x14ac:dyDescent="0.25">
      <c r="A5016" t="str">
        <f>"838942414"</f>
        <v>838942414</v>
      </c>
      <c r="B5016" t="s">
        <v>4724</v>
      </c>
      <c r="C5016">
        <v>10.07</v>
      </c>
      <c r="D5016" t="str">
        <f t="shared" si="205"/>
        <v>270</v>
      </c>
    </row>
    <row r="5017" spans="1:4" x14ac:dyDescent="0.25">
      <c r="A5017" t="str">
        <f>"838942415"</f>
        <v>838942415</v>
      </c>
      <c r="B5017" t="s">
        <v>4725</v>
      </c>
      <c r="C5017">
        <v>10.07</v>
      </c>
      <c r="D5017" t="str">
        <f t="shared" si="205"/>
        <v>270</v>
      </c>
    </row>
    <row r="5018" spans="1:4" x14ac:dyDescent="0.25">
      <c r="A5018" t="str">
        <f>"838942416"</f>
        <v>838942416</v>
      </c>
      <c r="B5018" t="s">
        <v>4726</v>
      </c>
      <c r="C5018">
        <v>18.34</v>
      </c>
      <c r="D5018" t="str">
        <f t="shared" si="205"/>
        <v>270</v>
      </c>
    </row>
    <row r="5019" spans="1:4" x14ac:dyDescent="0.25">
      <c r="A5019" t="str">
        <f>"838942417"</f>
        <v>838942417</v>
      </c>
      <c r="B5019" t="s">
        <v>4727</v>
      </c>
      <c r="C5019">
        <v>18.34</v>
      </c>
      <c r="D5019" t="str">
        <f t="shared" si="205"/>
        <v>270</v>
      </c>
    </row>
    <row r="5020" spans="1:4" x14ac:dyDescent="0.25">
      <c r="A5020" t="str">
        <f>"838942418"</f>
        <v>838942418</v>
      </c>
      <c r="B5020" t="s">
        <v>4728</v>
      </c>
      <c r="C5020">
        <v>17.78</v>
      </c>
      <c r="D5020" t="str">
        <f t="shared" si="205"/>
        <v>270</v>
      </c>
    </row>
    <row r="5021" spans="1:4" x14ac:dyDescent="0.25">
      <c r="A5021" t="str">
        <f>"838942419"</f>
        <v>838942419</v>
      </c>
      <c r="B5021" t="s">
        <v>4729</v>
      </c>
      <c r="C5021">
        <v>17.78</v>
      </c>
      <c r="D5021" t="str">
        <f t="shared" si="205"/>
        <v>270</v>
      </c>
    </row>
    <row r="5022" spans="1:4" x14ac:dyDescent="0.25">
      <c r="A5022" t="str">
        <f>"838942420"</f>
        <v>838942420</v>
      </c>
      <c r="B5022" t="s">
        <v>4730</v>
      </c>
      <c r="C5022">
        <v>17.63</v>
      </c>
      <c r="D5022" t="str">
        <f t="shared" si="205"/>
        <v>270</v>
      </c>
    </row>
    <row r="5023" spans="1:4" x14ac:dyDescent="0.25">
      <c r="A5023" t="str">
        <f>"838942421"</f>
        <v>838942421</v>
      </c>
      <c r="B5023" t="s">
        <v>4731</v>
      </c>
      <c r="C5023">
        <v>17.63</v>
      </c>
      <c r="D5023" t="str">
        <f t="shared" si="205"/>
        <v>270</v>
      </c>
    </row>
    <row r="5024" spans="1:4" x14ac:dyDescent="0.25">
      <c r="A5024" t="str">
        <f>"838942422"</f>
        <v>838942422</v>
      </c>
      <c r="B5024" t="s">
        <v>4732</v>
      </c>
      <c r="C5024">
        <v>17.82</v>
      </c>
      <c r="D5024" t="str">
        <f t="shared" si="205"/>
        <v>270</v>
      </c>
    </row>
    <row r="5025" spans="1:4" x14ac:dyDescent="0.25">
      <c r="A5025" t="str">
        <f>"838942423"</f>
        <v>838942423</v>
      </c>
      <c r="B5025" t="s">
        <v>4733</v>
      </c>
      <c r="C5025">
        <v>17.82</v>
      </c>
      <c r="D5025" t="str">
        <f t="shared" si="205"/>
        <v>270</v>
      </c>
    </row>
    <row r="5026" spans="1:4" x14ac:dyDescent="0.25">
      <c r="A5026" t="str">
        <f>"838942424"</f>
        <v>838942424</v>
      </c>
      <c r="B5026" t="s">
        <v>4734</v>
      </c>
      <c r="C5026">
        <v>17.55</v>
      </c>
      <c r="D5026" t="str">
        <f t="shared" si="205"/>
        <v>270</v>
      </c>
    </row>
    <row r="5027" spans="1:4" x14ac:dyDescent="0.25">
      <c r="A5027" t="str">
        <f>"838942425"</f>
        <v>838942425</v>
      </c>
      <c r="B5027" t="s">
        <v>4735</v>
      </c>
      <c r="C5027">
        <v>17.55</v>
      </c>
      <c r="D5027" t="str">
        <f t="shared" si="205"/>
        <v>270</v>
      </c>
    </row>
    <row r="5028" spans="1:4" x14ac:dyDescent="0.25">
      <c r="A5028" t="str">
        <f>"838942426"</f>
        <v>838942426</v>
      </c>
      <c r="B5028" t="s">
        <v>4736</v>
      </c>
      <c r="C5028">
        <v>20.010000000000002</v>
      </c>
      <c r="D5028" t="str">
        <f t="shared" si="205"/>
        <v>270</v>
      </c>
    </row>
    <row r="5029" spans="1:4" x14ac:dyDescent="0.25">
      <c r="A5029" t="str">
        <f>"838942427"</f>
        <v>838942427</v>
      </c>
      <c r="B5029" t="s">
        <v>4737</v>
      </c>
      <c r="C5029">
        <v>20.010000000000002</v>
      </c>
      <c r="D5029" t="str">
        <f t="shared" si="205"/>
        <v>270</v>
      </c>
    </row>
    <row r="5030" spans="1:4" x14ac:dyDescent="0.25">
      <c r="A5030" t="str">
        <f>"838942428"</f>
        <v>838942428</v>
      </c>
      <c r="B5030" t="s">
        <v>4738</v>
      </c>
      <c r="C5030">
        <v>19.48</v>
      </c>
      <c r="D5030" t="str">
        <f t="shared" si="205"/>
        <v>270</v>
      </c>
    </row>
    <row r="5031" spans="1:4" x14ac:dyDescent="0.25">
      <c r="A5031" t="str">
        <f>"838942429"</f>
        <v>838942429</v>
      </c>
      <c r="B5031" t="s">
        <v>4739</v>
      </c>
      <c r="C5031">
        <v>19.48</v>
      </c>
      <c r="D5031" t="str">
        <f t="shared" si="205"/>
        <v>270</v>
      </c>
    </row>
    <row r="5032" spans="1:4" x14ac:dyDescent="0.25">
      <c r="A5032" t="str">
        <f>"838942430"</f>
        <v>838942430</v>
      </c>
      <c r="B5032" t="s">
        <v>4740</v>
      </c>
      <c r="C5032">
        <v>17.82</v>
      </c>
      <c r="D5032" t="str">
        <f t="shared" si="205"/>
        <v>270</v>
      </c>
    </row>
    <row r="5033" spans="1:4" x14ac:dyDescent="0.25">
      <c r="A5033" t="str">
        <f>"838942431"</f>
        <v>838942431</v>
      </c>
      <c r="B5033" t="s">
        <v>4741</v>
      </c>
      <c r="C5033">
        <v>17.82</v>
      </c>
      <c r="D5033" t="str">
        <f t="shared" si="205"/>
        <v>270</v>
      </c>
    </row>
    <row r="5034" spans="1:4" x14ac:dyDescent="0.25">
      <c r="A5034" t="str">
        <f>"838942432"</f>
        <v>838942432</v>
      </c>
      <c r="B5034" t="s">
        <v>4742</v>
      </c>
      <c r="C5034">
        <v>8.6</v>
      </c>
      <c r="D5034" t="str">
        <f t="shared" si="205"/>
        <v>270</v>
      </c>
    </row>
    <row r="5035" spans="1:4" x14ac:dyDescent="0.25">
      <c r="A5035" t="str">
        <f>"838942433"</f>
        <v>838942433</v>
      </c>
      <c r="B5035" t="s">
        <v>4743</v>
      </c>
      <c r="C5035">
        <v>8.6</v>
      </c>
      <c r="D5035" t="str">
        <f t="shared" si="205"/>
        <v>270</v>
      </c>
    </row>
    <row r="5036" spans="1:4" x14ac:dyDescent="0.25">
      <c r="A5036" t="str">
        <f>"838942434"</f>
        <v>838942434</v>
      </c>
      <c r="B5036" t="s">
        <v>4744</v>
      </c>
      <c r="C5036">
        <v>20.010000000000002</v>
      </c>
      <c r="D5036" t="str">
        <f t="shared" si="205"/>
        <v>270</v>
      </c>
    </row>
    <row r="5037" spans="1:4" x14ac:dyDescent="0.25">
      <c r="A5037" t="str">
        <f>"838942435"</f>
        <v>838942435</v>
      </c>
      <c r="B5037" t="s">
        <v>4745</v>
      </c>
      <c r="C5037">
        <v>20.010000000000002</v>
      </c>
      <c r="D5037" t="str">
        <f t="shared" si="205"/>
        <v>270</v>
      </c>
    </row>
    <row r="5038" spans="1:4" x14ac:dyDescent="0.25">
      <c r="A5038" t="str">
        <f>"838942436"</f>
        <v>838942436</v>
      </c>
      <c r="B5038" t="s">
        <v>4746</v>
      </c>
      <c r="C5038">
        <v>22.74</v>
      </c>
      <c r="D5038" t="str">
        <f t="shared" si="205"/>
        <v>270</v>
      </c>
    </row>
    <row r="5039" spans="1:4" x14ac:dyDescent="0.25">
      <c r="A5039" t="str">
        <f>"838942437"</f>
        <v>838942437</v>
      </c>
      <c r="B5039" t="s">
        <v>4747</v>
      </c>
      <c r="C5039">
        <v>22.74</v>
      </c>
      <c r="D5039" t="str">
        <f t="shared" si="205"/>
        <v>270</v>
      </c>
    </row>
    <row r="5040" spans="1:4" x14ac:dyDescent="0.25">
      <c r="A5040" t="str">
        <f>"838942438"</f>
        <v>838942438</v>
      </c>
      <c r="B5040" t="s">
        <v>4748</v>
      </c>
      <c r="C5040">
        <v>19.79</v>
      </c>
      <c r="D5040" t="str">
        <f t="shared" si="205"/>
        <v>270</v>
      </c>
    </row>
    <row r="5041" spans="1:4" x14ac:dyDescent="0.25">
      <c r="A5041" t="str">
        <f>"838942439"</f>
        <v>838942439</v>
      </c>
      <c r="B5041" t="s">
        <v>4749</v>
      </c>
      <c r="C5041">
        <v>19.79</v>
      </c>
      <c r="D5041" t="str">
        <f t="shared" si="205"/>
        <v>270</v>
      </c>
    </row>
    <row r="5042" spans="1:4" x14ac:dyDescent="0.25">
      <c r="A5042" t="str">
        <f>"838942440"</f>
        <v>838942440</v>
      </c>
      <c r="B5042" t="s">
        <v>4750</v>
      </c>
      <c r="C5042">
        <v>18.41</v>
      </c>
      <c r="D5042" t="str">
        <f t="shared" si="205"/>
        <v>270</v>
      </c>
    </row>
    <row r="5043" spans="1:4" x14ac:dyDescent="0.25">
      <c r="A5043" t="str">
        <f>"838942441"</f>
        <v>838942441</v>
      </c>
      <c r="B5043" t="s">
        <v>4751</v>
      </c>
      <c r="C5043">
        <v>18.41</v>
      </c>
      <c r="D5043" t="str">
        <f t="shared" si="205"/>
        <v>270</v>
      </c>
    </row>
    <row r="5044" spans="1:4" x14ac:dyDescent="0.25">
      <c r="A5044" t="str">
        <f>"838942442"</f>
        <v>838942442</v>
      </c>
      <c r="B5044" t="s">
        <v>4752</v>
      </c>
      <c r="C5044">
        <v>116.52</v>
      </c>
      <c r="D5044" t="str">
        <f t="shared" si="205"/>
        <v>270</v>
      </c>
    </row>
    <row r="5045" spans="1:4" x14ac:dyDescent="0.25">
      <c r="A5045" t="str">
        <f>"838942443"</f>
        <v>838942443</v>
      </c>
      <c r="B5045" t="s">
        <v>4753</v>
      </c>
      <c r="C5045">
        <v>116.52</v>
      </c>
      <c r="D5045" t="str">
        <f t="shared" si="205"/>
        <v>270</v>
      </c>
    </row>
    <row r="5046" spans="1:4" x14ac:dyDescent="0.25">
      <c r="A5046" t="str">
        <f>"838942444"</f>
        <v>838942444</v>
      </c>
      <c r="B5046" t="s">
        <v>4754</v>
      </c>
      <c r="C5046">
        <v>96.62</v>
      </c>
      <c r="D5046" t="str">
        <f t="shared" si="205"/>
        <v>270</v>
      </c>
    </row>
    <row r="5047" spans="1:4" x14ac:dyDescent="0.25">
      <c r="A5047" t="str">
        <f>"838942445"</f>
        <v>838942445</v>
      </c>
      <c r="B5047" t="s">
        <v>4755</v>
      </c>
      <c r="C5047">
        <v>96.62</v>
      </c>
      <c r="D5047" t="str">
        <f t="shared" si="205"/>
        <v>270</v>
      </c>
    </row>
    <row r="5048" spans="1:4" x14ac:dyDescent="0.25">
      <c r="A5048" t="str">
        <f>"838942446"</f>
        <v>838942446</v>
      </c>
      <c r="B5048" t="s">
        <v>4756</v>
      </c>
      <c r="C5048">
        <v>63.68</v>
      </c>
      <c r="D5048" t="str">
        <f t="shared" si="205"/>
        <v>270</v>
      </c>
    </row>
    <row r="5049" spans="1:4" x14ac:dyDescent="0.25">
      <c r="A5049" t="str">
        <f>"838942447"</f>
        <v>838942447</v>
      </c>
      <c r="B5049" t="s">
        <v>4757</v>
      </c>
      <c r="C5049">
        <v>63.68</v>
      </c>
      <c r="D5049" t="str">
        <f t="shared" si="205"/>
        <v>270</v>
      </c>
    </row>
    <row r="5050" spans="1:4" x14ac:dyDescent="0.25">
      <c r="A5050" t="str">
        <f>"838942448"</f>
        <v>838942448</v>
      </c>
      <c r="B5050" t="s">
        <v>4758</v>
      </c>
      <c r="C5050">
        <v>63.93</v>
      </c>
      <c r="D5050" t="str">
        <f t="shared" si="205"/>
        <v>270</v>
      </c>
    </row>
    <row r="5051" spans="1:4" x14ac:dyDescent="0.25">
      <c r="A5051" t="str">
        <f>"838942449"</f>
        <v>838942449</v>
      </c>
      <c r="B5051" t="s">
        <v>4759</v>
      </c>
      <c r="C5051">
        <v>63.93</v>
      </c>
      <c r="D5051" t="str">
        <f t="shared" ref="D5051:D5114" si="206">"270"</f>
        <v>270</v>
      </c>
    </row>
    <row r="5052" spans="1:4" x14ac:dyDescent="0.25">
      <c r="A5052" t="str">
        <f>"838942450"</f>
        <v>838942450</v>
      </c>
      <c r="B5052" t="s">
        <v>4760</v>
      </c>
      <c r="C5052">
        <v>70.66</v>
      </c>
      <c r="D5052" t="str">
        <f t="shared" si="206"/>
        <v>270</v>
      </c>
    </row>
    <row r="5053" spans="1:4" x14ac:dyDescent="0.25">
      <c r="A5053" t="str">
        <f>"838942451"</f>
        <v>838942451</v>
      </c>
      <c r="B5053" t="s">
        <v>4761</v>
      </c>
      <c r="C5053">
        <v>70.66</v>
      </c>
      <c r="D5053" t="str">
        <f t="shared" si="206"/>
        <v>270</v>
      </c>
    </row>
    <row r="5054" spans="1:4" x14ac:dyDescent="0.25">
      <c r="A5054" t="str">
        <f>"838942452"</f>
        <v>838942452</v>
      </c>
      <c r="B5054" t="s">
        <v>4762</v>
      </c>
      <c r="C5054">
        <v>132.61000000000001</v>
      </c>
      <c r="D5054" t="str">
        <f t="shared" si="206"/>
        <v>270</v>
      </c>
    </row>
    <row r="5055" spans="1:4" x14ac:dyDescent="0.25">
      <c r="A5055" t="str">
        <f>"838942453"</f>
        <v>838942453</v>
      </c>
      <c r="B5055" t="s">
        <v>4763</v>
      </c>
      <c r="C5055">
        <v>132.61000000000001</v>
      </c>
      <c r="D5055" t="str">
        <f t="shared" si="206"/>
        <v>270</v>
      </c>
    </row>
    <row r="5056" spans="1:4" x14ac:dyDescent="0.25">
      <c r="A5056" t="str">
        <f>"838942454"</f>
        <v>838942454</v>
      </c>
      <c r="B5056" t="s">
        <v>4764</v>
      </c>
      <c r="C5056">
        <v>60.16</v>
      </c>
      <c r="D5056" t="str">
        <f t="shared" si="206"/>
        <v>270</v>
      </c>
    </row>
    <row r="5057" spans="1:4" x14ac:dyDescent="0.25">
      <c r="A5057" t="str">
        <f>"838942455"</f>
        <v>838942455</v>
      </c>
      <c r="B5057" t="s">
        <v>4765</v>
      </c>
      <c r="C5057">
        <v>60.16</v>
      </c>
      <c r="D5057" t="str">
        <f t="shared" si="206"/>
        <v>270</v>
      </c>
    </row>
    <row r="5058" spans="1:4" x14ac:dyDescent="0.25">
      <c r="A5058" t="str">
        <f>"838942456"</f>
        <v>838942456</v>
      </c>
      <c r="B5058" t="s">
        <v>4766</v>
      </c>
      <c r="C5058">
        <v>108.04</v>
      </c>
      <c r="D5058" t="str">
        <f t="shared" si="206"/>
        <v>270</v>
      </c>
    </row>
    <row r="5059" spans="1:4" x14ac:dyDescent="0.25">
      <c r="A5059" t="str">
        <f>"838942457"</f>
        <v>838942457</v>
      </c>
      <c r="B5059" t="s">
        <v>4767</v>
      </c>
      <c r="C5059">
        <v>108.04</v>
      </c>
      <c r="D5059" t="str">
        <f t="shared" si="206"/>
        <v>270</v>
      </c>
    </row>
    <row r="5060" spans="1:4" x14ac:dyDescent="0.25">
      <c r="A5060" t="str">
        <f>"838942458"</f>
        <v>838942458</v>
      </c>
      <c r="B5060" t="s">
        <v>4768</v>
      </c>
      <c r="C5060">
        <v>66.28</v>
      </c>
      <c r="D5060" t="str">
        <f t="shared" si="206"/>
        <v>270</v>
      </c>
    </row>
    <row r="5061" spans="1:4" x14ac:dyDescent="0.25">
      <c r="A5061" t="str">
        <f>"838942459"</f>
        <v>838942459</v>
      </c>
      <c r="B5061" t="s">
        <v>4769</v>
      </c>
      <c r="C5061">
        <v>66.28</v>
      </c>
      <c r="D5061" t="str">
        <f t="shared" si="206"/>
        <v>270</v>
      </c>
    </row>
    <row r="5062" spans="1:4" x14ac:dyDescent="0.25">
      <c r="A5062" t="str">
        <f>"838942460"</f>
        <v>838942460</v>
      </c>
      <c r="B5062" t="s">
        <v>4770</v>
      </c>
      <c r="C5062">
        <v>109.1</v>
      </c>
      <c r="D5062" t="str">
        <f t="shared" si="206"/>
        <v>270</v>
      </c>
    </row>
    <row r="5063" spans="1:4" x14ac:dyDescent="0.25">
      <c r="A5063" t="str">
        <f>"838942461"</f>
        <v>838942461</v>
      </c>
      <c r="B5063" t="s">
        <v>4771</v>
      </c>
      <c r="C5063">
        <v>109.1</v>
      </c>
      <c r="D5063" t="str">
        <f t="shared" si="206"/>
        <v>270</v>
      </c>
    </row>
    <row r="5064" spans="1:4" x14ac:dyDescent="0.25">
      <c r="A5064" t="str">
        <f>"838942462"</f>
        <v>838942462</v>
      </c>
      <c r="B5064" t="s">
        <v>4772</v>
      </c>
      <c r="C5064">
        <v>109.1</v>
      </c>
      <c r="D5064" t="str">
        <f t="shared" si="206"/>
        <v>270</v>
      </c>
    </row>
    <row r="5065" spans="1:4" x14ac:dyDescent="0.25">
      <c r="A5065" t="str">
        <f>"838942463"</f>
        <v>838942463</v>
      </c>
      <c r="B5065" t="s">
        <v>4773</v>
      </c>
      <c r="C5065">
        <v>109.1</v>
      </c>
      <c r="D5065" t="str">
        <f t="shared" si="206"/>
        <v>270</v>
      </c>
    </row>
    <row r="5066" spans="1:4" x14ac:dyDescent="0.25">
      <c r="A5066" t="str">
        <f>"838942464"</f>
        <v>838942464</v>
      </c>
      <c r="B5066" t="s">
        <v>4774</v>
      </c>
      <c r="C5066">
        <v>90.44</v>
      </c>
      <c r="D5066" t="str">
        <f t="shared" si="206"/>
        <v>270</v>
      </c>
    </row>
    <row r="5067" spans="1:4" x14ac:dyDescent="0.25">
      <c r="A5067" t="str">
        <f>"838942465"</f>
        <v>838942465</v>
      </c>
      <c r="B5067" t="s">
        <v>4775</v>
      </c>
      <c r="C5067">
        <v>90.44</v>
      </c>
      <c r="D5067" t="str">
        <f t="shared" si="206"/>
        <v>270</v>
      </c>
    </row>
    <row r="5068" spans="1:4" x14ac:dyDescent="0.25">
      <c r="A5068" t="str">
        <f>"838942466"</f>
        <v>838942466</v>
      </c>
      <c r="B5068" t="s">
        <v>4776</v>
      </c>
      <c r="C5068">
        <v>112.42</v>
      </c>
      <c r="D5068" t="str">
        <f t="shared" si="206"/>
        <v>270</v>
      </c>
    </row>
    <row r="5069" spans="1:4" x14ac:dyDescent="0.25">
      <c r="A5069" t="str">
        <f>"838942467"</f>
        <v>838942467</v>
      </c>
      <c r="B5069" t="s">
        <v>4777</v>
      </c>
      <c r="C5069">
        <v>112.42</v>
      </c>
      <c r="D5069" t="str">
        <f t="shared" si="206"/>
        <v>270</v>
      </c>
    </row>
    <row r="5070" spans="1:4" x14ac:dyDescent="0.25">
      <c r="A5070" t="str">
        <f>"838942468"</f>
        <v>838942468</v>
      </c>
      <c r="B5070" t="s">
        <v>4778</v>
      </c>
      <c r="C5070">
        <v>96.11</v>
      </c>
      <c r="D5070" t="str">
        <f t="shared" si="206"/>
        <v>270</v>
      </c>
    </row>
    <row r="5071" spans="1:4" x14ac:dyDescent="0.25">
      <c r="A5071" t="str">
        <f>"838942469"</f>
        <v>838942469</v>
      </c>
      <c r="B5071" t="s">
        <v>4779</v>
      </c>
      <c r="C5071">
        <v>96.11</v>
      </c>
      <c r="D5071" t="str">
        <f t="shared" si="206"/>
        <v>270</v>
      </c>
    </row>
    <row r="5072" spans="1:4" x14ac:dyDescent="0.25">
      <c r="A5072" t="str">
        <f>"838942470"</f>
        <v>838942470</v>
      </c>
      <c r="B5072" t="s">
        <v>4780</v>
      </c>
      <c r="C5072">
        <v>69.19</v>
      </c>
      <c r="D5072" t="str">
        <f t="shared" si="206"/>
        <v>270</v>
      </c>
    </row>
    <row r="5073" spans="1:4" x14ac:dyDescent="0.25">
      <c r="A5073" t="str">
        <f>"838942471"</f>
        <v>838942471</v>
      </c>
      <c r="B5073" t="s">
        <v>4781</v>
      </c>
      <c r="C5073">
        <v>69.19</v>
      </c>
      <c r="D5073" t="str">
        <f t="shared" si="206"/>
        <v>270</v>
      </c>
    </row>
    <row r="5074" spans="1:4" x14ac:dyDescent="0.25">
      <c r="A5074" t="str">
        <f>"838942472"</f>
        <v>838942472</v>
      </c>
      <c r="B5074" t="s">
        <v>4782</v>
      </c>
      <c r="C5074">
        <v>70.510000000000005</v>
      </c>
      <c r="D5074" t="str">
        <f t="shared" si="206"/>
        <v>270</v>
      </c>
    </row>
    <row r="5075" spans="1:4" x14ac:dyDescent="0.25">
      <c r="A5075" t="str">
        <f>"838942473"</f>
        <v>838942473</v>
      </c>
      <c r="B5075" t="s">
        <v>4783</v>
      </c>
      <c r="C5075">
        <v>70.510000000000005</v>
      </c>
      <c r="D5075" t="str">
        <f t="shared" si="206"/>
        <v>270</v>
      </c>
    </row>
    <row r="5076" spans="1:4" x14ac:dyDescent="0.25">
      <c r="A5076" t="str">
        <f>"838942474"</f>
        <v>838942474</v>
      </c>
      <c r="B5076" t="s">
        <v>4784</v>
      </c>
      <c r="C5076">
        <v>70.900000000000006</v>
      </c>
      <c r="D5076" t="str">
        <f t="shared" si="206"/>
        <v>270</v>
      </c>
    </row>
    <row r="5077" spans="1:4" x14ac:dyDescent="0.25">
      <c r="A5077" t="str">
        <f>"838942475"</f>
        <v>838942475</v>
      </c>
      <c r="B5077" t="s">
        <v>4785</v>
      </c>
      <c r="C5077">
        <v>70.900000000000006</v>
      </c>
      <c r="D5077" t="str">
        <f t="shared" si="206"/>
        <v>270</v>
      </c>
    </row>
    <row r="5078" spans="1:4" x14ac:dyDescent="0.25">
      <c r="A5078" t="str">
        <f>"838942476"</f>
        <v>838942476</v>
      </c>
      <c r="B5078" t="s">
        <v>4786</v>
      </c>
      <c r="C5078">
        <v>70.19</v>
      </c>
      <c r="D5078" t="str">
        <f t="shared" si="206"/>
        <v>270</v>
      </c>
    </row>
    <row r="5079" spans="1:4" x14ac:dyDescent="0.25">
      <c r="A5079" t="str">
        <f>"838942477"</f>
        <v>838942477</v>
      </c>
      <c r="B5079" t="s">
        <v>4787</v>
      </c>
      <c r="C5079">
        <v>70.19</v>
      </c>
      <c r="D5079" t="str">
        <f t="shared" si="206"/>
        <v>270</v>
      </c>
    </row>
    <row r="5080" spans="1:4" x14ac:dyDescent="0.25">
      <c r="A5080" t="str">
        <f>"838942478"</f>
        <v>838942478</v>
      </c>
      <c r="B5080" t="s">
        <v>4788</v>
      </c>
      <c r="C5080">
        <v>82.64</v>
      </c>
      <c r="D5080" t="str">
        <f t="shared" si="206"/>
        <v>270</v>
      </c>
    </row>
    <row r="5081" spans="1:4" x14ac:dyDescent="0.25">
      <c r="A5081" t="str">
        <f>"838942479"</f>
        <v>838942479</v>
      </c>
      <c r="B5081" t="s">
        <v>4789</v>
      </c>
      <c r="C5081">
        <v>82.64</v>
      </c>
      <c r="D5081" t="str">
        <f t="shared" si="206"/>
        <v>270</v>
      </c>
    </row>
    <row r="5082" spans="1:4" x14ac:dyDescent="0.25">
      <c r="A5082" t="str">
        <f>"838942480"</f>
        <v>838942480</v>
      </c>
      <c r="B5082" t="s">
        <v>4790</v>
      </c>
      <c r="C5082">
        <v>89.58</v>
      </c>
      <c r="D5082" t="str">
        <f t="shared" si="206"/>
        <v>270</v>
      </c>
    </row>
    <row r="5083" spans="1:4" x14ac:dyDescent="0.25">
      <c r="A5083" t="str">
        <f>"838942481"</f>
        <v>838942481</v>
      </c>
      <c r="B5083" t="s">
        <v>4791</v>
      </c>
      <c r="C5083">
        <v>89.58</v>
      </c>
      <c r="D5083" t="str">
        <f t="shared" si="206"/>
        <v>270</v>
      </c>
    </row>
    <row r="5084" spans="1:4" x14ac:dyDescent="0.25">
      <c r="A5084" t="str">
        <f>"838942482"</f>
        <v>838942482</v>
      </c>
      <c r="B5084" t="s">
        <v>4792</v>
      </c>
      <c r="C5084">
        <v>87.1</v>
      </c>
      <c r="D5084" t="str">
        <f t="shared" si="206"/>
        <v>270</v>
      </c>
    </row>
    <row r="5085" spans="1:4" x14ac:dyDescent="0.25">
      <c r="A5085" t="str">
        <f>"838942483"</f>
        <v>838942483</v>
      </c>
      <c r="B5085" t="s">
        <v>4793</v>
      </c>
      <c r="C5085">
        <v>87.1</v>
      </c>
      <c r="D5085" t="str">
        <f t="shared" si="206"/>
        <v>270</v>
      </c>
    </row>
    <row r="5086" spans="1:4" x14ac:dyDescent="0.25">
      <c r="A5086" t="str">
        <f>"838942484"</f>
        <v>838942484</v>
      </c>
      <c r="B5086" t="s">
        <v>4794</v>
      </c>
      <c r="C5086">
        <v>100.07</v>
      </c>
      <c r="D5086" t="str">
        <f t="shared" si="206"/>
        <v>270</v>
      </c>
    </row>
    <row r="5087" spans="1:4" x14ac:dyDescent="0.25">
      <c r="A5087" t="str">
        <f>"838942485"</f>
        <v>838942485</v>
      </c>
      <c r="B5087" t="s">
        <v>4795</v>
      </c>
      <c r="C5087">
        <v>100.07</v>
      </c>
      <c r="D5087" t="str">
        <f t="shared" si="206"/>
        <v>270</v>
      </c>
    </row>
    <row r="5088" spans="1:4" x14ac:dyDescent="0.25">
      <c r="A5088" t="str">
        <f>"838942486"</f>
        <v>838942486</v>
      </c>
      <c r="B5088" t="s">
        <v>4796</v>
      </c>
      <c r="C5088">
        <v>70.069999999999993</v>
      </c>
      <c r="D5088" t="str">
        <f t="shared" si="206"/>
        <v>270</v>
      </c>
    </row>
    <row r="5089" spans="1:4" x14ac:dyDescent="0.25">
      <c r="A5089" t="str">
        <f>"838942487"</f>
        <v>838942487</v>
      </c>
      <c r="B5089" t="s">
        <v>4797</v>
      </c>
      <c r="C5089">
        <v>70.069999999999993</v>
      </c>
      <c r="D5089" t="str">
        <f t="shared" si="206"/>
        <v>270</v>
      </c>
    </row>
    <row r="5090" spans="1:4" x14ac:dyDescent="0.25">
      <c r="A5090" t="str">
        <f>"838942488"</f>
        <v>838942488</v>
      </c>
      <c r="B5090" t="s">
        <v>4798</v>
      </c>
      <c r="C5090">
        <v>70.069999999999993</v>
      </c>
      <c r="D5090" t="str">
        <f t="shared" si="206"/>
        <v>270</v>
      </c>
    </row>
    <row r="5091" spans="1:4" x14ac:dyDescent="0.25">
      <c r="A5091" t="str">
        <f>"838942489"</f>
        <v>838942489</v>
      </c>
      <c r="B5091" t="s">
        <v>4799</v>
      </c>
      <c r="C5091">
        <v>70.069999999999993</v>
      </c>
      <c r="D5091" t="str">
        <f t="shared" si="206"/>
        <v>270</v>
      </c>
    </row>
    <row r="5092" spans="1:4" x14ac:dyDescent="0.25">
      <c r="A5092" t="str">
        <f>"838942490"</f>
        <v>838942490</v>
      </c>
      <c r="B5092" t="s">
        <v>4800</v>
      </c>
      <c r="C5092">
        <v>63.28</v>
      </c>
      <c r="D5092" t="str">
        <f t="shared" si="206"/>
        <v>270</v>
      </c>
    </row>
    <row r="5093" spans="1:4" x14ac:dyDescent="0.25">
      <c r="A5093" t="str">
        <f>"838942491"</f>
        <v>838942491</v>
      </c>
      <c r="B5093" t="s">
        <v>4801</v>
      </c>
      <c r="C5093">
        <v>63.28</v>
      </c>
      <c r="D5093" t="str">
        <f t="shared" si="206"/>
        <v>270</v>
      </c>
    </row>
    <row r="5094" spans="1:4" x14ac:dyDescent="0.25">
      <c r="A5094" t="str">
        <f>"838942492"</f>
        <v>838942492</v>
      </c>
      <c r="B5094" t="s">
        <v>4802</v>
      </c>
      <c r="C5094">
        <v>99.55</v>
      </c>
      <c r="D5094" t="str">
        <f t="shared" si="206"/>
        <v>270</v>
      </c>
    </row>
    <row r="5095" spans="1:4" x14ac:dyDescent="0.25">
      <c r="A5095" t="str">
        <f>"838942493"</f>
        <v>838942493</v>
      </c>
      <c r="B5095" t="s">
        <v>4803</v>
      </c>
      <c r="C5095">
        <v>99.55</v>
      </c>
      <c r="D5095" t="str">
        <f t="shared" si="206"/>
        <v>270</v>
      </c>
    </row>
    <row r="5096" spans="1:4" x14ac:dyDescent="0.25">
      <c r="A5096" t="str">
        <f>"838942494"</f>
        <v>838942494</v>
      </c>
      <c r="B5096" t="s">
        <v>4804</v>
      </c>
      <c r="C5096">
        <v>86.19</v>
      </c>
      <c r="D5096" t="str">
        <f t="shared" si="206"/>
        <v>270</v>
      </c>
    </row>
    <row r="5097" spans="1:4" x14ac:dyDescent="0.25">
      <c r="A5097" t="str">
        <f>"838942495"</f>
        <v>838942495</v>
      </c>
      <c r="B5097" t="s">
        <v>4805</v>
      </c>
      <c r="C5097">
        <v>86.19</v>
      </c>
      <c r="D5097" t="str">
        <f t="shared" si="206"/>
        <v>270</v>
      </c>
    </row>
    <row r="5098" spans="1:4" x14ac:dyDescent="0.25">
      <c r="A5098" t="str">
        <f>"838942496"</f>
        <v>838942496</v>
      </c>
      <c r="B5098" t="s">
        <v>4806</v>
      </c>
      <c r="C5098">
        <v>87.03</v>
      </c>
      <c r="D5098" t="str">
        <f t="shared" si="206"/>
        <v>270</v>
      </c>
    </row>
    <row r="5099" spans="1:4" x14ac:dyDescent="0.25">
      <c r="A5099" t="str">
        <f>"838942497"</f>
        <v>838942497</v>
      </c>
      <c r="B5099" t="s">
        <v>4807</v>
      </c>
      <c r="C5099">
        <v>87.03</v>
      </c>
      <c r="D5099" t="str">
        <f t="shared" si="206"/>
        <v>270</v>
      </c>
    </row>
    <row r="5100" spans="1:4" x14ac:dyDescent="0.25">
      <c r="A5100" t="str">
        <f>"838942498"</f>
        <v>838942498</v>
      </c>
      <c r="B5100" t="s">
        <v>4808</v>
      </c>
      <c r="C5100">
        <v>129.94</v>
      </c>
      <c r="D5100" t="str">
        <f t="shared" si="206"/>
        <v>270</v>
      </c>
    </row>
    <row r="5101" spans="1:4" x14ac:dyDescent="0.25">
      <c r="A5101" t="str">
        <f>"838942499"</f>
        <v>838942499</v>
      </c>
      <c r="B5101" t="s">
        <v>4809</v>
      </c>
      <c r="C5101">
        <v>129.94</v>
      </c>
      <c r="D5101" t="str">
        <f t="shared" si="206"/>
        <v>270</v>
      </c>
    </row>
    <row r="5102" spans="1:4" x14ac:dyDescent="0.25">
      <c r="A5102" t="str">
        <f>"838942500"</f>
        <v>838942500</v>
      </c>
      <c r="B5102" t="s">
        <v>4810</v>
      </c>
      <c r="C5102">
        <v>85.56</v>
      </c>
      <c r="D5102" t="str">
        <f t="shared" si="206"/>
        <v>270</v>
      </c>
    </row>
    <row r="5103" spans="1:4" x14ac:dyDescent="0.25">
      <c r="A5103" t="str">
        <f>"838942501"</f>
        <v>838942501</v>
      </c>
      <c r="B5103" t="s">
        <v>4811</v>
      </c>
      <c r="C5103">
        <v>85.56</v>
      </c>
      <c r="D5103" t="str">
        <f t="shared" si="206"/>
        <v>270</v>
      </c>
    </row>
    <row r="5104" spans="1:4" x14ac:dyDescent="0.25">
      <c r="A5104" t="str">
        <f>"838942502"</f>
        <v>838942502</v>
      </c>
      <c r="B5104" t="s">
        <v>4812</v>
      </c>
      <c r="C5104">
        <v>30.03</v>
      </c>
      <c r="D5104" t="str">
        <f t="shared" si="206"/>
        <v>270</v>
      </c>
    </row>
    <row r="5105" spans="1:4" x14ac:dyDescent="0.25">
      <c r="A5105" t="str">
        <f>"838942503"</f>
        <v>838942503</v>
      </c>
      <c r="B5105" t="s">
        <v>4813</v>
      </c>
      <c r="C5105">
        <v>30.03</v>
      </c>
      <c r="D5105" t="str">
        <f t="shared" si="206"/>
        <v>270</v>
      </c>
    </row>
    <row r="5106" spans="1:4" x14ac:dyDescent="0.25">
      <c r="A5106" t="str">
        <f>"838942504"</f>
        <v>838942504</v>
      </c>
      <c r="B5106" t="s">
        <v>4814</v>
      </c>
      <c r="C5106">
        <v>15.3</v>
      </c>
      <c r="D5106" t="str">
        <f t="shared" si="206"/>
        <v>270</v>
      </c>
    </row>
    <row r="5107" spans="1:4" x14ac:dyDescent="0.25">
      <c r="A5107" t="str">
        <f>"838942505"</f>
        <v>838942505</v>
      </c>
      <c r="B5107" t="s">
        <v>4815</v>
      </c>
      <c r="C5107">
        <v>15.3</v>
      </c>
      <c r="D5107" t="str">
        <f t="shared" si="206"/>
        <v>270</v>
      </c>
    </row>
    <row r="5108" spans="1:4" x14ac:dyDescent="0.25">
      <c r="A5108" t="str">
        <f>"838942506"</f>
        <v>838942506</v>
      </c>
      <c r="B5108" t="s">
        <v>4816</v>
      </c>
      <c r="C5108">
        <v>30.03</v>
      </c>
      <c r="D5108" t="str">
        <f t="shared" si="206"/>
        <v>270</v>
      </c>
    </row>
    <row r="5109" spans="1:4" x14ac:dyDescent="0.25">
      <c r="A5109" t="str">
        <f>"838942507"</f>
        <v>838942507</v>
      </c>
      <c r="B5109" t="s">
        <v>4817</v>
      </c>
      <c r="C5109">
        <v>30.03</v>
      </c>
      <c r="D5109" t="str">
        <f t="shared" si="206"/>
        <v>270</v>
      </c>
    </row>
    <row r="5110" spans="1:4" x14ac:dyDescent="0.25">
      <c r="A5110" t="str">
        <f>"838942508"</f>
        <v>838942508</v>
      </c>
      <c r="B5110" t="s">
        <v>4818</v>
      </c>
      <c r="C5110">
        <v>23.88</v>
      </c>
      <c r="D5110" t="str">
        <f t="shared" si="206"/>
        <v>270</v>
      </c>
    </row>
    <row r="5111" spans="1:4" x14ac:dyDescent="0.25">
      <c r="A5111" t="str">
        <f>"838942509"</f>
        <v>838942509</v>
      </c>
      <c r="B5111" t="s">
        <v>4819</v>
      </c>
      <c r="C5111">
        <v>23.88</v>
      </c>
      <c r="D5111" t="str">
        <f t="shared" si="206"/>
        <v>270</v>
      </c>
    </row>
    <row r="5112" spans="1:4" x14ac:dyDescent="0.25">
      <c r="A5112" t="str">
        <f>"838942510"</f>
        <v>838942510</v>
      </c>
      <c r="B5112" t="s">
        <v>4820</v>
      </c>
      <c r="C5112">
        <v>21.74</v>
      </c>
      <c r="D5112" t="str">
        <f t="shared" si="206"/>
        <v>270</v>
      </c>
    </row>
    <row r="5113" spans="1:4" x14ac:dyDescent="0.25">
      <c r="A5113" t="str">
        <f>"838942511"</f>
        <v>838942511</v>
      </c>
      <c r="B5113" t="s">
        <v>4821</v>
      </c>
      <c r="C5113">
        <v>21.74</v>
      </c>
      <c r="D5113" t="str">
        <f t="shared" si="206"/>
        <v>270</v>
      </c>
    </row>
    <row r="5114" spans="1:4" x14ac:dyDescent="0.25">
      <c r="A5114" t="str">
        <f>"838942512"</f>
        <v>838942512</v>
      </c>
      <c r="B5114" t="s">
        <v>4822</v>
      </c>
      <c r="C5114">
        <v>21.95</v>
      </c>
      <c r="D5114" t="str">
        <f t="shared" si="206"/>
        <v>270</v>
      </c>
    </row>
    <row r="5115" spans="1:4" x14ac:dyDescent="0.25">
      <c r="A5115" t="str">
        <f>"838942513"</f>
        <v>838942513</v>
      </c>
      <c r="B5115" t="s">
        <v>4823</v>
      </c>
      <c r="C5115">
        <v>21.95</v>
      </c>
      <c r="D5115" t="str">
        <f t="shared" ref="D5115:D5178" si="207">"270"</f>
        <v>270</v>
      </c>
    </row>
    <row r="5116" spans="1:4" x14ac:dyDescent="0.25">
      <c r="A5116" t="str">
        <f>"838942514"</f>
        <v>838942514</v>
      </c>
      <c r="B5116" t="s">
        <v>4824</v>
      </c>
      <c r="C5116">
        <v>22.22</v>
      </c>
      <c r="D5116" t="str">
        <f t="shared" si="207"/>
        <v>270</v>
      </c>
    </row>
    <row r="5117" spans="1:4" x14ac:dyDescent="0.25">
      <c r="A5117" t="str">
        <f>"838942515"</f>
        <v>838942515</v>
      </c>
      <c r="B5117" t="s">
        <v>4825</v>
      </c>
      <c r="C5117">
        <v>22.22</v>
      </c>
      <c r="D5117" t="str">
        <f t="shared" si="207"/>
        <v>270</v>
      </c>
    </row>
    <row r="5118" spans="1:4" x14ac:dyDescent="0.25">
      <c r="A5118" t="str">
        <f>"838942516"</f>
        <v>838942516</v>
      </c>
      <c r="B5118" t="s">
        <v>4826</v>
      </c>
      <c r="C5118">
        <v>21.74</v>
      </c>
      <c r="D5118" t="str">
        <f t="shared" si="207"/>
        <v>270</v>
      </c>
    </row>
    <row r="5119" spans="1:4" x14ac:dyDescent="0.25">
      <c r="A5119" t="str">
        <f>"838942517"</f>
        <v>838942517</v>
      </c>
      <c r="B5119" t="s">
        <v>4827</v>
      </c>
      <c r="C5119">
        <v>21.74</v>
      </c>
      <c r="D5119" t="str">
        <f t="shared" si="207"/>
        <v>270</v>
      </c>
    </row>
    <row r="5120" spans="1:4" x14ac:dyDescent="0.25">
      <c r="A5120" t="str">
        <f>"838942518"</f>
        <v>838942518</v>
      </c>
      <c r="B5120" t="s">
        <v>4828</v>
      </c>
      <c r="C5120">
        <v>21.95</v>
      </c>
      <c r="D5120" t="str">
        <f t="shared" si="207"/>
        <v>270</v>
      </c>
    </row>
    <row r="5121" spans="1:4" x14ac:dyDescent="0.25">
      <c r="A5121" t="str">
        <f>"838942519"</f>
        <v>838942519</v>
      </c>
      <c r="B5121" t="s">
        <v>4829</v>
      </c>
      <c r="C5121">
        <v>21.95</v>
      </c>
      <c r="D5121" t="str">
        <f t="shared" si="207"/>
        <v>270</v>
      </c>
    </row>
    <row r="5122" spans="1:4" x14ac:dyDescent="0.25">
      <c r="A5122" t="str">
        <f>"838942520"</f>
        <v>838942520</v>
      </c>
      <c r="B5122" t="s">
        <v>4830</v>
      </c>
      <c r="C5122">
        <v>22.22</v>
      </c>
      <c r="D5122" t="str">
        <f t="shared" si="207"/>
        <v>270</v>
      </c>
    </row>
    <row r="5123" spans="1:4" x14ac:dyDescent="0.25">
      <c r="A5123" t="str">
        <f>"838942521"</f>
        <v>838942521</v>
      </c>
      <c r="B5123" t="s">
        <v>4831</v>
      </c>
      <c r="C5123">
        <v>22.22</v>
      </c>
      <c r="D5123" t="str">
        <f t="shared" si="207"/>
        <v>270</v>
      </c>
    </row>
    <row r="5124" spans="1:4" x14ac:dyDescent="0.25">
      <c r="A5124" t="str">
        <f>"838942522"</f>
        <v>838942522</v>
      </c>
      <c r="B5124" t="s">
        <v>4832</v>
      </c>
      <c r="C5124">
        <v>21.6</v>
      </c>
      <c r="D5124" t="str">
        <f t="shared" si="207"/>
        <v>270</v>
      </c>
    </row>
    <row r="5125" spans="1:4" x14ac:dyDescent="0.25">
      <c r="A5125" t="str">
        <f>"838942523"</f>
        <v>838942523</v>
      </c>
      <c r="B5125" t="s">
        <v>4833</v>
      </c>
      <c r="C5125">
        <v>21.6</v>
      </c>
      <c r="D5125" t="str">
        <f t="shared" si="207"/>
        <v>270</v>
      </c>
    </row>
    <row r="5126" spans="1:4" x14ac:dyDescent="0.25">
      <c r="A5126" t="str">
        <f>"838942524"</f>
        <v>838942524</v>
      </c>
      <c r="B5126" t="s">
        <v>4834</v>
      </c>
      <c r="C5126">
        <v>21.74</v>
      </c>
      <c r="D5126" t="str">
        <f t="shared" si="207"/>
        <v>270</v>
      </c>
    </row>
    <row r="5127" spans="1:4" x14ac:dyDescent="0.25">
      <c r="A5127" t="str">
        <f>"838942525"</f>
        <v>838942525</v>
      </c>
      <c r="B5127" t="s">
        <v>4835</v>
      </c>
      <c r="C5127">
        <v>21.74</v>
      </c>
      <c r="D5127" t="str">
        <f t="shared" si="207"/>
        <v>270</v>
      </c>
    </row>
    <row r="5128" spans="1:4" x14ac:dyDescent="0.25">
      <c r="A5128" t="str">
        <f>"838942526"</f>
        <v>838942526</v>
      </c>
      <c r="B5128" t="s">
        <v>4836</v>
      </c>
      <c r="C5128">
        <v>21.95</v>
      </c>
      <c r="D5128" t="str">
        <f t="shared" si="207"/>
        <v>270</v>
      </c>
    </row>
    <row r="5129" spans="1:4" x14ac:dyDescent="0.25">
      <c r="A5129" t="str">
        <f>"838942527"</f>
        <v>838942527</v>
      </c>
      <c r="B5129" t="s">
        <v>4837</v>
      </c>
      <c r="C5129">
        <v>21.95</v>
      </c>
      <c r="D5129" t="str">
        <f t="shared" si="207"/>
        <v>270</v>
      </c>
    </row>
    <row r="5130" spans="1:4" x14ac:dyDescent="0.25">
      <c r="A5130" t="str">
        <f>"838942528"</f>
        <v>838942528</v>
      </c>
      <c r="B5130" t="s">
        <v>4838</v>
      </c>
      <c r="C5130">
        <v>32.92</v>
      </c>
      <c r="D5130" t="str">
        <f t="shared" si="207"/>
        <v>270</v>
      </c>
    </row>
    <row r="5131" spans="1:4" x14ac:dyDescent="0.25">
      <c r="A5131" t="str">
        <f>"838942529"</f>
        <v>838942529</v>
      </c>
      <c r="B5131" t="s">
        <v>4839</v>
      </c>
      <c r="C5131">
        <v>32.92</v>
      </c>
      <c r="D5131" t="str">
        <f t="shared" si="207"/>
        <v>270</v>
      </c>
    </row>
    <row r="5132" spans="1:4" x14ac:dyDescent="0.25">
      <c r="A5132" t="str">
        <f>"838942530"</f>
        <v>838942530</v>
      </c>
      <c r="B5132" t="s">
        <v>4840</v>
      </c>
      <c r="C5132">
        <v>32.92</v>
      </c>
      <c r="D5132" t="str">
        <f t="shared" si="207"/>
        <v>270</v>
      </c>
    </row>
    <row r="5133" spans="1:4" x14ac:dyDescent="0.25">
      <c r="A5133" t="str">
        <f>"838942531"</f>
        <v>838942531</v>
      </c>
      <c r="B5133" t="s">
        <v>4841</v>
      </c>
      <c r="C5133">
        <v>32.92</v>
      </c>
      <c r="D5133" t="str">
        <f t="shared" si="207"/>
        <v>270</v>
      </c>
    </row>
    <row r="5134" spans="1:4" x14ac:dyDescent="0.25">
      <c r="A5134" t="str">
        <f>"838942532"</f>
        <v>838942532</v>
      </c>
      <c r="B5134" t="s">
        <v>4842</v>
      </c>
      <c r="C5134">
        <v>22.4</v>
      </c>
      <c r="D5134" t="str">
        <f t="shared" si="207"/>
        <v>270</v>
      </c>
    </row>
    <row r="5135" spans="1:4" x14ac:dyDescent="0.25">
      <c r="A5135" t="str">
        <f>"838942533"</f>
        <v>838942533</v>
      </c>
      <c r="B5135" t="s">
        <v>4843</v>
      </c>
      <c r="C5135">
        <v>22.4</v>
      </c>
      <c r="D5135" t="str">
        <f t="shared" si="207"/>
        <v>270</v>
      </c>
    </row>
    <row r="5136" spans="1:4" x14ac:dyDescent="0.25">
      <c r="A5136" t="str">
        <f>"838942534"</f>
        <v>838942534</v>
      </c>
      <c r="B5136" t="s">
        <v>4844</v>
      </c>
      <c r="C5136">
        <v>23.88</v>
      </c>
      <c r="D5136" t="str">
        <f t="shared" si="207"/>
        <v>270</v>
      </c>
    </row>
    <row r="5137" spans="1:4" x14ac:dyDescent="0.25">
      <c r="A5137" t="str">
        <f>"838942535"</f>
        <v>838942535</v>
      </c>
      <c r="B5137" t="s">
        <v>4845</v>
      </c>
      <c r="C5137">
        <v>23.88</v>
      </c>
      <c r="D5137" t="str">
        <f t="shared" si="207"/>
        <v>270</v>
      </c>
    </row>
    <row r="5138" spans="1:4" x14ac:dyDescent="0.25">
      <c r="A5138" t="str">
        <f>"838942536"</f>
        <v>838942536</v>
      </c>
      <c r="B5138" t="s">
        <v>4846</v>
      </c>
      <c r="C5138">
        <v>21.74</v>
      </c>
      <c r="D5138" t="str">
        <f t="shared" si="207"/>
        <v>270</v>
      </c>
    </row>
    <row r="5139" spans="1:4" x14ac:dyDescent="0.25">
      <c r="A5139" t="str">
        <f>"838942537"</f>
        <v>838942537</v>
      </c>
      <c r="B5139" t="s">
        <v>4847</v>
      </c>
      <c r="C5139">
        <v>21.74</v>
      </c>
      <c r="D5139" t="str">
        <f t="shared" si="207"/>
        <v>270</v>
      </c>
    </row>
    <row r="5140" spans="1:4" x14ac:dyDescent="0.25">
      <c r="A5140" t="str">
        <f>"838942538"</f>
        <v>838942538</v>
      </c>
      <c r="B5140" t="s">
        <v>4848</v>
      </c>
      <c r="C5140">
        <v>21.95</v>
      </c>
      <c r="D5140" t="str">
        <f t="shared" si="207"/>
        <v>270</v>
      </c>
    </row>
    <row r="5141" spans="1:4" x14ac:dyDescent="0.25">
      <c r="A5141" t="str">
        <f>"838942539"</f>
        <v>838942539</v>
      </c>
      <c r="B5141" t="s">
        <v>4849</v>
      </c>
      <c r="C5141">
        <v>21.95</v>
      </c>
      <c r="D5141" t="str">
        <f t="shared" si="207"/>
        <v>270</v>
      </c>
    </row>
    <row r="5142" spans="1:4" x14ac:dyDescent="0.25">
      <c r="A5142" t="str">
        <f>"838942540"</f>
        <v>838942540</v>
      </c>
      <c r="B5142" t="s">
        <v>4850</v>
      </c>
      <c r="C5142">
        <v>22.22</v>
      </c>
      <c r="D5142" t="str">
        <f t="shared" si="207"/>
        <v>270</v>
      </c>
    </row>
    <row r="5143" spans="1:4" x14ac:dyDescent="0.25">
      <c r="A5143" t="str">
        <f>"838942541"</f>
        <v>838942541</v>
      </c>
      <c r="B5143" t="s">
        <v>4851</v>
      </c>
      <c r="C5143">
        <v>22.22</v>
      </c>
      <c r="D5143" t="str">
        <f t="shared" si="207"/>
        <v>270</v>
      </c>
    </row>
    <row r="5144" spans="1:4" x14ac:dyDescent="0.25">
      <c r="A5144" t="str">
        <f>"838942542"</f>
        <v>838942542</v>
      </c>
      <c r="B5144" t="s">
        <v>4852</v>
      </c>
      <c r="C5144">
        <v>21.74</v>
      </c>
      <c r="D5144" t="str">
        <f t="shared" si="207"/>
        <v>270</v>
      </c>
    </row>
    <row r="5145" spans="1:4" x14ac:dyDescent="0.25">
      <c r="A5145" t="str">
        <f>"838942543"</f>
        <v>838942543</v>
      </c>
      <c r="B5145" t="s">
        <v>4853</v>
      </c>
      <c r="C5145">
        <v>21.74</v>
      </c>
      <c r="D5145" t="str">
        <f t="shared" si="207"/>
        <v>270</v>
      </c>
    </row>
    <row r="5146" spans="1:4" x14ac:dyDescent="0.25">
      <c r="A5146" t="str">
        <f>"838942544"</f>
        <v>838942544</v>
      </c>
      <c r="B5146" t="s">
        <v>4854</v>
      </c>
      <c r="C5146">
        <v>21.95</v>
      </c>
      <c r="D5146" t="str">
        <f t="shared" si="207"/>
        <v>270</v>
      </c>
    </row>
    <row r="5147" spans="1:4" x14ac:dyDescent="0.25">
      <c r="A5147" t="str">
        <f>"838942545"</f>
        <v>838942545</v>
      </c>
      <c r="B5147" t="s">
        <v>4855</v>
      </c>
      <c r="C5147">
        <v>21.95</v>
      </c>
      <c r="D5147" t="str">
        <f t="shared" si="207"/>
        <v>270</v>
      </c>
    </row>
    <row r="5148" spans="1:4" x14ac:dyDescent="0.25">
      <c r="A5148" t="str">
        <f>"838942546"</f>
        <v>838942546</v>
      </c>
      <c r="B5148" t="s">
        <v>4856</v>
      </c>
      <c r="C5148">
        <v>22.22</v>
      </c>
      <c r="D5148" t="str">
        <f t="shared" si="207"/>
        <v>270</v>
      </c>
    </row>
    <row r="5149" spans="1:4" x14ac:dyDescent="0.25">
      <c r="A5149" t="str">
        <f>"838942547"</f>
        <v>838942547</v>
      </c>
      <c r="B5149" t="s">
        <v>4857</v>
      </c>
      <c r="C5149">
        <v>22.22</v>
      </c>
      <c r="D5149" t="str">
        <f t="shared" si="207"/>
        <v>270</v>
      </c>
    </row>
    <row r="5150" spans="1:4" x14ac:dyDescent="0.25">
      <c r="A5150" t="str">
        <f>"838942548"</f>
        <v>838942548</v>
      </c>
      <c r="B5150" t="s">
        <v>4858</v>
      </c>
      <c r="C5150">
        <v>22.4</v>
      </c>
      <c r="D5150" t="str">
        <f t="shared" si="207"/>
        <v>270</v>
      </c>
    </row>
    <row r="5151" spans="1:4" x14ac:dyDescent="0.25">
      <c r="A5151" t="str">
        <f>"838942549"</f>
        <v>838942549</v>
      </c>
      <c r="B5151" t="s">
        <v>4859</v>
      </c>
      <c r="C5151">
        <v>22.4</v>
      </c>
      <c r="D5151" t="str">
        <f t="shared" si="207"/>
        <v>270</v>
      </c>
    </row>
    <row r="5152" spans="1:4" x14ac:dyDescent="0.25">
      <c r="A5152" t="str">
        <f>"838942550"</f>
        <v>838942550</v>
      </c>
      <c r="B5152" t="s">
        <v>4860</v>
      </c>
      <c r="C5152">
        <v>21.6</v>
      </c>
      <c r="D5152" t="str">
        <f t="shared" si="207"/>
        <v>270</v>
      </c>
    </row>
    <row r="5153" spans="1:4" x14ac:dyDescent="0.25">
      <c r="A5153" t="str">
        <f>"838942551"</f>
        <v>838942551</v>
      </c>
      <c r="B5153" t="s">
        <v>4861</v>
      </c>
      <c r="C5153">
        <v>21.6</v>
      </c>
      <c r="D5153" t="str">
        <f t="shared" si="207"/>
        <v>270</v>
      </c>
    </row>
    <row r="5154" spans="1:4" x14ac:dyDescent="0.25">
      <c r="A5154" t="str">
        <f>"838942552"</f>
        <v>838942552</v>
      </c>
      <c r="B5154" t="s">
        <v>4862</v>
      </c>
      <c r="C5154">
        <v>21.74</v>
      </c>
      <c r="D5154" t="str">
        <f t="shared" si="207"/>
        <v>270</v>
      </c>
    </row>
    <row r="5155" spans="1:4" x14ac:dyDescent="0.25">
      <c r="A5155" t="str">
        <f>"838942553"</f>
        <v>838942553</v>
      </c>
      <c r="B5155" t="s">
        <v>4863</v>
      </c>
      <c r="C5155">
        <v>21.74</v>
      </c>
      <c r="D5155" t="str">
        <f t="shared" si="207"/>
        <v>270</v>
      </c>
    </row>
    <row r="5156" spans="1:4" x14ac:dyDescent="0.25">
      <c r="A5156" t="str">
        <f>"838942554"</f>
        <v>838942554</v>
      </c>
      <c r="B5156" t="s">
        <v>4864</v>
      </c>
      <c r="C5156">
        <v>21.95</v>
      </c>
      <c r="D5156" t="str">
        <f t="shared" si="207"/>
        <v>270</v>
      </c>
    </row>
    <row r="5157" spans="1:4" x14ac:dyDescent="0.25">
      <c r="A5157" t="str">
        <f>"838942555"</f>
        <v>838942555</v>
      </c>
      <c r="B5157" t="s">
        <v>4865</v>
      </c>
      <c r="C5157">
        <v>21.95</v>
      </c>
      <c r="D5157" t="str">
        <f t="shared" si="207"/>
        <v>270</v>
      </c>
    </row>
    <row r="5158" spans="1:4" x14ac:dyDescent="0.25">
      <c r="A5158" t="str">
        <f>"838942556"</f>
        <v>838942556</v>
      </c>
      <c r="B5158" t="s">
        <v>4866</v>
      </c>
      <c r="C5158">
        <v>31.05</v>
      </c>
      <c r="D5158" t="str">
        <f t="shared" si="207"/>
        <v>270</v>
      </c>
    </row>
    <row r="5159" spans="1:4" x14ac:dyDescent="0.25">
      <c r="A5159" t="str">
        <f>"838942557"</f>
        <v>838942557</v>
      </c>
      <c r="B5159" t="s">
        <v>4867</v>
      </c>
      <c r="C5159">
        <v>31.05</v>
      </c>
      <c r="D5159" t="str">
        <f t="shared" si="207"/>
        <v>270</v>
      </c>
    </row>
    <row r="5160" spans="1:4" x14ac:dyDescent="0.25">
      <c r="A5160" t="str">
        <f>"838942558"</f>
        <v>838942558</v>
      </c>
      <c r="B5160" t="s">
        <v>4868</v>
      </c>
      <c r="C5160">
        <v>32.64</v>
      </c>
      <c r="D5160" t="str">
        <f t="shared" si="207"/>
        <v>270</v>
      </c>
    </row>
    <row r="5161" spans="1:4" x14ac:dyDescent="0.25">
      <c r="A5161" t="str">
        <f>"838942559"</f>
        <v>838942559</v>
      </c>
      <c r="B5161" t="s">
        <v>4869</v>
      </c>
      <c r="C5161">
        <v>32.64</v>
      </c>
      <c r="D5161" t="str">
        <f t="shared" si="207"/>
        <v>270</v>
      </c>
    </row>
    <row r="5162" spans="1:4" x14ac:dyDescent="0.25">
      <c r="A5162" t="str">
        <f>"838942560"</f>
        <v>838942560</v>
      </c>
      <c r="B5162" t="s">
        <v>4870</v>
      </c>
      <c r="C5162">
        <v>96.13</v>
      </c>
      <c r="D5162" t="str">
        <f t="shared" si="207"/>
        <v>270</v>
      </c>
    </row>
    <row r="5163" spans="1:4" x14ac:dyDescent="0.25">
      <c r="A5163" t="str">
        <f>"838942561"</f>
        <v>838942561</v>
      </c>
      <c r="B5163" t="s">
        <v>4871</v>
      </c>
      <c r="C5163">
        <v>96.13</v>
      </c>
      <c r="D5163" t="str">
        <f t="shared" si="207"/>
        <v>270</v>
      </c>
    </row>
    <row r="5164" spans="1:4" x14ac:dyDescent="0.25">
      <c r="A5164" t="str">
        <f>"838942562"</f>
        <v>838942562</v>
      </c>
      <c r="B5164" t="s">
        <v>4872</v>
      </c>
      <c r="C5164">
        <v>112.2</v>
      </c>
      <c r="D5164" t="str">
        <f t="shared" si="207"/>
        <v>270</v>
      </c>
    </row>
    <row r="5165" spans="1:4" x14ac:dyDescent="0.25">
      <c r="A5165" t="str">
        <f>"838942563"</f>
        <v>838942563</v>
      </c>
      <c r="B5165" t="s">
        <v>4873</v>
      </c>
      <c r="C5165">
        <v>112.2</v>
      </c>
      <c r="D5165" t="str">
        <f t="shared" si="207"/>
        <v>270</v>
      </c>
    </row>
    <row r="5166" spans="1:4" x14ac:dyDescent="0.25">
      <c r="A5166" t="str">
        <f>"838942564"</f>
        <v>838942564</v>
      </c>
      <c r="B5166" t="s">
        <v>4874</v>
      </c>
      <c r="C5166">
        <v>109.15</v>
      </c>
      <c r="D5166" t="str">
        <f t="shared" si="207"/>
        <v>270</v>
      </c>
    </row>
    <row r="5167" spans="1:4" x14ac:dyDescent="0.25">
      <c r="A5167" t="str">
        <f>"838942565"</f>
        <v>838942565</v>
      </c>
      <c r="B5167" t="s">
        <v>4875</v>
      </c>
      <c r="C5167">
        <v>109.15</v>
      </c>
      <c r="D5167" t="str">
        <f t="shared" si="207"/>
        <v>270</v>
      </c>
    </row>
    <row r="5168" spans="1:4" x14ac:dyDescent="0.25">
      <c r="A5168" t="str">
        <f>"838942566"</f>
        <v>838942566</v>
      </c>
      <c r="B5168" t="s">
        <v>4876</v>
      </c>
      <c r="C5168">
        <v>112.2</v>
      </c>
      <c r="D5168" t="str">
        <f t="shared" si="207"/>
        <v>270</v>
      </c>
    </row>
    <row r="5169" spans="1:4" x14ac:dyDescent="0.25">
      <c r="A5169" t="str">
        <f>"838942567"</f>
        <v>838942567</v>
      </c>
      <c r="B5169" t="s">
        <v>4877</v>
      </c>
      <c r="C5169">
        <v>112.2</v>
      </c>
      <c r="D5169" t="str">
        <f t="shared" si="207"/>
        <v>270</v>
      </c>
    </row>
    <row r="5170" spans="1:4" x14ac:dyDescent="0.25">
      <c r="A5170" t="str">
        <f>"838942568"</f>
        <v>838942568</v>
      </c>
      <c r="B5170" t="s">
        <v>4878</v>
      </c>
      <c r="C5170">
        <v>185.64</v>
      </c>
      <c r="D5170" t="str">
        <f t="shared" si="207"/>
        <v>270</v>
      </c>
    </row>
    <row r="5171" spans="1:4" x14ac:dyDescent="0.25">
      <c r="A5171" t="str">
        <f>"838942569"</f>
        <v>838942569</v>
      </c>
      <c r="B5171" t="s">
        <v>4879</v>
      </c>
      <c r="C5171">
        <v>185.64</v>
      </c>
      <c r="D5171" t="str">
        <f t="shared" si="207"/>
        <v>270</v>
      </c>
    </row>
    <row r="5172" spans="1:4" x14ac:dyDescent="0.25">
      <c r="A5172" t="str">
        <f>"838942570"</f>
        <v>838942570</v>
      </c>
      <c r="B5172" t="s">
        <v>4880</v>
      </c>
      <c r="C5172">
        <v>141.24</v>
      </c>
      <c r="D5172" t="str">
        <f t="shared" si="207"/>
        <v>270</v>
      </c>
    </row>
    <row r="5173" spans="1:4" x14ac:dyDescent="0.25">
      <c r="A5173" t="str">
        <f>"838942571"</f>
        <v>838942571</v>
      </c>
      <c r="B5173" t="s">
        <v>4881</v>
      </c>
      <c r="C5173">
        <v>141.24</v>
      </c>
      <c r="D5173" t="str">
        <f t="shared" si="207"/>
        <v>270</v>
      </c>
    </row>
    <row r="5174" spans="1:4" x14ac:dyDescent="0.25">
      <c r="A5174" t="str">
        <f>"838942572"</f>
        <v>838942572</v>
      </c>
      <c r="B5174" t="s">
        <v>4882</v>
      </c>
      <c r="C5174">
        <v>76.37</v>
      </c>
      <c r="D5174" t="str">
        <f t="shared" si="207"/>
        <v>270</v>
      </c>
    </row>
    <row r="5175" spans="1:4" x14ac:dyDescent="0.25">
      <c r="A5175" t="str">
        <f>"838942573"</f>
        <v>838942573</v>
      </c>
      <c r="B5175" t="s">
        <v>4883</v>
      </c>
      <c r="C5175">
        <v>76.37</v>
      </c>
      <c r="D5175" t="str">
        <f t="shared" si="207"/>
        <v>270</v>
      </c>
    </row>
    <row r="5176" spans="1:4" x14ac:dyDescent="0.25">
      <c r="A5176" t="str">
        <f>"838942574"</f>
        <v>838942574</v>
      </c>
      <c r="B5176" t="s">
        <v>4884</v>
      </c>
      <c r="C5176">
        <v>76.37</v>
      </c>
      <c r="D5176" t="str">
        <f t="shared" si="207"/>
        <v>270</v>
      </c>
    </row>
    <row r="5177" spans="1:4" x14ac:dyDescent="0.25">
      <c r="A5177" t="str">
        <f>"838942575"</f>
        <v>838942575</v>
      </c>
      <c r="B5177" t="s">
        <v>4885</v>
      </c>
      <c r="C5177">
        <v>76.37</v>
      </c>
      <c r="D5177" t="str">
        <f t="shared" si="207"/>
        <v>270</v>
      </c>
    </row>
    <row r="5178" spans="1:4" x14ac:dyDescent="0.25">
      <c r="A5178" t="str">
        <f>"838942576"</f>
        <v>838942576</v>
      </c>
      <c r="B5178" t="s">
        <v>4886</v>
      </c>
      <c r="C5178">
        <v>82.25</v>
      </c>
      <c r="D5178" t="str">
        <f t="shared" si="207"/>
        <v>270</v>
      </c>
    </row>
    <row r="5179" spans="1:4" x14ac:dyDescent="0.25">
      <c r="A5179" t="str">
        <f>"838942577"</f>
        <v>838942577</v>
      </c>
      <c r="B5179" t="s">
        <v>4887</v>
      </c>
      <c r="C5179">
        <v>82.25</v>
      </c>
      <c r="D5179" t="str">
        <f t="shared" ref="D5179:D5242" si="208">"270"</f>
        <v>270</v>
      </c>
    </row>
    <row r="5180" spans="1:4" x14ac:dyDescent="0.25">
      <c r="A5180" t="str">
        <f>"838942578"</f>
        <v>838942578</v>
      </c>
      <c r="B5180" t="s">
        <v>4888</v>
      </c>
      <c r="C5180">
        <v>77</v>
      </c>
      <c r="D5180" t="str">
        <f t="shared" si="208"/>
        <v>270</v>
      </c>
    </row>
    <row r="5181" spans="1:4" x14ac:dyDescent="0.25">
      <c r="A5181" t="str">
        <f>"838942579"</f>
        <v>838942579</v>
      </c>
      <c r="B5181" t="s">
        <v>4889</v>
      </c>
      <c r="C5181">
        <v>77</v>
      </c>
      <c r="D5181" t="str">
        <f t="shared" si="208"/>
        <v>270</v>
      </c>
    </row>
    <row r="5182" spans="1:4" x14ac:dyDescent="0.25">
      <c r="A5182" t="str">
        <f>"838942580"</f>
        <v>838942580</v>
      </c>
      <c r="B5182" t="s">
        <v>4890</v>
      </c>
      <c r="C5182">
        <v>78.36</v>
      </c>
      <c r="D5182" t="str">
        <f t="shared" si="208"/>
        <v>270</v>
      </c>
    </row>
    <row r="5183" spans="1:4" x14ac:dyDescent="0.25">
      <c r="A5183" t="str">
        <f>"838942581"</f>
        <v>838942581</v>
      </c>
      <c r="B5183" t="s">
        <v>4891</v>
      </c>
      <c r="C5183">
        <v>78.36</v>
      </c>
      <c r="D5183" t="str">
        <f t="shared" si="208"/>
        <v>270</v>
      </c>
    </row>
    <row r="5184" spans="1:4" x14ac:dyDescent="0.25">
      <c r="A5184" t="str">
        <f>"838942582"</f>
        <v>838942582</v>
      </c>
      <c r="B5184" t="s">
        <v>4892</v>
      </c>
      <c r="C5184">
        <v>78.36</v>
      </c>
      <c r="D5184" t="str">
        <f t="shared" si="208"/>
        <v>270</v>
      </c>
    </row>
    <row r="5185" spans="1:4" x14ac:dyDescent="0.25">
      <c r="A5185" t="str">
        <f>"838942583"</f>
        <v>838942583</v>
      </c>
      <c r="B5185" t="s">
        <v>4893</v>
      </c>
      <c r="C5185">
        <v>78.36</v>
      </c>
      <c r="D5185" t="str">
        <f t="shared" si="208"/>
        <v>270</v>
      </c>
    </row>
    <row r="5186" spans="1:4" x14ac:dyDescent="0.25">
      <c r="A5186" t="str">
        <f>"838942584"</f>
        <v>838942584</v>
      </c>
      <c r="B5186" t="s">
        <v>4894</v>
      </c>
      <c r="C5186">
        <v>85.14</v>
      </c>
      <c r="D5186" t="str">
        <f t="shared" si="208"/>
        <v>270</v>
      </c>
    </row>
    <row r="5187" spans="1:4" x14ac:dyDescent="0.25">
      <c r="A5187" t="str">
        <f>"838942585"</f>
        <v>838942585</v>
      </c>
      <c r="B5187" t="s">
        <v>4895</v>
      </c>
      <c r="C5187">
        <v>85.14</v>
      </c>
      <c r="D5187" t="str">
        <f t="shared" si="208"/>
        <v>270</v>
      </c>
    </row>
    <row r="5188" spans="1:4" x14ac:dyDescent="0.25">
      <c r="A5188" t="str">
        <f>"838942586"</f>
        <v>838942586</v>
      </c>
      <c r="B5188" t="s">
        <v>4896</v>
      </c>
      <c r="C5188">
        <v>77</v>
      </c>
      <c r="D5188" t="str">
        <f t="shared" si="208"/>
        <v>270</v>
      </c>
    </row>
    <row r="5189" spans="1:4" x14ac:dyDescent="0.25">
      <c r="A5189" t="str">
        <f>"838942587"</f>
        <v>838942587</v>
      </c>
      <c r="B5189" t="s">
        <v>4897</v>
      </c>
      <c r="C5189">
        <v>77</v>
      </c>
      <c r="D5189" t="str">
        <f t="shared" si="208"/>
        <v>270</v>
      </c>
    </row>
    <row r="5190" spans="1:4" x14ac:dyDescent="0.25">
      <c r="A5190" t="str">
        <f>"838942588"</f>
        <v>838942588</v>
      </c>
      <c r="B5190" t="s">
        <v>4898</v>
      </c>
      <c r="C5190">
        <v>113.14</v>
      </c>
      <c r="D5190" t="str">
        <f t="shared" si="208"/>
        <v>270</v>
      </c>
    </row>
    <row r="5191" spans="1:4" x14ac:dyDescent="0.25">
      <c r="A5191" t="str">
        <f>"838942589"</f>
        <v>838942589</v>
      </c>
      <c r="B5191" t="s">
        <v>4899</v>
      </c>
      <c r="C5191">
        <v>113.14</v>
      </c>
      <c r="D5191" t="str">
        <f t="shared" si="208"/>
        <v>270</v>
      </c>
    </row>
    <row r="5192" spans="1:4" x14ac:dyDescent="0.25">
      <c r="A5192" t="str">
        <f>"838942590"</f>
        <v>838942590</v>
      </c>
      <c r="B5192" t="s">
        <v>4900</v>
      </c>
      <c r="C5192">
        <v>116.02</v>
      </c>
      <c r="D5192" t="str">
        <f t="shared" si="208"/>
        <v>270</v>
      </c>
    </row>
    <row r="5193" spans="1:4" x14ac:dyDescent="0.25">
      <c r="A5193" t="str">
        <f>"838942591"</f>
        <v>838942591</v>
      </c>
      <c r="B5193" t="s">
        <v>4901</v>
      </c>
      <c r="C5193">
        <v>116.02</v>
      </c>
      <c r="D5193" t="str">
        <f t="shared" si="208"/>
        <v>270</v>
      </c>
    </row>
    <row r="5194" spans="1:4" x14ac:dyDescent="0.25">
      <c r="A5194" t="str">
        <f>"838942592"</f>
        <v>838942592</v>
      </c>
      <c r="B5194" t="s">
        <v>4902</v>
      </c>
      <c r="C5194">
        <v>127.16</v>
      </c>
      <c r="D5194" t="str">
        <f t="shared" si="208"/>
        <v>270</v>
      </c>
    </row>
    <row r="5195" spans="1:4" x14ac:dyDescent="0.25">
      <c r="A5195" t="str">
        <f>"838942593"</f>
        <v>838942593</v>
      </c>
      <c r="B5195" t="s">
        <v>4903</v>
      </c>
      <c r="C5195">
        <v>127.16</v>
      </c>
      <c r="D5195" t="str">
        <f t="shared" si="208"/>
        <v>270</v>
      </c>
    </row>
    <row r="5196" spans="1:4" x14ac:dyDescent="0.25">
      <c r="A5196" t="str">
        <f>"838942594"</f>
        <v>838942594</v>
      </c>
      <c r="B5196" t="s">
        <v>4904</v>
      </c>
      <c r="C5196">
        <v>132.16999999999999</v>
      </c>
      <c r="D5196" t="str">
        <f t="shared" si="208"/>
        <v>270</v>
      </c>
    </row>
    <row r="5197" spans="1:4" x14ac:dyDescent="0.25">
      <c r="A5197" t="str">
        <f>"838942595"</f>
        <v>838942595</v>
      </c>
      <c r="B5197" t="s">
        <v>4905</v>
      </c>
      <c r="C5197">
        <v>132.16999999999999</v>
      </c>
      <c r="D5197" t="str">
        <f t="shared" si="208"/>
        <v>270</v>
      </c>
    </row>
    <row r="5198" spans="1:4" x14ac:dyDescent="0.25">
      <c r="A5198" t="str">
        <f>"838942596"</f>
        <v>838942596</v>
      </c>
      <c r="B5198" t="s">
        <v>4906</v>
      </c>
      <c r="C5198">
        <v>108.45</v>
      </c>
      <c r="D5198" t="str">
        <f t="shared" si="208"/>
        <v>270</v>
      </c>
    </row>
    <row r="5199" spans="1:4" x14ac:dyDescent="0.25">
      <c r="A5199" t="str">
        <f>"838942597"</f>
        <v>838942597</v>
      </c>
      <c r="B5199" t="s">
        <v>4907</v>
      </c>
      <c r="C5199">
        <v>108.45</v>
      </c>
      <c r="D5199" t="str">
        <f t="shared" si="208"/>
        <v>270</v>
      </c>
    </row>
    <row r="5200" spans="1:4" x14ac:dyDescent="0.25">
      <c r="A5200" t="str">
        <f>"838942598"</f>
        <v>838942598</v>
      </c>
      <c r="B5200" t="s">
        <v>4908</v>
      </c>
      <c r="C5200">
        <v>121.55</v>
      </c>
      <c r="D5200" t="str">
        <f t="shared" si="208"/>
        <v>270</v>
      </c>
    </row>
    <row r="5201" spans="1:4" x14ac:dyDescent="0.25">
      <c r="A5201" t="str">
        <f>"838942599"</f>
        <v>838942599</v>
      </c>
      <c r="B5201" t="s">
        <v>4909</v>
      </c>
      <c r="C5201">
        <v>121.55</v>
      </c>
      <c r="D5201" t="str">
        <f t="shared" si="208"/>
        <v>270</v>
      </c>
    </row>
    <row r="5202" spans="1:4" x14ac:dyDescent="0.25">
      <c r="A5202" t="str">
        <f>"838942600"</f>
        <v>838942600</v>
      </c>
      <c r="B5202" t="s">
        <v>4910</v>
      </c>
      <c r="C5202">
        <v>167.95</v>
      </c>
      <c r="D5202" t="str">
        <f t="shared" si="208"/>
        <v>270</v>
      </c>
    </row>
    <row r="5203" spans="1:4" x14ac:dyDescent="0.25">
      <c r="A5203" t="str">
        <f>"838942601"</f>
        <v>838942601</v>
      </c>
      <c r="B5203" t="s">
        <v>4911</v>
      </c>
      <c r="C5203">
        <v>167.95</v>
      </c>
      <c r="D5203" t="str">
        <f t="shared" si="208"/>
        <v>270</v>
      </c>
    </row>
    <row r="5204" spans="1:4" x14ac:dyDescent="0.25">
      <c r="A5204" t="str">
        <f>"838942602"</f>
        <v>838942602</v>
      </c>
      <c r="B5204" t="s">
        <v>4912</v>
      </c>
      <c r="C5204">
        <v>128.04</v>
      </c>
      <c r="D5204" t="str">
        <f t="shared" si="208"/>
        <v>270</v>
      </c>
    </row>
    <row r="5205" spans="1:4" x14ac:dyDescent="0.25">
      <c r="A5205" t="str">
        <f>"838942603"</f>
        <v>838942603</v>
      </c>
      <c r="B5205" t="s">
        <v>4913</v>
      </c>
      <c r="C5205">
        <v>128.04</v>
      </c>
      <c r="D5205" t="str">
        <f t="shared" si="208"/>
        <v>270</v>
      </c>
    </row>
    <row r="5206" spans="1:4" x14ac:dyDescent="0.25">
      <c r="A5206" t="str">
        <f>"838942604"</f>
        <v>838942604</v>
      </c>
      <c r="B5206" t="s">
        <v>4914</v>
      </c>
      <c r="C5206">
        <v>141.83000000000001</v>
      </c>
      <c r="D5206" t="str">
        <f t="shared" si="208"/>
        <v>270</v>
      </c>
    </row>
    <row r="5207" spans="1:4" x14ac:dyDescent="0.25">
      <c r="A5207" t="str">
        <f>"838942605"</f>
        <v>838942605</v>
      </c>
      <c r="B5207" t="s">
        <v>4915</v>
      </c>
      <c r="C5207">
        <v>141.83000000000001</v>
      </c>
      <c r="D5207" t="str">
        <f t="shared" si="208"/>
        <v>270</v>
      </c>
    </row>
    <row r="5208" spans="1:4" x14ac:dyDescent="0.25">
      <c r="A5208" t="str">
        <f>"838942606"</f>
        <v>838942606</v>
      </c>
      <c r="B5208" t="s">
        <v>4916</v>
      </c>
      <c r="C5208">
        <v>106.46</v>
      </c>
      <c r="D5208" t="str">
        <f t="shared" si="208"/>
        <v>270</v>
      </c>
    </row>
    <row r="5209" spans="1:4" x14ac:dyDescent="0.25">
      <c r="A5209" t="str">
        <f>"838942607"</f>
        <v>838942607</v>
      </c>
      <c r="B5209" t="s">
        <v>4917</v>
      </c>
      <c r="C5209">
        <v>106.46</v>
      </c>
      <c r="D5209" t="str">
        <f t="shared" si="208"/>
        <v>270</v>
      </c>
    </row>
    <row r="5210" spans="1:4" x14ac:dyDescent="0.25">
      <c r="A5210" t="str">
        <f>"838942608"</f>
        <v>838942608</v>
      </c>
      <c r="B5210" t="s">
        <v>4918</v>
      </c>
      <c r="C5210">
        <v>87.66</v>
      </c>
      <c r="D5210" t="str">
        <f t="shared" si="208"/>
        <v>270</v>
      </c>
    </row>
    <row r="5211" spans="1:4" x14ac:dyDescent="0.25">
      <c r="A5211" t="str">
        <f>"838942609"</f>
        <v>838942609</v>
      </c>
      <c r="B5211" t="s">
        <v>4919</v>
      </c>
      <c r="C5211">
        <v>87.66</v>
      </c>
      <c r="D5211" t="str">
        <f t="shared" si="208"/>
        <v>270</v>
      </c>
    </row>
    <row r="5212" spans="1:4" x14ac:dyDescent="0.25">
      <c r="A5212" t="str">
        <f>"838942610"</f>
        <v>838942610</v>
      </c>
      <c r="B5212" t="s">
        <v>4920</v>
      </c>
      <c r="C5212">
        <v>88.36</v>
      </c>
      <c r="D5212" t="str">
        <f t="shared" si="208"/>
        <v>270</v>
      </c>
    </row>
    <row r="5213" spans="1:4" x14ac:dyDescent="0.25">
      <c r="A5213" t="str">
        <f>"838942611"</f>
        <v>838942611</v>
      </c>
      <c r="B5213" t="s">
        <v>4921</v>
      </c>
      <c r="C5213">
        <v>88.36</v>
      </c>
      <c r="D5213" t="str">
        <f t="shared" si="208"/>
        <v>270</v>
      </c>
    </row>
    <row r="5214" spans="1:4" x14ac:dyDescent="0.25">
      <c r="A5214" t="str">
        <f>"838942612"</f>
        <v>838942612</v>
      </c>
      <c r="B5214" t="s">
        <v>4922</v>
      </c>
      <c r="C5214">
        <v>125.24</v>
      </c>
      <c r="D5214" t="str">
        <f t="shared" si="208"/>
        <v>270</v>
      </c>
    </row>
    <row r="5215" spans="1:4" x14ac:dyDescent="0.25">
      <c r="A5215" t="str">
        <f>"838942613"</f>
        <v>838942613</v>
      </c>
      <c r="B5215" t="s">
        <v>4923</v>
      </c>
      <c r="C5215">
        <v>125.24</v>
      </c>
      <c r="D5215" t="str">
        <f t="shared" si="208"/>
        <v>270</v>
      </c>
    </row>
    <row r="5216" spans="1:4" x14ac:dyDescent="0.25">
      <c r="A5216" t="str">
        <f>"838942614"</f>
        <v>838942614</v>
      </c>
      <c r="B5216" t="s">
        <v>4924</v>
      </c>
      <c r="C5216">
        <v>124.77</v>
      </c>
      <c r="D5216" t="str">
        <f t="shared" si="208"/>
        <v>270</v>
      </c>
    </row>
    <row r="5217" spans="1:4" x14ac:dyDescent="0.25">
      <c r="A5217" t="str">
        <f>"838942615"</f>
        <v>838942615</v>
      </c>
      <c r="B5217" t="s">
        <v>4925</v>
      </c>
      <c r="C5217">
        <v>124.77</v>
      </c>
      <c r="D5217" t="str">
        <f t="shared" si="208"/>
        <v>270</v>
      </c>
    </row>
    <row r="5218" spans="1:4" x14ac:dyDescent="0.25">
      <c r="A5218" t="str">
        <f>"838942616"</f>
        <v>838942616</v>
      </c>
      <c r="B5218" t="s">
        <v>4926</v>
      </c>
      <c r="C5218">
        <v>90.34</v>
      </c>
      <c r="D5218" t="str">
        <f t="shared" si="208"/>
        <v>270</v>
      </c>
    </row>
    <row r="5219" spans="1:4" x14ac:dyDescent="0.25">
      <c r="A5219" t="str">
        <f>"838942617"</f>
        <v>838942617</v>
      </c>
      <c r="B5219" t="s">
        <v>4927</v>
      </c>
      <c r="C5219">
        <v>90.34</v>
      </c>
      <c r="D5219" t="str">
        <f t="shared" si="208"/>
        <v>270</v>
      </c>
    </row>
    <row r="5220" spans="1:4" x14ac:dyDescent="0.25">
      <c r="A5220" t="str">
        <f>"838942618"</f>
        <v>838942618</v>
      </c>
      <c r="B5220" t="s">
        <v>4928</v>
      </c>
      <c r="C5220">
        <v>96.6</v>
      </c>
      <c r="D5220" t="str">
        <f t="shared" si="208"/>
        <v>270</v>
      </c>
    </row>
    <row r="5221" spans="1:4" x14ac:dyDescent="0.25">
      <c r="A5221" t="str">
        <f>"838942619"</f>
        <v>838942619</v>
      </c>
      <c r="B5221" t="s">
        <v>4929</v>
      </c>
      <c r="C5221">
        <v>96.6</v>
      </c>
      <c r="D5221" t="str">
        <f t="shared" si="208"/>
        <v>270</v>
      </c>
    </row>
    <row r="5222" spans="1:4" x14ac:dyDescent="0.25">
      <c r="A5222" t="str">
        <f>"838942620"</f>
        <v>838942620</v>
      </c>
      <c r="B5222" t="s">
        <v>4930</v>
      </c>
      <c r="C5222">
        <v>32.74</v>
      </c>
      <c r="D5222" t="str">
        <f t="shared" si="208"/>
        <v>270</v>
      </c>
    </row>
    <row r="5223" spans="1:4" x14ac:dyDescent="0.25">
      <c r="A5223" t="str">
        <f>"838942621"</f>
        <v>838942621</v>
      </c>
      <c r="B5223" t="s">
        <v>4931</v>
      </c>
      <c r="C5223">
        <v>32.74</v>
      </c>
      <c r="D5223" t="str">
        <f t="shared" si="208"/>
        <v>270</v>
      </c>
    </row>
    <row r="5224" spans="1:4" x14ac:dyDescent="0.25">
      <c r="A5224" t="str">
        <f>"838942622"</f>
        <v>838942622</v>
      </c>
      <c r="B5224" t="s">
        <v>4932</v>
      </c>
      <c r="C5224">
        <v>32.74</v>
      </c>
      <c r="D5224" t="str">
        <f t="shared" si="208"/>
        <v>270</v>
      </c>
    </row>
    <row r="5225" spans="1:4" x14ac:dyDescent="0.25">
      <c r="A5225" t="str">
        <f>"838942623"</f>
        <v>838942623</v>
      </c>
      <c r="B5225" t="s">
        <v>4933</v>
      </c>
      <c r="C5225">
        <v>32.74</v>
      </c>
      <c r="D5225" t="str">
        <f t="shared" si="208"/>
        <v>270</v>
      </c>
    </row>
    <row r="5226" spans="1:4" x14ac:dyDescent="0.25">
      <c r="A5226" t="str">
        <f>"838942624"</f>
        <v>838942624</v>
      </c>
      <c r="B5226" t="s">
        <v>4934</v>
      </c>
      <c r="C5226">
        <v>32.43</v>
      </c>
      <c r="D5226" t="str">
        <f t="shared" si="208"/>
        <v>270</v>
      </c>
    </row>
    <row r="5227" spans="1:4" x14ac:dyDescent="0.25">
      <c r="A5227" t="str">
        <f>"838942625"</f>
        <v>838942625</v>
      </c>
      <c r="B5227" t="s">
        <v>4935</v>
      </c>
      <c r="C5227">
        <v>32.43</v>
      </c>
      <c r="D5227" t="str">
        <f t="shared" si="208"/>
        <v>270</v>
      </c>
    </row>
    <row r="5228" spans="1:4" x14ac:dyDescent="0.25">
      <c r="A5228" t="str">
        <f>"838942626"</f>
        <v>838942626</v>
      </c>
      <c r="B5228" t="s">
        <v>4936</v>
      </c>
      <c r="C5228">
        <v>32.68</v>
      </c>
      <c r="D5228" t="str">
        <f t="shared" si="208"/>
        <v>270</v>
      </c>
    </row>
    <row r="5229" spans="1:4" x14ac:dyDescent="0.25">
      <c r="A5229" t="str">
        <f>"838942627"</f>
        <v>838942627</v>
      </c>
      <c r="B5229" t="s">
        <v>4937</v>
      </c>
      <c r="C5229">
        <v>32.68</v>
      </c>
      <c r="D5229" t="str">
        <f t="shared" si="208"/>
        <v>270</v>
      </c>
    </row>
    <row r="5230" spans="1:4" x14ac:dyDescent="0.25">
      <c r="A5230" t="str">
        <f>"838942628"</f>
        <v>838942628</v>
      </c>
      <c r="B5230" t="s">
        <v>4938</v>
      </c>
      <c r="C5230">
        <v>34.31</v>
      </c>
      <c r="D5230" t="str">
        <f t="shared" si="208"/>
        <v>270</v>
      </c>
    </row>
    <row r="5231" spans="1:4" x14ac:dyDescent="0.25">
      <c r="A5231" t="str">
        <f>"838942629"</f>
        <v>838942629</v>
      </c>
      <c r="B5231" t="s">
        <v>4939</v>
      </c>
      <c r="C5231">
        <v>34.31</v>
      </c>
      <c r="D5231" t="str">
        <f t="shared" si="208"/>
        <v>270</v>
      </c>
    </row>
    <row r="5232" spans="1:4" x14ac:dyDescent="0.25">
      <c r="A5232" t="str">
        <f>"838942630"</f>
        <v>838942630</v>
      </c>
      <c r="B5232" t="s">
        <v>4940</v>
      </c>
      <c r="C5232">
        <v>413.49</v>
      </c>
      <c r="D5232" t="str">
        <f t="shared" si="208"/>
        <v>270</v>
      </c>
    </row>
    <row r="5233" spans="1:4" x14ac:dyDescent="0.25">
      <c r="A5233" t="str">
        <f>"838942631"</f>
        <v>838942631</v>
      </c>
      <c r="B5233" t="s">
        <v>4941</v>
      </c>
      <c r="C5233">
        <v>413.49</v>
      </c>
      <c r="D5233" t="str">
        <f t="shared" si="208"/>
        <v>270</v>
      </c>
    </row>
    <row r="5234" spans="1:4" x14ac:dyDescent="0.25">
      <c r="A5234" t="str">
        <f>"838942632"</f>
        <v>838942632</v>
      </c>
      <c r="B5234" t="s">
        <v>4942</v>
      </c>
      <c r="C5234">
        <v>33.21</v>
      </c>
      <c r="D5234" t="str">
        <f t="shared" si="208"/>
        <v>270</v>
      </c>
    </row>
    <row r="5235" spans="1:4" x14ac:dyDescent="0.25">
      <c r="A5235" t="str">
        <f>"838942633"</f>
        <v>838942633</v>
      </c>
      <c r="B5235" t="s">
        <v>4943</v>
      </c>
      <c r="C5235">
        <v>33.21</v>
      </c>
      <c r="D5235" t="str">
        <f t="shared" si="208"/>
        <v>270</v>
      </c>
    </row>
    <row r="5236" spans="1:4" x14ac:dyDescent="0.25">
      <c r="A5236" t="str">
        <f>"838942634"</f>
        <v>838942634</v>
      </c>
      <c r="B5236" t="s">
        <v>4944</v>
      </c>
      <c r="C5236">
        <v>33.14</v>
      </c>
      <c r="D5236" t="str">
        <f t="shared" si="208"/>
        <v>270</v>
      </c>
    </row>
    <row r="5237" spans="1:4" x14ac:dyDescent="0.25">
      <c r="A5237" t="str">
        <f>"838942635"</f>
        <v>838942635</v>
      </c>
      <c r="B5237" t="s">
        <v>4945</v>
      </c>
      <c r="C5237">
        <v>33.14</v>
      </c>
      <c r="D5237" t="str">
        <f t="shared" si="208"/>
        <v>270</v>
      </c>
    </row>
    <row r="5238" spans="1:4" x14ac:dyDescent="0.25">
      <c r="A5238" t="str">
        <f>"838942636"</f>
        <v>838942636</v>
      </c>
      <c r="B5238" t="s">
        <v>4946</v>
      </c>
      <c r="C5238">
        <v>38.909999999999997</v>
      </c>
      <c r="D5238" t="str">
        <f t="shared" si="208"/>
        <v>270</v>
      </c>
    </row>
    <row r="5239" spans="1:4" x14ac:dyDescent="0.25">
      <c r="A5239" t="str">
        <f>"838942637"</f>
        <v>838942637</v>
      </c>
      <c r="B5239" t="s">
        <v>4947</v>
      </c>
      <c r="C5239">
        <v>38.909999999999997</v>
      </c>
      <c r="D5239" t="str">
        <f t="shared" si="208"/>
        <v>270</v>
      </c>
    </row>
    <row r="5240" spans="1:4" x14ac:dyDescent="0.25">
      <c r="A5240" t="str">
        <f>"838942638"</f>
        <v>838942638</v>
      </c>
      <c r="B5240" t="s">
        <v>4948</v>
      </c>
      <c r="C5240">
        <v>38.4</v>
      </c>
      <c r="D5240" t="str">
        <f t="shared" si="208"/>
        <v>270</v>
      </c>
    </row>
    <row r="5241" spans="1:4" x14ac:dyDescent="0.25">
      <c r="A5241" t="str">
        <f>"838942639"</f>
        <v>838942639</v>
      </c>
      <c r="B5241" t="s">
        <v>4949</v>
      </c>
      <c r="C5241">
        <v>38.4</v>
      </c>
      <c r="D5241" t="str">
        <f t="shared" si="208"/>
        <v>270</v>
      </c>
    </row>
    <row r="5242" spans="1:4" x14ac:dyDescent="0.25">
      <c r="A5242" t="str">
        <f>"838942640"</f>
        <v>838942640</v>
      </c>
      <c r="B5242" t="s">
        <v>4950</v>
      </c>
      <c r="C5242">
        <v>1.1000000000000001</v>
      </c>
      <c r="D5242" t="str">
        <f t="shared" si="208"/>
        <v>270</v>
      </c>
    </row>
    <row r="5243" spans="1:4" x14ac:dyDescent="0.25">
      <c r="A5243" t="str">
        <f>"838942641"</f>
        <v>838942641</v>
      </c>
      <c r="B5243" t="s">
        <v>4951</v>
      </c>
      <c r="C5243">
        <v>1.1000000000000001</v>
      </c>
      <c r="D5243" t="str">
        <f t="shared" ref="D5243:D5306" si="209">"270"</f>
        <v>270</v>
      </c>
    </row>
    <row r="5244" spans="1:4" x14ac:dyDescent="0.25">
      <c r="A5244" t="str">
        <f>"838942642"</f>
        <v>838942642</v>
      </c>
      <c r="B5244" t="s">
        <v>4952</v>
      </c>
      <c r="C5244">
        <v>95.56</v>
      </c>
      <c r="D5244" t="str">
        <f t="shared" si="209"/>
        <v>270</v>
      </c>
    </row>
    <row r="5245" spans="1:4" x14ac:dyDescent="0.25">
      <c r="A5245" t="str">
        <f>"838942643"</f>
        <v>838942643</v>
      </c>
      <c r="B5245" t="s">
        <v>4953</v>
      </c>
      <c r="C5245">
        <v>95.56</v>
      </c>
      <c r="D5245" t="str">
        <f t="shared" si="209"/>
        <v>270</v>
      </c>
    </row>
    <row r="5246" spans="1:4" x14ac:dyDescent="0.25">
      <c r="A5246" t="str">
        <f>"838942644"</f>
        <v>838942644</v>
      </c>
      <c r="B5246" t="s">
        <v>4954</v>
      </c>
      <c r="C5246">
        <v>95.56</v>
      </c>
      <c r="D5246" t="str">
        <f t="shared" si="209"/>
        <v>270</v>
      </c>
    </row>
    <row r="5247" spans="1:4" x14ac:dyDescent="0.25">
      <c r="A5247" t="str">
        <f>"838942645"</f>
        <v>838942645</v>
      </c>
      <c r="B5247" t="s">
        <v>4955</v>
      </c>
      <c r="C5247">
        <v>95.56</v>
      </c>
      <c r="D5247" t="str">
        <f t="shared" si="209"/>
        <v>270</v>
      </c>
    </row>
    <row r="5248" spans="1:4" x14ac:dyDescent="0.25">
      <c r="A5248" t="str">
        <f>"838942646"</f>
        <v>838942646</v>
      </c>
      <c r="B5248" t="s">
        <v>4956</v>
      </c>
      <c r="C5248">
        <v>86.6</v>
      </c>
      <c r="D5248" t="str">
        <f t="shared" si="209"/>
        <v>270</v>
      </c>
    </row>
    <row r="5249" spans="1:4" x14ac:dyDescent="0.25">
      <c r="A5249" t="str">
        <f>"838942647"</f>
        <v>838942647</v>
      </c>
      <c r="B5249" t="s">
        <v>4957</v>
      </c>
      <c r="C5249">
        <v>86.6</v>
      </c>
      <c r="D5249" t="str">
        <f t="shared" si="209"/>
        <v>270</v>
      </c>
    </row>
    <row r="5250" spans="1:4" x14ac:dyDescent="0.25">
      <c r="A5250" t="str">
        <f>"838942648"</f>
        <v>838942648</v>
      </c>
      <c r="B5250" t="s">
        <v>4958</v>
      </c>
      <c r="C5250">
        <v>95.07</v>
      </c>
      <c r="D5250" t="str">
        <f t="shared" si="209"/>
        <v>270</v>
      </c>
    </row>
    <row r="5251" spans="1:4" x14ac:dyDescent="0.25">
      <c r="A5251" t="str">
        <f>"838942649"</f>
        <v>838942649</v>
      </c>
      <c r="B5251" t="s">
        <v>4959</v>
      </c>
      <c r="C5251">
        <v>95.07</v>
      </c>
      <c r="D5251" t="str">
        <f t="shared" si="209"/>
        <v>270</v>
      </c>
    </row>
    <row r="5252" spans="1:4" x14ac:dyDescent="0.25">
      <c r="A5252" t="str">
        <f>"838942650"</f>
        <v>838942650</v>
      </c>
      <c r="B5252" t="s">
        <v>4960</v>
      </c>
      <c r="C5252">
        <v>92.36</v>
      </c>
      <c r="D5252" t="str">
        <f t="shared" si="209"/>
        <v>270</v>
      </c>
    </row>
    <row r="5253" spans="1:4" x14ac:dyDescent="0.25">
      <c r="A5253" t="str">
        <f>"838942651"</f>
        <v>838942651</v>
      </c>
      <c r="B5253" t="s">
        <v>4961</v>
      </c>
      <c r="C5253">
        <v>92.36</v>
      </c>
      <c r="D5253" t="str">
        <f t="shared" si="209"/>
        <v>270</v>
      </c>
    </row>
    <row r="5254" spans="1:4" x14ac:dyDescent="0.25">
      <c r="A5254" t="str">
        <f>"838942652"</f>
        <v>838942652</v>
      </c>
      <c r="B5254" t="s">
        <v>4962</v>
      </c>
      <c r="C5254">
        <v>33.47</v>
      </c>
      <c r="D5254" t="str">
        <f t="shared" si="209"/>
        <v>270</v>
      </c>
    </row>
    <row r="5255" spans="1:4" x14ac:dyDescent="0.25">
      <c r="A5255" t="str">
        <f>"838942653"</f>
        <v>838942653</v>
      </c>
      <c r="B5255" t="s">
        <v>4963</v>
      </c>
      <c r="C5255">
        <v>33.47</v>
      </c>
      <c r="D5255" t="str">
        <f t="shared" si="209"/>
        <v>270</v>
      </c>
    </row>
    <row r="5256" spans="1:4" x14ac:dyDescent="0.25">
      <c r="A5256" t="str">
        <f>"838942654"</f>
        <v>838942654</v>
      </c>
      <c r="B5256" t="s">
        <v>4964</v>
      </c>
      <c r="C5256">
        <v>401.72</v>
      </c>
      <c r="D5256" t="str">
        <f t="shared" si="209"/>
        <v>270</v>
      </c>
    </row>
    <row r="5257" spans="1:4" x14ac:dyDescent="0.25">
      <c r="A5257" t="str">
        <f>"838942655"</f>
        <v>838942655</v>
      </c>
      <c r="B5257" t="s">
        <v>4965</v>
      </c>
      <c r="C5257">
        <v>401.72</v>
      </c>
      <c r="D5257" t="str">
        <f t="shared" si="209"/>
        <v>270</v>
      </c>
    </row>
    <row r="5258" spans="1:4" x14ac:dyDescent="0.25">
      <c r="A5258" t="str">
        <f>"838942656"</f>
        <v>838942656</v>
      </c>
      <c r="B5258" t="s">
        <v>4966</v>
      </c>
      <c r="C5258">
        <v>85.7</v>
      </c>
      <c r="D5258" t="str">
        <f t="shared" si="209"/>
        <v>270</v>
      </c>
    </row>
    <row r="5259" spans="1:4" x14ac:dyDescent="0.25">
      <c r="A5259" t="str">
        <f>"838942657"</f>
        <v>838942657</v>
      </c>
      <c r="B5259" t="s">
        <v>4967</v>
      </c>
      <c r="C5259">
        <v>85.7</v>
      </c>
      <c r="D5259" t="str">
        <f t="shared" si="209"/>
        <v>270</v>
      </c>
    </row>
    <row r="5260" spans="1:4" x14ac:dyDescent="0.25">
      <c r="A5260" t="str">
        <f>"838942658"</f>
        <v>838942658</v>
      </c>
      <c r="B5260" t="s">
        <v>4968</v>
      </c>
      <c r="C5260">
        <v>87.13</v>
      </c>
      <c r="D5260" t="str">
        <f t="shared" si="209"/>
        <v>270</v>
      </c>
    </row>
    <row r="5261" spans="1:4" x14ac:dyDescent="0.25">
      <c r="A5261" t="str">
        <f>"838942659"</f>
        <v>838942659</v>
      </c>
      <c r="B5261" t="s">
        <v>4969</v>
      </c>
      <c r="C5261">
        <v>87.13</v>
      </c>
      <c r="D5261" t="str">
        <f t="shared" si="209"/>
        <v>270</v>
      </c>
    </row>
    <row r="5262" spans="1:4" x14ac:dyDescent="0.25">
      <c r="A5262" t="str">
        <f>"838942660"</f>
        <v>838942660</v>
      </c>
      <c r="B5262" t="s">
        <v>4970</v>
      </c>
      <c r="C5262">
        <v>86.59</v>
      </c>
      <c r="D5262" t="str">
        <f t="shared" si="209"/>
        <v>270</v>
      </c>
    </row>
    <row r="5263" spans="1:4" x14ac:dyDescent="0.25">
      <c r="A5263" t="str">
        <f>"838942661"</f>
        <v>838942661</v>
      </c>
      <c r="B5263" t="s">
        <v>4971</v>
      </c>
      <c r="C5263">
        <v>86.59</v>
      </c>
      <c r="D5263" t="str">
        <f t="shared" si="209"/>
        <v>270</v>
      </c>
    </row>
    <row r="5264" spans="1:4" x14ac:dyDescent="0.25">
      <c r="A5264" t="str">
        <f>"838942662"</f>
        <v>838942662</v>
      </c>
      <c r="B5264" t="s">
        <v>4972</v>
      </c>
      <c r="C5264" s="1">
        <v>1039.17</v>
      </c>
      <c r="D5264" t="str">
        <f t="shared" si="209"/>
        <v>270</v>
      </c>
    </row>
    <row r="5265" spans="1:4" x14ac:dyDescent="0.25">
      <c r="A5265" t="str">
        <f>"838942663"</f>
        <v>838942663</v>
      </c>
      <c r="B5265" t="s">
        <v>4973</v>
      </c>
      <c r="C5265" s="1">
        <v>1039.17</v>
      </c>
      <c r="D5265" t="str">
        <f t="shared" si="209"/>
        <v>270</v>
      </c>
    </row>
    <row r="5266" spans="1:4" x14ac:dyDescent="0.25">
      <c r="A5266" t="str">
        <f>"838942664"</f>
        <v>838942664</v>
      </c>
      <c r="B5266" t="s">
        <v>4974</v>
      </c>
      <c r="C5266">
        <v>1.1000000000000001</v>
      </c>
      <c r="D5266" t="str">
        <f t="shared" si="209"/>
        <v>270</v>
      </c>
    </row>
    <row r="5267" spans="1:4" x14ac:dyDescent="0.25">
      <c r="A5267" t="str">
        <f>"838942665"</f>
        <v>838942665</v>
      </c>
      <c r="B5267" t="s">
        <v>4975</v>
      </c>
      <c r="C5267">
        <v>1.1000000000000001</v>
      </c>
      <c r="D5267" t="str">
        <f t="shared" si="209"/>
        <v>270</v>
      </c>
    </row>
    <row r="5268" spans="1:4" x14ac:dyDescent="0.25">
      <c r="A5268" t="str">
        <f>"838942666"</f>
        <v>838942666</v>
      </c>
      <c r="B5268" t="s">
        <v>4976</v>
      </c>
      <c r="C5268">
        <v>32.25</v>
      </c>
      <c r="D5268" t="str">
        <f t="shared" si="209"/>
        <v>270</v>
      </c>
    </row>
    <row r="5269" spans="1:4" x14ac:dyDescent="0.25">
      <c r="A5269" t="str">
        <f>"838942667"</f>
        <v>838942667</v>
      </c>
      <c r="B5269" t="s">
        <v>4977</v>
      </c>
      <c r="C5269">
        <v>32.25</v>
      </c>
      <c r="D5269" t="str">
        <f t="shared" si="209"/>
        <v>270</v>
      </c>
    </row>
    <row r="5270" spans="1:4" x14ac:dyDescent="0.25">
      <c r="A5270" t="str">
        <f>"838942668"</f>
        <v>838942668</v>
      </c>
      <c r="B5270" t="s">
        <v>4978</v>
      </c>
      <c r="C5270">
        <v>92.36</v>
      </c>
      <c r="D5270" t="str">
        <f t="shared" si="209"/>
        <v>270</v>
      </c>
    </row>
    <row r="5271" spans="1:4" x14ac:dyDescent="0.25">
      <c r="A5271" t="str">
        <f>"838942669"</f>
        <v>838942669</v>
      </c>
      <c r="B5271" t="s">
        <v>4979</v>
      </c>
      <c r="C5271">
        <v>92.36</v>
      </c>
      <c r="D5271" t="str">
        <f t="shared" si="209"/>
        <v>270</v>
      </c>
    </row>
    <row r="5272" spans="1:4" x14ac:dyDescent="0.25">
      <c r="A5272" t="str">
        <f>"838942670"</f>
        <v>838942670</v>
      </c>
      <c r="B5272" t="s">
        <v>4980</v>
      </c>
      <c r="C5272">
        <v>43.25</v>
      </c>
      <c r="D5272" t="str">
        <f t="shared" si="209"/>
        <v>270</v>
      </c>
    </row>
    <row r="5273" spans="1:4" x14ac:dyDescent="0.25">
      <c r="A5273" t="str">
        <f>"838942671"</f>
        <v>838942671</v>
      </c>
      <c r="B5273" t="s">
        <v>4981</v>
      </c>
      <c r="C5273">
        <v>43.25</v>
      </c>
      <c r="D5273" t="str">
        <f t="shared" si="209"/>
        <v>270</v>
      </c>
    </row>
    <row r="5274" spans="1:4" x14ac:dyDescent="0.25">
      <c r="A5274" t="str">
        <f>"838942672"</f>
        <v>838942672</v>
      </c>
      <c r="B5274" t="s">
        <v>4982</v>
      </c>
      <c r="C5274">
        <v>92.36</v>
      </c>
      <c r="D5274" t="str">
        <f t="shared" si="209"/>
        <v>270</v>
      </c>
    </row>
    <row r="5275" spans="1:4" x14ac:dyDescent="0.25">
      <c r="A5275" t="str">
        <f>"838942673"</f>
        <v>838942673</v>
      </c>
      <c r="B5275" t="s">
        <v>4983</v>
      </c>
      <c r="C5275">
        <v>92.36</v>
      </c>
      <c r="D5275" t="str">
        <f t="shared" si="209"/>
        <v>270</v>
      </c>
    </row>
    <row r="5276" spans="1:4" x14ac:dyDescent="0.25">
      <c r="A5276" t="str">
        <f>"838942674"</f>
        <v>838942674</v>
      </c>
      <c r="B5276" t="s">
        <v>4984</v>
      </c>
      <c r="C5276">
        <v>90.22</v>
      </c>
      <c r="D5276" t="str">
        <f t="shared" si="209"/>
        <v>270</v>
      </c>
    </row>
    <row r="5277" spans="1:4" x14ac:dyDescent="0.25">
      <c r="A5277" t="str">
        <f>"838942675"</f>
        <v>838942675</v>
      </c>
      <c r="B5277" t="s">
        <v>4985</v>
      </c>
      <c r="C5277">
        <v>90.22</v>
      </c>
      <c r="D5277" t="str">
        <f t="shared" si="209"/>
        <v>270</v>
      </c>
    </row>
    <row r="5278" spans="1:4" x14ac:dyDescent="0.25">
      <c r="A5278" t="str">
        <f>"838942676"</f>
        <v>838942676</v>
      </c>
      <c r="B5278" t="s">
        <v>4986</v>
      </c>
      <c r="C5278">
        <v>40.19</v>
      </c>
      <c r="D5278" t="str">
        <f t="shared" si="209"/>
        <v>270</v>
      </c>
    </row>
    <row r="5279" spans="1:4" x14ac:dyDescent="0.25">
      <c r="A5279" t="str">
        <f>"838942677"</f>
        <v>838942677</v>
      </c>
      <c r="B5279" t="s">
        <v>4987</v>
      </c>
      <c r="C5279">
        <v>40.19</v>
      </c>
      <c r="D5279" t="str">
        <f t="shared" si="209"/>
        <v>270</v>
      </c>
    </row>
    <row r="5280" spans="1:4" x14ac:dyDescent="0.25">
      <c r="A5280" t="str">
        <f>"838942678"</f>
        <v>838942678</v>
      </c>
      <c r="B5280" t="s">
        <v>4988</v>
      </c>
      <c r="C5280">
        <v>43.57</v>
      </c>
      <c r="D5280" t="str">
        <f t="shared" si="209"/>
        <v>270</v>
      </c>
    </row>
    <row r="5281" spans="1:4" x14ac:dyDescent="0.25">
      <c r="A5281" t="str">
        <f>"838942679"</f>
        <v>838942679</v>
      </c>
      <c r="B5281" t="s">
        <v>4989</v>
      </c>
      <c r="C5281">
        <v>43.57</v>
      </c>
      <c r="D5281" t="str">
        <f t="shared" si="209"/>
        <v>270</v>
      </c>
    </row>
    <row r="5282" spans="1:4" x14ac:dyDescent="0.25">
      <c r="A5282" t="str">
        <f>"838942680"</f>
        <v>838942680</v>
      </c>
      <c r="B5282" t="s">
        <v>4990</v>
      </c>
      <c r="C5282">
        <v>43.47</v>
      </c>
      <c r="D5282" t="str">
        <f t="shared" si="209"/>
        <v>270</v>
      </c>
    </row>
    <row r="5283" spans="1:4" x14ac:dyDescent="0.25">
      <c r="A5283" t="str">
        <f>"838942681"</f>
        <v>838942681</v>
      </c>
      <c r="B5283" t="s">
        <v>4991</v>
      </c>
      <c r="C5283">
        <v>43.47</v>
      </c>
      <c r="D5283" t="str">
        <f t="shared" si="209"/>
        <v>270</v>
      </c>
    </row>
    <row r="5284" spans="1:4" x14ac:dyDescent="0.25">
      <c r="A5284" t="str">
        <f>"838942682"</f>
        <v>838942682</v>
      </c>
      <c r="B5284" t="s">
        <v>4992</v>
      </c>
      <c r="C5284">
        <v>35.85</v>
      </c>
      <c r="D5284" t="str">
        <f t="shared" si="209"/>
        <v>270</v>
      </c>
    </row>
    <row r="5285" spans="1:4" x14ac:dyDescent="0.25">
      <c r="A5285" t="str">
        <f>"838942683"</f>
        <v>838942683</v>
      </c>
      <c r="B5285" t="s">
        <v>4993</v>
      </c>
      <c r="C5285">
        <v>35.85</v>
      </c>
      <c r="D5285" t="str">
        <f t="shared" si="209"/>
        <v>270</v>
      </c>
    </row>
    <row r="5286" spans="1:4" x14ac:dyDescent="0.25">
      <c r="A5286" t="str">
        <f>"838942684"</f>
        <v>838942684</v>
      </c>
      <c r="B5286" t="s">
        <v>4994</v>
      </c>
      <c r="C5286">
        <v>44.31</v>
      </c>
      <c r="D5286" t="str">
        <f t="shared" si="209"/>
        <v>270</v>
      </c>
    </row>
    <row r="5287" spans="1:4" x14ac:dyDescent="0.25">
      <c r="A5287" t="str">
        <f>"838942685"</f>
        <v>838942685</v>
      </c>
      <c r="B5287" t="s">
        <v>4995</v>
      </c>
      <c r="C5287">
        <v>44.31</v>
      </c>
      <c r="D5287" t="str">
        <f t="shared" si="209"/>
        <v>270</v>
      </c>
    </row>
    <row r="5288" spans="1:4" x14ac:dyDescent="0.25">
      <c r="A5288" t="str">
        <f>"838942686"</f>
        <v>838942686</v>
      </c>
      <c r="B5288" t="s">
        <v>4996</v>
      </c>
      <c r="C5288">
        <v>48.65</v>
      </c>
      <c r="D5288" t="str">
        <f t="shared" si="209"/>
        <v>270</v>
      </c>
    </row>
    <row r="5289" spans="1:4" x14ac:dyDescent="0.25">
      <c r="A5289" t="str">
        <f>"838942687"</f>
        <v>838942687</v>
      </c>
      <c r="B5289" t="s">
        <v>4997</v>
      </c>
      <c r="C5289">
        <v>48.65</v>
      </c>
      <c r="D5289" t="str">
        <f t="shared" si="209"/>
        <v>270</v>
      </c>
    </row>
    <row r="5290" spans="1:4" x14ac:dyDescent="0.25">
      <c r="A5290" t="str">
        <f>"838942688"</f>
        <v>838942688</v>
      </c>
      <c r="B5290" t="s">
        <v>4998</v>
      </c>
      <c r="C5290">
        <v>44.44</v>
      </c>
      <c r="D5290" t="str">
        <f t="shared" si="209"/>
        <v>270</v>
      </c>
    </row>
    <row r="5291" spans="1:4" x14ac:dyDescent="0.25">
      <c r="A5291" t="str">
        <f>"838942689"</f>
        <v>838942689</v>
      </c>
      <c r="B5291" t="s">
        <v>4999</v>
      </c>
      <c r="C5291">
        <v>44.44</v>
      </c>
      <c r="D5291" t="str">
        <f t="shared" si="209"/>
        <v>270</v>
      </c>
    </row>
    <row r="5292" spans="1:4" x14ac:dyDescent="0.25">
      <c r="A5292" t="str">
        <f>"838942690"</f>
        <v>838942690</v>
      </c>
      <c r="B5292" t="s">
        <v>5000</v>
      </c>
      <c r="C5292">
        <v>44.02</v>
      </c>
      <c r="D5292" t="str">
        <f t="shared" si="209"/>
        <v>270</v>
      </c>
    </row>
    <row r="5293" spans="1:4" x14ac:dyDescent="0.25">
      <c r="A5293" t="str">
        <f>"838942691"</f>
        <v>838942691</v>
      </c>
      <c r="B5293" t="s">
        <v>5001</v>
      </c>
      <c r="C5293">
        <v>44.02</v>
      </c>
      <c r="D5293" t="str">
        <f t="shared" si="209"/>
        <v>270</v>
      </c>
    </row>
    <row r="5294" spans="1:4" x14ac:dyDescent="0.25">
      <c r="A5294" t="str">
        <f>"838942692"</f>
        <v>838942692</v>
      </c>
      <c r="B5294" t="s">
        <v>5002</v>
      </c>
      <c r="C5294">
        <v>7.58</v>
      </c>
      <c r="D5294" t="str">
        <f t="shared" si="209"/>
        <v>270</v>
      </c>
    </row>
    <row r="5295" spans="1:4" x14ac:dyDescent="0.25">
      <c r="A5295" t="str">
        <f>"838942693"</f>
        <v>838942693</v>
      </c>
      <c r="B5295" t="s">
        <v>5003</v>
      </c>
      <c r="C5295">
        <v>7.58</v>
      </c>
      <c r="D5295" t="str">
        <f t="shared" si="209"/>
        <v>270</v>
      </c>
    </row>
    <row r="5296" spans="1:4" x14ac:dyDescent="0.25">
      <c r="A5296" t="str">
        <f>"838942694"</f>
        <v>838942694</v>
      </c>
      <c r="B5296" t="s">
        <v>5004</v>
      </c>
      <c r="C5296">
        <v>6.56</v>
      </c>
      <c r="D5296" t="str">
        <f t="shared" si="209"/>
        <v>270</v>
      </c>
    </row>
    <row r="5297" spans="1:4" x14ac:dyDescent="0.25">
      <c r="A5297" t="str">
        <f>"838942695"</f>
        <v>838942695</v>
      </c>
      <c r="B5297" t="s">
        <v>5005</v>
      </c>
      <c r="C5297">
        <v>6.56</v>
      </c>
      <c r="D5297" t="str">
        <f t="shared" si="209"/>
        <v>270</v>
      </c>
    </row>
    <row r="5298" spans="1:4" x14ac:dyDescent="0.25">
      <c r="A5298" t="str">
        <f>"838942696"</f>
        <v>838942696</v>
      </c>
      <c r="B5298" t="s">
        <v>5006</v>
      </c>
      <c r="C5298">
        <v>6.41</v>
      </c>
      <c r="D5298" t="str">
        <f t="shared" si="209"/>
        <v>270</v>
      </c>
    </row>
    <row r="5299" spans="1:4" x14ac:dyDescent="0.25">
      <c r="A5299" t="str">
        <f>"838942697"</f>
        <v>838942697</v>
      </c>
      <c r="B5299" t="s">
        <v>5007</v>
      </c>
      <c r="C5299">
        <v>6.41</v>
      </c>
      <c r="D5299" t="str">
        <f t="shared" si="209"/>
        <v>270</v>
      </c>
    </row>
    <row r="5300" spans="1:4" x14ac:dyDescent="0.25">
      <c r="A5300" t="str">
        <f>"838942698"</f>
        <v>838942698</v>
      </c>
      <c r="B5300" t="s">
        <v>5008</v>
      </c>
      <c r="C5300">
        <v>6.93</v>
      </c>
      <c r="D5300" t="str">
        <f t="shared" si="209"/>
        <v>270</v>
      </c>
    </row>
    <row r="5301" spans="1:4" x14ac:dyDescent="0.25">
      <c r="A5301" t="str">
        <f>"838942699"</f>
        <v>838942699</v>
      </c>
      <c r="B5301" t="s">
        <v>5009</v>
      </c>
      <c r="C5301">
        <v>6.93</v>
      </c>
      <c r="D5301" t="str">
        <f t="shared" si="209"/>
        <v>270</v>
      </c>
    </row>
    <row r="5302" spans="1:4" x14ac:dyDescent="0.25">
      <c r="A5302" t="str">
        <f>"838942700"</f>
        <v>838942700</v>
      </c>
      <c r="B5302" t="s">
        <v>5010</v>
      </c>
      <c r="C5302">
        <v>36.64</v>
      </c>
      <c r="D5302" t="str">
        <f t="shared" si="209"/>
        <v>270</v>
      </c>
    </row>
    <row r="5303" spans="1:4" x14ac:dyDescent="0.25">
      <c r="A5303" t="str">
        <f>"838942701"</f>
        <v>838942701</v>
      </c>
      <c r="B5303" t="s">
        <v>5011</v>
      </c>
      <c r="C5303">
        <v>36.64</v>
      </c>
      <c r="D5303" t="str">
        <f t="shared" si="209"/>
        <v>270</v>
      </c>
    </row>
    <row r="5304" spans="1:4" x14ac:dyDescent="0.25">
      <c r="A5304" t="str">
        <f>"838942702"</f>
        <v>838942702</v>
      </c>
      <c r="B5304" t="s">
        <v>5012</v>
      </c>
      <c r="C5304">
        <v>12.58</v>
      </c>
      <c r="D5304" t="str">
        <f t="shared" si="209"/>
        <v>270</v>
      </c>
    </row>
    <row r="5305" spans="1:4" x14ac:dyDescent="0.25">
      <c r="A5305" t="str">
        <f>"838942703"</f>
        <v>838942703</v>
      </c>
      <c r="B5305" t="s">
        <v>5013</v>
      </c>
      <c r="C5305">
        <v>12.58</v>
      </c>
      <c r="D5305" t="str">
        <f t="shared" si="209"/>
        <v>270</v>
      </c>
    </row>
    <row r="5306" spans="1:4" x14ac:dyDescent="0.25">
      <c r="A5306" t="str">
        <f>"838942704"</f>
        <v>838942704</v>
      </c>
      <c r="B5306" t="s">
        <v>5014</v>
      </c>
      <c r="C5306">
        <v>10.91</v>
      </c>
      <c r="D5306" t="str">
        <f t="shared" si="209"/>
        <v>270</v>
      </c>
    </row>
    <row r="5307" spans="1:4" x14ac:dyDescent="0.25">
      <c r="A5307" t="str">
        <f>"838942705"</f>
        <v>838942705</v>
      </c>
      <c r="B5307" t="s">
        <v>5015</v>
      </c>
      <c r="C5307">
        <v>10.91</v>
      </c>
      <c r="D5307" t="str">
        <f t="shared" ref="D5307:D5370" si="210">"270"</f>
        <v>270</v>
      </c>
    </row>
    <row r="5308" spans="1:4" x14ac:dyDescent="0.25">
      <c r="A5308" t="str">
        <f>"838942706"</f>
        <v>838942706</v>
      </c>
      <c r="B5308" t="s">
        <v>5016</v>
      </c>
      <c r="C5308">
        <v>19.16</v>
      </c>
      <c r="D5308" t="str">
        <f t="shared" si="210"/>
        <v>270</v>
      </c>
    </row>
    <row r="5309" spans="1:4" x14ac:dyDescent="0.25">
      <c r="A5309" t="str">
        <f>"838942707"</f>
        <v>838942707</v>
      </c>
      <c r="B5309" t="s">
        <v>5017</v>
      </c>
      <c r="C5309">
        <v>19.16</v>
      </c>
      <c r="D5309" t="str">
        <f t="shared" si="210"/>
        <v>270</v>
      </c>
    </row>
    <row r="5310" spans="1:4" x14ac:dyDescent="0.25">
      <c r="A5310" t="str">
        <f>"838942708"</f>
        <v>838942708</v>
      </c>
      <c r="B5310" t="s">
        <v>5018</v>
      </c>
      <c r="C5310">
        <v>14.55</v>
      </c>
      <c r="D5310" t="str">
        <f t="shared" si="210"/>
        <v>270</v>
      </c>
    </row>
    <row r="5311" spans="1:4" x14ac:dyDescent="0.25">
      <c r="A5311" t="str">
        <f>"838942709"</f>
        <v>838942709</v>
      </c>
      <c r="B5311" t="s">
        <v>5019</v>
      </c>
      <c r="C5311">
        <v>14.55</v>
      </c>
      <c r="D5311" t="str">
        <f t="shared" si="210"/>
        <v>270</v>
      </c>
    </row>
    <row r="5312" spans="1:4" x14ac:dyDescent="0.25">
      <c r="A5312" t="str">
        <f>"838942710"</f>
        <v>838942710</v>
      </c>
      <c r="B5312" t="s">
        <v>5020</v>
      </c>
      <c r="C5312">
        <v>52.24</v>
      </c>
      <c r="D5312" t="str">
        <f t="shared" si="210"/>
        <v>270</v>
      </c>
    </row>
    <row r="5313" spans="1:4" x14ac:dyDescent="0.25">
      <c r="A5313" t="str">
        <f>"838942711"</f>
        <v>838942711</v>
      </c>
      <c r="B5313" t="s">
        <v>5021</v>
      </c>
      <c r="C5313">
        <v>52.24</v>
      </c>
      <c r="D5313" t="str">
        <f t="shared" si="210"/>
        <v>270</v>
      </c>
    </row>
    <row r="5314" spans="1:4" x14ac:dyDescent="0.25">
      <c r="A5314" t="str">
        <f>"838942712"</f>
        <v>838942712</v>
      </c>
      <c r="B5314" t="s">
        <v>5022</v>
      </c>
      <c r="C5314">
        <v>16.739999999999998</v>
      </c>
      <c r="D5314" t="str">
        <f t="shared" si="210"/>
        <v>270</v>
      </c>
    </row>
    <row r="5315" spans="1:4" x14ac:dyDescent="0.25">
      <c r="A5315" t="str">
        <f>"838942713"</f>
        <v>838942713</v>
      </c>
      <c r="B5315" t="s">
        <v>5023</v>
      </c>
      <c r="C5315">
        <v>16.739999999999998</v>
      </c>
      <c r="D5315" t="str">
        <f t="shared" si="210"/>
        <v>270</v>
      </c>
    </row>
    <row r="5316" spans="1:4" x14ac:dyDescent="0.25">
      <c r="A5316" t="str">
        <f>"838942714"</f>
        <v>838942714</v>
      </c>
      <c r="B5316" t="s">
        <v>5024</v>
      </c>
      <c r="C5316">
        <v>16.739999999999998</v>
      </c>
      <c r="D5316" t="str">
        <f t="shared" si="210"/>
        <v>270</v>
      </c>
    </row>
    <row r="5317" spans="1:4" x14ac:dyDescent="0.25">
      <c r="A5317" t="str">
        <f>"838942715"</f>
        <v>838942715</v>
      </c>
      <c r="B5317" t="s">
        <v>5025</v>
      </c>
      <c r="C5317">
        <v>16.739999999999998</v>
      </c>
      <c r="D5317" t="str">
        <f t="shared" si="210"/>
        <v>270</v>
      </c>
    </row>
    <row r="5318" spans="1:4" x14ac:dyDescent="0.25">
      <c r="A5318" t="str">
        <f>"838942716"</f>
        <v>838942716</v>
      </c>
      <c r="B5318" t="s">
        <v>5026</v>
      </c>
      <c r="C5318">
        <v>17.940000000000001</v>
      </c>
      <c r="D5318" t="str">
        <f t="shared" si="210"/>
        <v>270</v>
      </c>
    </row>
    <row r="5319" spans="1:4" x14ac:dyDescent="0.25">
      <c r="A5319" t="str">
        <f>"838942717"</f>
        <v>838942717</v>
      </c>
      <c r="B5319" t="s">
        <v>5027</v>
      </c>
      <c r="C5319">
        <v>17.940000000000001</v>
      </c>
      <c r="D5319" t="str">
        <f t="shared" si="210"/>
        <v>270</v>
      </c>
    </row>
    <row r="5320" spans="1:4" x14ac:dyDescent="0.25">
      <c r="A5320" t="str">
        <f>"838942718"</f>
        <v>838942718</v>
      </c>
      <c r="B5320" t="s">
        <v>5028</v>
      </c>
      <c r="C5320">
        <v>18.510000000000002</v>
      </c>
      <c r="D5320" t="str">
        <f t="shared" si="210"/>
        <v>270</v>
      </c>
    </row>
    <row r="5321" spans="1:4" x14ac:dyDescent="0.25">
      <c r="A5321" t="str">
        <f>"838942719"</f>
        <v>838942719</v>
      </c>
      <c r="B5321" t="s">
        <v>5029</v>
      </c>
      <c r="C5321">
        <v>18.510000000000002</v>
      </c>
      <c r="D5321" t="str">
        <f t="shared" si="210"/>
        <v>270</v>
      </c>
    </row>
    <row r="5322" spans="1:4" x14ac:dyDescent="0.25">
      <c r="A5322" t="str">
        <f>"838942720"</f>
        <v>838942720</v>
      </c>
      <c r="B5322" t="s">
        <v>5030</v>
      </c>
      <c r="C5322">
        <v>47.86</v>
      </c>
      <c r="D5322" t="str">
        <f t="shared" si="210"/>
        <v>270</v>
      </c>
    </row>
    <row r="5323" spans="1:4" x14ac:dyDescent="0.25">
      <c r="A5323" t="str">
        <f>"838942721"</f>
        <v>838942721</v>
      </c>
      <c r="B5323" t="s">
        <v>5031</v>
      </c>
      <c r="C5323">
        <v>47.86</v>
      </c>
      <c r="D5323" t="str">
        <f t="shared" si="210"/>
        <v>270</v>
      </c>
    </row>
    <row r="5324" spans="1:4" x14ac:dyDescent="0.25">
      <c r="A5324" t="str">
        <f>"838942722"</f>
        <v>838942722</v>
      </c>
      <c r="B5324" t="s">
        <v>5032</v>
      </c>
      <c r="C5324">
        <v>18.510000000000002</v>
      </c>
      <c r="D5324" t="str">
        <f t="shared" si="210"/>
        <v>270</v>
      </c>
    </row>
    <row r="5325" spans="1:4" x14ac:dyDescent="0.25">
      <c r="A5325" t="str">
        <f>"838942723"</f>
        <v>838942723</v>
      </c>
      <c r="B5325" t="s">
        <v>5033</v>
      </c>
      <c r="C5325">
        <v>18.510000000000002</v>
      </c>
      <c r="D5325" t="str">
        <f t="shared" si="210"/>
        <v>270</v>
      </c>
    </row>
    <row r="5326" spans="1:4" x14ac:dyDescent="0.25">
      <c r="A5326" t="str">
        <f>"838942724"</f>
        <v>838942724</v>
      </c>
      <c r="B5326" t="s">
        <v>5034</v>
      </c>
      <c r="C5326">
        <v>20.78</v>
      </c>
      <c r="D5326" t="str">
        <f t="shared" si="210"/>
        <v>270</v>
      </c>
    </row>
    <row r="5327" spans="1:4" x14ac:dyDescent="0.25">
      <c r="A5327" t="str">
        <f>"838942725"</f>
        <v>838942725</v>
      </c>
      <c r="B5327" t="s">
        <v>5035</v>
      </c>
      <c r="C5327">
        <v>20.78</v>
      </c>
      <c r="D5327" t="str">
        <f t="shared" si="210"/>
        <v>270</v>
      </c>
    </row>
    <row r="5328" spans="1:4" x14ac:dyDescent="0.25">
      <c r="A5328" t="str">
        <f>"838942726"</f>
        <v>838942726</v>
      </c>
      <c r="B5328" t="s">
        <v>5036</v>
      </c>
      <c r="C5328">
        <v>20.99</v>
      </c>
      <c r="D5328" t="str">
        <f t="shared" si="210"/>
        <v>270</v>
      </c>
    </row>
    <row r="5329" spans="1:4" x14ac:dyDescent="0.25">
      <c r="A5329" t="str">
        <f>"838942727"</f>
        <v>838942727</v>
      </c>
      <c r="B5329" t="s">
        <v>5037</v>
      </c>
      <c r="C5329">
        <v>20.99</v>
      </c>
      <c r="D5329" t="str">
        <f t="shared" si="210"/>
        <v>270</v>
      </c>
    </row>
    <row r="5330" spans="1:4" x14ac:dyDescent="0.25">
      <c r="A5330" t="str">
        <f>"838942728"</f>
        <v>838942728</v>
      </c>
      <c r="B5330" t="s">
        <v>5038</v>
      </c>
      <c r="C5330">
        <v>20.97</v>
      </c>
      <c r="D5330" t="str">
        <f t="shared" si="210"/>
        <v>270</v>
      </c>
    </row>
    <row r="5331" spans="1:4" x14ac:dyDescent="0.25">
      <c r="A5331" t="str">
        <f>"838942729"</f>
        <v>838942729</v>
      </c>
      <c r="B5331" t="s">
        <v>5039</v>
      </c>
      <c r="C5331">
        <v>20.97</v>
      </c>
      <c r="D5331" t="str">
        <f t="shared" si="210"/>
        <v>270</v>
      </c>
    </row>
    <row r="5332" spans="1:4" x14ac:dyDescent="0.25">
      <c r="A5332" t="str">
        <f>"838942730"</f>
        <v>838942730</v>
      </c>
      <c r="B5332" t="s">
        <v>5040</v>
      </c>
      <c r="C5332">
        <v>10.71</v>
      </c>
      <c r="D5332" t="str">
        <f t="shared" si="210"/>
        <v>270</v>
      </c>
    </row>
    <row r="5333" spans="1:4" x14ac:dyDescent="0.25">
      <c r="A5333" t="str">
        <f>"838942731"</f>
        <v>838942731</v>
      </c>
      <c r="B5333" t="s">
        <v>5041</v>
      </c>
      <c r="C5333">
        <v>10.71</v>
      </c>
      <c r="D5333" t="str">
        <f t="shared" si="210"/>
        <v>270</v>
      </c>
    </row>
    <row r="5334" spans="1:4" x14ac:dyDescent="0.25">
      <c r="A5334" t="str">
        <f>"838942732"</f>
        <v>838942732</v>
      </c>
      <c r="B5334" t="s">
        <v>5042</v>
      </c>
      <c r="C5334">
        <v>20.38</v>
      </c>
      <c r="D5334" t="str">
        <f t="shared" si="210"/>
        <v>270</v>
      </c>
    </row>
    <row r="5335" spans="1:4" x14ac:dyDescent="0.25">
      <c r="A5335" t="str">
        <f>"838942733"</f>
        <v>838942733</v>
      </c>
      <c r="B5335" t="s">
        <v>5043</v>
      </c>
      <c r="C5335">
        <v>20.38</v>
      </c>
      <c r="D5335" t="str">
        <f t="shared" si="210"/>
        <v>270</v>
      </c>
    </row>
    <row r="5336" spans="1:4" x14ac:dyDescent="0.25">
      <c r="A5336" t="str">
        <f>"838942734"</f>
        <v>838942734</v>
      </c>
      <c r="B5336" t="s">
        <v>5044</v>
      </c>
      <c r="C5336">
        <v>33.64</v>
      </c>
      <c r="D5336" t="str">
        <f t="shared" si="210"/>
        <v>270</v>
      </c>
    </row>
    <row r="5337" spans="1:4" x14ac:dyDescent="0.25">
      <c r="A5337" t="str">
        <f>"838942735"</f>
        <v>838942735</v>
      </c>
      <c r="B5337" t="s">
        <v>5045</v>
      </c>
      <c r="C5337">
        <v>33.64</v>
      </c>
      <c r="D5337" t="str">
        <f t="shared" si="210"/>
        <v>270</v>
      </c>
    </row>
    <row r="5338" spans="1:4" x14ac:dyDescent="0.25">
      <c r="A5338" t="str">
        <f>"838942736"</f>
        <v>838942736</v>
      </c>
      <c r="B5338" t="s">
        <v>5046</v>
      </c>
      <c r="C5338">
        <v>33.94</v>
      </c>
      <c r="D5338" t="str">
        <f t="shared" si="210"/>
        <v>270</v>
      </c>
    </row>
    <row r="5339" spans="1:4" x14ac:dyDescent="0.25">
      <c r="A5339" t="str">
        <f>"838942737"</f>
        <v>838942737</v>
      </c>
      <c r="B5339" t="s">
        <v>5047</v>
      </c>
      <c r="C5339">
        <v>33.94</v>
      </c>
      <c r="D5339" t="str">
        <f t="shared" si="210"/>
        <v>270</v>
      </c>
    </row>
    <row r="5340" spans="1:4" x14ac:dyDescent="0.25">
      <c r="A5340" t="str">
        <f>"838942738"</f>
        <v>838942738</v>
      </c>
      <c r="B5340" t="s">
        <v>5048</v>
      </c>
      <c r="C5340">
        <v>8.98</v>
      </c>
      <c r="D5340" t="str">
        <f t="shared" si="210"/>
        <v>270</v>
      </c>
    </row>
    <row r="5341" spans="1:4" x14ac:dyDescent="0.25">
      <c r="A5341" t="str">
        <f>"838942739"</f>
        <v>838942739</v>
      </c>
      <c r="B5341" t="s">
        <v>5049</v>
      </c>
      <c r="C5341">
        <v>8.98</v>
      </c>
      <c r="D5341" t="str">
        <f t="shared" si="210"/>
        <v>270</v>
      </c>
    </row>
    <row r="5342" spans="1:4" x14ac:dyDescent="0.25">
      <c r="A5342" t="str">
        <f>"838942740"</f>
        <v>838942740</v>
      </c>
      <c r="B5342" t="s">
        <v>5050</v>
      </c>
      <c r="C5342">
        <v>9.01</v>
      </c>
      <c r="D5342" t="str">
        <f t="shared" si="210"/>
        <v>270</v>
      </c>
    </row>
    <row r="5343" spans="1:4" x14ac:dyDescent="0.25">
      <c r="A5343" t="str">
        <f>"838942741"</f>
        <v>838942741</v>
      </c>
      <c r="B5343" t="s">
        <v>5051</v>
      </c>
      <c r="C5343">
        <v>9.01</v>
      </c>
      <c r="D5343" t="str">
        <f t="shared" si="210"/>
        <v>270</v>
      </c>
    </row>
    <row r="5344" spans="1:4" x14ac:dyDescent="0.25">
      <c r="A5344" t="str">
        <f>"838942742"</f>
        <v>838942742</v>
      </c>
      <c r="B5344" t="s">
        <v>5052</v>
      </c>
      <c r="C5344">
        <v>43.31</v>
      </c>
      <c r="D5344" t="str">
        <f t="shared" si="210"/>
        <v>270</v>
      </c>
    </row>
    <row r="5345" spans="1:4" x14ac:dyDescent="0.25">
      <c r="A5345" t="str">
        <f>"838942743"</f>
        <v>838942743</v>
      </c>
      <c r="B5345" t="s">
        <v>5053</v>
      </c>
      <c r="C5345">
        <v>43.31</v>
      </c>
      <c r="D5345" t="str">
        <f t="shared" si="210"/>
        <v>270</v>
      </c>
    </row>
    <row r="5346" spans="1:4" x14ac:dyDescent="0.25">
      <c r="A5346" t="str">
        <f>"838942744"</f>
        <v>838942744</v>
      </c>
      <c r="B5346" t="s">
        <v>5054</v>
      </c>
      <c r="C5346">
        <v>58.06</v>
      </c>
      <c r="D5346" t="str">
        <f t="shared" si="210"/>
        <v>270</v>
      </c>
    </row>
    <row r="5347" spans="1:4" x14ac:dyDescent="0.25">
      <c r="A5347" t="str">
        <f>"838942745"</f>
        <v>838942745</v>
      </c>
      <c r="B5347" t="s">
        <v>5055</v>
      </c>
      <c r="C5347">
        <v>58.06</v>
      </c>
      <c r="D5347" t="str">
        <f t="shared" si="210"/>
        <v>270</v>
      </c>
    </row>
    <row r="5348" spans="1:4" x14ac:dyDescent="0.25">
      <c r="A5348" t="str">
        <f>"838942746"</f>
        <v>838942746</v>
      </c>
      <c r="B5348" t="s">
        <v>5056</v>
      </c>
      <c r="C5348">
        <v>20.149999999999999</v>
      </c>
      <c r="D5348" t="str">
        <f t="shared" si="210"/>
        <v>270</v>
      </c>
    </row>
    <row r="5349" spans="1:4" x14ac:dyDescent="0.25">
      <c r="A5349" t="str">
        <f>"838942747"</f>
        <v>838942747</v>
      </c>
      <c r="B5349" t="s">
        <v>5057</v>
      </c>
      <c r="C5349">
        <v>20.149999999999999</v>
      </c>
      <c r="D5349" t="str">
        <f t="shared" si="210"/>
        <v>270</v>
      </c>
    </row>
    <row r="5350" spans="1:4" x14ac:dyDescent="0.25">
      <c r="A5350" t="str">
        <f>"838942748"</f>
        <v>838942748</v>
      </c>
      <c r="B5350" t="s">
        <v>5058</v>
      </c>
      <c r="C5350">
        <v>21.74</v>
      </c>
      <c r="D5350" t="str">
        <f t="shared" si="210"/>
        <v>270</v>
      </c>
    </row>
    <row r="5351" spans="1:4" x14ac:dyDescent="0.25">
      <c r="A5351" t="str">
        <f>"838942749"</f>
        <v>838942749</v>
      </c>
      <c r="B5351" t="s">
        <v>5059</v>
      </c>
      <c r="C5351">
        <v>21.74</v>
      </c>
      <c r="D5351" t="str">
        <f t="shared" si="210"/>
        <v>270</v>
      </c>
    </row>
    <row r="5352" spans="1:4" x14ac:dyDescent="0.25">
      <c r="A5352" t="str">
        <f>"838942750"</f>
        <v>838942750</v>
      </c>
      <c r="B5352" t="s">
        <v>5060</v>
      </c>
      <c r="C5352">
        <v>20.66</v>
      </c>
      <c r="D5352" t="str">
        <f t="shared" si="210"/>
        <v>270</v>
      </c>
    </row>
    <row r="5353" spans="1:4" x14ac:dyDescent="0.25">
      <c r="A5353" t="str">
        <f>"838942751"</f>
        <v>838942751</v>
      </c>
      <c r="B5353" t="s">
        <v>5061</v>
      </c>
      <c r="C5353">
        <v>20.66</v>
      </c>
      <c r="D5353" t="str">
        <f t="shared" si="210"/>
        <v>270</v>
      </c>
    </row>
    <row r="5354" spans="1:4" x14ac:dyDescent="0.25">
      <c r="A5354" t="str">
        <f>"838942752"</f>
        <v>838942752</v>
      </c>
      <c r="B5354" t="s">
        <v>5062</v>
      </c>
      <c r="C5354">
        <v>17.940000000000001</v>
      </c>
      <c r="D5354" t="str">
        <f t="shared" si="210"/>
        <v>270</v>
      </c>
    </row>
    <row r="5355" spans="1:4" x14ac:dyDescent="0.25">
      <c r="A5355" t="str">
        <f>"838942753"</f>
        <v>838942753</v>
      </c>
      <c r="B5355" t="s">
        <v>5063</v>
      </c>
      <c r="C5355">
        <v>17.940000000000001</v>
      </c>
      <c r="D5355" t="str">
        <f t="shared" si="210"/>
        <v>270</v>
      </c>
    </row>
    <row r="5356" spans="1:4" x14ac:dyDescent="0.25">
      <c r="A5356" t="str">
        <f>"838942754"</f>
        <v>838942754</v>
      </c>
      <c r="B5356" t="s">
        <v>5064</v>
      </c>
      <c r="C5356">
        <v>17.39</v>
      </c>
      <c r="D5356" t="str">
        <f t="shared" si="210"/>
        <v>270</v>
      </c>
    </row>
    <row r="5357" spans="1:4" x14ac:dyDescent="0.25">
      <c r="A5357" t="str">
        <f>"838942755"</f>
        <v>838942755</v>
      </c>
      <c r="B5357" t="s">
        <v>5065</v>
      </c>
      <c r="C5357">
        <v>17.39</v>
      </c>
      <c r="D5357" t="str">
        <f t="shared" si="210"/>
        <v>270</v>
      </c>
    </row>
    <row r="5358" spans="1:4" x14ac:dyDescent="0.25">
      <c r="A5358" t="str">
        <f>"838942756"</f>
        <v>838942756</v>
      </c>
      <c r="B5358" t="s">
        <v>5066</v>
      </c>
      <c r="C5358">
        <v>19.45</v>
      </c>
      <c r="D5358" t="str">
        <f t="shared" si="210"/>
        <v>270</v>
      </c>
    </row>
    <row r="5359" spans="1:4" x14ac:dyDescent="0.25">
      <c r="A5359" t="str">
        <f>"838942757"</f>
        <v>838942757</v>
      </c>
      <c r="B5359" t="s">
        <v>5067</v>
      </c>
      <c r="C5359">
        <v>19.45</v>
      </c>
      <c r="D5359" t="str">
        <f t="shared" si="210"/>
        <v>270</v>
      </c>
    </row>
    <row r="5360" spans="1:4" x14ac:dyDescent="0.25">
      <c r="A5360" t="str">
        <f>"838942758"</f>
        <v>838942758</v>
      </c>
      <c r="B5360" t="s">
        <v>5068</v>
      </c>
      <c r="C5360">
        <v>17.940000000000001</v>
      </c>
      <c r="D5360" t="str">
        <f t="shared" si="210"/>
        <v>270</v>
      </c>
    </row>
    <row r="5361" spans="1:4" x14ac:dyDescent="0.25">
      <c r="A5361" t="str">
        <f>"838942759"</f>
        <v>838942759</v>
      </c>
      <c r="B5361" t="s">
        <v>5069</v>
      </c>
      <c r="C5361">
        <v>17.940000000000001</v>
      </c>
      <c r="D5361" t="str">
        <f t="shared" si="210"/>
        <v>270</v>
      </c>
    </row>
    <row r="5362" spans="1:4" x14ac:dyDescent="0.25">
      <c r="A5362" t="str">
        <f>"838942760"</f>
        <v>838942760</v>
      </c>
      <c r="B5362" t="s">
        <v>5070</v>
      </c>
      <c r="C5362">
        <v>17.940000000000001</v>
      </c>
      <c r="D5362" t="str">
        <f t="shared" si="210"/>
        <v>270</v>
      </c>
    </row>
    <row r="5363" spans="1:4" x14ac:dyDescent="0.25">
      <c r="A5363" t="str">
        <f>"838942761"</f>
        <v>838942761</v>
      </c>
      <c r="B5363" t="s">
        <v>5071</v>
      </c>
      <c r="C5363">
        <v>17.940000000000001</v>
      </c>
      <c r="D5363" t="str">
        <f t="shared" si="210"/>
        <v>270</v>
      </c>
    </row>
    <row r="5364" spans="1:4" x14ac:dyDescent="0.25">
      <c r="A5364" t="str">
        <f>"838942762"</f>
        <v>838942762</v>
      </c>
      <c r="B5364" t="s">
        <v>5072</v>
      </c>
      <c r="C5364">
        <v>19.45</v>
      </c>
      <c r="D5364" t="str">
        <f t="shared" si="210"/>
        <v>270</v>
      </c>
    </row>
    <row r="5365" spans="1:4" x14ac:dyDescent="0.25">
      <c r="A5365" t="str">
        <f>"838942763"</f>
        <v>838942763</v>
      </c>
      <c r="B5365" t="s">
        <v>5073</v>
      </c>
      <c r="C5365">
        <v>19.45</v>
      </c>
      <c r="D5365" t="str">
        <f t="shared" si="210"/>
        <v>270</v>
      </c>
    </row>
    <row r="5366" spans="1:4" x14ac:dyDescent="0.25">
      <c r="A5366" t="str">
        <f>"838942764"</f>
        <v>838942764</v>
      </c>
      <c r="B5366" t="s">
        <v>5074</v>
      </c>
      <c r="C5366">
        <v>36.71</v>
      </c>
      <c r="D5366" t="str">
        <f t="shared" si="210"/>
        <v>270</v>
      </c>
    </row>
    <row r="5367" spans="1:4" x14ac:dyDescent="0.25">
      <c r="A5367" t="str">
        <f>"838942765"</f>
        <v>838942765</v>
      </c>
      <c r="B5367" t="s">
        <v>5075</v>
      </c>
      <c r="C5367">
        <v>36.71</v>
      </c>
      <c r="D5367" t="str">
        <f t="shared" si="210"/>
        <v>270</v>
      </c>
    </row>
    <row r="5368" spans="1:4" x14ac:dyDescent="0.25">
      <c r="A5368" t="str">
        <f>"838942766"</f>
        <v>838942766</v>
      </c>
      <c r="B5368" t="s">
        <v>5076</v>
      </c>
      <c r="C5368">
        <v>11.81</v>
      </c>
      <c r="D5368" t="str">
        <f t="shared" si="210"/>
        <v>270</v>
      </c>
    </row>
    <row r="5369" spans="1:4" x14ac:dyDescent="0.25">
      <c r="A5369" t="str">
        <f>"838942767"</f>
        <v>838942767</v>
      </c>
      <c r="B5369" t="s">
        <v>5077</v>
      </c>
      <c r="C5369">
        <v>11.81</v>
      </c>
      <c r="D5369" t="str">
        <f t="shared" si="210"/>
        <v>270</v>
      </c>
    </row>
    <row r="5370" spans="1:4" x14ac:dyDescent="0.25">
      <c r="A5370" t="str">
        <f>"838942768"</f>
        <v>838942768</v>
      </c>
      <c r="B5370" t="s">
        <v>5078</v>
      </c>
      <c r="C5370">
        <v>11.81</v>
      </c>
      <c r="D5370" t="str">
        <f t="shared" si="210"/>
        <v>270</v>
      </c>
    </row>
    <row r="5371" spans="1:4" x14ac:dyDescent="0.25">
      <c r="A5371" t="str">
        <f>"838942769"</f>
        <v>838942769</v>
      </c>
      <c r="B5371" t="s">
        <v>5079</v>
      </c>
      <c r="C5371">
        <v>11.81</v>
      </c>
      <c r="D5371" t="str">
        <f t="shared" ref="D5371:D5434" si="211">"270"</f>
        <v>270</v>
      </c>
    </row>
    <row r="5372" spans="1:4" x14ac:dyDescent="0.25">
      <c r="A5372" t="str">
        <f>"838942770"</f>
        <v>838942770</v>
      </c>
      <c r="B5372" t="s">
        <v>5080</v>
      </c>
      <c r="C5372">
        <v>14.69</v>
      </c>
      <c r="D5372" t="str">
        <f t="shared" si="211"/>
        <v>270</v>
      </c>
    </row>
    <row r="5373" spans="1:4" x14ac:dyDescent="0.25">
      <c r="A5373" t="str">
        <f>"838942771"</f>
        <v>838942771</v>
      </c>
      <c r="B5373" t="s">
        <v>5081</v>
      </c>
      <c r="C5373">
        <v>14.69</v>
      </c>
      <c r="D5373" t="str">
        <f t="shared" si="211"/>
        <v>270</v>
      </c>
    </row>
    <row r="5374" spans="1:4" x14ac:dyDescent="0.25">
      <c r="A5374" t="str">
        <f>"838942772"</f>
        <v>838942772</v>
      </c>
      <c r="B5374" t="s">
        <v>5082</v>
      </c>
      <c r="C5374">
        <v>11.81</v>
      </c>
      <c r="D5374" t="str">
        <f t="shared" si="211"/>
        <v>270</v>
      </c>
    </row>
    <row r="5375" spans="1:4" x14ac:dyDescent="0.25">
      <c r="A5375" t="str">
        <f>"838942773"</f>
        <v>838942773</v>
      </c>
      <c r="B5375" t="s">
        <v>5083</v>
      </c>
      <c r="C5375">
        <v>11.81</v>
      </c>
      <c r="D5375" t="str">
        <f t="shared" si="211"/>
        <v>270</v>
      </c>
    </row>
    <row r="5376" spans="1:4" x14ac:dyDescent="0.25">
      <c r="A5376" t="str">
        <f>"838942774"</f>
        <v>838942774</v>
      </c>
      <c r="B5376" t="s">
        <v>5084</v>
      </c>
      <c r="C5376">
        <v>8.16</v>
      </c>
      <c r="D5376" t="str">
        <f t="shared" si="211"/>
        <v>270</v>
      </c>
    </row>
    <row r="5377" spans="1:4" x14ac:dyDescent="0.25">
      <c r="A5377" t="str">
        <f>"838942775"</f>
        <v>838942775</v>
      </c>
      <c r="B5377" t="s">
        <v>5085</v>
      </c>
      <c r="C5377">
        <v>8.16</v>
      </c>
      <c r="D5377" t="str">
        <f t="shared" si="211"/>
        <v>270</v>
      </c>
    </row>
    <row r="5378" spans="1:4" x14ac:dyDescent="0.25">
      <c r="A5378" t="str">
        <f>"838942776"</f>
        <v>838942776</v>
      </c>
      <c r="B5378" t="s">
        <v>5086</v>
      </c>
      <c r="C5378">
        <v>8.06</v>
      </c>
      <c r="D5378" t="str">
        <f t="shared" si="211"/>
        <v>270</v>
      </c>
    </row>
    <row r="5379" spans="1:4" x14ac:dyDescent="0.25">
      <c r="A5379" t="str">
        <f>"838942777"</f>
        <v>838942777</v>
      </c>
      <c r="B5379" t="s">
        <v>5087</v>
      </c>
      <c r="C5379">
        <v>8.06</v>
      </c>
      <c r="D5379" t="str">
        <f t="shared" si="211"/>
        <v>270</v>
      </c>
    </row>
    <row r="5380" spans="1:4" x14ac:dyDescent="0.25">
      <c r="A5380" t="str">
        <f>"838942778"</f>
        <v>838942778</v>
      </c>
      <c r="B5380" t="s">
        <v>5088</v>
      </c>
      <c r="C5380">
        <v>7.91</v>
      </c>
      <c r="D5380" t="str">
        <f t="shared" si="211"/>
        <v>270</v>
      </c>
    </row>
    <row r="5381" spans="1:4" x14ac:dyDescent="0.25">
      <c r="A5381" t="str">
        <f>"838942779"</f>
        <v>838942779</v>
      </c>
      <c r="B5381" t="s">
        <v>5089</v>
      </c>
      <c r="C5381">
        <v>7.91</v>
      </c>
      <c r="D5381" t="str">
        <f t="shared" si="211"/>
        <v>270</v>
      </c>
    </row>
    <row r="5382" spans="1:4" x14ac:dyDescent="0.25">
      <c r="A5382" t="str">
        <f>"838942780"</f>
        <v>838942780</v>
      </c>
      <c r="B5382" t="s">
        <v>5090</v>
      </c>
      <c r="C5382">
        <v>8.06</v>
      </c>
      <c r="D5382" t="str">
        <f t="shared" si="211"/>
        <v>270</v>
      </c>
    </row>
    <row r="5383" spans="1:4" x14ac:dyDescent="0.25">
      <c r="A5383" t="str">
        <f>"838942781"</f>
        <v>838942781</v>
      </c>
      <c r="B5383" t="s">
        <v>5091</v>
      </c>
      <c r="C5383">
        <v>8.06</v>
      </c>
      <c r="D5383" t="str">
        <f t="shared" si="211"/>
        <v>270</v>
      </c>
    </row>
    <row r="5384" spans="1:4" x14ac:dyDescent="0.25">
      <c r="A5384" t="str">
        <f>"838942782"</f>
        <v>838942782</v>
      </c>
      <c r="B5384" t="s">
        <v>5092</v>
      </c>
      <c r="C5384">
        <v>10.43</v>
      </c>
      <c r="D5384" t="str">
        <f t="shared" si="211"/>
        <v>270</v>
      </c>
    </row>
    <row r="5385" spans="1:4" x14ac:dyDescent="0.25">
      <c r="A5385" t="str">
        <f>"838942783"</f>
        <v>838942783</v>
      </c>
      <c r="B5385" t="s">
        <v>5093</v>
      </c>
      <c r="C5385">
        <v>10.43</v>
      </c>
      <c r="D5385" t="str">
        <f t="shared" si="211"/>
        <v>270</v>
      </c>
    </row>
    <row r="5386" spans="1:4" x14ac:dyDescent="0.25">
      <c r="A5386" t="str">
        <f>"838942784"</f>
        <v>838942784</v>
      </c>
      <c r="B5386" t="s">
        <v>5094</v>
      </c>
      <c r="C5386">
        <v>10.29</v>
      </c>
      <c r="D5386" t="str">
        <f t="shared" si="211"/>
        <v>270</v>
      </c>
    </row>
    <row r="5387" spans="1:4" x14ac:dyDescent="0.25">
      <c r="A5387" t="str">
        <f>"838942785"</f>
        <v>838942785</v>
      </c>
      <c r="B5387" t="s">
        <v>5095</v>
      </c>
      <c r="C5387">
        <v>10.29</v>
      </c>
      <c r="D5387" t="str">
        <f t="shared" si="211"/>
        <v>270</v>
      </c>
    </row>
    <row r="5388" spans="1:4" x14ac:dyDescent="0.25">
      <c r="A5388" t="str">
        <f>"838942786"</f>
        <v>838942786</v>
      </c>
      <c r="B5388" t="s">
        <v>5096</v>
      </c>
      <c r="C5388">
        <v>10.07</v>
      </c>
      <c r="D5388" t="str">
        <f t="shared" si="211"/>
        <v>270</v>
      </c>
    </row>
    <row r="5389" spans="1:4" x14ac:dyDescent="0.25">
      <c r="A5389" t="str">
        <f>"838942787"</f>
        <v>838942787</v>
      </c>
      <c r="B5389" t="s">
        <v>5097</v>
      </c>
      <c r="C5389">
        <v>10.07</v>
      </c>
      <c r="D5389" t="str">
        <f t="shared" si="211"/>
        <v>270</v>
      </c>
    </row>
    <row r="5390" spans="1:4" x14ac:dyDescent="0.25">
      <c r="A5390" t="str">
        <f>"838942788"</f>
        <v>838942788</v>
      </c>
      <c r="B5390" t="s">
        <v>5098</v>
      </c>
      <c r="C5390">
        <v>8.6</v>
      </c>
      <c r="D5390" t="str">
        <f t="shared" si="211"/>
        <v>270</v>
      </c>
    </row>
    <row r="5391" spans="1:4" x14ac:dyDescent="0.25">
      <c r="A5391" t="str">
        <f>"838942789"</f>
        <v>838942789</v>
      </c>
      <c r="B5391" t="s">
        <v>5099</v>
      </c>
      <c r="C5391">
        <v>8.6</v>
      </c>
      <c r="D5391" t="str">
        <f t="shared" si="211"/>
        <v>270</v>
      </c>
    </row>
    <row r="5392" spans="1:4" x14ac:dyDescent="0.25">
      <c r="A5392" t="str">
        <f>"838942790"</f>
        <v>838942790</v>
      </c>
      <c r="B5392" t="s">
        <v>5100</v>
      </c>
      <c r="C5392">
        <v>9.93</v>
      </c>
      <c r="D5392" t="str">
        <f t="shared" si="211"/>
        <v>270</v>
      </c>
    </row>
    <row r="5393" spans="1:4" x14ac:dyDescent="0.25">
      <c r="A5393" t="str">
        <f>"838942791"</f>
        <v>838942791</v>
      </c>
      <c r="B5393" t="s">
        <v>5101</v>
      </c>
      <c r="C5393">
        <v>9.93</v>
      </c>
      <c r="D5393" t="str">
        <f t="shared" si="211"/>
        <v>270</v>
      </c>
    </row>
    <row r="5394" spans="1:4" x14ac:dyDescent="0.25">
      <c r="A5394" t="str">
        <f>"838942792"</f>
        <v>838942792</v>
      </c>
      <c r="B5394" t="s">
        <v>5102</v>
      </c>
      <c r="C5394">
        <v>8.25</v>
      </c>
      <c r="D5394" t="str">
        <f t="shared" si="211"/>
        <v>270</v>
      </c>
    </row>
    <row r="5395" spans="1:4" x14ac:dyDescent="0.25">
      <c r="A5395" t="str">
        <f>"838942793"</f>
        <v>838942793</v>
      </c>
      <c r="B5395" t="s">
        <v>5103</v>
      </c>
      <c r="C5395">
        <v>8.25</v>
      </c>
      <c r="D5395" t="str">
        <f t="shared" si="211"/>
        <v>270</v>
      </c>
    </row>
    <row r="5396" spans="1:4" x14ac:dyDescent="0.25">
      <c r="A5396" t="str">
        <f>"838942794"</f>
        <v>838942794</v>
      </c>
      <c r="B5396" t="s">
        <v>5104</v>
      </c>
      <c r="C5396">
        <v>16.010000000000002</v>
      </c>
      <c r="D5396" t="str">
        <f t="shared" si="211"/>
        <v>270</v>
      </c>
    </row>
    <row r="5397" spans="1:4" x14ac:dyDescent="0.25">
      <c r="A5397" t="str">
        <f>"838942795"</f>
        <v>838942795</v>
      </c>
      <c r="B5397" t="s">
        <v>5105</v>
      </c>
      <c r="C5397">
        <v>16.010000000000002</v>
      </c>
      <c r="D5397" t="str">
        <f t="shared" si="211"/>
        <v>270</v>
      </c>
    </row>
    <row r="5398" spans="1:4" x14ac:dyDescent="0.25">
      <c r="A5398" t="str">
        <f>"838942796"</f>
        <v>838942796</v>
      </c>
      <c r="B5398" t="s">
        <v>5106</v>
      </c>
      <c r="C5398">
        <v>14.18</v>
      </c>
      <c r="D5398" t="str">
        <f t="shared" si="211"/>
        <v>270</v>
      </c>
    </row>
    <row r="5399" spans="1:4" x14ac:dyDescent="0.25">
      <c r="A5399" t="str">
        <f>"838942797"</f>
        <v>838942797</v>
      </c>
      <c r="B5399" t="s">
        <v>5107</v>
      </c>
      <c r="C5399">
        <v>14.18</v>
      </c>
      <c r="D5399" t="str">
        <f t="shared" si="211"/>
        <v>270</v>
      </c>
    </row>
    <row r="5400" spans="1:4" x14ac:dyDescent="0.25">
      <c r="A5400" t="str">
        <f>"838942798"</f>
        <v>838942798</v>
      </c>
      <c r="B5400" t="s">
        <v>5108</v>
      </c>
      <c r="C5400">
        <v>14.18</v>
      </c>
      <c r="D5400" t="str">
        <f t="shared" si="211"/>
        <v>270</v>
      </c>
    </row>
    <row r="5401" spans="1:4" x14ac:dyDescent="0.25">
      <c r="A5401" t="str">
        <f>"838942799"</f>
        <v>838942799</v>
      </c>
      <c r="B5401" t="s">
        <v>5109</v>
      </c>
      <c r="C5401">
        <v>14.18</v>
      </c>
      <c r="D5401" t="str">
        <f t="shared" si="211"/>
        <v>270</v>
      </c>
    </row>
    <row r="5402" spans="1:4" x14ac:dyDescent="0.25">
      <c r="A5402" t="str">
        <f>"838942800"</f>
        <v>838942800</v>
      </c>
      <c r="B5402" t="s">
        <v>5110</v>
      </c>
      <c r="C5402">
        <v>15.86</v>
      </c>
      <c r="D5402" t="str">
        <f t="shared" si="211"/>
        <v>270</v>
      </c>
    </row>
    <row r="5403" spans="1:4" x14ac:dyDescent="0.25">
      <c r="A5403" t="str">
        <f>"838942801"</f>
        <v>838942801</v>
      </c>
      <c r="B5403" t="s">
        <v>5111</v>
      </c>
      <c r="C5403">
        <v>15.86</v>
      </c>
      <c r="D5403" t="str">
        <f t="shared" si="211"/>
        <v>270</v>
      </c>
    </row>
    <row r="5404" spans="1:4" x14ac:dyDescent="0.25">
      <c r="A5404" t="str">
        <f>"838942802"</f>
        <v>838942802</v>
      </c>
      <c r="B5404" t="s">
        <v>5112</v>
      </c>
      <c r="C5404">
        <v>19.89</v>
      </c>
      <c r="D5404" t="str">
        <f t="shared" si="211"/>
        <v>270</v>
      </c>
    </row>
    <row r="5405" spans="1:4" x14ac:dyDescent="0.25">
      <c r="A5405" t="str">
        <f>"838942803"</f>
        <v>838942803</v>
      </c>
      <c r="B5405" t="s">
        <v>5113</v>
      </c>
      <c r="C5405">
        <v>19.89</v>
      </c>
      <c r="D5405" t="str">
        <f t="shared" si="211"/>
        <v>270</v>
      </c>
    </row>
    <row r="5406" spans="1:4" x14ac:dyDescent="0.25">
      <c r="A5406" t="str">
        <f>"838942804"</f>
        <v>838942804</v>
      </c>
      <c r="B5406" t="s">
        <v>5114</v>
      </c>
      <c r="C5406">
        <v>19.72</v>
      </c>
      <c r="D5406" t="str">
        <f t="shared" si="211"/>
        <v>270</v>
      </c>
    </row>
    <row r="5407" spans="1:4" x14ac:dyDescent="0.25">
      <c r="A5407" t="str">
        <f>"838942805"</f>
        <v>838942805</v>
      </c>
      <c r="B5407" t="s">
        <v>5115</v>
      </c>
      <c r="C5407">
        <v>19.72</v>
      </c>
      <c r="D5407" t="str">
        <f t="shared" si="211"/>
        <v>270</v>
      </c>
    </row>
    <row r="5408" spans="1:4" x14ac:dyDescent="0.25">
      <c r="A5408" t="str">
        <f>"838942806"</f>
        <v>838942806</v>
      </c>
      <c r="B5408" t="s">
        <v>5116</v>
      </c>
      <c r="C5408">
        <v>19.579999999999998</v>
      </c>
      <c r="D5408" t="str">
        <f t="shared" si="211"/>
        <v>270</v>
      </c>
    </row>
    <row r="5409" spans="1:4" x14ac:dyDescent="0.25">
      <c r="A5409" t="str">
        <f>"838942807"</f>
        <v>838942807</v>
      </c>
      <c r="B5409" t="s">
        <v>5117</v>
      </c>
      <c r="C5409">
        <v>19.579999999999998</v>
      </c>
      <c r="D5409" t="str">
        <f t="shared" si="211"/>
        <v>270</v>
      </c>
    </row>
    <row r="5410" spans="1:4" x14ac:dyDescent="0.25">
      <c r="A5410" t="str">
        <f>"838942808"</f>
        <v>838942808</v>
      </c>
      <c r="B5410" t="s">
        <v>5118</v>
      </c>
      <c r="C5410">
        <v>9.93</v>
      </c>
      <c r="D5410" t="str">
        <f t="shared" si="211"/>
        <v>270</v>
      </c>
    </row>
    <row r="5411" spans="1:4" x14ac:dyDescent="0.25">
      <c r="A5411" t="str">
        <f>"838942809"</f>
        <v>838942809</v>
      </c>
      <c r="B5411" t="s">
        <v>5119</v>
      </c>
      <c r="C5411">
        <v>9.93</v>
      </c>
      <c r="D5411" t="str">
        <f t="shared" si="211"/>
        <v>270</v>
      </c>
    </row>
    <row r="5412" spans="1:4" x14ac:dyDescent="0.25">
      <c r="A5412" t="str">
        <f>"838942810"</f>
        <v>838942810</v>
      </c>
      <c r="B5412" t="s">
        <v>5120</v>
      </c>
      <c r="C5412">
        <v>15.36</v>
      </c>
      <c r="D5412" t="str">
        <f t="shared" si="211"/>
        <v>270</v>
      </c>
    </row>
    <row r="5413" spans="1:4" x14ac:dyDescent="0.25">
      <c r="A5413" t="str">
        <f>"838942811"</f>
        <v>838942811</v>
      </c>
      <c r="B5413" t="s">
        <v>5121</v>
      </c>
      <c r="C5413">
        <v>15.36</v>
      </c>
      <c r="D5413" t="str">
        <f t="shared" si="211"/>
        <v>270</v>
      </c>
    </row>
    <row r="5414" spans="1:4" x14ac:dyDescent="0.25">
      <c r="A5414" t="str">
        <f>"838942812"</f>
        <v>838942812</v>
      </c>
      <c r="B5414" t="s">
        <v>5122</v>
      </c>
      <c r="C5414">
        <v>31.05</v>
      </c>
      <c r="D5414" t="str">
        <f t="shared" si="211"/>
        <v>270</v>
      </c>
    </row>
    <row r="5415" spans="1:4" x14ac:dyDescent="0.25">
      <c r="A5415" t="str">
        <f>"838942813"</f>
        <v>838942813</v>
      </c>
      <c r="B5415" t="s">
        <v>5123</v>
      </c>
      <c r="C5415">
        <v>31.05</v>
      </c>
      <c r="D5415" t="str">
        <f t="shared" si="211"/>
        <v>270</v>
      </c>
    </row>
    <row r="5416" spans="1:4" x14ac:dyDescent="0.25">
      <c r="A5416" t="str">
        <f>"838942814"</f>
        <v>838942814</v>
      </c>
      <c r="B5416" t="s">
        <v>5124</v>
      </c>
      <c r="C5416">
        <v>10.27</v>
      </c>
      <c r="D5416" t="str">
        <f t="shared" si="211"/>
        <v>270</v>
      </c>
    </row>
    <row r="5417" spans="1:4" x14ac:dyDescent="0.25">
      <c r="A5417" t="str">
        <f>"838942815"</f>
        <v>838942815</v>
      </c>
      <c r="B5417" t="s">
        <v>5125</v>
      </c>
      <c r="C5417">
        <v>10.27</v>
      </c>
      <c r="D5417" t="str">
        <f t="shared" si="211"/>
        <v>270</v>
      </c>
    </row>
    <row r="5418" spans="1:4" x14ac:dyDescent="0.25">
      <c r="A5418" t="str">
        <f>"838942816"</f>
        <v>838942816</v>
      </c>
      <c r="B5418" t="s">
        <v>5126</v>
      </c>
      <c r="C5418">
        <v>10.27</v>
      </c>
      <c r="D5418" t="str">
        <f t="shared" si="211"/>
        <v>270</v>
      </c>
    </row>
    <row r="5419" spans="1:4" x14ac:dyDescent="0.25">
      <c r="A5419" t="str">
        <f>"838942817"</f>
        <v>838942817</v>
      </c>
      <c r="B5419" t="s">
        <v>5127</v>
      </c>
      <c r="C5419">
        <v>10.27</v>
      </c>
      <c r="D5419" t="str">
        <f t="shared" si="211"/>
        <v>270</v>
      </c>
    </row>
    <row r="5420" spans="1:4" x14ac:dyDescent="0.25">
      <c r="A5420" t="str">
        <f>"838942818"</f>
        <v>838942818</v>
      </c>
      <c r="B5420" t="s">
        <v>5128</v>
      </c>
      <c r="C5420">
        <v>9.3800000000000008</v>
      </c>
      <c r="D5420" t="str">
        <f t="shared" si="211"/>
        <v>270</v>
      </c>
    </row>
    <row r="5421" spans="1:4" x14ac:dyDescent="0.25">
      <c r="A5421" t="str">
        <f>"838942819"</f>
        <v>838942819</v>
      </c>
      <c r="B5421" t="s">
        <v>5129</v>
      </c>
      <c r="C5421">
        <v>9.3800000000000008</v>
      </c>
      <c r="D5421" t="str">
        <f t="shared" si="211"/>
        <v>270</v>
      </c>
    </row>
    <row r="5422" spans="1:4" x14ac:dyDescent="0.25">
      <c r="A5422" t="str">
        <f>"838942820"</f>
        <v>838942820</v>
      </c>
      <c r="B5422" t="s">
        <v>5130</v>
      </c>
      <c r="C5422">
        <v>9.3800000000000008</v>
      </c>
      <c r="D5422" t="str">
        <f t="shared" si="211"/>
        <v>270</v>
      </c>
    </row>
    <row r="5423" spans="1:4" x14ac:dyDescent="0.25">
      <c r="A5423" t="str">
        <f>"838942821"</f>
        <v>838942821</v>
      </c>
      <c r="B5423" t="s">
        <v>5131</v>
      </c>
      <c r="C5423">
        <v>9.3800000000000008</v>
      </c>
      <c r="D5423" t="str">
        <f t="shared" si="211"/>
        <v>270</v>
      </c>
    </row>
    <row r="5424" spans="1:4" x14ac:dyDescent="0.25">
      <c r="A5424" t="str">
        <f>"838942822"</f>
        <v>838942822</v>
      </c>
      <c r="B5424" t="s">
        <v>5132</v>
      </c>
      <c r="C5424">
        <v>9.93</v>
      </c>
      <c r="D5424" t="str">
        <f t="shared" si="211"/>
        <v>270</v>
      </c>
    </row>
    <row r="5425" spans="1:4" x14ac:dyDescent="0.25">
      <c r="A5425" t="str">
        <f>"838942823"</f>
        <v>838942823</v>
      </c>
      <c r="B5425" t="s">
        <v>5133</v>
      </c>
      <c r="C5425">
        <v>9.93</v>
      </c>
      <c r="D5425" t="str">
        <f t="shared" si="211"/>
        <v>270</v>
      </c>
    </row>
    <row r="5426" spans="1:4" x14ac:dyDescent="0.25">
      <c r="A5426" t="str">
        <f>"838942824"</f>
        <v>838942824</v>
      </c>
      <c r="B5426" t="s">
        <v>5134</v>
      </c>
      <c r="C5426">
        <v>9.93</v>
      </c>
      <c r="D5426" t="str">
        <f t="shared" si="211"/>
        <v>270</v>
      </c>
    </row>
    <row r="5427" spans="1:4" x14ac:dyDescent="0.25">
      <c r="A5427" t="str">
        <f>"838942825"</f>
        <v>838942825</v>
      </c>
      <c r="B5427" t="s">
        <v>5135</v>
      </c>
      <c r="C5427">
        <v>9.93</v>
      </c>
      <c r="D5427" t="str">
        <f t="shared" si="211"/>
        <v>270</v>
      </c>
    </row>
    <row r="5428" spans="1:4" x14ac:dyDescent="0.25">
      <c r="A5428" t="str">
        <f>"838942826"</f>
        <v>838942826</v>
      </c>
      <c r="B5428" t="s">
        <v>5136</v>
      </c>
      <c r="C5428">
        <v>9.7200000000000006</v>
      </c>
      <c r="D5428" t="str">
        <f t="shared" si="211"/>
        <v>270</v>
      </c>
    </row>
    <row r="5429" spans="1:4" x14ac:dyDescent="0.25">
      <c r="A5429" t="str">
        <f>"838942827"</f>
        <v>838942827</v>
      </c>
      <c r="B5429" t="s">
        <v>5137</v>
      </c>
      <c r="C5429">
        <v>9.7200000000000006</v>
      </c>
      <c r="D5429" t="str">
        <f t="shared" si="211"/>
        <v>270</v>
      </c>
    </row>
    <row r="5430" spans="1:4" x14ac:dyDescent="0.25">
      <c r="A5430" t="str">
        <f>"838942828"</f>
        <v>838942828</v>
      </c>
      <c r="B5430" t="s">
        <v>5138</v>
      </c>
      <c r="C5430">
        <v>9.7200000000000006</v>
      </c>
      <c r="D5430" t="str">
        <f t="shared" si="211"/>
        <v>270</v>
      </c>
    </row>
    <row r="5431" spans="1:4" x14ac:dyDescent="0.25">
      <c r="A5431" t="str">
        <f>"838942829"</f>
        <v>838942829</v>
      </c>
      <c r="B5431" t="s">
        <v>5139</v>
      </c>
      <c r="C5431">
        <v>9.7200000000000006</v>
      </c>
      <c r="D5431" t="str">
        <f t="shared" si="211"/>
        <v>270</v>
      </c>
    </row>
    <row r="5432" spans="1:4" x14ac:dyDescent="0.25">
      <c r="A5432" t="str">
        <f>"838942830"</f>
        <v>838942830</v>
      </c>
      <c r="B5432" t="s">
        <v>5140</v>
      </c>
      <c r="C5432">
        <v>15.36</v>
      </c>
      <c r="D5432" t="str">
        <f t="shared" si="211"/>
        <v>270</v>
      </c>
    </row>
    <row r="5433" spans="1:4" x14ac:dyDescent="0.25">
      <c r="A5433" t="str">
        <f>"838942831"</f>
        <v>838942831</v>
      </c>
      <c r="B5433" t="s">
        <v>5141</v>
      </c>
      <c r="C5433">
        <v>15.36</v>
      </c>
      <c r="D5433" t="str">
        <f t="shared" si="211"/>
        <v>270</v>
      </c>
    </row>
    <row r="5434" spans="1:4" x14ac:dyDescent="0.25">
      <c r="A5434" t="str">
        <f>"838942832"</f>
        <v>838942832</v>
      </c>
      <c r="B5434" t="s">
        <v>5142</v>
      </c>
      <c r="C5434">
        <v>8.56</v>
      </c>
      <c r="D5434" t="str">
        <f t="shared" si="211"/>
        <v>270</v>
      </c>
    </row>
    <row r="5435" spans="1:4" x14ac:dyDescent="0.25">
      <c r="A5435" t="str">
        <f>"838942833"</f>
        <v>838942833</v>
      </c>
      <c r="B5435" t="s">
        <v>5143</v>
      </c>
      <c r="C5435">
        <v>8.56</v>
      </c>
      <c r="D5435" t="str">
        <f t="shared" ref="D5435:D5498" si="212">"270"</f>
        <v>270</v>
      </c>
    </row>
    <row r="5436" spans="1:4" x14ac:dyDescent="0.25">
      <c r="A5436" t="str">
        <f>"838942834"</f>
        <v>838942834</v>
      </c>
      <c r="B5436" t="s">
        <v>5144</v>
      </c>
      <c r="C5436">
        <v>8.56</v>
      </c>
      <c r="D5436" t="str">
        <f t="shared" si="212"/>
        <v>270</v>
      </c>
    </row>
    <row r="5437" spans="1:4" x14ac:dyDescent="0.25">
      <c r="A5437" t="str">
        <f>"838942835"</f>
        <v>838942835</v>
      </c>
      <c r="B5437" t="s">
        <v>5145</v>
      </c>
      <c r="C5437">
        <v>8.56</v>
      </c>
      <c r="D5437" t="str">
        <f t="shared" si="212"/>
        <v>270</v>
      </c>
    </row>
    <row r="5438" spans="1:4" x14ac:dyDescent="0.25">
      <c r="A5438" t="str">
        <f>"838942836"</f>
        <v>838942836</v>
      </c>
      <c r="B5438" t="s">
        <v>5146</v>
      </c>
      <c r="C5438">
        <v>9.52</v>
      </c>
      <c r="D5438" t="str">
        <f t="shared" si="212"/>
        <v>270</v>
      </c>
    </row>
    <row r="5439" spans="1:4" x14ac:dyDescent="0.25">
      <c r="A5439" t="str">
        <f>"838942837"</f>
        <v>838942837</v>
      </c>
      <c r="B5439" t="s">
        <v>5147</v>
      </c>
      <c r="C5439">
        <v>9.52</v>
      </c>
      <c r="D5439" t="str">
        <f t="shared" si="212"/>
        <v>270</v>
      </c>
    </row>
    <row r="5440" spans="1:4" x14ac:dyDescent="0.25">
      <c r="A5440" t="str">
        <f>"838942838"</f>
        <v>838942838</v>
      </c>
      <c r="B5440" t="s">
        <v>5148</v>
      </c>
      <c r="C5440">
        <v>20.02</v>
      </c>
      <c r="D5440" t="str">
        <f t="shared" si="212"/>
        <v>270</v>
      </c>
    </row>
    <row r="5441" spans="1:4" x14ac:dyDescent="0.25">
      <c r="A5441" t="str">
        <f>"838942839"</f>
        <v>838942839</v>
      </c>
      <c r="B5441" t="s">
        <v>5149</v>
      </c>
      <c r="C5441">
        <v>20.02</v>
      </c>
      <c r="D5441" t="str">
        <f t="shared" si="212"/>
        <v>270</v>
      </c>
    </row>
    <row r="5442" spans="1:4" x14ac:dyDescent="0.25">
      <c r="A5442" t="str">
        <f>"838942840"</f>
        <v>838942840</v>
      </c>
      <c r="B5442" t="s">
        <v>5150</v>
      </c>
      <c r="C5442">
        <v>8.6</v>
      </c>
      <c r="D5442" t="str">
        <f t="shared" si="212"/>
        <v>270</v>
      </c>
    </row>
    <row r="5443" spans="1:4" x14ac:dyDescent="0.25">
      <c r="A5443" t="str">
        <f>"838942841"</f>
        <v>838942841</v>
      </c>
      <c r="B5443" t="s">
        <v>5151</v>
      </c>
      <c r="C5443">
        <v>8.6</v>
      </c>
      <c r="D5443" t="str">
        <f t="shared" si="212"/>
        <v>270</v>
      </c>
    </row>
    <row r="5444" spans="1:4" x14ac:dyDescent="0.25">
      <c r="A5444" t="str">
        <f>"838942842"</f>
        <v>838942842</v>
      </c>
      <c r="B5444" t="s">
        <v>5152</v>
      </c>
      <c r="C5444">
        <v>8.42</v>
      </c>
      <c r="D5444" t="str">
        <f t="shared" si="212"/>
        <v>270</v>
      </c>
    </row>
    <row r="5445" spans="1:4" x14ac:dyDescent="0.25">
      <c r="A5445" t="str">
        <f>"838942843"</f>
        <v>838942843</v>
      </c>
      <c r="B5445" t="s">
        <v>5153</v>
      </c>
      <c r="C5445">
        <v>8.42</v>
      </c>
      <c r="D5445" t="str">
        <f t="shared" si="212"/>
        <v>270</v>
      </c>
    </row>
    <row r="5446" spans="1:4" x14ac:dyDescent="0.25">
      <c r="A5446" t="str">
        <f>"838942844"</f>
        <v>838942844</v>
      </c>
      <c r="B5446" t="s">
        <v>5154</v>
      </c>
      <c r="C5446">
        <v>8.42</v>
      </c>
      <c r="D5446" t="str">
        <f t="shared" si="212"/>
        <v>270</v>
      </c>
    </row>
    <row r="5447" spans="1:4" x14ac:dyDescent="0.25">
      <c r="A5447" t="str">
        <f>"838942845"</f>
        <v>838942845</v>
      </c>
      <c r="B5447" t="s">
        <v>5155</v>
      </c>
      <c r="C5447">
        <v>8.42</v>
      </c>
      <c r="D5447" t="str">
        <f t="shared" si="212"/>
        <v>270</v>
      </c>
    </row>
    <row r="5448" spans="1:4" x14ac:dyDescent="0.25">
      <c r="A5448" t="str">
        <f>"838942846"</f>
        <v>838942846</v>
      </c>
      <c r="B5448" t="s">
        <v>5156</v>
      </c>
      <c r="C5448">
        <v>8.42</v>
      </c>
      <c r="D5448" t="str">
        <f t="shared" si="212"/>
        <v>270</v>
      </c>
    </row>
    <row r="5449" spans="1:4" x14ac:dyDescent="0.25">
      <c r="A5449" t="str">
        <f>"838942847"</f>
        <v>838942847</v>
      </c>
      <c r="B5449" t="s">
        <v>5157</v>
      </c>
      <c r="C5449">
        <v>8.42</v>
      </c>
      <c r="D5449" t="str">
        <f t="shared" si="212"/>
        <v>270</v>
      </c>
    </row>
    <row r="5450" spans="1:4" x14ac:dyDescent="0.25">
      <c r="A5450" t="str">
        <f>"838942848"</f>
        <v>838942848</v>
      </c>
      <c r="B5450" t="s">
        <v>5158</v>
      </c>
      <c r="C5450">
        <v>8.42</v>
      </c>
      <c r="D5450" t="str">
        <f t="shared" si="212"/>
        <v>270</v>
      </c>
    </row>
    <row r="5451" spans="1:4" x14ac:dyDescent="0.25">
      <c r="A5451" t="str">
        <f>"838942849"</f>
        <v>838942849</v>
      </c>
      <c r="B5451" t="s">
        <v>5159</v>
      </c>
      <c r="C5451">
        <v>8.42</v>
      </c>
      <c r="D5451" t="str">
        <f t="shared" si="212"/>
        <v>270</v>
      </c>
    </row>
    <row r="5452" spans="1:4" x14ac:dyDescent="0.25">
      <c r="A5452" t="str">
        <f>"838942850"</f>
        <v>838942850</v>
      </c>
      <c r="B5452" t="s">
        <v>5160</v>
      </c>
      <c r="C5452">
        <v>8.56</v>
      </c>
      <c r="D5452" t="str">
        <f t="shared" si="212"/>
        <v>270</v>
      </c>
    </row>
    <row r="5453" spans="1:4" x14ac:dyDescent="0.25">
      <c r="A5453" t="str">
        <f>"838942851"</f>
        <v>838942851</v>
      </c>
      <c r="B5453" t="s">
        <v>5161</v>
      </c>
      <c r="C5453">
        <v>8.56</v>
      </c>
      <c r="D5453" t="str">
        <f t="shared" si="212"/>
        <v>270</v>
      </c>
    </row>
    <row r="5454" spans="1:4" x14ac:dyDescent="0.25">
      <c r="A5454" t="str">
        <f>"838942852"</f>
        <v>838942852</v>
      </c>
      <c r="B5454" t="s">
        <v>5162</v>
      </c>
      <c r="C5454">
        <v>8.25</v>
      </c>
      <c r="D5454" t="str">
        <f t="shared" si="212"/>
        <v>270</v>
      </c>
    </row>
    <row r="5455" spans="1:4" x14ac:dyDescent="0.25">
      <c r="A5455" t="str">
        <f>"838942853"</f>
        <v>838942853</v>
      </c>
      <c r="B5455" t="s">
        <v>5163</v>
      </c>
      <c r="C5455">
        <v>8.25</v>
      </c>
      <c r="D5455" t="str">
        <f t="shared" si="212"/>
        <v>270</v>
      </c>
    </row>
    <row r="5456" spans="1:4" x14ac:dyDescent="0.25">
      <c r="A5456" t="str">
        <f>"838942854"</f>
        <v>838942854</v>
      </c>
      <c r="B5456" t="s">
        <v>5164</v>
      </c>
      <c r="C5456">
        <v>8.25</v>
      </c>
      <c r="D5456" t="str">
        <f t="shared" si="212"/>
        <v>270</v>
      </c>
    </row>
    <row r="5457" spans="1:4" x14ac:dyDescent="0.25">
      <c r="A5457" t="str">
        <f>"838942855"</f>
        <v>838942855</v>
      </c>
      <c r="B5457" t="s">
        <v>5165</v>
      </c>
      <c r="C5457">
        <v>8.25</v>
      </c>
      <c r="D5457" t="str">
        <f t="shared" si="212"/>
        <v>270</v>
      </c>
    </row>
    <row r="5458" spans="1:4" x14ac:dyDescent="0.25">
      <c r="A5458" t="str">
        <f>"838942856"</f>
        <v>838942856</v>
      </c>
      <c r="B5458" t="s">
        <v>5166</v>
      </c>
      <c r="C5458">
        <v>7.94</v>
      </c>
      <c r="D5458" t="str">
        <f t="shared" si="212"/>
        <v>270</v>
      </c>
    </row>
    <row r="5459" spans="1:4" x14ac:dyDescent="0.25">
      <c r="A5459" t="str">
        <f>"838942857"</f>
        <v>838942857</v>
      </c>
      <c r="B5459" t="s">
        <v>5167</v>
      </c>
      <c r="C5459">
        <v>7.94</v>
      </c>
      <c r="D5459" t="str">
        <f t="shared" si="212"/>
        <v>270</v>
      </c>
    </row>
    <row r="5460" spans="1:4" x14ac:dyDescent="0.25">
      <c r="A5460" t="str">
        <f>"838942858"</f>
        <v>838942858</v>
      </c>
      <c r="B5460" t="s">
        <v>5168</v>
      </c>
      <c r="C5460">
        <v>29.88</v>
      </c>
      <c r="D5460" t="str">
        <f t="shared" si="212"/>
        <v>270</v>
      </c>
    </row>
    <row r="5461" spans="1:4" x14ac:dyDescent="0.25">
      <c r="A5461" t="str">
        <f>"838942859"</f>
        <v>838942859</v>
      </c>
      <c r="B5461" t="s">
        <v>5169</v>
      </c>
      <c r="C5461">
        <v>29.88</v>
      </c>
      <c r="D5461" t="str">
        <f t="shared" si="212"/>
        <v>270</v>
      </c>
    </row>
    <row r="5462" spans="1:4" x14ac:dyDescent="0.25">
      <c r="A5462" t="str">
        <f>"838942860"</f>
        <v>838942860</v>
      </c>
      <c r="B5462" t="s">
        <v>5170</v>
      </c>
      <c r="C5462">
        <v>30.47</v>
      </c>
      <c r="D5462" t="str">
        <f t="shared" si="212"/>
        <v>270</v>
      </c>
    </row>
    <row r="5463" spans="1:4" x14ac:dyDescent="0.25">
      <c r="A5463" t="str">
        <f>"838942861"</f>
        <v>838942861</v>
      </c>
      <c r="B5463" t="s">
        <v>5171</v>
      </c>
      <c r="C5463">
        <v>30.47</v>
      </c>
      <c r="D5463" t="str">
        <f t="shared" si="212"/>
        <v>270</v>
      </c>
    </row>
    <row r="5464" spans="1:4" x14ac:dyDescent="0.25">
      <c r="A5464" t="str">
        <f>"838942862"</f>
        <v>838942862</v>
      </c>
      <c r="B5464" t="s">
        <v>5172</v>
      </c>
      <c r="C5464">
        <v>22.19</v>
      </c>
      <c r="D5464" t="str">
        <f t="shared" si="212"/>
        <v>270</v>
      </c>
    </row>
    <row r="5465" spans="1:4" x14ac:dyDescent="0.25">
      <c r="A5465" t="str">
        <f>"838942863"</f>
        <v>838942863</v>
      </c>
      <c r="B5465" t="s">
        <v>5173</v>
      </c>
      <c r="C5465">
        <v>22.19</v>
      </c>
      <c r="D5465" t="str">
        <f t="shared" si="212"/>
        <v>270</v>
      </c>
    </row>
    <row r="5466" spans="1:4" x14ac:dyDescent="0.25">
      <c r="A5466" t="str">
        <f>"838942864"</f>
        <v>838942864</v>
      </c>
      <c r="B5466" t="s">
        <v>5174</v>
      </c>
      <c r="C5466">
        <v>21.95</v>
      </c>
      <c r="D5466" t="str">
        <f t="shared" si="212"/>
        <v>270</v>
      </c>
    </row>
    <row r="5467" spans="1:4" x14ac:dyDescent="0.25">
      <c r="A5467" t="str">
        <f>"838942865"</f>
        <v>838942865</v>
      </c>
      <c r="B5467" t="s">
        <v>5175</v>
      </c>
      <c r="C5467">
        <v>21.95</v>
      </c>
      <c r="D5467" t="str">
        <f t="shared" si="212"/>
        <v>270</v>
      </c>
    </row>
    <row r="5468" spans="1:4" x14ac:dyDescent="0.25">
      <c r="A5468" t="str">
        <f>"838942866"</f>
        <v>838942866</v>
      </c>
      <c r="B5468" t="s">
        <v>5176</v>
      </c>
      <c r="C5468">
        <v>21.74</v>
      </c>
      <c r="D5468" t="str">
        <f t="shared" si="212"/>
        <v>270</v>
      </c>
    </row>
    <row r="5469" spans="1:4" x14ac:dyDescent="0.25">
      <c r="A5469" t="str">
        <f>"838942867"</f>
        <v>838942867</v>
      </c>
      <c r="B5469" t="s">
        <v>5177</v>
      </c>
      <c r="C5469">
        <v>21.74</v>
      </c>
      <c r="D5469" t="str">
        <f t="shared" si="212"/>
        <v>270</v>
      </c>
    </row>
    <row r="5470" spans="1:4" x14ac:dyDescent="0.25">
      <c r="A5470" t="str">
        <f>"838942868"</f>
        <v>838942868</v>
      </c>
      <c r="B5470" t="s">
        <v>5178</v>
      </c>
      <c r="C5470">
        <v>20.87</v>
      </c>
      <c r="D5470" t="str">
        <f t="shared" si="212"/>
        <v>270</v>
      </c>
    </row>
    <row r="5471" spans="1:4" x14ac:dyDescent="0.25">
      <c r="A5471" t="str">
        <f>"838942869"</f>
        <v>838942869</v>
      </c>
      <c r="B5471" t="s">
        <v>5179</v>
      </c>
      <c r="C5471">
        <v>20.87</v>
      </c>
      <c r="D5471" t="str">
        <f t="shared" si="212"/>
        <v>270</v>
      </c>
    </row>
    <row r="5472" spans="1:4" x14ac:dyDescent="0.25">
      <c r="A5472" t="str">
        <f>"838942870"</f>
        <v>838942870</v>
      </c>
      <c r="B5472" t="s">
        <v>5180</v>
      </c>
      <c r="C5472">
        <v>20.87</v>
      </c>
      <c r="D5472" t="str">
        <f t="shared" si="212"/>
        <v>270</v>
      </c>
    </row>
    <row r="5473" spans="1:4" x14ac:dyDescent="0.25">
      <c r="A5473" t="str">
        <f>"838942871"</f>
        <v>838942871</v>
      </c>
      <c r="B5473" t="s">
        <v>5180</v>
      </c>
      <c r="C5473">
        <v>20.87</v>
      </c>
      <c r="D5473" t="str">
        <f t="shared" si="212"/>
        <v>270</v>
      </c>
    </row>
    <row r="5474" spans="1:4" x14ac:dyDescent="0.25">
      <c r="A5474" t="str">
        <f>"838942872"</f>
        <v>838942872</v>
      </c>
      <c r="B5474" t="s">
        <v>5181</v>
      </c>
      <c r="C5474">
        <v>18.38</v>
      </c>
      <c r="D5474" t="str">
        <f t="shared" si="212"/>
        <v>270</v>
      </c>
    </row>
    <row r="5475" spans="1:4" x14ac:dyDescent="0.25">
      <c r="A5475" t="str">
        <f>"838942873"</f>
        <v>838942873</v>
      </c>
      <c r="B5475" t="s">
        <v>5181</v>
      </c>
      <c r="C5475">
        <v>18.38</v>
      </c>
      <c r="D5475" t="str">
        <f t="shared" si="212"/>
        <v>270</v>
      </c>
    </row>
    <row r="5476" spans="1:4" x14ac:dyDescent="0.25">
      <c r="A5476" t="str">
        <f>"838942874"</f>
        <v>838942874</v>
      </c>
      <c r="B5476" t="s">
        <v>5182</v>
      </c>
      <c r="C5476">
        <v>18.38</v>
      </c>
      <c r="D5476" t="str">
        <f t="shared" si="212"/>
        <v>270</v>
      </c>
    </row>
    <row r="5477" spans="1:4" x14ac:dyDescent="0.25">
      <c r="A5477" t="str">
        <f>"838942875"</f>
        <v>838942875</v>
      </c>
      <c r="B5477" t="s">
        <v>5182</v>
      </c>
      <c r="C5477">
        <v>18.38</v>
      </c>
      <c r="D5477" t="str">
        <f t="shared" si="212"/>
        <v>270</v>
      </c>
    </row>
    <row r="5478" spans="1:4" x14ac:dyDescent="0.25">
      <c r="A5478" t="str">
        <f>"838942876"</f>
        <v>838942876</v>
      </c>
      <c r="B5478" t="s">
        <v>5183</v>
      </c>
      <c r="C5478">
        <v>20.6</v>
      </c>
      <c r="D5478" t="str">
        <f t="shared" si="212"/>
        <v>270</v>
      </c>
    </row>
    <row r="5479" spans="1:4" x14ac:dyDescent="0.25">
      <c r="A5479" t="str">
        <f>"838942877"</f>
        <v>838942877</v>
      </c>
      <c r="B5479" t="s">
        <v>5183</v>
      </c>
      <c r="C5479">
        <v>20.6</v>
      </c>
      <c r="D5479" t="str">
        <f t="shared" si="212"/>
        <v>270</v>
      </c>
    </row>
    <row r="5480" spans="1:4" x14ac:dyDescent="0.25">
      <c r="A5480" t="str">
        <f>"838942878"</f>
        <v>838942878</v>
      </c>
      <c r="B5480" t="s">
        <v>5184</v>
      </c>
      <c r="C5480">
        <v>20.6</v>
      </c>
      <c r="D5480" t="str">
        <f t="shared" si="212"/>
        <v>270</v>
      </c>
    </row>
    <row r="5481" spans="1:4" x14ac:dyDescent="0.25">
      <c r="A5481" t="str">
        <f>"838942879"</f>
        <v>838942879</v>
      </c>
      <c r="B5481" t="s">
        <v>5185</v>
      </c>
      <c r="C5481">
        <v>20.6</v>
      </c>
      <c r="D5481" t="str">
        <f t="shared" si="212"/>
        <v>270</v>
      </c>
    </row>
    <row r="5482" spans="1:4" x14ac:dyDescent="0.25">
      <c r="A5482" t="str">
        <f>"838942880"</f>
        <v>838942880</v>
      </c>
      <c r="B5482" t="s">
        <v>5186</v>
      </c>
      <c r="C5482">
        <v>43.98</v>
      </c>
      <c r="D5482" t="str">
        <f t="shared" si="212"/>
        <v>270</v>
      </c>
    </row>
    <row r="5483" spans="1:4" x14ac:dyDescent="0.25">
      <c r="A5483" t="str">
        <f>"838942881"</f>
        <v>838942881</v>
      </c>
      <c r="B5483" t="s">
        <v>5187</v>
      </c>
      <c r="C5483">
        <v>43.98</v>
      </c>
      <c r="D5483" t="str">
        <f t="shared" si="212"/>
        <v>270</v>
      </c>
    </row>
    <row r="5484" spans="1:4" x14ac:dyDescent="0.25">
      <c r="A5484" t="str">
        <f>"838942882"</f>
        <v>838942882</v>
      </c>
      <c r="B5484" t="s">
        <v>5188</v>
      </c>
      <c r="C5484">
        <v>19.559999999999999</v>
      </c>
      <c r="D5484" t="str">
        <f t="shared" si="212"/>
        <v>270</v>
      </c>
    </row>
    <row r="5485" spans="1:4" x14ac:dyDescent="0.25">
      <c r="A5485" t="str">
        <f>"838942883"</f>
        <v>838942883</v>
      </c>
      <c r="B5485" t="s">
        <v>5189</v>
      </c>
      <c r="C5485">
        <v>19.559999999999999</v>
      </c>
      <c r="D5485" t="str">
        <f t="shared" si="212"/>
        <v>270</v>
      </c>
    </row>
    <row r="5486" spans="1:4" x14ac:dyDescent="0.25">
      <c r="A5486" t="str">
        <f>"838942884"</f>
        <v>838942884</v>
      </c>
      <c r="B5486" t="s">
        <v>5190</v>
      </c>
      <c r="C5486">
        <v>38.229999999999997</v>
      </c>
      <c r="D5486" t="str">
        <f t="shared" si="212"/>
        <v>270</v>
      </c>
    </row>
    <row r="5487" spans="1:4" x14ac:dyDescent="0.25">
      <c r="A5487" t="str">
        <f>"838942885"</f>
        <v>838942885</v>
      </c>
      <c r="B5487" t="s">
        <v>5191</v>
      </c>
      <c r="C5487">
        <v>38.229999999999997</v>
      </c>
      <c r="D5487" t="str">
        <f t="shared" si="212"/>
        <v>270</v>
      </c>
    </row>
    <row r="5488" spans="1:4" x14ac:dyDescent="0.25">
      <c r="A5488" t="str">
        <f>"838942886"</f>
        <v>838942886</v>
      </c>
      <c r="B5488" t="s">
        <v>5192</v>
      </c>
      <c r="C5488">
        <v>26.17</v>
      </c>
      <c r="D5488" t="str">
        <f t="shared" si="212"/>
        <v>270</v>
      </c>
    </row>
    <row r="5489" spans="1:4" x14ac:dyDescent="0.25">
      <c r="A5489" t="str">
        <f>"838942887"</f>
        <v>838942887</v>
      </c>
      <c r="B5489" t="s">
        <v>5193</v>
      </c>
      <c r="C5489">
        <v>26.17</v>
      </c>
      <c r="D5489" t="str">
        <f t="shared" si="212"/>
        <v>270</v>
      </c>
    </row>
    <row r="5490" spans="1:4" x14ac:dyDescent="0.25">
      <c r="A5490" t="str">
        <f>"838942888"</f>
        <v>838942888</v>
      </c>
      <c r="B5490" t="s">
        <v>5194</v>
      </c>
      <c r="C5490">
        <v>36.869999999999997</v>
      </c>
      <c r="D5490" t="str">
        <f t="shared" si="212"/>
        <v>270</v>
      </c>
    </row>
    <row r="5491" spans="1:4" x14ac:dyDescent="0.25">
      <c r="A5491" t="str">
        <f>"838942889"</f>
        <v>838942889</v>
      </c>
      <c r="B5491" t="s">
        <v>5194</v>
      </c>
      <c r="C5491">
        <v>36.869999999999997</v>
      </c>
      <c r="D5491" t="str">
        <f t="shared" si="212"/>
        <v>270</v>
      </c>
    </row>
    <row r="5492" spans="1:4" x14ac:dyDescent="0.25">
      <c r="A5492" t="str">
        <f>"838942890"</f>
        <v>838942890</v>
      </c>
      <c r="B5492" t="s">
        <v>5195</v>
      </c>
      <c r="C5492">
        <v>15.25</v>
      </c>
      <c r="D5492" t="str">
        <f t="shared" si="212"/>
        <v>270</v>
      </c>
    </row>
    <row r="5493" spans="1:4" x14ac:dyDescent="0.25">
      <c r="A5493" t="str">
        <f>"838942891"</f>
        <v>838942891</v>
      </c>
      <c r="B5493" t="s">
        <v>5196</v>
      </c>
      <c r="C5493">
        <v>15.25</v>
      </c>
      <c r="D5493" t="str">
        <f t="shared" si="212"/>
        <v>270</v>
      </c>
    </row>
    <row r="5494" spans="1:4" x14ac:dyDescent="0.25">
      <c r="A5494" t="str">
        <f>"838942892"</f>
        <v>838942892</v>
      </c>
      <c r="B5494" t="s">
        <v>5197</v>
      </c>
      <c r="C5494">
        <v>9.93</v>
      </c>
      <c r="D5494" t="str">
        <f t="shared" si="212"/>
        <v>270</v>
      </c>
    </row>
    <row r="5495" spans="1:4" x14ac:dyDescent="0.25">
      <c r="A5495" t="str">
        <f>"838942893"</f>
        <v>838942893</v>
      </c>
      <c r="B5495" t="s">
        <v>5198</v>
      </c>
      <c r="C5495">
        <v>9.93</v>
      </c>
      <c r="D5495" t="str">
        <f t="shared" si="212"/>
        <v>270</v>
      </c>
    </row>
    <row r="5496" spans="1:4" x14ac:dyDescent="0.25">
      <c r="A5496" t="str">
        <f>"838942894"</f>
        <v>838942894</v>
      </c>
      <c r="B5496" t="s">
        <v>5199</v>
      </c>
      <c r="C5496">
        <v>25.77</v>
      </c>
      <c r="D5496" t="str">
        <f t="shared" si="212"/>
        <v>270</v>
      </c>
    </row>
    <row r="5497" spans="1:4" x14ac:dyDescent="0.25">
      <c r="A5497" t="str">
        <f>"838942895"</f>
        <v>838942895</v>
      </c>
      <c r="B5497" t="s">
        <v>5200</v>
      </c>
      <c r="C5497">
        <v>25.77</v>
      </c>
      <c r="D5497" t="str">
        <f t="shared" si="212"/>
        <v>270</v>
      </c>
    </row>
    <row r="5498" spans="1:4" x14ac:dyDescent="0.25">
      <c r="A5498" t="str">
        <f>"838942896"</f>
        <v>838942896</v>
      </c>
      <c r="B5498" t="s">
        <v>5201</v>
      </c>
      <c r="C5498">
        <v>9.6300000000000008</v>
      </c>
      <c r="D5498" t="str">
        <f t="shared" si="212"/>
        <v>270</v>
      </c>
    </row>
    <row r="5499" spans="1:4" x14ac:dyDescent="0.25">
      <c r="A5499" t="str">
        <f>"838942897"</f>
        <v>838942897</v>
      </c>
      <c r="B5499" t="s">
        <v>5202</v>
      </c>
      <c r="C5499">
        <v>9.6300000000000008</v>
      </c>
      <c r="D5499" t="str">
        <f t="shared" ref="D5499:D5562" si="213">"270"</f>
        <v>270</v>
      </c>
    </row>
    <row r="5500" spans="1:4" x14ac:dyDescent="0.25">
      <c r="A5500" t="str">
        <f>"838942898"</f>
        <v>838942898</v>
      </c>
      <c r="B5500" t="s">
        <v>5203</v>
      </c>
      <c r="C5500">
        <v>8.4</v>
      </c>
      <c r="D5500" t="str">
        <f t="shared" si="213"/>
        <v>270</v>
      </c>
    </row>
    <row r="5501" spans="1:4" x14ac:dyDescent="0.25">
      <c r="A5501" t="str">
        <f>"838942899"</f>
        <v>838942899</v>
      </c>
      <c r="B5501" t="s">
        <v>5204</v>
      </c>
      <c r="C5501">
        <v>8.4</v>
      </c>
      <c r="D5501" t="str">
        <f t="shared" si="213"/>
        <v>270</v>
      </c>
    </row>
    <row r="5502" spans="1:4" x14ac:dyDescent="0.25">
      <c r="A5502" t="str">
        <f>"838942900"</f>
        <v>838942900</v>
      </c>
      <c r="B5502" t="s">
        <v>5205</v>
      </c>
      <c r="C5502">
        <v>72.510000000000005</v>
      </c>
      <c r="D5502" t="str">
        <f t="shared" si="213"/>
        <v>270</v>
      </c>
    </row>
    <row r="5503" spans="1:4" x14ac:dyDescent="0.25">
      <c r="A5503" t="str">
        <f>"838942901"</f>
        <v>838942901</v>
      </c>
      <c r="B5503" t="s">
        <v>5206</v>
      </c>
      <c r="C5503">
        <v>72.510000000000005</v>
      </c>
      <c r="D5503" t="str">
        <f t="shared" si="213"/>
        <v>270</v>
      </c>
    </row>
    <row r="5504" spans="1:4" x14ac:dyDescent="0.25">
      <c r="A5504" t="str">
        <f>"838942902"</f>
        <v>838942902</v>
      </c>
      <c r="B5504" t="s">
        <v>5207</v>
      </c>
      <c r="C5504">
        <v>15.73</v>
      </c>
      <c r="D5504" t="str">
        <f t="shared" si="213"/>
        <v>270</v>
      </c>
    </row>
    <row r="5505" spans="1:4" x14ac:dyDescent="0.25">
      <c r="A5505" t="str">
        <f>"838942903"</f>
        <v>838942903</v>
      </c>
      <c r="B5505" t="s">
        <v>5208</v>
      </c>
      <c r="C5505">
        <v>15.73</v>
      </c>
      <c r="D5505" t="str">
        <f t="shared" si="213"/>
        <v>270</v>
      </c>
    </row>
    <row r="5506" spans="1:4" x14ac:dyDescent="0.25">
      <c r="A5506" t="str">
        <f>"838942904"</f>
        <v>838942904</v>
      </c>
      <c r="B5506" t="s">
        <v>5209</v>
      </c>
      <c r="C5506">
        <v>35.619999999999997</v>
      </c>
      <c r="D5506" t="str">
        <f t="shared" si="213"/>
        <v>270</v>
      </c>
    </row>
    <row r="5507" spans="1:4" x14ac:dyDescent="0.25">
      <c r="A5507" t="str">
        <f>"838942905"</f>
        <v>838942905</v>
      </c>
      <c r="B5507" t="s">
        <v>5210</v>
      </c>
      <c r="C5507">
        <v>35.619999999999997</v>
      </c>
      <c r="D5507" t="str">
        <f t="shared" si="213"/>
        <v>270</v>
      </c>
    </row>
    <row r="5508" spans="1:4" x14ac:dyDescent="0.25">
      <c r="A5508" t="str">
        <f>"838942906"</f>
        <v>838942906</v>
      </c>
      <c r="B5508" t="s">
        <v>5211</v>
      </c>
      <c r="C5508">
        <v>73.67</v>
      </c>
      <c r="D5508" t="str">
        <f t="shared" si="213"/>
        <v>270</v>
      </c>
    </row>
    <row r="5509" spans="1:4" x14ac:dyDescent="0.25">
      <c r="A5509" t="str">
        <f>"838942907"</f>
        <v>838942907</v>
      </c>
      <c r="B5509" t="s">
        <v>5212</v>
      </c>
      <c r="C5509">
        <v>73.67</v>
      </c>
      <c r="D5509" t="str">
        <f t="shared" si="213"/>
        <v>270</v>
      </c>
    </row>
    <row r="5510" spans="1:4" x14ac:dyDescent="0.25">
      <c r="A5510" t="str">
        <f>"838942908"</f>
        <v>838942908</v>
      </c>
      <c r="B5510" t="s">
        <v>5213</v>
      </c>
      <c r="C5510">
        <v>64.77</v>
      </c>
      <c r="D5510" t="str">
        <f t="shared" si="213"/>
        <v>270</v>
      </c>
    </row>
    <row r="5511" spans="1:4" x14ac:dyDescent="0.25">
      <c r="A5511" t="str">
        <f>"838942909"</f>
        <v>838942909</v>
      </c>
      <c r="B5511" t="s">
        <v>5213</v>
      </c>
      <c r="C5511">
        <v>64.77</v>
      </c>
      <c r="D5511" t="str">
        <f t="shared" si="213"/>
        <v>270</v>
      </c>
    </row>
    <row r="5512" spans="1:4" x14ac:dyDescent="0.25">
      <c r="A5512" t="str">
        <f>"838942910"</f>
        <v>838942910</v>
      </c>
      <c r="B5512" t="s">
        <v>5214</v>
      </c>
      <c r="C5512">
        <v>36.69</v>
      </c>
      <c r="D5512" t="str">
        <f t="shared" si="213"/>
        <v>270</v>
      </c>
    </row>
    <row r="5513" spans="1:4" x14ac:dyDescent="0.25">
      <c r="A5513" t="str">
        <f>"838942911"</f>
        <v>838942911</v>
      </c>
      <c r="B5513" t="s">
        <v>5215</v>
      </c>
      <c r="C5513">
        <v>36.69</v>
      </c>
      <c r="D5513" t="str">
        <f t="shared" si="213"/>
        <v>270</v>
      </c>
    </row>
    <row r="5514" spans="1:4" x14ac:dyDescent="0.25">
      <c r="A5514" t="str">
        <f>"838942912"</f>
        <v>838942912</v>
      </c>
      <c r="B5514" t="s">
        <v>5216</v>
      </c>
      <c r="C5514">
        <v>15.29</v>
      </c>
      <c r="D5514" t="str">
        <f t="shared" si="213"/>
        <v>270</v>
      </c>
    </row>
    <row r="5515" spans="1:4" x14ac:dyDescent="0.25">
      <c r="A5515" t="str">
        <f>"838942913"</f>
        <v>838942913</v>
      </c>
      <c r="B5515" t="s">
        <v>5216</v>
      </c>
      <c r="C5515">
        <v>15.29</v>
      </c>
      <c r="D5515" t="str">
        <f t="shared" si="213"/>
        <v>270</v>
      </c>
    </row>
    <row r="5516" spans="1:4" x14ac:dyDescent="0.25">
      <c r="A5516" t="str">
        <f>"838942914"</f>
        <v>838942914</v>
      </c>
      <c r="B5516" t="s">
        <v>5217</v>
      </c>
      <c r="C5516">
        <v>61.6</v>
      </c>
      <c r="D5516" t="str">
        <f t="shared" si="213"/>
        <v>270</v>
      </c>
    </row>
    <row r="5517" spans="1:4" x14ac:dyDescent="0.25">
      <c r="A5517" t="str">
        <f>"838942915"</f>
        <v>838942915</v>
      </c>
      <c r="B5517" t="s">
        <v>5218</v>
      </c>
      <c r="C5517">
        <v>61.6</v>
      </c>
      <c r="D5517" t="str">
        <f t="shared" si="213"/>
        <v>270</v>
      </c>
    </row>
    <row r="5518" spans="1:4" x14ac:dyDescent="0.25">
      <c r="A5518" t="str">
        <f>"838942916"</f>
        <v>838942916</v>
      </c>
      <c r="B5518" t="s">
        <v>5219</v>
      </c>
      <c r="C5518">
        <v>62.07</v>
      </c>
      <c r="D5518" t="str">
        <f t="shared" si="213"/>
        <v>270</v>
      </c>
    </row>
    <row r="5519" spans="1:4" x14ac:dyDescent="0.25">
      <c r="A5519" t="str">
        <f>"838942917"</f>
        <v>838942917</v>
      </c>
      <c r="B5519" t="s">
        <v>5220</v>
      </c>
      <c r="C5519">
        <v>62.07</v>
      </c>
      <c r="D5519" t="str">
        <f t="shared" si="213"/>
        <v>270</v>
      </c>
    </row>
    <row r="5520" spans="1:4" x14ac:dyDescent="0.25">
      <c r="A5520" t="str">
        <f>"838942918"</f>
        <v>838942918</v>
      </c>
      <c r="B5520" t="s">
        <v>5221</v>
      </c>
      <c r="C5520">
        <v>62.07</v>
      </c>
      <c r="D5520" t="str">
        <f t="shared" si="213"/>
        <v>270</v>
      </c>
    </row>
    <row r="5521" spans="1:4" x14ac:dyDescent="0.25">
      <c r="A5521" t="str">
        <f>"838942919"</f>
        <v>838942919</v>
      </c>
      <c r="B5521" t="s">
        <v>5222</v>
      </c>
      <c r="C5521">
        <v>62.07</v>
      </c>
      <c r="D5521" t="str">
        <f t="shared" si="213"/>
        <v>270</v>
      </c>
    </row>
    <row r="5522" spans="1:4" x14ac:dyDescent="0.25">
      <c r="A5522" t="str">
        <f>"838942920"</f>
        <v>838942920</v>
      </c>
      <c r="B5522" t="s">
        <v>5223</v>
      </c>
      <c r="C5522">
        <v>61.6</v>
      </c>
      <c r="D5522" t="str">
        <f t="shared" si="213"/>
        <v>270</v>
      </c>
    </row>
    <row r="5523" spans="1:4" x14ac:dyDescent="0.25">
      <c r="A5523" t="str">
        <f>"838942921"</f>
        <v>838942921</v>
      </c>
      <c r="B5523" t="s">
        <v>5224</v>
      </c>
      <c r="C5523">
        <v>61.6</v>
      </c>
      <c r="D5523" t="str">
        <f t="shared" si="213"/>
        <v>270</v>
      </c>
    </row>
    <row r="5524" spans="1:4" x14ac:dyDescent="0.25">
      <c r="A5524" t="str">
        <f>"838942922"</f>
        <v>838942922</v>
      </c>
      <c r="B5524" t="s">
        <v>5225</v>
      </c>
      <c r="C5524">
        <v>114.37</v>
      </c>
      <c r="D5524" t="str">
        <f t="shared" si="213"/>
        <v>270</v>
      </c>
    </row>
    <row r="5525" spans="1:4" x14ac:dyDescent="0.25">
      <c r="A5525" t="str">
        <f>"838942923"</f>
        <v>838942923</v>
      </c>
      <c r="B5525" t="s">
        <v>5226</v>
      </c>
      <c r="C5525">
        <v>114.37</v>
      </c>
      <c r="D5525" t="str">
        <f t="shared" si="213"/>
        <v>270</v>
      </c>
    </row>
    <row r="5526" spans="1:4" x14ac:dyDescent="0.25">
      <c r="A5526" t="str">
        <f>"838942924"</f>
        <v>838942924</v>
      </c>
      <c r="B5526" t="s">
        <v>5227</v>
      </c>
      <c r="C5526">
        <v>79.52</v>
      </c>
      <c r="D5526" t="str">
        <f t="shared" si="213"/>
        <v>270</v>
      </c>
    </row>
    <row r="5527" spans="1:4" x14ac:dyDescent="0.25">
      <c r="A5527" t="str">
        <f>"838942925"</f>
        <v>838942925</v>
      </c>
      <c r="B5527" t="s">
        <v>5228</v>
      </c>
      <c r="C5527">
        <v>79.52</v>
      </c>
      <c r="D5527" t="str">
        <f t="shared" si="213"/>
        <v>270</v>
      </c>
    </row>
    <row r="5528" spans="1:4" x14ac:dyDescent="0.25">
      <c r="A5528" t="str">
        <f>"838942926"</f>
        <v>838942926</v>
      </c>
      <c r="B5528" t="s">
        <v>5229</v>
      </c>
      <c r="C5528">
        <v>132.35</v>
      </c>
      <c r="D5528" t="str">
        <f t="shared" si="213"/>
        <v>270</v>
      </c>
    </row>
    <row r="5529" spans="1:4" x14ac:dyDescent="0.25">
      <c r="A5529" t="str">
        <f>"838942927"</f>
        <v>838942927</v>
      </c>
      <c r="B5529" t="s">
        <v>5230</v>
      </c>
      <c r="C5529">
        <v>132.35</v>
      </c>
      <c r="D5529" t="str">
        <f t="shared" si="213"/>
        <v>270</v>
      </c>
    </row>
    <row r="5530" spans="1:4" x14ac:dyDescent="0.25">
      <c r="A5530" t="str">
        <f>"838942928"</f>
        <v>838942928</v>
      </c>
      <c r="B5530" t="s">
        <v>5231</v>
      </c>
      <c r="C5530">
        <v>64.23</v>
      </c>
      <c r="D5530" t="str">
        <f t="shared" si="213"/>
        <v>270</v>
      </c>
    </row>
    <row r="5531" spans="1:4" x14ac:dyDescent="0.25">
      <c r="A5531" t="str">
        <f>"838942929"</f>
        <v>838942929</v>
      </c>
      <c r="B5531" t="s">
        <v>5231</v>
      </c>
      <c r="C5531">
        <v>64.23</v>
      </c>
      <c r="D5531" t="str">
        <f t="shared" si="213"/>
        <v>270</v>
      </c>
    </row>
    <row r="5532" spans="1:4" x14ac:dyDescent="0.25">
      <c r="A5532" t="str">
        <f>"838942930"</f>
        <v>838942930</v>
      </c>
      <c r="B5532" t="s">
        <v>5232</v>
      </c>
      <c r="C5532">
        <v>70.680000000000007</v>
      </c>
      <c r="D5532" t="str">
        <f t="shared" si="213"/>
        <v>270</v>
      </c>
    </row>
    <row r="5533" spans="1:4" x14ac:dyDescent="0.25">
      <c r="A5533" t="str">
        <f>"838942931"</f>
        <v>838942931</v>
      </c>
      <c r="B5533" t="s">
        <v>5232</v>
      </c>
      <c r="C5533">
        <v>70.680000000000007</v>
      </c>
      <c r="D5533" t="str">
        <f t="shared" si="213"/>
        <v>270</v>
      </c>
    </row>
    <row r="5534" spans="1:4" x14ac:dyDescent="0.25">
      <c r="A5534" t="str">
        <f>"838942932"</f>
        <v>838942932</v>
      </c>
      <c r="B5534" t="s">
        <v>5233</v>
      </c>
      <c r="C5534">
        <v>24.44</v>
      </c>
      <c r="D5534" t="str">
        <f t="shared" si="213"/>
        <v>270</v>
      </c>
    </row>
    <row r="5535" spans="1:4" x14ac:dyDescent="0.25">
      <c r="A5535" t="str">
        <f>"838942933"</f>
        <v>838942933</v>
      </c>
      <c r="B5535" t="s">
        <v>5233</v>
      </c>
      <c r="C5535">
        <v>24.44</v>
      </c>
      <c r="D5535" t="str">
        <f t="shared" si="213"/>
        <v>270</v>
      </c>
    </row>
    <row r="5536" spans="1:4" x14ac:dyDescent="0.25">
      <c r="A5536" t="str">
        <f>"838942934"</f>
        <v>838942934</v>
      </c>
      <c r="B5536" t="s">
        <v>5234</v>
      </c>
      <c r="C5536">
        <v>78.27</v>
      </c>
      <c r="D5536" t="str">
        <f t="shared" si="213"/>
        <v>270</v>
      </c>
    </row>
    <row r="5537" spans="1:4" x14ac:dyDescent="0.25">
      <c r="A5537" t="str">
        <f>"838942935"</f>
        <v>838942935</v>
      </c>
      <c r="B5537" t="s">
        <v>5234</v>
      </c>
      <c r="C5537">
        <v>78.27</v>
      </c>
      <c r="D5537" t="str">
        <f t="shared" si="213"/>
        <v>270</v>
      </c>
    </row>
    <row r="5538" spans="1:4" x14ac:dyDescent="0.25">
      <c r="A5538" t="str">
        <f>"838942936"</f>
        <v>838942936</v>
      </c>
      <c r="B5538" t="s">
        <v>5235</v>
      </c>
      <c r="C5538">
        <v>64.63</v>
      </c>
      <c r="D5538" t="str">
        <f t="shared" si="213"/>
        <v>270</v>
      </c>
    </row>
    <row r="5539" spans="1:4" x14ac:dyDescent="0.25">
      <c r="A5539" t="str">
        <f>"838942937"</f>
        <v>838942937</v>
      </c>
      <c r="B5539" t="s">
        <v>5235</v>
      </c>
      <c r="C5539">
        <v>64.63</v>
      </c>
      <c r="D5539" t="str">
        <f t="shared" si="213"/>
        <v>270</v>
      </c>
    </row>
    <row r="5540" spans="1:4" x14ac:dyDescent="0.25">
      <c r="A5540" t="str">
        <f>"838942938"</f>
        <v>838942938</v>
      </c>
      <c r="B5540" t="s">
        <v>5236</v>
      </c>
      <c r="C5540">
        <v>60.3</v>
      </c>
      <c r="D5540" t="str">
        <f t="shared" si="213"/>
        <v>270</v>
      </c>
    </row>
    <row r="5541" spans="1:4" x14ac:dyDescent="0.25">
      <c r="A5541" t="str">
        <f>"838942939"</f>
        <v>838942939</v>
      </c>
      <c r="B5541" t="s">
        <v>5236</v>
      </c>
      <c r="C5541">
        <v>60.3</v>
      </c>
      <c r="D5541" t="str">
        <f t="shared" si="213"/>
        <v>270</v>
      </c>
    </row>
    <row r="5542" spans="1:4" x14ac:dyDescent="0.25">
      <c r="A5542" t="str">
        <f>"838942940"</f>
        <v>838942940</v>
      </c>
      <c r="B5542" t="s">
        <v>5237</v>
      </c>
      <c r="C5542">
        <v>25.43</v>
      </c>
      <c r="D5542" t="str">
        <f t="shared" si="213"/>
        <v>270</v>
      </c>
    </row>
    <row r="5543" spans="1:4" x14ac:dyDescent="0.25">
      <c r="A5543" t="str">
        <f>"838942941"</f>
        <v>838942941</v>
      </c>
      <c r="B5543" t="s">
        <v>5238</v>
      </c>
      <c r="C5543">
        <v>25.43</v>
      </c>
      <c r="D5543" t="str">
        <f t="shared" si="213"/>
        <v>270</v>
      </c>
    </row>
    <row r="5544" spans="1:4" x14ac:dyDescent="0.25">
      <c r="A5544" t="str">
        <f>"838942942"</f>
        <v>838942942</v>
      </c>
      <c r="B5544" t="s">
        <v>5239</v>
      </c>
      <c r="C5544">
        <v>78.66</v>
      </c>
      <c r="D5544" t="str">
        <f t="shared" si="213"/>
        <v>270</v>
      </c>
    </row>
    <row r="5545" spans="1:4" x14ac:dyDescent="0.25">
      <c r="A5545" t="str">
        <f>"838942943"</f>
        <v>838942943</v>
      </c>
      <c r="B5545" t="s">
        <v>5239</v>
      </c>
      <c r="C5545">
        <v>78.66</v>
      </c>
      <c r="D5545" t="str">
        <f t="shared" si="213"/>
        <v>270</v>
      </c>
    </row>
    <row r="5546" spans="1:4" x14ac:dyDescent="0.25">
      <c r="A5546" t="str">
        <f>"838942944"</f>
        <v>838942944</v>
      </c>
      <c r="B5546" t="s">
        <v>5240</v>
      </c>
      <c r="C5546">
        <v>78.069999999999993</v>
      </c>
      <c r="D5546" t="str">
        <f t="shared" si="213"/>
        <v>270</v>
      </c>
    </row>
    <row r="5547" spans="1:4" x14ac:dyDescent="0.25">
      <c r="A5547" t="str">
        <f>"838942945"</f>
        <v>838942945</v>
      </c>
      <c r="B5547" t="s">
        <v>5240</v>
      </c>
      <c r="C5547">
        <v>78.069999999999993</v>
      </c>
      <c r="D5547" t="str">
        <f t="shared" si="213"/>
        <v>270</v>
      </c>
    </row>
    <row r="5548" spans="1:4" x14ac:dyDescent="0.25">
      <c r="A5548" t="str">
        <f>"838942946"</f>
        <v>838942946</v>
      </c>
      <c r="B5548" t="s">
        <v>5241</v>
      </c>
      <c r="C5548">
        <v>42.97</v>
      </c>
      <c r="D5548" t="str">
        <f t="shared" si="213"/>
        <v>270</v>
      </c>
    </row>
    <row r="5549" spans="1:4" x14ac:dyDescent="0.25">
      <c r="A5549" t="str">
        <f>"838942947"</f>
        <v>838942947</v>
      </c>
      <c r="B5549" t="s">
        <v>5242</v>
      </c>
      <c r="C5549">
        <v>42.97</v>
      </c>
      <c r="D5549" t="str">
        <f t="shared" si="213"/>
        <v>270</v>
      </c>
    </row>
    <row r="5550" spans="1:4" x14ac:dyDescent="0.25">
      <c r="A5550" t="str">
        <f>"838942948"</f>
        <v>838942948</v>
      </c>
      <c r="B5550" t="s">
        <v>5243</v>
      </c>
      <c r="C5550">
        <v>83.77</v>
      </c>
      <c r="D5550" t="str">
        <f t="shared" si="213"/>
        <v>270</v>
      </c>
    </row>
    <row r="5551" spans="1:4" x14ac:dyDescent="0.25">
      <c r="A5551" t="str">
        <f>"838942949"</f>
        <v>838942949</v>
      </c>
      <c r="B5551" t="s">
        <v>5243</v>
      </c>
      <c r="C5551">
        <v>83.77</v>
      </c>
      <c r="D5551" t="str">
        <f t="shared" si="213"/>
        <v>270</v>
      </c>
    </row>
    <row r="5552" spans="1:4" x14ac:dyDescent="0.25">
      <c r="A5552" t="str">
        <f>"838942950"</f>
        <v>838942950</v>
      </c>
      <c r="B5552" t="s">
        <v>5244</v>
      </c>
      <c r="C5552">
        <v>91.83</v>
      </c>
      <c r="D5552" t="str">
        <f t="shared" si="213"/>
        <v>270</v>
      </c>
    </row>
    <row r="5553" spans="1:4" x14ac:dyDescent="0.25">
      <c r="A5553" t="str">
        <f>"838942951"</f>
        <v>838942951</v>
      </c>
      <c r="B5553" t="s">
        <v>5244</v>
      </c>
      <c r="C5553">
        <v>91.83</v>
      </c>
      <c r="D5553" t="str">
        <f t="shared" si="213"/>
        <v>270</v>
      </c>
    </row>
    <row r="5554" spans="1:4" x14ac:dyDescent="0.25">
      <c r="A5554" t="str">
        <f>"838942952"</f>
        <v>838942952</v>
      </c>
      <c r="B5554" t="s">
        <v>5245</v>
      </c>
      <c r="C5554">
        <v>103.2</v>
      </c>
      <c r="D5554" t="str">
        <f t="shared" si="213"/>
        <v>270</v>
      </c>
    </row>
    <row r="5555" spans="1:4" x14ac:dyDescent="0.25">
      <c r="A5555" t="str">
        <f>"838942953"</f>
        <v>838942953</v>
      </c>
      <c r="B5555" t="s">
        <v>5246</v>
      </c>
      <c r="C5555">
        <v>103.2</v>
      </c>
      <c r="D5555" t="str">
        <f t="shared" si="213"/>
        <v>270</v>
      </c>
    </row>
    <row r="5556" spans="1:4" x14ac:dyDescent="0.25">
      <c r="A5556" t="str">
        <f>"838942954"</f>
        <v>838942954</v>
      </c>
      <c r="B5556" t="s">
        <v>5247</v>
      </c>
      <c r="C5556">
        <v>81.760000000000005</v>
      </c>
      <c r="D5556" t="str">
        <f t="shared" si="213"/>
        <v>270</v>
      </c>
    </row>
    <row r="5557" spans="1:4" x14ac:dyDescent="0.25">
      <c r="A5557" t="str">
        <f>"838942955"</f>
        <v>838942955</v>
      </c>
      <c r="B5557" t="s">
        <v>5247</v>
      </c>
      <c r="C5557">
        <v>81.760000000000005</v>
      </c>
      <c r="D5557" t="str">
        <f t="shared" si="213"/>
        <v>270</v>
      </c>
    </row>
    <row r="5558" spans="1:4" x14ac:dyDescent="0.25">
      <c r="A5558" t="str">
        <f>"838942956"</f>
        <v>838942956</v>
      </c>
      <c r="B5558" t="s">
        <v>5248</v>
      </c>
      <c r="C5558">
        <v>116.14</v>
      </c>
      <c r="D5558" t="str">
        <f t="shared" si="213"/>
        <v>270</v>
      </c>
    </row>
    <row r="5559" spans="1:4" x14ac:dyDescent="0.25">
      <c r="A5559" t="str">
        <f>"838942957"</f>
        <v>838942957</v>
      </c>
      <c r="B5559" t="s">
        <v>5249</v>
      </c>
      <c r="C5559">
        <v>116.14</v>
      </c>
      <c r="D5559" t="str">
        <f t="shared" si="213"/>
        <v>270</v>
      </c>
    </row>
    <row r="5560" spans="1:4" x14ac:dyDescent="0.25">
      <c r="A5560" t="str">
        <f>"838942958"</f>
        <v>838942958</v>
      </c>
      <c r="B5560" t="s">
        <v>5243</v>
      </c>
      <c r="C5560">
        <v>84.7</v>
      </c>
      <c r="D5560" t="str">
        <f t="shared" si="213"/>
        <v>270</v>
      </c>
    </row>
    <row r="5561" spans="1:4" x14ac:dyDescent="0.25">
      <c r="A5561" t="str">
        <f>"838942959"</f>
        <v>838942959</v>
      </c>
      <c r="B5561" t="s">
        <v>5243</v>
      </c>
      <c r="C5561">
        <v>84.7</v>
      </c>
      <c r="D5561" t="str">
        <f t="shared" si="213"/>
        <v>270</v>
      </c>
    </row>
    <row r="5562" spans="1:4" x14ac:dyDescent="0.25">
      <c r="A5562" t="str">
        <f>"838942960"</f>
        <v>838942960</v>
      </c>
      <c r="B5562" t="s">
        <v>5250</v>
      </c>
      <c r="C5562">
        <v>111.49</v>
      </c>
      <c r="D5562" t="str">
        <f t="shared" si="213"/>
        <v>270</v>
      </c>
    </row>
    <row r="5563" spans="1:4" x14ac:dyDescent="0.25">
      <c r="A5563" t="str">
        <f>"838942961"</f>
        <v>838942961</v>
      </c>
      <c r="B5563" t="s">
        <v>5251</v>
      </c>
      <c r="C5563">
        <v>111.49</v>
      </c>
      <c r="D5563" t="str">
        <f t="shared" ref="D5563:D5626" si="214">"270"</f>
        <v>270</v>
      </c>
    </row>
    <row r="5564" spans="1:4" x14ac:dyDescent="0.25">
      <c r="A5564" t="str">
        <f>"838942962"</f>
        <v>838942962</v>
      </c>
      <c r="B5564" t="s">
        <v>5252</v>
      </c>
      <c r="C5564">
        <v>58.59</v>
      </c>
      <c r="D5564" t="str">
        <f t="shared" si="214"/>
        <v>270</v>
      </c>
    </row>
    <row r="5565" spans="1:4" x14ac:dyDescent="0.25">
      <c r="A5565" t="str">
        <f>"838942963"</f>
        <v>838942963</v>
      </c>
      <c r="B5565" t="s">
        <v>5252</v>
      </c>
      <c r="C5565">
        <v>58.59</v>
      </c>
      <c r="D5565" t="str">
        <f t="shared" si="214"/>
        <v>270</v>
      </c>
    </row>
    <row r="5566" spans="1:4" x14ac:dyDescent="0.25">
      <c r="A5566" t="str">
        <f>"838942964"</f>
        <v>838942964</v>
      </c>
      <c r="B5566" t="s">
        <v>5253</v>
      </c>
      <c r="C5566">
        <v>58.63</v>
      </c>
      <c r="D5566" t="str">
        <f t="shared" si="214"/>
        <v>270</v>
      </c>
    </row>
    <row r="5567" spans="1:4" x14ac:dyDescent="0.25">
      <c r="A5567" t="str">
        <f>"838942965"</f>
        <v>838942965</v>
      </c>
      <c r="B5567" t="s">
        <v>5253</v>
      </c>
      <c r="C5567">
        <v>58.63</v>
      </c>
      <c r="D5567" t="str">
        <f t="shared" si="214"/>
        <v>270</v>
      </c>
    </row>
    <row r="5568" spans="1:4" x14ac:dyDescent="0.25">
      <c r="A5568" t="str">
        <f>"838942966"</f>
        <v>838942966</v>
      </c>
      <c r="B5568" t="s">
        <v>5252</v>
      </c>
      <c r="C5568">
        <v>30.09</v>
      </c>
      <c r="D5568" t="str">
        <f t="shared" si="214"/>
        <v>270</v>
      </c>
    </row>
    <row r="5569" spans="1:4" x14ac:dyDescent="0.25">
      <c r="A5569" t="str">
        <f>"838942967"</f>
        <v>838942967</v>
      </c>
      <c r="B5569" t="s">
        <v>5252</v>
      </c>
      <c r="C5569">
        <v>30.09</v>
      </c>
      <c r="D5569" t="str">
        <f t="shared" si="214"/>
        <v>270</v>
      </c>
    </row>
    <row r="5570" spans="1:4" x14ac:dyDescent="0.25">
      <c r="A5570" t="str">
        <f>"838942968"</f>
        <v>838942968</v>
      </c>
      <c r="B5570" t="s">
        <v>5254</v>
      </c>
      <c r="C5570">
        <v>115.28</v>
      </c>
      <c r="D5570" t="str">
        <f t="shared" si="214"/>
        <v>270</v>
      </c>
    </row>
    <row r="5571" spans="1:4" x14ac:dyDescent="0.25">
      <c r="A5571" t="str">
        <f>"838942969"</f>
        <v>838942969</v>
      </c>
      <c r="B5571" t="s">
        <v>5255</v>
      </c>
      <c r="C5571">
        <v>115.28</v>
      </c>
      <c r="D5571" t="str">
        <f t="shared" si="214"/>
        <v>270</v>
      </c>
    </row>
    <row r="5572" spans="1:4" x14ac:dyDescent="0.25">
      <c r="A5572" t="str">
        <f>"838942970"</f>
        <v>838942970</v>
      </c>
      <c r="B5572" t="s">
        <v>5256</v>
      </c>
      <c r="C5572">
        <v>29.89</v>
      </c>
      <c r="D5572" t="str">
        <f t="shared" si="214"/>
        <v>270</v>
      </c>
    </row>
    <row r="5573" spans="1:4" x14ac:dyDescent="0.25">
      <c r="A5573" t="str">
        <f>"838942971"</f>
        <v>838942971</v>
      </c>
      <c r="B5573" t="s">
        <v>5256</v>
      </c>
      <c r="C5573">
        <v>29.89</v>
      </c>
      <c r="D5573" t="str">
        <f t="shared" si="214"/>
        <v>270</v>
      </c>
    </row>
    <row r="5574" spans="1:4" x14ac:dyDescent="0.25">
      <c r="A5574" t="str">
        <f>"838942972"</f>
        <v>838942972</v>
      </c>
      <c r="B5574" t="s">
        <v>5257</v>
      </c>
      <c r="C5574">
        <v>79.52</v>
      </c>
      <c r="D5574" t="str">
        <f t="shared" si="214"/>
        <v>270</v>
      </c>
    </row>
    <row r="5575" spans="1:4" x14ac:dyDescent="0.25">
      <c r="A5575" t="str">
        <f>"838942973"</f>
        <v>838942973</v>
      </c>
      <c r="B5575" t="s">
        <v>5258</v>
      </c>
      <c r="C5575">
        <v>79.52</v>
      </c>
      <c r="D5575" t="str">
        <f t="shared" si="214"/>
        <v>270</v>
      </c>
    </row>
    <row r="5576" spans="1:4" x14ac:dyDescent="0.25">
      <c r="A5576" t="str">
        <f>"838942974"</f>
        <v>838942974</v>
      </c>
      <c r="B5576" t="s">
        <v>5259</v>
      </c>
      <c r="C5576">
        <v>78.27</v>
      </c>
      <c r="D5576" t="str">
        <f t="shared" si="214"/>
        <v>270</v>
      </c>
    </row>
    <row r="5577" spans="1:4" x14ac:dyDescent="0.25">
      <c r="A5577" t="str">
        <f>"838942975"</f>
        <v>838942975</v>
      </c>
      <c r="B5577" t="s">
        <v>5259</v>
      </c>
      <c r="C5577">
        <v>78.27</v>
      </c>
      <c r="D5577" t="str">
        <f t="shared" si="214"/>
        <v>270</v>
      </c>
    </row>
    <row r="5578" spans="1:4" x14ac:dyDescent="0.25">
      <c r="A5578" t="str">
        <f>"838942976"</f>
        <v>838942976</v>
      </c>
      <c r="B5578" t="s">
        <v>5260</v>
      </c>
      <c r="C5578">
        <v>78.66</v>
      </c>
      <c r="D5578" t="str">
        <f t="shared" si="214"/>
        <v>270</v>
      </c>
    </row>
    <row r="5579" spans="1:4" x14ac:dyDescent="0.25">
      <c r="A5579" t="str">
        <f>"838942977"</f>
        <v>838942977</v>
      </c>
      <c r="B5579" t="s">
        <v>5260</v>
      </c>
      <c r="C5579">
        <v>78.66</v>
      </c>
      <c r="D5579" t="str">
        <f t="shared" si="214"/>
        <v>270</v>
      </c>
    </row>
    <row r="5580" spans="1:4" x14ac:dyDescent="0.25">
      <c r="A5580" t="str">
        <f>"838942978"</f>
        <v>838942978</v>
      </c>
      <c r="B5580" t="s">
        <v>5261</v>
      </c>
      <c r="C5580">
        <v>84.34</v>
      </c>
      <c r="D5580" t="str">
        <f t="shared" si="214"/>
        <v>270</v>
      </c>
    </row>
    <row r="5581" spans="1:4" x14ac:dyDescent="0.25">
      <c r="A5581" t="str">
        <f>"838942979"</f>
        <v>838942979</v>
      </c>
      <c r="B5581" t="s">
        <v>5262</v>
      </c>
      <c r="C5581">
        <v>84.34</v>
      </c>
      <c r="D5581" t="str">
        <f t="shared" si="214"/>
        <v>270</v>
      </c>
    </row>
    <row r="5582" spans="1:4" x14ac:dyDescent="0.25">
      <c r="A5582" t="str">
        <f>"838942980"</f>
        <v>838942980</v>
      </c>
      <c r="B5582" t="s">
        <v>5263</v>
      </c>
      <c r="C5582">
        <v>95.03</v>
      </c>
      <c r="D5582" t="str">
        <f t="shared" si="214"/>
        <v>270</v>
      </c>
    </row>
    <row r="5583" spans="1:4" x14ac:dyDescent="0.25">
      <c r="A5583" t="str">
        <f>"838942981"</f>
        <v>838942981</v>
      </c>
      <c r="B5583" t="s">
        <v>5264</v>
      </c>
      <c r="C5583">
        <v>95.03</v>
      </c>
      <c r="D5583" t="str">
        <f t="shared" si="214"/>
        <v>270</v>
      </c>
    </row>
    <row r="5584" spans="1:4" x14ac:dyDescent="0.25">
      <c r="A5584" t="str">
        <f>"838942982"</f>
        <v>838942982</v>
      </c>
      <c r="B5584" t="s">
        <v>5265</v>
      </c>
      <c r="C5584">
        <v>42.97</v>
      </c>
      <c r="D5584" t="str">
        <f t="shared" si="214"/>
        <v>270</v>
      </c>
    </row>
    <row r="5585" spans="1:4" x14ac:dyDescent="0.25">
      <c r="A5585" t="str">
        <f>"838942983"</f>
        <v>838942983</v>
      </c>
      <c r="B5585" t="s">
        <v>5266</v>
      </c>
      <c r="C5585">
        <v>42.97</v>
      </c>
      <c r="D5585" t="str">
        <f t="shared" si="214"/>
        <v>270</v>
      </c>
    </row>
    <row r="5586" spans="1:4" x14ac:dyDescent="0.25">
      <c r="A5586" t="str">
        <f>"838942984"</f>
        <v>838942984</v>
      </c>
      <c r="B5586" t="s">
        <v>5267</v>
      </c>
      <c r="C5586">
        <v>77.680000000000007</v>
      </c>
      <c r="D5586" t="str">
        <f t="shared" si="214"/>
        <v>270</v>
      </c>
    </row>
    <row r="5587" spans="1:4" x14ac:dyDescent="0.25">
      <c r="A5587" t="str">
        <f>"838942985"</f>
        <v>838942985</v>
      </c>
      <c r="B5587" t="s">
        <v>5268</v>
      </c>
      <c r="C5587">
        <v>77.680000000000007</v>
      </c>
      <c r="D5587" t="str">
        <f t="shared" si="214"/>
        <v>270</v>
      </c>
    </row>
    <row r="5588" spans="1:4" x14ac:dyDescent="0.25">
      <c r="A5588" t="str">
        <f>"838942986"</f>
        <v>838942986</v>
      </c>
      <c r="B5588" t="s">
        <v>5269</v>
      </c>
      <c r="C5588">
        <v>14.99</v>
      </c>
      <c r="D5588" t="str">
        <f t="shared" si="214"/>
        <v>270</v>
      </c>
    </row>
    <row r="5589" spans="1:4" x14ac:dyDescent="0.25">
      <c r="A5589" t="str">
        <f>"838942987"</f>
        <v>838942987</v>
      </c>
      <c r="B5589" t="s">
        <v>5270</v>
      </c>
      <c r="C5589">
        <v>14.99</v>
      </c>
      <c r="D5589" t="str">
        <f t="shared" si="214"/>
        <v>270</v>
      </c>
    </row>
    <row r="5590" spans="1:4" x14ac:dyDescent="0.25">
      <c r="A5590" t="str">
        <f>"838942988"</f>
        <v>838942988</v>
      </c>
      <c r="B5590" t="s">
        <v>5271</v>
      </c>
      <c r="C5590">
        <v>14.62</v>
      </c>
      <c r="D5590" t="str">
        <f t="shared" si="214"/>
        <v>270</v>
      </c>
    </row>
    <row r="5591" spans="1:4" x14ac:dyDescent="0.25">
      <c r="A5591" t="str">
        <f>"838942989"</f>
        <v>838942989</v>
      </c>
      <c r="B5591" t="s">
        <v>5272</v>
      </c>
      <c r="C5591">
        <v>14.62</v>
      </c>
      <c r="D5591" t="str">
        <f t="shared" si="214"/>
        <v>270</v>
      </c>
    </row>
    <row r="5592" spans="1:4" x14ac:dyDescent="0.25">
      <c r="A5592" t="str">
        <f>"838942990"</f>
        <v>838942990</v>
      </c>
      <c r="B5592" t="s">
        <v>5273</v>
      </c>
      <c r="C5592">
        <v>14.94</v>
      </c>
      <c r="D5592" t="str">
        <f t="shared" si="214"/>
        <v>270</v>
      </c>
    </row>
    <row r="5593" spans="1:4" x14ac:dyDescent="0.25">
      <c r="A5593" t="str">
        <f>"838942991"</f>
        <v>838942991</v>
      </c>
      <c r="B5593" t="s">
        <v>5274</v>
      </c>
      <c r="C5593">
        <v>14.94</v>
      </c>
      <c r="D5593" t="str">
        <f t="shared" si="214"/>
        <v>270</v>
      </c>
    </row>
    <row r="5594" spans="1:4" x14ac:dyDescent="0.25">
      <c r="A5594" t="str">
        <f>"838942992"</f>
        <v>838942992</v>
      </c>
      <c r="B5594" t="s">
        <v>5275</v>
      </c>
      <c r="C5594">
        <v>15.57</v>
      </c>
      <c r="D5594" t="str">
        <f t="shared" si="214"/>
        <v>270</v>
      </c>
    </row>
    <row r="5595" spans="1:4" x14ac:dyDescent="0.25">
      <c r="A5595" t="str">
        <f>"838942993"</f>
        <v>838942993</v>
      </c>
      <c r="B5595" t="s">
        <v>5276</v>
      </c>
      <c r="C5595">
        <v>15.57</v>
      </c>
      <c r="D5595" t="str">
        <f t="shared" si="214"/>
        <v>270</v>
      </c>
    </row>
    <row r="5596" spans="1:4" x14ac:dyDescent="0.25">
      <c r="A5596" t="str">
        <f>"838942994"</f>
        <v>838942994</v>
      </c>
      <c r="B5596" t="s">
        <v>5277</v>
      </c>
      <c r="C5596">
        <v>16.27</v>
      </c>
      <c r="D5596" t="str">
        <f t="shared" si="214"/>
        <v>270</v>
      </c>
    </row>
    <row r="5597" spans="1:4" x14ac:dyDescent="0.25">
      <c r="A5597" t="str">
        <f>"838942995"</f>
        <v>838942995</v>
      </c>
      <c r="B5597" t="s">
        <v>5278</v>
      </c>
      <c r="C5597">
        <v>16.27</v>
      </c>
      <c r="D5597" t="str">
        <f t="shared" si="214"/>
        <v>270</v>
      </c>
    </row>
    <row r="5598" spans="1:4" x14ac:dyDescent="0.25">
      <c r="A5598" t="str">
        <f>"838942996"</f>
        <v>838942996</v>
      </c>
      <c r="B5598" t="s">
        <v>5279</v>
      </c>
      <c r="C5598">
        <v>15.07</v>
      </c>
      <c r="D5598" t="str">
        <f t="shared" si="214"/>
        <v>270</v>
      </c>
    </row>
    <row r="5599" spans="1:4" x14ac:dyDescent="0.25">
      <c r="A5599" t="str">
        <f>"838942997"</f>
        <v>838942997</v>
      </c>
      <c r="B5599" t="s">
        <v>5280</v>
      </c>
      <c r="C5599">
        <v>15.07</v>
      </c>
      <c r="D5599" t="str">
        <f t="shared" si="214"/>
        <v>270</v>
      </c>
    </row>
    <row r="5600" spans="1:4" x14ac:dyDescent="0.25">
      <c r="A5600" t="str">
        <f>"838942998"</f>
        <v>838942998</v>
      </c>
      <c r="B5600" t="s">
        <v>5281</v>
      </c>
      <c r="C5600">
        <v>14.55</v>
      </c>
      <c r="D5600" t="str">
        <f t="shared" si="214"/>
        <v>270</v>
      </c>
    </row>
    <row r="5601" spans="1:4" x14ac:dyDescent="0.25">
      <c r="A5601" t="str">
        <f>"838942999"</f>
        <v>838942999</v>
      </c>
      <c r="B5601" t="s">
        <v>5282</v>
      </c>
      <c r="C5601">
        <v>14.55</v>
      </c>
      <c r="D5601" t="str">
        <f t="shared" si="214"/>
        <v>270</v>
      </c>
    </row>
    <row r="5602" spans="1:4" x14ac:dyDescent="0.25">
      <c r="A5602" t="str">
        <f>"838943000"</f>
        <v>838943000</v>
      </c>
      <c r="B5602" t="s">
        <v>5283</v>
      </c>
      <c r="C5602">
        <v>14.99</v>
      </c>
      <c r="D5602" t="str">
        <f t="shared" si="214"/>
        <v>270</v>
      </c>
    </row>
    <row r="5603" spans="1:4" x14ac:dyDescent="0.25">
      <c r="A5603" t="str">
        <f>"838943001"</f>
        <v>838943001</v>
      </c>
      <c r="B5603" t="s">
        <v>5284</v>
      </c>
      <c r="C5603">
        <v>14.99</v>
      </c>
      <c r="D5603" t="str">
        <f t="shared" si="214"/>
        <v>270</v>
      </c>
    </row>
    <row r="5604" spans="1:4" x14ac:dyDescent="0.25">
      <c r="A5604" t="str">
        <f>"838943002"</f>
        <v>838943002</v>
      </c>
      <c r="B5604" t="s">
        <v>5285</v>
      </c>
      <c r="C5604">
        <v>15.57</v>
      </c>
      <c r="D5604" t="str">
        <f t="shared" si="214"/>
        <v>270</v>
      </c>
    </row>
    <row r="5605" spans="1:4" x14ac:dyDescent="0.25">
      <c r="A5605" t="str">
        <f>"838943003"</f>
        <v>838943003</v>
      </c>
      <c r="B5605" t="s">
        <v>5286</v>
      </c>
      <c r="C5605">
        <v>15.57</v>
      </c>
      <c r="D5605" t="str">
        <f t="shared" si="214"/>
        <v>270</v>
      </c>
    </row>
    <row r="5606" spans="1:4" x14ac:dyDescent="0.25">
      <c r="A5606" t="str">
        <f>"838943004"</f>
        <v>838943004</v>
      </c>
      <c r="B5606" t="s">
        <v>5287</v>
      </c>
      <c r="C5606">
        <v>15.51</v>
      </c>
      <c r="D5606" t="str">
        <f t="shared" si="214"/>
        <v>270</v>
      </c>
    </row>
    <row r="5607" spans="1:4" x14ac:dyDescent="0.25">
      <c r="A5607" t="str">
        <f>"838943005"</f>
        <v>838943005</v>
      </c>
      <c r="B5607" t="s">
        <v>5288</v>
      </c>
      <c r="C5607">
        <v>15.51</v>
      </c>
      <c r="D5607" t="str">
        <f t="shared" si="214"/>
        <v>270</v>
      </c>
    </row>
    <row r="5608" spans="1:4" x14ac:dyDescent="0.25">
      <c r="A5608" t="str">
        <f>"838943006"</f>
        <v>838943006</v>
      </c>
      <c r="B5608" t="s">
        <v>5289</v>
      </c>
      <c r="C5608">
        <v>16.21</v>
      </c>
      <c r="D5608" t="str">
        <f t="shared" si="214"/>
        <v>270</v>
      </c>
    </row>
    <row r="5609" spans="1:4" x14ac:dyDescent="0.25">
      <c r="A5609" t="str">
        <f>"838943007"</f>
        <v>838943007</v>
      </c>
      <c r="B5609" t="s">
        <v>5290</v>
      </c>
      <c r="C5609">
        <v>16.21</v>
      </c>
      <c r="D5609" t="str">
        <f t="shared" si="214"/>
        <v>270</v>
      </c>
    </row>
    <row r="5610" spans="1:4" x14ac:dyDescent="0.25">
      <c r="A5610" t="str">
        <f>"838943008"</f>
        <v>838943008</v>
      </c>
      <c r="B5610" t="s">
        <v>5291</v>
      </c>
      <c r="C5610">
        <v>16.079999999999998</v>
      </c>
      <c r="D5610" t="str">
        <f t="shared" si="214"/>
        <v>270</v>
      </c>
    </row>
    <row r="5611" spans="1:4" x14ac:dyDescent="0.25">
      <c r="A5611" t="str">
        <f>"838943009"</f>
        <v>838943009</v>
      </c>
      <c r="B5611" t="s">
        <v>5292</v>
      </c>
      <c r="C5611">
        <v>16.079999999999998</v>
      </c>
      <c r="D5611" t="str">
        <f t="shared" si="214"/>
        <v>270</v>
      </c>
    </row>
    <row r="5612" spans="1:4" x14ac:dyDescent="0.25">
      <c r="A5612" t="str">
        <f>"838943010"</f>
        <v>838943010</v>
      </c>
      <c r="B5612" t="s">
        <v>5293</v>
      </c>
      <c r="C5612">
        <v>40.81</v>
      </c>
      <c r="D5612" t="str">
        <f t="shared" si="214"/>
        <v>270</v>
      </c>
    </row>
    <row r="5613" spans="1:4" x14ac:dyDescent="0.25">
      <c r="A5613" t="str">
        <f>"838943011"</f>
        <v>838943011</v>
      </c>
      <c r="B5613" t="s">
        <v>5294</v>
      </c>
      <c r="C5613">
        <v>40.81</v>
      </c>
      <c r="D5613" t="str">
        <f t="shared" si="214"/>
        <v>270</v>
      </c>
    </row>
    <row r="5614" spans="1:4" x14ac:dyDescent="0.25">
      <c r="A5614" t="str">
        <f>"838943012"</f>
        <v>838943012</v>
      </c>
      <c r="B5614" t="s">
        <v>5295</v>
      </c>
      <c r="C5614">
        <v>50.99</v>
      </c>
      <c r="D5614" t="str">
        <f t="shared" si="214"/>
        <v>270</v>
      </c>
    </row>
    <row r="5615" spans="1:4" x14ac:dyDescent="0.25">
      <c r="A5615" t="str">
        <f>"838943013"</f>
        <v>838943013</v>
      </c>
      <c r="B5615" t="s">
        <v>5296</v>
      </c>
      <c r="C5615">
        <v>50.99</v>
      </c>
      <c r="D5615" t="str">
        <f t="shared" si="214"/>
        <v>270</v>
      </c>
    </row>
    <row r="5616" spans="1:4" x14ac:dyDescent="0.25">
      <c r="A5616" t="str">
        <f>"838943014"</f>
        <v>838943014</v>
      </c>
      <c r="B5616" t="s">
        <v>5297</v>
      </c>
      <c r="C5616">
        <v>50.99</v>
      </c>
      <c r="D5616" t="str">
        <f t="shared" si="214"/>
        <v>270</v>
      </c>
    </row>
    <row r="5617" spans="1:4" x14ac:dyDescent="0.25">
      <c r="A5617" t="str">
        <f>"838943015"</f>
        <v>838943015</v>
      </c>
      <c r="B5617" t="s">
        <v>5298</v>
      </c>
      <c r="C5617">
        <v>50.99</v>
      </c>
      <c r="D5617" t="str">
        <f t="shared" si="214"/>
        <v>270</v>
      </c>
    </row>
    <row r="5618" spans="1:4" x14ac:dyDescent="0.25">
      <c r="A5618" t="str">
        <f>"838943016"</f>
        <v>838943016</v>
      </c>
      <c r="B5618" t="s">
        <v>5299</v>
      </c>
      <c r="C5618">
        <v>45.8</v>
      </c>
      <c r="D5618" t="str">
        <f t="shared" si="214"/>
        <v>270</v>
      </c>
    </row>
    <row r="5619" spans="1:4" x14ac:dyDescent="0.25">
      <c r="A5619" t="str">
        <f>"838943017"</f>
        <v>838943017</v>
      </c>
      <c r="B5619" t="s">
        <v>5300</v>
      </c>
      <c r="C5619">
        <v>45.8</v>
      </c>
      <c r="D5619" t="str">
        <f t="shared" si="214"/>
        <v>270</v>
      </c>
    </row>
    <row r="5620" spans="1:4" x14ac:dyDescent="0.25">
      <c r="A5620" t="str">
        <f>"838943018"</f>
        <v>838943018</v>
      </c>
      <c r="B5620" t="s">
        <v>5301</v>
      </c>
      <c r="C5620">
        <v>14.81</v>
      </c>
      <c r="D5620" t="str">
        <f t="shared" si="214"/>
        <v>270</v>
      </c>
    </row>
    <row r="5621" spans="1:4" x14ac:dyDescent="0.25">
      <c r="A5621" t="str">
        <f>"838943019"</f>
        <v>838943019</v>
      </c>
      <c r="B5621" t="s">
        <v>5302</v>
      </c>
      <c r="C5621">
        <v>14.81</v>
      </c>
      <c r="D5621" t="str">
        <f t="shared" si="214"/>
        <v>270</v>
      </c>
    </row>
    <row r="5622" spans="1:4" x14ac:dyDescent="0.25">
      <c r="A5622" t="str">
        <f>"838943020"</f>
        <v>838943020</v>
      </c>
      <c r="B5622" t="s">
        <v>5303</v>
      </c>
      <c r="C5622">
        <v>17.440000000000001</v>
      </c>
      <c r="D5622" t="str">
        <f t="shared" si="214"/>
        <v>270</v>
      </c>
    </row>
    <row r="5623" spans="1:4" x14ac:dyDescent="0.25">
      <c r="A5623" t="str">
        <f>"838943021"</f>
        <v>838943021</v>
      </c>
      <c r="B5623" t="s">
        <v>5304</v>
      </c>
      <c r="C5623">
        <v>17.440000000000001</v>
      </c>
      <c r="D5623" t="str">
        <f t="shared" si="214"/>
        <v>270</v>
      </c>
    </row>
    <row r="5624" spans="1:4" x14ac:dyDescent="0.25">
      <c r="A5624" t="str">
        <f>"838943022"</f>
        <v>838943022</v>
      </c>
      <c r="B5624" t="s">
        <v>5305</v>
      </c>
      <c r="C5624">
        <v>90.18</v>
      </c>
      <c r="D5624" t="str">
        <f t="shared" si="214"/>
        <v>270</v>
      </c>
    </row>
    <row r="5625" spans="1:4" x14ac:dyDescent="0.25">
      <c r="A5625" t="str">
        <f>"838943023"</f>
        <v>838943023</v>
      </c>
      <c r="B5625" t="s">
        <v>5306</v>
      </c>
      <c r="C5625">
        <v>90.18</v>
      </c>
      <c r="D5625" t="str">
        <f t="shared" si="214"/>
        <v>270</v>
      </c>
    </row>
    <row r="5626" spans="1:4" x14ac:dyDescent="0.25">
      <c r="A5626" t="str">
        <f>"838943024"</f>
        <v>838943024</v>
      </c>
      <c r="B5626" t="s">
        <v>5307</v>
      </c>
      <c r="C5626">
        <v>89.8</v>
      </c>
      <c r="D5626" t="str">
        <f t="shared" si="214"/>
        <v>270</v>
      </c>
    </row>
    <row r="5627" spans="1:4" x14ac:dyDescent="0.25">
      <c r="A5627" t="str">
        <f>"838943025"</f>
        <v>838943025</v>
      </c>
      <c r="B5627" t="s">
        <v>5308</v>
      </c>
      <c r="C5627">
        <v>89.8</v>
      </c>
      <c r="D5627" t="str">
        <f t="shared" ref="D5627:D5690" si="215">"270"</f>
        <v>270</v>
      </c>
    </row>
    <row r="5628" spans="1:4" x14ac:dyDescent="0.25">
      <c r="A5628" t="str">
        <f>"838943026"</f>
        <v>838943026</v>
      </c>
      <c r="B5628" t="s">
        <v>5309</v>
      </c>
      <c r="C5628">
        <v>89.6</v>
      </c>
      <c r="D5628" t="str">
        <f t="shared" si="215"/>
        <v>270</v>
      </c>
    </row>
    <row r="5629" spans="1:4" x14ac:dyDescent="0.25">
      <c r="A5629" t="str">
        <f>"838943027"</f>
        <v>838943027</v>
      </c>
      <c r="B5629" t="s">
        <v>5310</v>
      </c>
      <c r="C5629">
        <v>89.6</v>
      </c>
      <c r="D5629" t="str">
        <f t="shared" si="215"/>
        <v>270</v>
      </c>
    </row>
    <row r="5630" spans="1:4" x14ac:dyDescent="0.25">
      <c r="A5630" t="str">
        <f>"838943028"</f>
        <v>838943028</v>
      </c>
      <c r="B5630" t="s">
        <v>5311</v>
      </c>
      <c r="C5630">
        <v>80.56</v>
      </c>
      <c r="D5630" t="str">
        <f t="shared" si="215"/>
        <v>270</v>
      </c>
    </row>
    <row r="5631" spans="1:4" x14ac:dyDescent="0.25">
      <c r="A5631" t="str">
        <f>"838943029"</f>
        <v>838943029</v>
      </c>
      <c r="B5631" t="s">
        <v>5312</v>
      </c>
      <c r="C5631">
        <v>80.56</v>
      </c>
      <c r="D5631" t="str">
        <f t="shared" si="215"/>
        <v>270</v>
      </c>
    </row>
    <row r="5632" spans="1:4" x14ac:dyDescent="0.25">
      <c r="A5632" t="str">
        <f>"838943030"</f>
        <v>838943030</v>
      </c>
      <c r="B5632" t="s">
        <v>5313</v>
      </c>
      <c r="C5632">
        <v>7.79</v>
      </c>
      <c r="D5632" t="str">
        <f t="shared" si="215"/>
        <v>270</v>
      </c>
    </row>
    <row r="5633" spans="1:4" x14ac:dyDescent="0.25">
      <c r="A5633" t="str">
        <f>"838943031"</f>
        <v>838943031</v>
      </c>
      <c r="B5633" t="s">
        <v>5314</v>
      </c>
      <c r="C5633">
        <v>7.79</v>
      </c>
      <c r="D5633" t="str">
        <f t="shared" si="215"/>
        <v>270</v>
      </c>
    </row>
    <row r="5634" spans="1:4" x14ac:dyDescent="0.25">
      <c r="A5634" t="str">
        <f>"838943032"</f>
        <v>838943032</v>
      </c>
      <c r="B5634" t="s">
        <v>5315</v>
      </c>
      <c r="C5634">
        <v>82.58</v>
      </c>
      <c r="D5634" t="str">
        <f t="shared" si="215"/>
        <v>270</v>
      </c>
    </row>
    <row r="5635" spans="1:4" x14ac:dyDescent="0.25">
      <c r="A5635" t="str">
        <f>"838943033"</f>
        <v>838943033</v>
      </c>
      <c r="B5635" t="s">
        <v>5316</v>
      </c>
      <c r="C5635">
        <v>82.58</v>
      </c>
      <c r="D5635" t="str">
        <f t="shared" si="215"/>
        <v>270</v>
      </c>
    </row>
    <row r="5636" spans="1:4" x14ac:dyDescent="0.25">
      <c r="A5636" t="str">
        <f>"838943034"</f>
        <v>838943034</v>
      </c>
      <c r="B5636" t="s">
        <v>5317</v>
      </c>
      <c r="C5636">
        <v>81.39</v>
      </c>
      <c r="D5636" t="str">
        <f t="shared" si="215"/>
        <v>270</v>
      </c>
    </row>
    <row r="5637" spans="1:4" x14ac:dyDescent="0.25">
      <c r="A5637" t="str">
        <f>"838943035"</f>
        <v>838943035</v>
      </c>
      <c r="B5637" t="s">
        <v>5318</v>
      </c>
      <c r="C5637">
        <v>81.39</v>
      </c>
      <c r="D5637" t="str">
        <f t="shared" si="215"/>
        <v>270</v>
      </c>
    </row>
    <row r="5638" spans="1:4" x14ac:dyDescent="0.25">
      <c r="A5638" t="str">
        <f>"838943036"</f>
        <v>838943036</v>
      </c>
      <c r="B5638" t="s">
        <v>5319</v>
      </c>
      <c r="C5638">
        <v>81.73</v>
      </c>
      <c r="D5638" t="str">
        <f t="shared" si="215"/>
        <v>270</v>
      </c>
    </row>
    <row r="5639" spans="1:4" x14ac:dyDescent="0.25">
      <c r="A5639" t="str">
        <f>"838943037"</f>
        <v>838943037</v>
      </c>
      <c r="B5639" t="s">
        <v>5320</v>
      </c>
      <c r="C5639">
        <v>81.73</v>
      </c>
      <c r="D5639" t="str">
        <f t="shared" si="215"/>
        <v>270</v>
      </c>
    </row>
    <row r="5640" spans="1:4" x14ac:dyDescent="0.25">
      <c r="A5640" t="str">
        <f>"838943038"</f>
        <v>838943038</v>
      </c>
      <c r="B5640" t="s">
        <v>5321</v>
      </c>
      <c r="C5640">
        <v>16.100000000000001</v>
      </c>
      <c r="D5640" t="str">
        <f t="shared" si="215"/>
        <v>270</v>
      </c>
    </row>
    <row r="5641" spans="1:4" x14ac:dyDescent="0.25">
      <c r="A5641" t="str">
        <f>"838943039"</f>
        <v>838943039</v>
      </c>
      <c r="B5641" t="s">
        <v>5322</v>
      </c>
      <c r="C5641">
        <v>16.100000000000001</v>
      </c>
      <c r="D5641" t="str">
        <f t="shared" si="215"/>
        <v>270</v>
      </c>
    </row>
    <row r="5642" spans="1:4" x14ac:dyDescent="0.25">
      <c r="A5642" t="str">
        <f>"838943040"</f>
        <v>838943040</v>
      </c>
      <c r="B5642" t="s">
        <v>5323</v>
      </c>
      <c r="C5642">
        <v>14.55</v>
      </c>
      <c r="D5642" t="str">
        <f t="shared" si="215"/>
        <v>270</v>
      </c>
    </row>
    <row r="5643" spans="1:4" x14ac:dyDescent="0.25">
      <c r="A5643" t="str">
        <f>"838943041"</f>
        <v>838943041</v>
      </c>
      <c r="B5643" t="s">
        <v>5324</v>
      </c>
      <c r="C5643">
        <v>14.55</v>
      </c>
      <c r="D5643" t="str">
        <f t="shared" si="215"/>
        <v>270</v>
      </c>
    </row>
    <row r="5644" spans="1:4" x14ac:dyDescent="0.25">
      <c r="A5644" t="str">
        <f>"838943042"</f>
        <v>838943042</v>
      </c>
      <c r="B5644" t="s">
        <v>5325</v>
      </c>
      <c r="C5644">
        <v>40.770000000000003</v>
      </c>
      <c r="D5644" t="str">
        <f t="shared" si="215"/>
        <v>270</v>
      </c>
    </row>
    <row r="5645" spans="1:4" x14ac:dyDescent="0.25">
      <c r="A5645" t="str">
        <f>"838943043"</f>
        <v>838943043</v>
      </c>
      <c r="B5645" t="s">
        <v>5326</v>
      </c>
      <c r="C5645">
        <v>40.770000000000003</v>
      </c>
      <c r="D5645" t="str">
        <f t="shared" si="215"/>
        <v>270</v>
      </c>
    </row>
    <row r="5646" spans="1:4" x14ac:dyDescent="0.25">
      <c r="A5646" t="str">
        <f>"838943044"</f>
        <v>838943044</v>
      </c>
      <c r="B5646" t="s">
        <v>5327</v>
      </c>
      <c r="C5646">
        <v>40.33</v>
      </c>
      <c r="D5646" t="str">
        <f t="shared" si="215"/>
        <v>270</v>
      </c>
    </row>
    <row r="5647" spans="1:4" x14ac:dyDescent="0.25">
      <c r="A5647" t="str">
        <f>"838943045"</f>
        <v>838943045</v>
      </c>
      <c r="B5647" t="s">
        <v>5328</v>
      </c>
      <c r="C5647">
        <v>40.33</v>
      </c>
      <c r="D5647" t="str">
        <f t="shared" si="215"/>
        <v>270</v>
      </c>
    </row>
    <row r="5648" spans="1:4" x14ac:dyDescent="0.25">
      <c r="A5648" t="str">
        <f>"838943046"</f>
        <v>838943046</v>
      </c>
      <c r="B5648" t="s">
        <v>5329</v>
      </c>
      <c r="C5648">
        <v>24.76</v>
      </c>
      <c r="D5648" t="str">
        <f t="shared" si="215"/>
        <v>270</v>
      </c>
    </row>
    <row r="5649" spans="1:4" x14ac:dyDescent="0.25">
      <c r="A5649" t="str">
        <f>"838943047"</f>
        <v>838943047</v>
      </c>
      <c r="B5649" t="s">
        <v>5330</v>
      </c>
      <c r="C5649">
        <v>24.76</v>
      </c>
      <c r="D5649" t="str">
        <f t="shared" si="215"/>
        <v>270</v>
      </c>
    </row>
    <row r="5650" spans="1:4" x14ac:dyDescent="0.25">
      <c r="A5650" t="str">
        <f>"838943048"</f>
        <v>838943048</v>
      </c>
      <c r="B5650" t="s">
        <v>5331</v>
      </c>
      <c r="C5650">
        <v>22.81</v>
      </c>
      <c r="D5650" t="str">
        <f t="shared" si="215"/>
        <v>270</v>
      </c>
    </row>
    <row r="5651" spans="1:4" x14ac:dyDescent="0.25">
      <c r="A5651" t="str">
        <f>"838943049"</f>
        <v>838943049</v>
      </c>
      <c r="B5651" t="s">
        <v>5332</v>
      </c>
      <c r="C5651">
        <v>22.81</v>
      </c>
      <c r="D5651" t="str">
        <f t="shared" si="215"/>
        <v>270</v>
      </c>
    </row>
    <row r="5652" spans="1:4" x14ac:dyDescent="0.25">
      <c r="A5652" t="str">
        <f>"838943050"</f>
        <v>838943050</v>
      </c>
      <c r="B5652" t="s">
        <v>5333</v>
      </c>
      <c r="C5652">
        <v>23.09</v>
      </c>
      <c r="D5652" t="str">
        <f t="shared" si="215"/>
        <v>270</v>
      </c>
    </row>
    <row r="5653" spans="1:4" x14ac:dyDescent="0.25">
      <c r="A5653" t="str">
        <f>"838943051"</f>
        <v>838943051</v>
      </c>
      <c r="B5653" t="s">
        <v>5334</v>
      </c>
      <c r="C5653">
        <v>23.09</v>
      </c>
      <c r="D5653" t="str">
        <f t="shared" si="215"/>
        <v>270</v>
      </c>
    </row>
    <row r="5654" spans="1:4" x14ac:dyDescent="0.25">
      <c r="A5654" t="str">
        <f>"838943052"</f>
        <v>838943052</v>
      </c>
      <c r="B5654" t="s">
        <v>5335</v>
      </c>
      <c r="C5654">
        <v>12.76</v>
      </c>
      <c r="D5654" t="str">
        <f t="shared" si="215"/>
        <v>270</v>
      </c>
    </row>
    <row r="5655" spans="1:4" x14ac:dyDescent="0.25">
      <c r="A5655" t="str">
        <f>"838943053"</f>
        <v>838943053</v>
      </c>
      <c r="B5655" t="s">
        <v>5336</v>
      </c>
      <c r="C5655">
        <v>12.76</v>
      </c>
      <c r="D5655" t="str">
        <f t="shared" si="215"/>
        <v>270</v>
      </c>
    </row>
    <row r="5656" spans="1:4" x14ac:dyDescent="0.25">
      <c r="A5656" t="str">
        <f>"838943054"</f>
        <v>838943054</v>
      </c>
      <c r="B5656" t="s">
        <v>5337</v>
      </c>
      <c r="C5656">
        <v>12.62</v>
      </c>
      <c r="D5656" t="str">
        <f t="shared" si="215"/>
        <v>270</v>
      </c>
    </row>
    <row r="5657" spans="1:4" x14ac:dyDescent="0.25">
      <c r="A5657" t="str">
        <f>"838943055"</f>
        <v>838943055</v>
      </c>
      <c r="B5657" t="s">
        <v>5338</v>
      </c>
      <c r="C5657">
        <v>12.62</v>
      </c>
      <c r="D5657" t="str">
        <f t="shared" si="215"/>
        <v>270</v>
      </c>
    </row>
    <row r="5658" spans="1:4" x14ac:dyDescent="0.25">
      <c r="A5658" t="str">
        <f>"838943056"</f>
        <v>838943056</v>
      </c>
      <c r="B5658" t="s">
        <v>5339</v>
      </c>
      <c r="C5658">
        <v>12.62</v>
      </c>
      <c r="D5658" t="str">
        <f t="shared" si="215"/>
        <v>270</v>
      </c>
    </row>
    <row r="5659" spans="1:4" x14ac:dyDescent="0.25">
      <c r="A5659" t="str">
        <f>"838943057"</f>
        <v>838943057</v>
      </c>
      <c r="B5659" t="s">
        <v>5340</v>
      </c>
      <c r="C5659">
        <v>12.62</v>
      </c>
      <c r="D5659" t="str">
        <f t="shared" si="215"/>
        <v>270</v>
      </c>
    </row>
    <row r="5660" spans="1:4" x14ac:dyDescent="0.25">
      <c r="A5660" t="str">
        <f>"838943058"</f>
        <v>838943058</v>
      </c>
      <c r="B5660" t="s">
        <v>5341</v>
      </c>
      <c r="C5660">
        <v>16.28</v>
      </c>
      <c r="D5660" t="str">
        <f t="shared" si="215"/>
        <v>270</v>
      </c>
    </row>
    <row r="5661" spans="1:4" x14ac:dyDescent="0.25">
      <c r="A5661" t="str">
        <f>"838943059"</f>
        <v>838943059</v>
      </c>
      <c r="B5661" t="s">
        <v>5342</v>
      </c>
      <c r="C5661">
        <v>16.28</v>
      </c>
      <c r="D5661" t="str">
        <f t="shared" si="215"/>
        <v>270</v>
      </c>
    </row>
    <row r="5662" spans="1:4" x14ac:dyDescent="0.25">
      <c r="A5662" t="str">
        <f>"838943060"</f>
        <v>838943060</v>
      </c>
      <c r="B5662" t="s">
        <v>5343</v>
      </c>
      <c r="C5662">
        <v>16.28</v>
      </c>
      <c r="D5662" t="str">
        <f t="shared" si="215"/>
        <v>270</v>
      </c>
    </row>
    <row r="5663" spans="1:4" x14ac:dyDescent="0.25">
      <c r="A5663" t="str">
        <f>"838943061"</f>
        <v>838943061</v>
      </c>
      <c r="B5663" t="s">
        <v>5344</v>
      </c>
      <c r="C5663">
        <v>16.28</v>
      </c>
      <c r="D5663" t="str">
        <f t="shared" si="215"/>
        <v>270</v>
      </c>
    </row>
    <row r="5664" spans="1:4" x14ac:dyDescent="0.25">
      <c r="A5664" t="str">
        <f>"838943062"</f>
        <v>838943062</v>
      </c>
      <c r="B5664" t="s">
        <v>5345</v>
      </c>
      <c r="C5664">
        <v>13.26</v>
      </c>
      <c r="D5664" t="str">
        <f t="shared" si="215"/>
        <v>270</v>
      </c>
    </row>
    <row r="5665" spans="1:4" x14ac:dyDescent="0.25">
      <c r="A5665" t="str">
        <f>"838943063"</f>
        <v>838943063</v>
      </c>
      <c r="B5665" t="s">
        <v>5346</v>
      </c>
      <c r="C5665">
        <v>13.26</v>
      </c>
      <c r="D5665" t="str">
        <f t="shared" si="215"/>
        <v>270</v>
      </c>
    </row>
    <row r="5666" spans="1:4" x14ac:dyDescent="0.25">
      <c r="A5666" t="str">
        <f>"838943064"</f>
        <v>838943064</v>
      </c>
      <c r="B5666" t="s">
        <v>5347</v>
      </c>
      <c r="C5666">
        <v>12.72</v>
      </c>
      <c r="D5666" t="str">
        <f t="shared" si="215"/>
        <v>270</v>
      </c>
    </row>
    <row r="5667" spans="1:4" x14ac:dyDescent="0.25">
      <c r="A5667" t="str">
        <f>"838943065"</f>
        <v>838943065</v>
      </c>
      <c r="B5667" t="s">
        <v>5348</v>
      </c>
      <c r="C5667">
        <v>12.72</v>
      </c>
      <c r="D5667" t="str">
        <f t="shared" si="215"/>
        <v>270</v>
      </c>
    </row>
    <row r="5668" spans="1:4" x14ac:dyDescent="0.25">
      <c r="A5668" t="str">
        <f>"838943066"</f>
        <v>838943066</v>
      </c>
      <c r="B5668" t="s">
        <v>5349</v>
      </c>
      <c r="C5668">
        <v>12.52</v>
      </c>
      <c r="D5668" t="str">
        <f t="shared" si="215"/>
        <v>270</v>
      </c>
    </row>
    <row r="5669" spans="1:4" x14ac:dyDescent="0.25">
      <c r="A5669" t="str">
        <f>"838943067"</f>
        <v>838943067</v>
      </c>
      <c r="B5669" t="s">
        <v>5350</v>
      </c>
      <c r="C5669">
        <v>12.52</v>
      </c>
      <c r="D5669" t="str">
        <f t="shared" si="215"/>
        <v>270</v>
      </c>
    </row>
    <row r="5670" spans="1:4" x14ac:dyDescent="0.25">
      <c r="A5670" t="str">
        <f>"838943068"</f>
        <v>838943068</v>
      </c>
      <c r="B5670" t="s">
        <v>5351</v>
      </c>
      <c r="C5670">
        <v>12.72</v>
      </c>
      <c r="D5670" t="str">
        <f t="shared" si="215"/>
        <v>270</v>
      </c>
    </row>
    <row r="5671" spans="1:4" x14ac:dyDescent="0.25">
      <c r="A5671" t="str">
        <f>"838943069"</f>
        <v>838943069</v>
      </c>
      <c r="B5671" t="s">
        <v>5352</v>
      </c>
      <c r="C5671">
        <v>12.72</v>
      </c>
      <c r="D5671" t="str">
        <f t="shared" si="215"/>
        <v>270</v>
      </c>
    </row>
    <row r="5672" spans="1:4" x14ac:dyDescent="0.25">
      <c r="A5672" t="str">
        <f>"838943070"</f>
        <v>838943070</v>
      </c>
      <c r="B5672" t="s">
        <v>5353</v>
      </c>
      <c r="C5672">
        <v>15.11</v>
      </c>
      <c r="D5672" t="str">
        <f t="shared" si="215"/>
        <v>270</v>
      </c>
    </row>
    <row r="5673" spans="1:4" x14ac:dyDescent="0.25">
      <c r="A5673" t="str">
        <f>"838943071"</f>
        <v>838943071</v>
      </c>
      <c r="B5673" t="s">
        <v>5354</v>
      </c>
      <c r="C5673">
        <v>15.11</v>
      </c>
      <c r="D5673" t="str">
        <f t="shared" si="215"/>
        <v>270</v>
      </c>
    </row>
    <row r="5674" spans="1:4" x14ac:dyDescent="0.25">
      <c r="A5674" t="str">
        <f>"838943072"</f>
        <v>838943072</v>
      </c>
      <c r="B5674" t="s">
        <v>5355</v>
      </c>
      <c r="C5674">
        <v>12.74</v>
      </c>
      <c r="D5674" t="str">
        <f t="shared" si="215"/>
        <v>270</v>
      </c>
    </row>
    <row r="5675" spans="1:4" x14ac:dyDescent="0.25">
      <c r="A5675" t="str">
        <f>"838943073"</f>
        <v>838943073</v>
      </c>
      <c r="B5675" t="s">
        <v>5356</v>
      </c>
      <c r="C5675">
        <v>12.74</v>
      </c>
      <c r="D5675" t="str">
        <f t="shared" si="215"/>
        <v>270</v>
      </c>
    </row>
    <row r="5676" spans="1:4" x14ac:dyDescent="0.25">
      <c r="A5676" t="str">
        <f>"838943074"</f>
        <v>838943074</v>
      </c>
      <c r="B5676" t="s">
        <v>5357</v>
      </c>
      <c r="C5676">
        <v>12.61</v>
      </c>
      <c r="D5676" t="str">
        <f t="shared" si="215"/>
        <v>270</v>
      </c>
    </row>
    <row r="5677" spans="1:4" x14ac:dyDescent="0.25">
      <c r="A5677" t="str">
        <f>"838943075"</f>
        <v>838943075</v>
      </c>
      <c r="B5677" t="s">
        <v>5358</v>
      </c>
      <c r="C5677">
        <v>12.61</v>
      </c>
      <c r="D5677" t="str">
        <f t="shared" si="215"/>
        <v>270</v>
      </c>
    </row>
    <row r="5678" spans="1:4" x14ac:dyDescent="0.25">
      <c r="A5678" t="str">
        <f>"838943076"</f>
        <v>838943076</v>
      </c>
      <c r="B5678" t="s">
        <v>5359</v>
      </c>
      <c r="C5678">
        <v>12.72</v>
      </c>
      <c r="D5678" t="str">
        <f t="shared" si="215"/>
        <v>270</v>
      </c>
    </row>
    <row r="5679" spans="1:4" x14ac:dyDescent="0.25">
      <c r="A5679" t="str">
        <f>"838943077"</f>
        <v>838943077</v>
      </c>
      <c r="B5679" t="s">
        <v>5360</v>
      </c>
      <c r="C5679">
        <v>12.72</v>
      </c>
      <c r="D5679" t="str">
        <f t="shared" si="215"/>
        <v>270</v>
      </c>
    </row>
    <row r="5680" spans="1:4" x14ac:dyDescent="0.25">
      <c r="A5680" t="str">
        <f>"838943078"</f>
        <v>838943078</v>
      </c>
      <c r="B5680" t="s">
        <v>5361</v>
      </c>
      <c r="C5680">
        <v>14.58</v>
      </c>
      <c r="D5680" t="str">
        <f t="shared" si="215"/>
        <v>270</v>
      </c>
    </row>
    <row r="5681" spans="1:4" x14ac:dyDescent="0.25">
      <c r="A5681" t="str">
        <f>"838943079"</f>
        <v>838943079</v>
      </c>
      <c r="B5681" t="s">
        <v>5362</v>
      </c>
      <c r="C5681">
        <v>14.58</v>
      </c>
      <c r="D5681" t="str">
        <f t="shared" si="215"/>
        <v>270</v>
      </c>
    </row>
    <row r="5682" spans="1:4" x14ac:dyDescent="0.25">
      <c r="A5682" t="str">
        <f>"838943080"</f>
        <v>838943080</v>
      </c>
      <c r="B5682" t="s">
        <v>5363</v>
      </c>
      <c r="C5682">
        <v>16.489999999999998</v>
      </c>
      <c r="D5682" t="str">
        <f t="shared" si="215"/>
        <v>270</v>
      </c>
    </row>
    <row r="5683" spans="1:4" x14ac:dyDescent="0.25">
      <c r="A5683" t="str">
        <f>"838943081"</f>
        <v>838943081</v>
      </c>
      <c r="B5683" t="s">
        <v>5364</v>
      </c>
      <c r="C5683">
        <v>16.489999999999998</v>
      </c>
      <c r="D5683" t="str">
        <f t="shared" si="215"/>
        <v>270</v>
      </c>
    </row>
    <row r="5684" spans="1:4" x14ac:dyDescent="0.25">
      <c r="A5684" t="str">
        <f>"838943082"</f>
        <v>838943082</v>
      </c>
      <c r="B5684" t="s">
        <v>5365</v>
      </c>
      <c r="C5684">
        <v>14.99</v>
      </c>
      <c r="D5684" t="str">
        <f t="shared" si="215"/>
        <v>270</v>
      </c>
    </row>
    <row r="5685" spans="1:4" x14ac:dyDescent="0.25">
      <c r="A5685" t="str">
        <f>"838943083"</f>
        <v>838943083</v>
      </c>
      <c r="B5685" t="s">
        <v>5366</v>
      </c>
      <c r="C5685">
        <v>14.99</v>
      </c>
      <c r="D5685" t="str">
        <f t="shared" si="215"/>
        <v>270</v>
      </c>
    </row>
    <row r="5686" spans="1:4" x14ac:dyDescent="0.25">
      <c r="A5686" t="str">
        <f>"838943084"</f>
        <v>838943084</v>
      </c>
      <c r="B5686" t="s">
        <v>5367</v>
      </c>
      <c r="C5686">
        <v>11.78</v>
      </c>
      <c r="D5686" t="str">
        <f t="shared" si="215"/>
        <v>270</v>
      </c>
    </row>
    <row r="5687" spans="1:4" x14ac:dyDescent="0.25">
      <c r="A5687" t="str">
        <f>"838943085"</f>
        <v>838943085</v>
      </c>
      <c r="B5687" t="s">
        <v>5368</v>
      </c>
      <c r="C5687">
        <v>11.78</v>
      </c>
      <c r="D5687" t="str">
        <f t="shared" si="215"/>
        <v>270</v>
      </c>
    </row>
    <row r="5688" spans="1:4" x14ac:dyDescent="0.25">
      <c r="A5688" t="str">
        <f>"838943086"</f>
        <v>838943086</v>
      </c>
      <c r="B5688" t="s">
        <v>5369</v>
      </c>
      <c r="C5688">
        <v>11.89</v>
      </c>
      <c r="D5688" t="str">
        <f t="shared" si="215"/>
        <v>270</v>
      </c>
    </row>
    <row r="5689" spans="1:4" x14ac:dyDescent="0.25">
      <c r="A5689" t="str">
        <f>"838943087"</f>
        <v>838943087</v>
      </c>
      <c r="B5689" t="s">
        <v>5370</v>
      </c>
      <c r="C5689">
        <v>11.89</v>
      </c>
      <c r="D5689" t="str">
        <f t="shared" si="215"/>
        <v>270</v>
      </c>
    </row>
    <row r="5690" spans="1:4" x14ac:dyDescent="0.25">
      <c r="A5690" t="str">
        <f>"838943088"</f>
        <v>838943088</v>
      </c>
      <c r="B5690" t="s">
        <v>5371</v>
      </c>
      <c r="C5690">
        <v>22.94</v>
      </c>
      <c r="D5690" t="str">
        <f t="shared" si="215"/>
        <v>270</v>
      </c>
    </row>
    <row r="5691" spans="1:4" x14ac:dyDescent="0.25">
      <c r="A5691" t="str">
        <f>"838943089"</f>
        <v>838943089</v>
      </c>
      <c r="B5691" t="s">
        <v>5372</v>
      </c>
      <c r="C5691">
        <v>22.94</v>
      </c>
      <c r="D5691" t="str">
        <f t="shared" ref="D5691:D5754" si="216">"270"</f>
        <v>270</v>
      </c>
    </row>
    <row r="5692" spans="1:4" x14ac:dyDescent="0.25">
      <c r="A5692" t="str">
        <f>"838943090"</f>
        <v>838943090</v>
      </c>
      <c r="B5692" t="s">
        <v>5373</v>
      </c>
      <c r="C5692">
        <v>83.07</v>
      </c>
      <c r="D5692" t="str">
        <f t="shared" si="216"/>
        <v>270</v>
      </c>
    </row>
    <row r="5693" spans="1:4" x14ac:dyDescent="0.25">
      <c r="A5693" t="str">
        <f>"838943091"</f>
        <v>838943091</v>
      </c>
      <c r="B5693" t="s">
        <v>5374</v>
      </c>
      <c r="C5693">
        <v>83.07</v>
      </c>
      <c r="D5693" t="str">
        <f t="shared" si="216"/>
        <v>270</v>
      </c>
    </row>
    <row r="5694" spans="1:4" x14ac:dyDescent="0.25">
      <c r="A5694" t="str">
        <f>"838943092"</f>
        <v>838943092</v>
      </c>
      <c r="B5694" t="s">
        <v>5375</v>
      </c>
      <c r="C5694">
        <v>30.29</v>
      </c>
      <c r="D5694" t="str">
        <f t="shared" si="216"/>
        <v>270</v>
      </c>
    </row>
    <row r="5695" spans="1:4" x14ac:dyDescent="0.25">
      <c r="A5695" t="str">
        <f>"838943093"</f>
        <v>838943093</v>
      </c>
      <c r="B5695" t="s">
        <v>5376</v>
      </c>
      <c r="C5695">
        <v>30.29</v>
      </c>
      <c r="D5695" t="str">
        <f t="shared" si="216"/>
        <v>270</v>
      </c>
    </row>
    <row r="5696" spans="1:4" x14ac:dyDescent="0.25">
      <c r="A5696" t="str">
        <f>"838943094"</f>
        <v>838943094</v>
      </c>
      <c r="B5696" t="s">
        <v>5377</v>
      </c>
      <c r="C5696">
        <v>30</v>
      </c>
      <c r="D5696" t="str">
        <f t="shared" si="216"/>
        <v>270</v>
      </c>
    </row>
    <row r="5697" spans="1:4" x14ac:dyDescent="0.25">
      <c r="A5697" t="str">
        <f>"838943095"</f>
        <v>838943095</v>
      </c>
      <c r="B5697" t="s">
        <v>5378</v>
      </c>
      <c r="C5697">
        <v>30</v>
      </c>
      <c r="D5697" t="str">
        <f t="shared" si="216"/>
        <v>270</v>
      </c>
    </row>
    <row r="5698" spans="1:4" x14ac:dyDescent="0.25">
      <c r="A5698" t="str">
        <f>"838943096"</f>
        <v>838943096</v>
      </c>
      <c r="B5698" t="s">
        <v>5379</v>
      </c>
      <c r="C5698">
        <v>29.52</v>
      </c>
      <c r="D5698" t="str">
        <f t="shared" si="216"/>
        <v>270</v>
      </c>
    </row>
    <row r="5699" spans="1:4" x14ac:dyDescent="0.25">
      <c r="A5699" t="str">
        <f>"838943097"</f>
        <v>838943097</v>
      </c>
      <c r="B5699" t="s">
        <v>5380</v>
      </c>
      <c r="C5699">
        <v>29.52</v>
      </c>
      <c r="D5699" t="str">
        <f t="shared" si="216"/>
        <v>270</v>
      </c>
    </row>
    <row r="5700" spans="1:4" x14ac:dyDescent="0.25">
      <c r="A5700" t="str">
        <f>"838943098"</f>
        <v>838943098</v>
      </c>
      <c r="B5700" t="s">
        <v>5381</v>
      </c>
      <c r="C5700">
        <v>29.58</v>
      </c>
      <c r="D5700" t="str">
        <f t="shared" si="216"/>
        <v>270</v>
      </c>
    </row>
    <row r="5701" spans="1:4" x14ac:dyDescent="0.25">
      <c r="A5701" t="str">
        <f>"838943099"</f>
        <v>838943099</v>
      </c>
      <c r="B5701" t="s">
        <v>5382</v>
      </c>
      <c r="C5701">
        <v>29.58</v>
      </c>
      <c r="D5701" t="str">
        <f t="shared" si="216"/>
        <v>270</v>
      </c>
    </row>
    <row r="5702" spans="1:4" x14ac:dyDescent="0.25">
      <c r="A5702" t="str">
        <f>"838943100"</f>
        <v>838943100</v>
      </c>
      <c r="B5702" t="s">
        <v>5383</v>
      </c>
      <c r="C5702">
        <v>14.99</v>
      </c>
      <c r="D5702" t="str">
        <f t="shared" si="216"/>
        <v>270</v>
      </c>
    </row>
    <row r="5703" spans="1:4" x14ac:dyDescent="0.25">
      <c r="A5703" t="str">
        <f>"838943101"</f>
        <v>838943101</v>
      </c>
      <c r="B5703" t="s">
        <v>5384</v>
      </c>
      <c r="C5703">
        <v>14.99</v>
      </c>
      <c r="D5703" t="str">
        <f t="shared" si="216"/>
        <v>270</v>
      </c>
    </row>
    <row r="5704" spans="1:4" x14ac:dyDescent="0.25">
      <c r="A5704" t="str">
        <f>"838943102"</f>
        <v>838943102</v>
      </c>
      <c r="B5704" t="s">
        <v>5385</v>
      </c>
      <c r="C5704">
        <v>30.98</v>
      </c>
      <c r="D5704" t="str">
        <f t="shared" si="216"/>
        <v>270</v>
      </c>
    </row>
    <row r="5705" spans="1:4" x14ac:dyDescent="0.25">
      <c r="A5705" t="str">
        <f>"838943103"</f>
        <v>838943103</v>
      </c>
      <c r="B5705" t="s">
        <v>5386</v>
      </c>
      <c r="C5705">
        <v>30.98</v>
      </c>
      <c r="D5705" t="str">
        <f t="shared" si="216"/>
        <v>270</v>
      </c>
    </row>
    <row r="5706" spans="1:4" x14ac:dyDescent="0.25">
      <c r="A5706" t="str">
        <f>"838943104"</f>
        <v>838943104</v>
      </c>
      <c r="B5706" t="s">
        <v>5387</v>
      </c>
      <c r="C5706">
        <v>31.22</v>
      </c>
      <c r="D5706" t="str">
        <f t="shared" si="216"/>
        <v>270</v>
      </c>
    </row>
    <row r="5707" spans="1:4" x14ac:dyDescent="0.25">
      <c r="A5707" t="str">
        <f>"838943105"</f>
        <v>838943105</v>
      </c>
      <c r="B5707" t="s">
        <v>5388</v>
      </c>
      <c r="C5707">
        <v>31.22</v>
      </c>
      <c r="D5707" t="str">
        <f t="shared" si="216"/>
        <v>270</v>
      </c>
    </row>
    <row r="5708" spans="1:4" x14ac:dyDescent="0.25">
      <c r="A5708" t="str">
        <f>"838943106"</f>
        <v>838943106</v>
      </c>
      <c r="B5708" t="s">
        <v>5389</v>
      </c>
      <c r="C5708">
        <v>14.62</v>
      </c>
      <c r="D5708" t="str">
        <f t="shared" si="216"/>
        <v>270</v>
      </c>
    </row>
    <row r="5709" spans="1:4" x14ac:dyDescent="0.25">
      <c r="A5709" t="str">
        <f>"838943107"</f>
        <v>838943107</v>
      </c>
      <c r="B5709" t="s">
        <v>5390</v>
      </c>
      <c r="C5709">
        <v>14.62</v>
      </c>
      <c r="D5709" t="str">
        <f t="shared" si="216"/>
        <v>270</v>
      </c>
    </row>
    <row r="5710" spans="1:4" x14ac:dyDescent="0.25">
      <c r="A5710" t="str">
        <f>"838943108"</f>
        <v>838943108</v>
      </c>
      <c r="B5710" t="s">
        <v>5391</v>
      </c>
      <c r="C5710">
        <v>30</v>
      </c>
      <c r="D5710" t="str">
        <f t="shared" si="216"/>
        <v>270</v>
      </c>
    </row>
    <row r="5711" spans="1:4" x14ac:dyDescent="0.25">
      <c r="A5711" t="str">
        <f>"838943109"</f>
        <v>838943109</v>
      </c>
      <c r="B5711" t="s">
        <v>5392</v>
      </c>
      <c r="C5711">
        <v>30</v>
      </c>
      <c r="D5711" t="str">
        <f t="shared" si="216"/>
        <v>270</v>
      </c>
    </row>
    <row r="5712" spans="1:4" x14ac:dyDescent="0.25">
      <c r="A5712" t="str">
        <f>"838943110"</f>
        <v>838943110</v>
      </c>
      <c r="B5712" t="s">
        <v>5393</v>
      </c>
      <c r="C5712">
        <v>30.06</v>
      </c>
      <c r="D5712" t="str">
        <f t="shared" si="216"/>
        <v>270</v>
      </c>
    </row>
    <row r="5713" spans="1:4" x14ac:dyDescent="0.25">
      <c r="A5713" t="str">
        <f>"838943111"</f>
        <v>838943111</v>
      </c>
      <c r="B5713" t="s">
        <v>5394</v>
      </c>
      <c r="C5713">
        <v>30.06</v>
      </c>
      <c r="D5713" t="str">
        <f t="shared" si="216"/>
        <v>270</v>
      </c>
    </row>
    <row r="5714" spans="1:4" x14ac:dyDescent="0.25">
      <c r="A5714" t="str">
        <f>"838943112"</f>
        <v>838943112</v>
      </c>
      <c r="B5714" t="s">
        <v>5395</v>
      </c>
      <c r="C5714">
        <v>30.81</v>
      </c>
      <c r="D5714" t="str">
        <f t="shared" si="216"/>
        <v>270</v>
      </c>
    </row>
    <row r="5715" spans="1:4" x14ac:dyDescent="0.25">
      <c r="A5715" t="str">
        <f>"838943113"</f>
        <v>838943113</v>
      </c>
      <c r="B5715" t="s">
        <v>5396</v>
      </c>
      <c r="C5715">
        <v>30.81</v>
      </c>
      <c r="D5715" t="str">
        <f t="shared" si="216"/>
        <v>270</v>
      </c>
    </row>
    <row r="5716" spans="1:4" x14ac:dyDescent="0.25">
      <c r="A5716" t="str">
        <f>"838943114"</f>
        <v>838943114</v>
      </c>
      <c r="B5716" t="s">
        <v>5397</v>
      </c>
      <c r="C5716">
        <v>30.37</v>
      </c>
      <c r="D5716" t="str">
        <f t="shared" si="216"/>
        <v>270</v>
      </c>
    </row>
    <row r="5717" spans="1:4" x14ac:dyDescent="0.25">
      <c r="A5717" t="str">
        <f>"838943115"</f>
        <v>838943115</v>
      </c>
      <c r="B5717" t="s">
        <v>5398</v>
      </c>
      <c r="C5717">
        <v>30.37</v>
      </c>
      <c r="D5717" t="str">
        <f t="shared" si="216"/>
        <v>270</v>
      </c>
    </row>
    <row r="5718" spans="1:4" x14ac:dyDescent="0.25">
      <c r="A5718" t="str">
        <f>"838943116"</f>
        <v>838943116</v>
      </c>
      <c r="B5718" t="s">
        <v>5399</v>
      </c>
      <c r="C5718">
        <v>30.06</v>
      </c>
      <c r="D5718" t="str">
        <f t="shared" si="216"/>
        <v>270</v>
      </c>
    </row>
    <row r="5719" spans="1:4" x14ac:dyDescent="0.25">
      <c r="A5719" t="str">
        <f>"838943117"</f>
        <v>838943117</v>
      </c>
      <c r="B5719" t="s">
        <v>5400</v>
      </c>
      <c r="C5719">
        <v>30.06</v>
      </c>
      <c r="D5719" t="str">
        <f t="shared" si="216"/>
        <v>270</v>
      </c>
    </row>
    <row r="5720" spans="1:4" x14ac:dyDescent="0.25">
      <c r="A5720" t="str">
        <f>"838943118"</f>
        <v>838943118</v>
      </c>
      <c r="B5720" t="s">
        <v>5401</v>
      </c>
      <c r="C5720">
        <v>29.7</v>
      </c>
      <c r="D5720" t="str">
        <f t="shared" si="216"/>
        <v>270</v>
      </c>
    </row>
    <row r="5721" spans="1:4" x14ac:dyDescent="0.25">
      <c r="A5721" t="str">
        <f>"838943119"</f>
        <v>838943119</v>
      </c>
      <c r="B5721" t="s">
        <v>5402</v>
      </c>
      <c r="C5721">
        <v>29.7</v>
      </c>
      <c r="D5721" t="str">
        <f t="shared" si="216"/>
        <v>270</v>
      </c>
    </row>
    <row r="5722" spans="1:4" x14ac:dyDescent="0.25">
      <c r="A5722" t="str">
        <f>"838943120"</f>
        <v>838943120</v>
      </c>
      <c r="B5722" t="s">
        <v>5403</v>
      </c>
      <c r="C5722">
        <v>30.47</v>
      </c>
      <c r="D5722" t="str">
        <f t="shared" si="216"/>
        <v>270</v>
      </c>
    </row>
    <row r="5723" spans="1:4" x14ac:dyDescent="0.25">
      <c r="A5723" t="str">
        <f>"838943121"</f>
        <v>838943121</v>
      </c>
      <c r="B5723" t="s">
        <v>5404</v>
      </c>
      <c r="C5723">
        <v>30.47</v>
      </c>
      <c r="D5723" t="str">
        <f t="shared" si="216"/>
        <v>270</v>
      </c>
    </row>
    <row r="5724" spans="1:4" x14ac:dyDescent="0.25">
      <c r="A5724" t="str">
        <f>"838943122"</f>
        <v>838943122</v>
      </c>
      <c r="B5724" t="s">
        <v>5405</v>
      </c>
      <c r="C5724">
        <v>30.71</v>
      </c>
      <c r="D5724" t="str">
        <f t="shared" si="216"/>
        <v>270</v>
      </c>
    </row>
    <row r="5725" spans="1:4" x14ac:dyDescent="0.25">
      <c r="A5725" t="str">
        <f>"838943123"</f>
        <v>838943123</v>
      </c>
      <c r="B5725" t="s">
        <v>5406</v>
      </c>
      <c r="C5725">
        <v>30.71</v>
      </c>
      <c r="D5725" t="str">
        <f t="shared" si="216"/>
        <v>270</v>
      </c>
    </row>
    <row r="5726" spans="1:4" x14ac:dyDescent="0.25">
      <c r="A5726" t="str">
        <f>"838943124"</f>
        <v>838943124</v>
      </c>
      <c r="B5726" t="s">
        <v>5407</v>
      </c>
      <c r="C5726">
        <v>30.72</v>
      </c>
      <c r="D5726" t="str">
        <f t="shared" si="216"/>
        <v>270</v>
      </c>
    </row>
    <row r="5727" spans="1:4" x14ac:dyDescent="0.25">
      <c r="A5727" t="str">
        <f>"838943125"</f>
        <v>838943125</v>
      </c>
      <c r="B5727" t="s">
        <v>5408</v>
      </c>
      <c r="C5727">
        <v>30.72</v>
      </c>
      <c r="D5727" t="str">
        <f t="shared" si="216"/>
        <v>270</v>
      </c>
    </row>
    <row r="5728" spans="1:4" x14ac:dyDescent="0.25">
      <c r="A5728" t="str">
        <f>"838943126"</f>
        <v>838943126</v>
      </c>
      <c r="B5728" t="s">
        <v>5409</v>
      </c>
      <c r="C5728">
        <v>27.31</v>
      </c>
      <c r="D5728" t="str">
        <f t="shared" si="216"/>
        <v>270</v>
      </c>
    </row>
    <row r="5729" spans="1:4" x14ac:dyDescent="0.25">
      <c r="A5729" t="str">
        <f>"838943127"</f>
        <v>838943127</v>
      </c>
      <c r="B5729" t="s">
        <v>5410</v>
      </c>
      <c r="C5729">
        <v>27.31</v>
      </c>
      <c r="D5729" t="str">
        <f t="shared" si="216"/>
        <v>270</v>
      </c>
    </row>
    <row r="5730" spans="1:4" x14ac:dyDescent="0.25">
      <c r="A5730" t="str">
        <f>"838943128"</f>
        <v>838943128</v>
      </c>
      <c r="B5730" t="s">
        <v>5411</v>
      </c>
      <c r="C5730">
        <v>28.42</v>
      </c>
      <c r="D5730" t="str">
        <f t="shared" si="216"/>
        <v>270</v>
      </c>
    </row>
    <row r="5731" spans="1:4" x14ac:dyDescent="0.25">
      <c r="A5731" t="str">
        <f>"838943129"</f>
        <v>838943129</v>
      </c>
      <c r="B5731" t="s">
        <v>5412</v>
      </c>
      <c r="C5731">
        <v>28.42</v>
      </c>
      <c r="D5731" t="str">
        <f t="shared" si="216"/>
        <v>270</v>
      </c>
    </row>
    <row r="5732" spans="1:4" x14ac:dyDescent="0.25">
      <c r="A5732" t="str">
        <f>"838943130"</f>
        <v>838943130</v>
      </c>
      <c r="B5732" t="s">
        <v>5413</v>
      </c>
      <c r="C5732">
        <v>30.36</v>
      </c>
      <c r="D5732" t="str">
        <f t="shared" si="216"/>
        <v>270</v>
      </c>
    </row>
    <row r="5733" spans="1:4" x14ac:dyDescent="0.25">
      <c r="A5733" t="str">
        <f>"838943131"</f>
        <v>838943131</v>
      </c>
      <c r="B5733" t="s">
        <v>5414</v>
      </c>
      <c r="C5733">
        <v>30.36</v>
      </c>
      <c r="D5733" t="str">
        <f t="shared" si="216"/>
        <v>270</v>
      </c>
    </row>
    <row r="5734" spans="1:4" x14ac:dyDescent="0.25">
      <c r="A5734" t="str">
        <f>"838943132"</f>
        <v>838943132</v>
      </c>
      <c r="B5734" t="s">
        <v>5415</v>
      </c>
      <c r="C5734">
        <v>30.32</v>
      </c>
      <c r="D5734" t="str">
        <f t="shared" si="216"/>
        <v>270</v>
      </c>
    </row>
    <row r="5735" spans="1:4" x14ac:dyDescent="0.25">
      <c r="A5735" t="str">
        <f>"838943133"</f>
        <v>838943133</v>
      </c>
      <c r="B5735" t="s">
        <v>5416</v>
      </c>
      <c r="C5735">
        <v>30.32</v>
      </c>
      <c r="D5735" t="str">
        <f t="shared" si="216"/>
        <v>270</v>
      </c>
    </row>
    <row r="5736" spans="1:4" x14ac:dyDescent="0.25">
      <c r="A5736" t="str">
        <f>"838943134"</f>
        <v>838943134</v>
      </c>
      <c r="B5736" t="s">
        <v>5417</v>
      </c>
      <c r="C5736">
        <v>31.37</v>
      </c>
      <c r="D5736" t="str">
        <f t="shared" si="216"/>
        <v>270</v>
      </c>
    </row>
    <row r="5737" spans="1:4" x14ac:dyDescent="0.25">
      <c r="A5737" t="str">
        <f>"838943135"</f>
        <v>838943135</v>
      </c>
      <c r="B5737" t="s">
        <v>5418</v>
      </c>
      <c r="C5737">
        <v>31.37</v>
      </c>
      <c r="D5737" t="str">
        <f t="shared" si="216"/>
        <v>270</v>
      </c>
    </row>
    <row r="5738" spans="1:4" x14ac:dyDescent="0.25">
      <c r="A5738" t="str">
        <f>"838943136"</f>
        <v>838943136</v>
      </c>
      <c r="B5738" t="s">
        <v>5419</v>
      </c>
      <c r="C5738">
        <v>92.36</v>
      </c>
      <c r="D5738" t="str">
        <f t="shared" si="216"/>
        <v>270</v>
      </c>
    </row>
    <row r="5739" spans="1:4" x14ac:dyDescent="0.25">
      <c r="A5739" t="str">
        <f>"838943137"</f>
        <v>838943137</v>
      </c>
      <c r="B5739" t="s">
        <v>5420</v>
      </c>
      <c r="C5739">
        <v>92.36</v>
      </c>
      <c r="D5739" t="str">
        <f t="shared" si="216"/>
        <v>270</v>
      </c>
    </row>
    <row r="5740" spans="1:4" x14ac:dyDescent="0.25">
      <c r="A5740" t="str">
        <f>"838943138"</f>
        <v>838943138</v>
      </c>
      <c r="B5740" t="s">
        <v>5421</v>
      </c>
      <c r="C5740">
        <v>31.42</v>
      </c>
      <c r="D5740" t="str">
        <f t="shared" si="216"/>
        <v>270</v>
      </c>
    </row>
    <row r="5741" spans="1:4" x14ac:dyDescent="0.25">
      <c r="A5741" t="str">
        <f>"838943139"</f>
        <v>838943139</v>
      </c>
      <c r="B5741" t="s">
        <v>5422</v>
      </c>
      <c r="C5741">
        <v>31.42</v>
      </c>
      <c r="D5741" t="str">
        <f t="shared" si="216"/>
        <v>270</v>
      </c>
    </row>
    <row r="5742" spans="1:4" x14ac:dyDescent="0.25">
      <c r="A5742" t="str">
        <f>"838943140"</f>
        <v>838943140</v>
      </c>
      <c r="B5742" t="s">
        <v>5423</v>
      </c>
      <c r="C5742">
        <v>30.82</v>
      </c>
      <c r="D5742" t="str">
        <f t="shared" si="216"/>
        <v>270</v>
      </c>
    </row>
    <row r="5743" spans="1:4" x14ac:dyDescent="0.25">
      <c r="A5743" t="str">
        <f>"838943141"</f>
        <v>838943141</v>
      </c>
      <c r="B5743" t="s">
        <v>5424</v>
      </c>
      <c r="C5743">
        <v>30.82</v>
      </c>
      <c r="D5743" t="str">
        <f t="shared" si="216"/>
        <v>270</v>
      </c>
    </row>
    <row r="5744" spans="1:4" x14ac:dyDescent="0.25">
      <c r="A5744" t="str">
        <f>"838943142"</f>
        <v>838943142</v>
      </c>
      <c r="B5744" t="s">
        <v>5425</v>
      </c>
      <c r="C5744">
        <v>30.36</v>
      </c>
      <c r="D5744" t="str">
        <f t="shared" si="216"/>
        <v>270</v>
      </c>
    </row>
    <row r="5745" spans="1:4" x14ac:dyDescent="0.25">
      <c r="A5745" t="str">
        <f>"838943143"</f>
        <v>838943143</v>
      </c>
      <c r="B5745" t="s">
        <v>5426</v>
      </c>
      <c r="C5745">
        <v>30.36</v>
      </c>
      <c r="D5745" t="str">
        <f t="shared" si="216"/>
        <v>270</v>
      </c>
    </row>
    <row r="5746" spans="1:4" x14ac:dyDescent="0.25">
      <c r="A5746" t="str">
        <f>"838943144"</f>
        <v>838943144</v>
      </c>
      <c r="B5746" t="s">
        <v>5427</v>
      </c>
      <c r="C5746">
        <v>16.12</v>
      </c>
      <c r="D5746" t="str">
        <f t="shared" si="216"/>
        <v>270</v>
      </c>
    </row>
    <row r="5747" spans="1:4" x14ac:dyDescent="0.25">
      <c r="A5747" t="str">
        <f>"838943145"</f>
        <v>838943145</v>
      </c>
      <c r="B5747" t="s">
        <v>5428</v>
      </c>
      <c r="C5747">
        <v>16.12</v>
      </c>
      <c r="D5747" t="str">
        <f t="shared" si="216"/>
        <v>270</v>
      </c>
    </row>
    <row r="5748" spans="1:4" x14ac:dyDescent="0.25">
      <c r="A5748" t="str">
        <f>"838943146"</f>
        <v>838943146</v>
      </c>
      <c r="B5748" t="s">
        <v>5429</v>
      </c>
      <c r="C5748">
        <v>16.14</v>
      </c>
      <c r="D5748" t="str">
        <f t="shared" si="216"/>
        <v>270</v>
      </c>
    </row>
    <row r="5749" spans="1:4" x14ac:dyDescent="0.25">
      <c r="A5749" t="str">
        <f>"838943147"</f>
        <v>838943147</v>
      </c>
      <c r="B5749" t="s">
        <v>5430</v>
      </c>
      <c r="C5749">
        <v>16.14</v>
      </c>
      <c r="D5749" t="str">
        <f t="shared" si="216"/>
        <v>270</v>
      </c>
    </row>
    <row r="5750" spans="1:4" x14ac:dyDescent="0.25">
      <c r="A5750" t="str">
        <f>"838943148"</f>
        <v>838943148</v>
      </c>
      <c r="B5750" t="s">
        <v>5431</v>
      </c>
      <c r="C5750">
        <v>16.14</v>
      </c>
      <c r="D5750" t="str">
        <f t="shared" si="216"/>
        <v>270</v>
      </c>
    </row>
    <row r="5751" spans="1:4" x14ac:dyDescent="0.25">
      <c r="A5751" t="str">
        <f>"838943149"</f>
        <v>838943149</v>
      </c>
      <c r="B5751" t="s">
        <v>5432</v>
      </c>
      <c r="C5751">
        <v>16.14</v>
      </c>
      <c r="D5751" t="str">
        <f t="shared" si="216"/>
        <v>270</v>
      </c>
    </row>
    <row r="5752" spans="1:4" x14ac:dyDescent="0.25">
      <c r="A5752" t="str">
        <f>"838943150"</f>
        <v>838943150</v>
      </c>
      <c r="B5752" t="s">
        <v>5433</v>
      </c>
      <c r="C5752">
        <v>17.04</v>
      </c>
      <c r="D5752" t="str">
        <f t="shared" si="216"/>
        <v>270</v>
      </c>
    </row>
    <row r="5753" spans="1:4" x14ac:dyDescent="0.25">
      <c r="A5753" t="str">
        <f>"838943151"</f>
        <v>838943151</v>
      </c>
      <c r="B5753" t="s">
        <v>5434</v>
      </c>
      <c r="C5753">
        <v>17.04</v>
      </c>
      <c r="D5753" t="str">
        <f t="shared" si="216"/>
        <v>270</v>
      </c>
    </row>
    <row r="5754" spans="1:4" x14ac:dyDescent="0.25">
      <c r="A5754" t="str">
        <f>"838943152"</f>
        <v>838943152</v>
      </c>
      <c r="B5754" t="s">
        <v>5435</v>
      </c>
      <c r="C5754">
        <v>15.02</v>
      </c>
      <c r="D5754" t="str">
        <f t="shared" si="216"/>
        <v>270</v>
      </c>
    </row>
    <row r="5755" spans="1:4" x14ac:dyDescent="0.25">
      <c r="A5755" t="str">
        <f>"838943153"</f>
        <v>838943153</v>
      </c>
      <c r="B5755" t="s">
        <v>5436</v>
      </c>
      <c r="C5755">
        <v>15.02</v>
      </c>
      <c r="D5755" t="str">
        <f t="shared" ref="D5755:D5818" si="217">"270"</f>
        <v>270</v>
      </c>
    </row>
    <row r="5756" spans="1:4" x14ac:dyDescent="0.25">
      <c r="A5756" t="str">
        <f>"838943154"</f>
        <v>838943154</v>
      </c>
      <c r="B5756" t="s">
        <v>5437</v>
      </c>
      <c r="C5756">
        <v>30.82</v>
      </c>
      <c r="D5756" t="str">
        <f t="shared" si="217"/>
        <v>270</v>
      </c>
    </row>
    <row r="5757" spans="1:4" x14ac:dyDescent="0.25">
      <c r="A5757" t="str">
        <f>"838943155"</f>
        <v>838943155</v>
      </c>
      <c r="B5757" t="s">
        <v>5438</v>
      </c>
      <c r="C5757">
        <v>30.82</v>
      </c>
      <c r="D5757" t="str">
        <f t="shared" si="217"/>
        <v>270</v>
      </c>
    </row>
    <row r="5758" spans="1:4" x14ac:dyDescent="0.25">
      <c r="A5758" t="str">
        <f>"838943156"</f>
        <v>838943156</v>
      </c>
      <c r="B5758" t="s">
        <v>5439</v>
      </c>
      <c r="C5758">
        <v>30.36</v>
      </c>
      <c r="D5758" t="str">
        <f t="shared" si="217"/>
        <v>270</v>
      </c>
    </row>
    <row r="5759" spans="1:4" x14ac:dyDescent="0.25">
      <c r="A5759" t="str">
        <f>"838943157"</f>
        <v>838943157</v>
      </c>
      <c r="B5759" t="s">
        <v>5440</v>
      </c>
      <c r="C5759">
        <v>30.36</v>
      </c>
      <c r="D5759" t="str">
        <f t="shared" si="217"/>
        <v>270</v>
      </c>
    </row>
    <row r="5760" spans="1:4" x14ac:dyDescent="0.25">
      <c r="A5760" t="str">
        <f>"838943158"</f>
        <v>838943158</v>
      </c>
      <c r="B5760" t="s">
        <v>5441</v>
      </c>
      <c r="C5760">
        <v>30.06</v>
      </c>
      <c r="D5760" t="str">
        <f t="shared" si="217"/>
        <v>270</v>
      </c>
    </row>
    <row r="5761" spans="1:4" x14ac:dyDescent="0.25">
      <c r="A5761" t="str">
        <f>"838943159"</f>
        <v>838943159</v>
      </c>
      <c r="B5761" t="s">
        <v>5442</v>
      </c>
      <c r="C5761">
        <v>30.06</v>
      </c>
      <c r="D5761" t="str">
        <f t="shared" si="217"/>
        <v>270</v>
      </c>
    </row>
    <row r="5762" spans="1:4" x14ac:dyDescent="0.25">
      <c r="A5762" t="str">
        <f>"838943160"</f>
        <v>838943160</v>
      </c>
      <c r="B5762" t="s">
        <v>5443</v>
      </c>
      <c r="C5762">
        <v>30.36</v>
      </c>
      <c r="D5762" t="str">
        <f t="shared" si="217"/>
        <v>270</v>
      </c>
    </row>
    <row r="5763" spans="1:4" x14ac:dyDescent="0.25">
      <c r="A5763" t="str">
        <f>"838943161"</f>
        <v>838943161</v>
      </c>
      <c r="B5763" t="s">
        <v>5444</v>
      </c>
      <c r="C5763">
        <v>30.36</v>
      </c>
      <c r="D5763" t="str">
        <f t="shared" si="217"/>
        <v>270</v>
      </c>
    </row>
    <row r="5764" spans="1:4" x14ac:dyDescent="0.25">
      <c r="A5764" t="str">
        <f>"838943162"</f>
        <v>838943162</v>
      </c>
      <c r="B5764" t="s">
        <v>5445</v>
      </c>
      <c r="C5764">
        <v>30.82</v>
      </c>
      <c r="D5764" t="str">
        <f t="shared" si="217"/>
        <v>270</v>
      </c>
    </row>
    <row r="5765" spans="1:4" x14ac:dyDescent="0.25">
      <c r="A5765" t="str">
        <f>"838943163"</f>
        <v>838943163</v>
      </c>
      <c r="B5765" t="s">
        <v>5446</v>
      </c>
      <c r="C5765">
        <v>30.82</v>
      </c>
      <c r="D5765" t="str">
        <f t="shared" si="217"/>
        <v>270</v>
      </c>
    </row>
    <row r="5766" spans="1:4" x14ac:dyDescent="0.25">
      <c r="A5766" t="str">
        <f>"838943164"</f>
        <v>838943164</v>
      </c>
      <c r="B5766" t="s">
        <v>5447</v>
      </c>
      <c r="C5766">
        <v>31.42</v>
      </c>
      <c r="D5766" t="str">
        <f t="shared" si="217"/>
        <v>270</v>
      </c>
    </row>
    <row r="5767" spans="1:4" x14ac:dyDescent="0.25">
      <c r="A5767" t="str">
        <f>"838943165"</f>
        <v>838943165</v>
      </c>
      <c r="B5767" t="s">
        <v>5448</v>
      </c>
      <c r="C5767">
        <v>31.42</v>
      </c>
      <c r="D5767" t="str">
        <f t="shared" si="217"/>
        <v>270</v>
      </c>
    </row>
    <row r="5768" spans="1:4" x14ac:dyDescent="0.25">
      <c r="A5768" t="str">
        <f>"838943166"</f>
        <v>838943166</v>
      </c>
      <c r="B5768" t="s">
        <v>5449</v>
      </c>
      <c r="C5768">
        <v>14.55</v>
      </c>
      <c r="D5768" t="str">
        <f t="shared" si="217"/>
        <v>270</v>
      </c>
    </row>
    <row r="5769" spans="1:4" x14ac:dyDescent="0.25">
      <c r="A5769" t="str">
        <f>"838943167"</f>
        <v>838943167</v>
      </c>
      <c r="B5769" t="s">
        <v>5450</v>
      </c>
      <c r="C5769">
        <v>14.55</v>
      </c>
      <c r="D5769" t="str">
        <f t="shared" si="217"/>
        <v>270</v>
      </c>
    </row>
    <row r="5770" spans="1:4" x14ac:dyDescent="0.25">
      <c r="A5770" t="str">
        <f>"838943168"</f>
        <v>838943168</v>
      </c>
      <c r="B5770" t="s">
        <v>5451</v>
      </c>
      <c r="C5770">
        <v>32.01</v>
      </c>
      <c r="D5770" t="str">
        <f t="shared" si="217"/>
        <v>270</v>
      </c>
    </row>
    <row r="5771" spans="1:4" x14ac:dyDescent="0.25">
      <c r="A5771" t="str">
        <f>"838943169"</f>
        <v>838943169</v>
      </c>
      <c r="B5771" t="s">
        <v>5452</v>
      </c>
      <c r="C5771">
        <v>32.01</v>
      </c>
      <c r="D5771" t="str">
        <f t="shared" si="217"/>
        <v>270</v>
      </c>
    </row>
    <row r="5772" spans="1:4" x14ac:dyDescent="0.25">
      <c r="A5772" t="str">
        <f>"838943170"</f>
        <v>838943170</v>
      </c>
      <c r="B5772" t="s">
        <v>5453</v>
      </c>
      <c r="C5772">
        <v>17.04</v>
      </c>
      <c r="D5772" t="str">
        <f t="shared" si="217"/>
        <v>270</v>
      </c>
    </row>
    <row r="5773" spans="1:4" x14ac:dyDescent="0.25">
      <c r="A5773" t="str">
        <f>"838943171"</f>
        <v>838943171</v>
      </c>
      <c r="B5773" t="s">
        <v>5454</v>
      </c>
      <c r="C5773">
        <v>17.04</v>
      </c>
      <c r="D5773" t="str">
        <f t="shared" si="217"/>
        <v>270</v>
      </c>
    </row>
    <row r="5774" spans="1:4" x14ac:dyDescent="0.25">
      <c r="A5774" t="str">
        <f>"838943172"</f>
        <v>838943172</v>
      </c>
      <c r="B5774" t="s">
        <v>5455</v>
      </c>
      <c r="C5774">
        <v>15.31</v>
      </c>
      <c r="D5774" t="str">
        <f t="shared" si="217"/>
        <v>270</v>
      </c>
    </row>
    <row r="5775" spans="1:4" x14ac:dyDescent="0.25">
      <c r="A5775" t="str">
        <f>"838943173"</f>
        <v>838943173</v>
      </c>
      <c r="B5775" t="s">
        <v>5456</v>
      </c>
      <c r="C5775">
        <v>15.31</v>
      </c>
      <c r="D5775" t="str">
        <f t="shared" si="217"/>
        <v>270</v>
      </c>
    </row>
    <row r="5776" spans="1:4" x14ac:dyDescent="0.25">
      <c r="A5776" t="str">
        <f>"838943174"</f>
        <v>838943174</v>
      </c>
      <c r="B5776" t="s">
        <v>5457</v>
      </c>
      <c r="C5776">
        <v>31.43</v>
      </c>
      <c r="D5776" t="str">
        <f t="shared" si="217"/>
        <v>270</v>
      </c>
    </row>
    <row r="5777" spans="1:4" x14ac:dyDescent="0.25">
      <c r="A5777" t="str">
        <f>"838943175"</f>
        <v>838943175</v>
      </c>
      <c r="B5777" t="s">
        <v>5458</v>
      </c>
      <c r="C5777">
        <v>31.43</v>
      </c>
      <c r="D5777" t="str">
        <f t="shared" si="217"/>
        <v>270</v>
      </c>
    </row>
    <row r="5778" spans="1:4" x14ac:dyDescent="0.25">
      <c r="A5778" t="str">
        <f>"838943176"</f>
        <v>838943176</v>
      </c>
      <c r="B5778" t="s">
        <v>5459</v>
      </c>
      <c r="C5778">
        <v>31.17</v>
      </c>
      <c r="D5778" t="str">
        <f t="shared" si="217"/>
        <v>270</v>
      </c>
    </row>
    <row r="5779" spans="1:4" x14ac:dyDescent="0.25">
      <c r="A5779" t="str">
        <f>"838943177"</f>
        <v>838943177</v>
      </c>
      <c r="B5779" t="s">
        <v>5460</v>
      </c>
      <c r="C5779">
        <v>31.17</v>
      </c>
      <c r="D5779" t="str">
        <f t="shared" si="217"/>
        <v>270</v>
      </c>
    </row>
    <row r="5780" spans="1:4" x14ac:dyDescent="0.25">
      <c r="A5780" t="str">
        <f>"838943178"</f>
        <v>838943178</v>
      </c>
      <c r="B5780" t="s">
        <v>5461</v>
      </c>
      <c r="C5780">
        <v>15.69</v>
      </c>
      <c r="D5780" t="str">
        <f t="shared" si="217"/>
        <v>270</v>
      </c>
    </row>
    <row r="5781" spans="1:4" x14ac:dyDescent="0.25">
      <c r="A5781" t="str">
        <f>"838943179"</f>
        <v>838943179</v>
      </c>
      <c r="B5781" t="s">
        <v>5462</v>
      </c>
      <c r="C5781">
        <v>15.69</v>
      </c>
      <c r="D5781" t="str">
        <f t="shared" si="217"/>
        <v>270</v>
      </c>
    </row>
    <row r="5782" spans="1:4" x14ac:dyDescent="0.25">
      <c r="A5782" t="str">
        <f>"838943180"</f>
        <v>838943180</v>
      </c>
      <c r="B5782" t="s">
        <v>5463</v>
      </c>
      <c r="C5782">
        <v>14.12</v>
      </c>
      <c r="D5782" t="str">
        <f t="shared" si="217"/>
        <v>270</v>
      </c>
    </row>
    <row r="5783" spans="1:4" x14ac:dyDescent="0.25">
      <c r="A5783" t="str">
        <f>"838943181"</f>
        <v>838943181</v>
      </c>
      <c r="B5783" t="s">
        <v>5464</v>
      </c>
      <c r="C5783">
        <v>14.12</v>
      </c>
      <c r="D5783" t="str">
        <f t="shared" si="217"/>
        <v>270</v>
      </c>
    </row>
    <row r="5784" spans="1:4" x14ac:dyDescent="0.25">
      <c r="A5784" t="str">
        <f>"838943182"</f>
        <v>838943182</v>
      </c>
      <c r="B5784" t="s">
        <v>5465</v>
      </c>
      <c r="C5784">
        <v>27.68</v>
      </c>
      <c r="D5784" t="str">
        <f t="shared" si="217"/>
        <v>270</v>
      </c>
    </row>
    <row r="5785" spans="1:4" x14ac:dyDescent="0.25">
      <c r="A5785" t="str">
        <f>"838943183"</f>
        <v>838943183</v>
      </c>
      <c r="B5785" t="s">
        <v>5466</v>
      </c>
      <c r="C5785">
        <v>27.68</v>
      </c>
      <c r="D5785" t="str">
        <f t="shared" si="217"/>
        <v>270</v>
      </c>
    </row>
    <row r="5786" spans="1:4" x14ac:dyDescent="0.25">
      <c r="A5786" t="str">
        <f>"838943184"</f>
        <v>838943184</v>
      </c>
      <c r="B5786" t="s">
        <v>5467</v>
      </c>
      <c r="C5786">
        <v>13.9</v>
      </c>
      <c r="D5786" t="str">
        <f t="shared" si="217"/>
        <v>270</v>
      </c>
    </row>
    <row r="5787" spans="1:4" x14ac:dyDescent="0.25">
      <c r="A5787" t="str">
        <f>"838943185"</f>
        <v>838943185</v>
      </c>
      <c r="B5787" t="s">
        <v>5468</v>
      </c>
      <c r="C5787">
        <v>13.9</v>
      </c>
      <c r="D5787" t="str">
        <f t="shared" si="217"/>
        <v>270</v>
      </c>
    </row>
    <row r="5788" spans="1:4" x14ac:dyDescent="0.25">
      <c r="A5788" t="str">
        <f>"838943186"</f>
        <v>838943186</v>
      </c>
      <c r="B5788" t="s">
        <v>5469</v>
      </c>
      <c r="C5788">
        <v>16.010000000000002</v>
      </c>
      <c r="D5788" t="str">
        <f t="shared" si="217"/>
        <v>270</v>
      </c>
    </row>
    <row r="5789" spans="1:4" x14ac:dyDescent="0.25">
      <c r="A5789" t="str">
        <f>"838943187"</f>
        <v>838943187</v>
      </c>
      <c r="B5789" t="s">
        <v>5470</v>
      </c>
      <c r="C5789">
        <v>16.010000000000002</v>
      </c>
      <c r="D5789" t="str">
        <f t="shared" si="217"/>
        <v>270</v>
      </c>
    </row>
    <row r="5790" spans="1:4" x14ac:dyDescent="0.25">
      <c r="A5790" t="str">
        <f>"838943188"</f>
        <v>838943188</v>
      </c>
      <c r="B5790" t="s">
        <v>5471</v>
      </c>
      <c r="C5790">
        <v>29.48</v>
      </c>
      <c r="D5790" t="str">
        <f t="shared" si="217"/>
        <v>270</v>
      </c>
    </row>
    <row r="5791" spans="1:4" x14ac:dyDescent="0.25">
      <c r="A5791" t="str">
        <f>"838943189"</f>
        <v>838943189</v>
      </c>
      <c r="B5791" t="s">
        <v>5472</v>
      </c>
      <c r="C5791">
        <v>29.48</v>
      </c>
      <c r="D5791" t="str">
        <f t="shared" si="217"/>
        <v>270</v>
      </c>
    </row>
    <row r="5792" spans="1:4" x14ac:dyDescent="0.25">
      <c r="A5792" t="str">
        <f>"838943190"</f>
        <v>838943190</v>
      </c>
      <c r="B5792" t="s">
        <v>5473</v>
      </c>
      <c r="C5792">
        <v>24.75</v>
      </c>
      <c r="D5792" t="str">
        <f t="shared" si="217"/>
        <v>270</v>
      </c>
    </row>
    <row r="5793" spans="1:4" x14ac:dyDescent="0.25">
      <c r="A5793" t="str">
        <f>"838943191"</f>
        <v>838943191</v>
      </c>
      <c r="B5793" t="s">
        <v>5474</v>
      </c>
      <c r="C5793">
        <v>24.75</v>
      </c>
      <c r="D5793" t="str">
        <f t="shared" si="217"/>
        <v>270</v>
      </c>
    </row>
    <row r="5794" spans="1:4" x14ac:dyDescent="0.25">
      <c r="A5794" t="str">
        <f>"838943192"</f>
        <v>838943192</v>
      </c>
      <c r="B5794" t="s">
        <v>5475</v>
      </c>
      <c r="C5794">
        <v>28.42</v>
      </c>
      <c r="D5794" t="str">
        <f t="shared" si="217"/>
        <v>270</v>
      </c>
    </row>
    <row r="5795" spans="1:4" x14ac:dyDescent="0.25">
      <c r="A5795" t="str">
        <f>"838943193"</f>
        <v>838943193</v>
      </c>
      <c r="B5795" t="s">
        <v>5476</v>
      </c>
      <c r="C5795">
        <v>28.42</v>
      </c>
      <c r="D5795" t="str">
        <f t="shared" si="217"/>
        <v>270</v>
      </c>
    </row>
    <row r="5796" spans="1:4" x14ac:dyDescent="0.25">
      <c r="A5796" t="str">
        <f>"838943194"</f>
        <v>838943194</v>
      </c>
      <c r="B5796" t="s">
        <v>5477</v>
      </c>
      <c r="C5796">
        <v>28.42</v>
      </c>
      <c r="D5796" t="str">
        <f t="shared" si="217"/>
        <v>270</v>
      </c>
    </row>
    <row r="5797" spans="1:4" x14ac:dyDescent="0.25">
      <c r="A5797" t="str">
        <f>"838943195"</f>
        <v>838943195</v>
      </c>
      <c r="B5797" t="s">
        <v>5478</v>
      </c>
      <c r="C5797">
        <v>28.42</v>
      </c>
      <c r="D5797" t="str">
        <f t="shared" si="217"/>
        <v>270</v>
      </c>
    </row>
    <row r="5798" spans="1:4" x14ac:dyDescent="0.25">
      <c r="A5798" t="str">
        <f>"838943196"</f>
        <v>838943196</v>
      </c>
      <c r="B5798" t="s">
        <v>5479</v>
      </c>
      <c r="C5798">
        <v>13.9</v>
      </c>
      <c r="D5798" t="str">
        <f t="shared" si="217"/>
        <v>270</v>
      </c>
    </row>
    <row r="5799" spans="1:4" x14ac:dyDescent="0.25">
      <c r="A5799" t="str">
        <f>"838943197"</f>
        <v>838943197</v>
      </c>
      <c r="B5799" t="s">
        <v>5480</v>
      </c>
      <c r="C5799">
        <v>13.9</v>
      </c>
      <c r="D5799" t="str">
        <f t="shared" si="217"/>
        <v>270</v>
      </c>
    </row>
    <row r="5800" spans="1:4" x14ac:dyDescent="0.25">
      <c r="A5800" t="str">
        <f>"838943198"</f>
        <v>838943198</v>
      </c>
      <c r="B5800" t="s">
        <v>5481</v>
      </c>
      <c r="C5800">
        <v>16.010000000000002</v>
      </c>
      <c r="D5800" t="str">
        <f t="shared" si="217"/>
        <v>270</v>
      </c>
    </row>
    <row r="5801" spans="1:4" x14ac:dyDescent="0.25">
      <c r="A5801" t="str">
        <f>"838943199"</f>
        <v>838943199</v>
      </c>
      <c r="B5801" t="s">
        <v>5482</v>
      </c>
      <c r="C5801">
        <v>16.010000000000002</v>
      </c>
      <c r="D5801" t="str">
        <f t="shared" si="217"/>
        <v>270</v>
      </c>
    </row>
    <row r="5802" spans="1:4" x14ac:dyDescent="0.25">
      <c r="A5802" t="str">
        <f>"838943200"</f>
        <v>838943200</v>
      </c>
      <c r="B5802" t="s">
        <v>5483</v>
      </c>
      <c r="C5802">
        <v>13.43</v>
      </c>
      <c r="D5802" t="str">
        <f t="shared" si="217"/>
        <v>270</v>
      </c>
    </row>
    <row r="5803" spans="1:4" x14ac:dyDescent="0.25">
      <c r="A5803" t="str">
        <f>"838943201"</f>
        <v>838943201</v>
      </c>
      <c r="B5803" t="s">
        <v>5484</v>
      </c>
      <c r="C5803">
        <v>13.43</v>
      </c>
      <c r="D5803" t="str">
        <f t="shared" si="217"/>
        <v>270</v>
      </c>
    </row>
    <row r="5804" spans="1:4" x14ac:dyDescent="0.25">
      <c r="A5804" t="str">
        <f>"838943202"</f>
        <v>838943202</v>
      </c>
      <c r="B5804" t="s">
        <v>5485</v>
      </c>
      <c r="C5804">
        <v>22.85</v>
      </c>
      <c r="D5804" t="str">
        <f t="shared" si="217"/>
        <v>270</v>
      </c>
    </row>
    <row r="5805" spans="1:4" x14ac:dyDescent="0.25">
      <c r="A5805" t="str">
        <f>"838943203"</f>
        <v>838943203</v>
      </c>
      <c r="B5805" t="s">
        <v>5486</v>
      </c>
      <c r="C5805">
        <v>22.85</v>
      </c>
      <c r="D5805" t="str">
        <f t="shared" si="217"/>
        <v>270</v>
      </c>
    </row>
    <row r="5806" spans="1:4" x14ac:dyDescent="0.25">
      <c r="A5806" t="str">
        <f>"838943204"</f>
        <v>838943204</v>
      </c>
      <c r="B5806" t="s">
        <v>5487</v>
      </c>
      <c r="C5806">
        <v>27.68</v>
      </c>
      <c r="D5806" t="str">
        <f t="shared" si="217"/>
        <v>270</v>
      </c>
    </row>
    <row r="5807" spans="1:4" x14ac:dyDescent="0.25">
      <c r="A5807" t="str">
        <f>"838943205"</f>
        <v>838943205</v>
      </c>
      <c r="B5807" t="s">
        <v>5488</v>
      </c>
      <c r="C5807">
        <v>27.68</v>
      </c>
      <c r="D5807" t="str">
        <f t="shared" si="217"/>
        <v>270</v>
      </c>
    </row>
    <row r="5808" spans="1:4" x14ac:dyDescent="0.25">
      <c r="A5808" t="str">
        <f>"838943206"</f>
        <v>838943206</v>
      </c>
      <c r="B5808" t="s">
        <v>5489</v>
      </c>
      <c r="C5808">
        <v>17</v>
      </c>
      <c r="D5808" t="str">
        <f t="shared" si="217"/>
        <v>270</v>
      </c>
    </row>
    <row r="5809" spans="1:4" x14ac:dyDescent="0.25">
      <c r="A5809" t="str">
        <f>"838943207"</f>
        <v>838943207</v>
      </c>
      <c r="B5809" t="s">
        <v>5490</v>
      </c>
      <c r="C5809">
        <v>17</v>
      </c>
      <c r="D5809" t="str">
        <f t="shared" si="217"/>
        <v>270</v>
      </c>
    </row>
    <row r="5810" spans="1:4" x14ac:dyDescent="0.25">
      <c r="A5810" t="str">
        <f>"838943208"</f>
        <v>838943208</v>
      </c>
      <c r="B5810" t="s">
        <v>5491</v>
      </c>
      <c r="C5810">
        <v>17.329999999999998</v>
      </c>
      <c r="D5810" t="str">
        <f t="shared" si="217"/>
        <v>270</v>
      </c>
    </row>
    <row r="5811" spans="1:4" x14ac:dyDescent="0.25">
      <c r="A5811" t="str">
        <f>"838943209"</f>
        <v>838943209</v>
      </c>
      <c r="B5811" t="s">
        <v>5492</v>
      </c>
      <c r="C5811">
        <v>17.329999999999998</v>
      </c>
      <c r="D5811" t="str">
        <f t="shared" si="217"/>
        <v>270</v>
      </c>
    </row>
    <row r="5812" spans="1:4" x14ac:dyDescent="0.25">
      <c r="A5812" t="str">
        <f>"838943210"</f>
        <v>838943210</v>
      </c>
      <c r="B5812" t="s">
        <v>5493</v>
      </c>
      <c r="C5812">
        <v>30.62</v>
      </c>
      <c r="D5812" t="str">
        <f t="shared" si="217"/>
        <v>270</v>
      </c>
    </row>
    <row r="5813" spans="1:4" x14ac:dyDescent="0.25">
      <c r="A5813" t="str">
        <f>"838943211"</f>
        <v>838943211</v>
      </c>
      <c r="B5813" t="s">
        <v>5494</v>
      </c>
      <c r="C5813">
        <v>30.62</v>
      </c>
      <c r="D5813" t="str">
        <f t="shared" si="217"/>
        <v>270</v>
      </c>
    </row>
    <row r="5814" spans="1:4" x14ac:dyDescent="0.25">
      <c r="A5814" t="str">
        <f>"838943212"</f>
        <v>838943212</v>
      </c>
      <c r="B5814" t="s">
        <v>5495</v>
      </c>
      <c r="C5814">
        <v>30.88</v>
      </c>
      <c r="D5814" t="str">
        <f t="shared" si="217"/>
        <v>270</v>
      </c>
    </row>
    <row r="5815" spans="1:4" x14ac:dyDescent="0.25">
      <c r="A5815" t="str">
        <f>"838943213"</f>
        <v>838943213</v>
      </c>
      <c r="B5815" t="s">
        <v>5496</v>
      </c>
      <c r="C5815">
        <v>30.88</v>
      </c>
      <c r="D5815" t="str">
        <f t="shared" si="217"/>
        <v>270</v>
      </c>
    </row>
    <row r="5816" spans="1:4" x14ac:dyDescent="0.25">
      <c r="A5816" t="str">
        <f>"838943214"</f>
        <v>838943214</v>
      </c>
      <c r="B5816" t="s">
        <v>5497</v>
      </c>
      <c r="C5816">
        <v>30.43</v>
      </c>
      <c r="D5816" t="str">
        <f t="shared" si="217"/>
        <v>270</v>
      </c>
    </row>
    <row r="5817" spans="1:4" x14ac:dyDescent="0.25">
      <c r="A5817" t="str">
        <f>"838943215"</f>
        <v>838943215</v>
      </c>
      <c r="B5817" t="s">
        <v>5498</v>
      </c>
      <c r="C5817">
        <v>30.43</v>
      </c>
      <c r="D5817" t="str">
        <f t="shared" si="217"/>
        <v>270</v>
      </c>
    </row>
    <row r="5818" spans="1:4" x14ac:dyDescent="0.25">
      <c r="A5818" t="str">
        <f>"838943216"</f>
        <v>838943216</v>
      </c>
      <c r="B5818" t="s">
        <v>5499</v>
      </c>
      <c r="C5818">
        <v>24.64</v>
      </c>
      <c r="D5818" t="str">
        <f t="shared" si="217"/>
        <v>270</v>
      </c>
    </row>
    <row r="5819" spans="1:4" x14ac:dyDescent="0.25">
      <c r="A5819" t="str">
        <f>"838943217"</f>
        <v>838943217</v>
      </c>
      <c r="B5819" t="s">
        <v>5500</v>
      </c>
      <c r="C5819">
        <v>24.64</v>
      </c>
      <c r="D5819" t="str">
        <f t="shared" ref="D5819:D5882" si="218">"270"</f>
        <v>270</v>
      </c>
    </row>
    <row r="5820" spans="1:4" x14ac:dyDescent="0.25">
      <c r="A5820" t="str">
        <f>"838943218"</f>
        <v>838943218</v>
      </c>
      <c r="B5820" t="s">
        <v>5501</v>
      </c>
      <c r="C5820">
        <v>28.39</v>
      </c>
      <c r="D5820" t="str">
        <f t="shared" si="218"/>
        <v>270</v>
      </c>
    </row>
    <row r="5821" spans="1:4" x14ac:dyDescent="0.25">
      <c r="A5821" t="str">
        <f>"838943219"</f>
        <v>838943219</v>
      </c>
      <c r="B5821" t="s">
        <v>5502</v>
      </c>
      <c r="C5821">
        <v>28.39</v>
      </c>
      <c r="D5821" t="str">
        <f t="shared" si="218"/>
        <v>270</v>
      </c>
    </row>
    <row r="5822" spans="1:4" x14ac:dyDescent="0.25">
      <c r="A5822" t="str">
        <f>"838943220"</f>
        <v>838943220</v>
      </c>
      <c r="B5822" t="s">
        <v>5503</v>
      </c>
      <c r="C5822">
        <v>93.27</v>
      </c>
      <c r="D5822" t="str">
        <f t="shared" si="218"/>
        <v>270</v>
      </c>
    </row>
    <row r="5823" spans="1:4" x14ac:dyDescent="0.25">
      <c r="A5823" t="str">
        <f>"838943221"</f>
        <v>838943221</v>
      </c>
      <c r="B5823" t="s">
        <v>5504</v>
      </c>
      <c r="C5823">
        <v>93.27</v>
      </c>
      <c r="D5823" t="str">
        <f t="shared" si="218"/>
        <v>270</v>
      </c>
    </row>
    <row r="5824" spans="1:4" x14ac:dyDescent="0.25">
      <c r="A5824" t="str">
        <f>"838943222"</f>
        <v>838943222</v>
      </c>
      <c r="B5824" t="s">
        <v>5505</v>
      </c>
      <c r="C5824">
        <v>95.56</v>
      </c>
      <c r="D5824" t="str">
        <f t="shared" si="218"/>
        <v>270</v>
      </c>
    </row>
    <row r="5825" spans="1:4" x14ac:dyDescent="0.25">
      <c r="A5825" t="str">
        <f>"838943223"</f>
        <v>838943223</v>
      </c>
      <c r="B5825" t="s">
        <v>5506</v>
      </c>
      <c r="C5825">
        <v>95.56</v>
      </c>
      <c r="D5825" t="str">
        <f t="shared" si="218"/>
        <v>270</v>
      </c>
    </row>
    <row r="5826" spans="1:4" x14ac:dyDescent="0.25">
      <c r="A5826" t="str">
        <f>"838943224"</f>
        <v>838943224</v>
      </c>
      <c r="B5826" t="s">
        <v>5507</v>
      </c>
      <c r="C5826">
        <v>95.56</v>
      </c>
      <c r="D5826" t="str">
        <f t="shared" si="218"/>
        <v>270</v>
      </c>
    </row>
    <row r="5827" spans="1:4" x14ac:dyDescent="0.25">
      <c r="A5827" t="str">
        <f>"838943225"</f>
        <v>838943225</v>
      </c>
      <c r="B5827" t="s">
        <v>5508</v>
      </c>
      <c r="C5827">
        <v>95.56</v>
      </c>
      <c r="D5827" t="str">
        <f t="shared" si="218"/>
        <v>270</v>
      </c>
    </row>
    <row r="5828" spans="1:4" x14ac:dyDescent="0.25">
      <c r="A5828" t="str">
        <f>"838943226"</f>
        <v>838943226</v>
      </c>
      <c r="B5828" t="s">
        <v>5509</v>
      </c>
      <c r="C5828">
        <v>101.23</v>
      </c>
      <c r="D5828" t="str">
        <f t="shared" si="218"/>
        <v>270</v>
      </c>
    </row>
    <row r="5829" spans="1:4" x14ac:dyDescent="0.25">
      <c r="A5829" t="str">
        <f>"838943227"</f>
        <v>838943227</v>
      </c>
      <c r="B5829" t="s">
        <v>5510</v>
      </c>
      <c r="C5829">
        <v>101.23</v>
      </c>
      <c r="D5829" t="str">
        <f t="shared" si="218"/>
        <v>270</v>
      </c>
    </row>
    <row r="5830" spans="1:4" x14ac:dyDescent="0.25">
      <c r="A5830" t="str">
        <f>"838943228"</f>
        <v>838943228</v>
      </c>
      <c r="B5830" t="s">
        <v>5511</v>
      </c>
      <c r="C5830">
        <v>101.23</v>
      </c>
      <c r="D5830" t="str">
        <f t="shared" si="218"/>
        <v>270</v>
      </c>
    </row>
    <row r="5831" spans="1:4" x14ac:dyDescent="0.25">
      <c r="A5831" t="str">
        <f>"838943229"</f>
        <v>838943229</v>
      </c>
      <c r="B5831" t="s">
        <v>5512</v>
      </c>
      <c r="C5831">
        <v>101.23</v>
      </c>
      <c r="D5831" t="str">
        <f t="shared" si="218"/>
        <v>270</v>
      </c>
    </row>
    <row r="5832" spans="1:4" x14ac:dyDescent="0.25">
      <c r="A5832" t="str">
        <f>"838943230"</f>
        <v>838943230</v>
      </c>
      <c r="B5832" t="s">
        <v>5513</v>
      </c>
      <c r="C5832">
        <v>80.010000000000005</v>
      </c>
      <c r="D5832" t="str">
        <f t="shared" si="218"/>
        <v>270</v>
      </c>
    </row>
    <row r="5833" spans="1:4" x14ac:dyDescent="0.25">
      <c r="A5833" t="str">
        <f>"838943231"</f>
        <v>838943231</v>
      </c>
      <c r="B5833" t="s">
        <v>5514</v>
      </c>
      <c r="C5833">
        <v>80.010000000000005</v>
      </c>
      <c r="D5833" t="str">
        <f t="shared" si="218"/>
        <v>270</v>
      </c>
    </row>
    <row r="5834" spans="1:4" x14ac:dyDescent="0.25">
      <c r="A5834" t="str">
        <f>"838943232"</f>
        <v>838943232</v>
      </c>
      <c r="B5834" t="s">
        <v>5515</v>
      </c>
      <c r="C5834">
        <v>93.17</v>
      </c>
      <c r="D5834" t="str">
        <f t="shared" si="218"/>
        <v>270</v>
      </c>
    </row>
    <row r="5835" spans="1:4" x14ac:dyDescent="0.25">
      <c r="A5835" t="str">
        <f>"838943233"</f>
        <v>838943233</v>
      </c>
      <c r="B5835" t="s">
        <v>5516</v>
      </c>
      <c r="C5835">
        <v>93.17</v>
      </c>
      <c r="D5835" t="str">
        <f t="shared" si="218"/>
        <v>270</v>
      </c>
    </row>
    <row r="5836" spans="1:4" x14ac:dyDescent="0.25">
      <c r="A5836" t="str">
        <f>"838943234"</f>
        <v>838943234</v>
      </c>
      <c r="B5836" t="s">
        <v>5517</v>
      </c>
      <c r="C5836">
        <v>80.56</v>
      </c>
      <c r="D5836" t="str">
        <f t="shared" si="218"/>
        <v>270</v>
      </c>
    </row>
    <row r="5837" spans="1:4" x14ac:dyDescent="0.25">
      <c r="A5837" t="str">
        <f>"838943235"</f>
        <v>838943235</v>
      </c>
      <c r="B5837" t="s">
        <v>5518</v>
      </c>
      <c r="C5837">
        <v>80.56</v>
      </c>
      <c r="D5837" t="str">
        <f t="shared" si="218"/>
        <v>270</v>
      </c>
    </row>
    <row r="5838" spans="1:4" x14ac:dyDescent="0.25">
      <c r="A5838" t="str">
        <f>"838943236"</f>
        <v>838943236</v>
      </c>
      <c r="B5838" t="s">
        <v>5519</v>
      </c>
      <c r="C5838">
        <v>92.36</v>
      </c>
      <c r="D5838" t="str">
        <f t="shared" si="218"/>
        <v>270</v>
      </c>
    </row>
    <row r="5839" spans="1:4" x14ac:dyDescent="0.25">
      <c r="A5839" t="str">
        <f>"838943237"</f>
        <v>838943237</v>
      </c>
      <c r="B5839" t="s">
        <v>5520</v>
      </c>
      <c r="C5839">
        <v>92.36</v>
      </c>
      <c r="D5839" t="str">
        <f t="shared" si="218"/>
        <v>270</v>
      </c>
    </row>
    <row r="5840" spans="1:4" x14ac:dyDescent="0.25">
      <c r="A5840" t="str">
        <f>"838943238"</f>
        <v>838943238</v>
      </c>
      <c r="B5840" t="s">
        <v>5521</v>
      </c>
      <c r="C5840">
        <v>30</v>
      </c>
      <c r="D5840" t="str">
        <f t="shared" si="218"/>
        <v>270</v>
      </c>
    </row>
    <row r="5841" spans="1:4" x14ac:dyDescent="0.25">
      <c r="A5841" t="str">
        <f>"838943239"</f>
        <v>838943239</v>
      </c>
      <c r="B5841" t="s">
        <v>5522</v>
      </c>
      <c r="C5841">
        <v>30</v>
      </c>
      <c r="D5841" t="str">
        <f t="shared" si="218"/>
        <v>270</v>
      </c>
    </row>
    <row r="5842" spans="1:4" x14ac:dyDescent="0.25">
      <c r="A5842" t="str">
        <f>"838943240"</f>
        <v>838943240</v>
      </c>
      <c r="B5842" t="s">
        <v>5523</v>
      </c>
      <c r="C5842">
        <v>31.22</v>
      </c>
      <c r="D5842" t="str">
        <f t="shared" si="218"/>
        <v>270</v>
      </c>
    </row>
    <row r="5843" spans="1:4" x14ac:dyDescent="0.25">
      <c r="A5843" t="str">
        <f>"838943241"</f>
        <v>838943241</v>
      </c>
      <c r="B5843" t="s">
        <v>5524</v>
      </c>
      <c r="C5843">
        <v>31.22</v>
      </c>
      <c r="D5843" t="str">
        <f t="shared" si="218"/>
        <v>270</v>
      </c>
    </row>
    <row r="5844" spans="1:4" x14ac:dyDescent="0.25">
      <c r="A5844" t="str">
        <f>"838943242"</f>
        <v>838943242</v>
      </c>
      <c r="B5844" t="s">
        <v>5525</v>
      </c>
      <c r="C5844">
        <v>29.26</v>
      </c>
      <c r="D5844" t="str">
        <f t="shared" si="218"/>
        <v>270</v>
      </c>
    </row>
    <row r="5845" spans="1:4" x14ac:dyDescent="0.25">
      <c r="A5845" t="str">
        <f>"838943243"</f>
        <v>838943243</v>
      </c>
      <c r="B5845" t="s">
        <v>5526</v>
      </c>
      <c r="C5845">
        <v>29.26</v>
      </c>
      <c r="D5845" t="str">
        <f t="shared" si="218"/>
        <v>270</v>
      </c>
    </row>
    <row r="5846" spans="1:4" x14ac:dyDescent="0.25">
      <c r="A5846" t="str">
        <f>"838943244"</f>
        <v>838943244</v>
      </c>
      <c r="B5846" t="s">
        <v>5527</v>
      </c>
      <c r="C5846">
        <v>30.83</v>
      </c>
      <c r="D5846" t="str">
        <f t="shared" si="218"/>
        <v>270</v>
      </c>
    </row>
    <row r="5847" spans="1:4" x14ac:dyDescent="0.25">
      <c r="A5847" t="str">
        <f>"838943245"</f>
        <v>838943245</v>
      </c>
      <c r="B5847" t="s">
        <v>5528</v>
      </c>
      <c r="C5847">
        <v>30.83</v>
      </c>
      <c r="D5847" t="str">
        <f t="shared" si="218"/>
        <v>270</v>
      </c>
    </row>
    <row r="5848" spans="1:4" x14ac:dyDescent="0.25">
      <c r="A5848" t="str">
        <f>"838943246"</f>
        <v>838943246</v>
      </c>
      <c r="B5848" t="s">
        <v>5529</v>
      </c>
      <c r="C5848">
        <v>75.819999999999993</v>
      </c>
      <c r="D5848" t="str">
        <f t="shared" si="218"/>
        <v>270</v>
      </c>
    </row>
    <row r="5849" spans="1:4" x14ac:dyDescent="0.25">
      <c r="A5849" t="str">
        <f>"838943247"</f>
        <v>838943247</v>
      </c>
      <c r="B5849" t="s">
        <v>5530</v>
      </c>
      <c r="C5849">
        <v>75.819999999999993</v>
      </c>
      <c r="D5849" t="str">
        <f t="shared" si="218"/>
        <v>270</v>
      </c>
    </row>
    <row r="5850" spans="1:4" x14ac:dyDescent="0.25">
      <c r="A5850" t="str">
        <f>"838943248"</f>
        <v>838943248</v>
      </c>
      <c r="B5850" t="s">
        <v>5531</v>
      </c>
      <c r="C5850">
        <v>80.010000000000005</v>
      </c>
      <c r="D5850" t="str">
        <f t="shared" si="218"/>
        <v>270</v>
      </c>
    </row>
    <row r="5851" spans="1:4" x14ac:dyDescent="0.25">
      <c r="A5851" t="str">
        <f>"838943249"</f>
        <v>838943249</v>
      </c>
      <c r="B5851" t="s">
        <v>5532</v>
      </c>
      <c r="C5851">
        <v>80.010000000000005</v>
      </c>
      <c r="D5851" t="str">
        <f t="shared" si="218"/>
        <v>270</v>
      </c>
    </row>
    <row r="5852" spans="1:4" x14ac:dyDescent="0.25">
      <c r="A5852" t="str">
        <f>"838943250"</f>
        <v>838943250</v>
      </c>
      <c r="B5852" t="s">
        <v>5533</v>
      </c>
      <c r="C5852">
        <v>95.63</v>
      </c>
      <c r="D5852" t="str">
        <f t="shared" si="218"/>
        <v>270</v>
      </c>
    </row>
    <row r="5853" spans="1:4" x14ac:dyDescent="0.25">
      <c r="A5853" t="str">
        <f>"838943251"</f>
        <v>838943251</v>
      </c>
      <c r="B5853" t="s">
        <v>5534</v>
      </c>
      <c r="C5853">
        <v>95.63</v>
      </c>
      <c r="D5853" t="str">
        <f t="shared" si="218"/>
        <v>270</v>
      </c>
    </row>
    <row r="5854" spans="1:4" x14ac:dyDescent="0.25">
      <c r="A5854" t="str">
        <f>"838943252"</f>
        <v>838943252</v>
      </c>
      <c r="B5854" t="s">
        <v>5535</v>
      </c>
      <c r="C5854">
        <v>76.209999999999994</v>
      </c>
      <c r="D5854" t="str">
        <f t="shared" si="218"/>
        <v>270</v>
      </c>
    </row>
    <row r="5855" spans="1:4" x14ac:dyDescent="0.25">
      <c r="A5855" t="str">
        <f>"838943253"</f>
        <v>838943253</v>
      </c>
      <c r="B5855" t="s">
        <v>5536</v>
      </c>
      <c r="C5855">
        <v>76.209999999999994</v>
      </c>
      <c r="D5855" t="str">
        <f t="shared" si="218"/>
        <v>270</v>
      </c>
    </row>
    <row r="5856" spans="1:4" x14ac:dyDescent="0.25">
      <c r="A5856" t="str">
        <f>"838943254"</f>
        <v>838943254</v>
      </c>
      <c r="B5856" t="s">
        <v>5537</v>
      </c>
      <c r="C5856">
        <v>89.25</v>
      </c>
      <c r="D5856" t="str">
        <f t="shared" si="218"/>
        <v>270</v>
      </c>
    </row>
    <row r="5857" spans="1:4" x14ac:dyDescent="0.25">
      <c r="A5857" t="str">
        <f>"838943255"</f>
        <v>838943255</v>
      </c>
      <c r="B5857" t="s">
        <v>5538</v>
      </c>
      <c r="C5857">
        <v>89.25</v>
      </c>
      <c r="D5857" t="str">
        <f t="shared" si="218"/>
        <v>270</v>
      </c>
    </row>
    <row r="5858" spans="1:4" x14ac:dyDescent="0.25">
      <c r="A5858" t="str">
        <f>"838943256"</f>
        <v>838943256</v>
      </c>
      <c r="B5858" t="s">
        <v>5539</v>
      </c>
      <c r="C5858">
        <v>75.819999999999993</v>
      </c>
      <c r="D5858" t="str">
        <f t="shared" si="218"/>
        <v>270</v>
      </c>
    </row>
    <row r="5859" spans="1:4" x14ac:dyDescent="0.25">
      <c r="A5859" t="str">
        <f>"838943257"</f>
        <v>838943257</v>
      </c>
      <c r="B5859" t="s">
        <v>5540</v>
      </c>
      <c r="C5859">
        <v>75.819999999999993</v>
      </c>
      <c r="D5859" t="str">
        <f t="shared" si="218"/>
        <v>270</v>
      </c>
    </row>
    <row r="5860" spans="1:4" x14ac:dyDescent="0.25">
      <c r="A5860" t="str">
        <f>"838943258"</f>
        <v>838943258</v>
      </c>
      <c r="B5860" t="s">
        <v>5541</v>
      </c>
      <c r="C5860">
        <v>80.010000000000005</v>
      </c>
      <c r="D5860" t="str">
        <f t="shared" si="218"/>
        <v>270</v>
      </c>
    </row>
    <row r="5861" spans="1:4" x14ac:dyDescent="0.25">
      <c r="A5861" t="str">
        <f>"838943259"</f>
        <v>838943259</v>
      </c>
      <c r="B5861" t="s">
        <v>5542</v>
      </c>
      <c r="C5861">
        <v>80.010000000000005</v>
      </c>
      <c r="D5861" t="str">
        <f t="shared" si="218"/>
        <v>270</v>
      </c>
    </row>
    <row r="5862" spans="1:4" x14ac:dyDescent="0.25">
      <c r="A5862" t="str">
        <f>"838943260"</f>
        <v>838943260</v>
      </c>
      <c r="B5862" t="s">
        <v>5543</v>
      </c>
      <c r="C5862">
        <v>14.65</v>
      </c>
      <c r="D5862" t="str">
        <f t="shared" si="218"/>
        <v>270</v>
      </c>
    </row>
    <row r="5863" spans="1:4" x14ac:dyDescent="0.25">
      <c r="A5863" t="str">
        <f>"838943261"</f>
        <v>838943261</v>
      </c>
      <c r="B5863" t="s">
        <v>5544</v>
      </c>
      <c r="C5863">
        <v>14.65</v>
      </c>
      <c r="D5863" t="str">
        <f t="shared" si="218"/>
        <v>270</v>
      </c>
    </row>
    <row r="5864" spans="1:4" x14ac:dyDescent="0.25">
      <c r="A5864" t="str">
        <f>"838943262"</f>
        <v>838943262</v>
      </c>
      <c r="B5864" t="s">
        <v>5545</v>
      </c>
      <c r="C5864">
        <v>132.16999999999999</v>
      </c>
      <c r="D5864" t="str">
        <f t="shared" si="218"/>
        <v>270</v>
      </c>
    </row>
    <row r="5865" spans="1:4" x14ac:dyDescent="0.25">
      <c r="A5865" t="str">
        <f>"838943263"</f>
        <v>838943263</v>
      </c>
      <c r="B5865" t="s">
        <v>5546</v>
      </c>
      <c r="C5865">
        <v>132.16999999999999</v>
      </c>
      <c r="D5865" t="str">
        <f t="shared" si="218"/>
        <v>270</v>
      </c>
    </row>
    <row r="5866" spans="1:4" x14ac:dyDescent="0.25">
      <c r="A5866" t="str">
        <f>"838943264"</f>
        <v>838943264</v>
      </c>
      <c r="B5866" t="s">
        <v>5547</v>
      </c>
      <c r="C5866">
        <v>134.46</v>
      </c>
      <c r="D5866" t="str">
        <f t="shared" si="218"/>
        <v>270</v>
      </c>
    </row>
    <row r="5867" spans="1:4" x14ac:dyDescent="0.25">
      <c r="A5867" t="str">
        <f>"838943265"</f>
        <v>838943265</v>
      </c>
      <c r="B5867" t="s">
        <v>5548</v>
      </c>
      <c r="C5867">
        <v>134.46</v>
      </c>
      <c r="D5867" t="str">
        <f t="shared" si="218"/>
        <v>270</v>
      </c>
    </row>
    <row r="5868" spans="1:4" x14ac:dyDescent="0.25">
      <c r="A5868" t="str">
        <f>"838943266"</f>
        <v>838943266</v>
      </c>
      <c r="B5868" t="s">
        <v>5549</v>
      </c>
      <c r="C5868">
        <v>132.16999999999999</v>
      </c>
      <c r="D5868" t="str">
        <f t="shared" si="218"/>
        <v>270</v>
      </c>
    </row>
    <row r="5869" spans="1:4" x14ac:dyDescent="0.25">
      <c r="A5869" t="str">
        <f>"838943267"</f>
        <v>838943267</v>
      </c>
      <c r="B5869" t="s">
        <v>5550</v>
      </c>
      <c r="C5869">
        <v>132.16999999999999</v>
      </c>
      <c r="D5869" t="str">
        <f t="shared" si="218"/>
        <v>270</v>
      </c>
    </row>
    <row r="5870" spans="1:4" x14ac:dyDescent="0.25">
      <c r="A5870" t="str">
        <f>"838943268"</f>
        <v>838943268</v>
      </c>
      <c r="B5870" t="s">
        <v>5551</v>
      </c>
      <c r="C5870">
        <v>134.46</v>
      </c>
      <c r="D5870" t="str">
        <f t="shared" si="218"/>
        <v>270</v>
      </c>
    </row>
    <row r="5871" spans="1:4" x14ac:dyDescent="0.25">
      <c r="A5871" t="str">
        <f>"838943269"</f>
        <v>838943269</v>
      </c>
      <c r="B5871" t="s">
        <v>5552</v>
      </c>
      <c r="C5871">
        <v>134.46</v>
      </c>
      <c r="D5871" t="str">
        <f t="shared" si="218"/>
        <v>270</v>
      </c>
    </row>
    <row r="5872" spans="1:4" x14ac:dyDescent="0.25">
      <c r="A5872" t="str">
        <f>"838943270"</f>
        <v>838943270</v>
      </c>
      <c r="B5872" t="s">
        <v>5553</v>
      </c>
      <c r="C5872">
        <v>14.99</v>
      </c>
      <c r="D5872" t="str">
        <f t="shared" si="218"/>
        <v>270</v>
      </c>
    </row>
    <row r="5873" spans="1:4" x14ac:dyDescent="0.25">
      <c r="A5873" t="str">
        <f>"838943271"</f>
        <v>838943271</v>
      </c>
      <c r="B5873" t="s">
        <v>5554</v>
      </c>
      <c r="C5873">
        <v>14.99</v>
      </c>
      <c r="D5873" t="str">
        <f t="shared" si="218"/>
        <v>270</v>
      </c>
    </row>
    <row r="5874" spans="1:4" x14ac:dyDescent="0.25">
      <c r="A5874" t="str">
        <f>"838943272"</f>
        <v>838943272</v>
      </c>
      <c r="B5874" t="s">
        <v>5555</v>
      </c>
      <c r="C5874">
        <v>133.82</v>
      </c>
      <c r="D5874" t="str">
        <f t="shared" si="218"/>
        <v>270</v>
      </c>
    </row>
    <row r="5875" spans="1:4" x14ac:dyDescent="0.25">
      <c r="A5875" t="str">
        <f>"838943273"</f>
        <v>838943273</v>
      </c>
      <c r="B5875" t="s">
        <v>5556</v>
      </c>
      <c r="C5875">
        <v>133.82</v>
      </c>
      <c r="D5875" t="str">
        <f t="shared" si="218"/>
        <v>270</v>
      </c>
    </row>
    <row r="5876" spans="1:4" x14ac:dyDescent="0.25">
      <c r="A5876" t="str">
        <f>"838943274"</f>
        <v>838943274</v>
      </c>
      <c r="B5876" t="s">
        <v>5557</v>
      </c>
      <c r="C5876">
        <v>134.46</v>
      </c>
      <c r="D5876" t="str">
        <f t="shared" si="218"/>
        <v>270</v>
      </c>
    </row>
    <row r="5877" spans="1:4" x14ac:dyDescent="0.25">
      <c r="A5877" t="str">
        <f>"838943275"</f>
        <v>838943275</v>
      </c>
      <c r="B5877" t="s">
        <v>5558</v>
      </c>
      <c r="C5877">
        <v>134.46</v>
      </c>
      <c r="D5877" t="str">
        <f t="shared" si="218"/>
        <v>270</v>
      </c>
    </row>
    <row r="5878" spans="1:4" x14ac:dyDescent="0.25">
      <c r="A5878" t="str">
        <f>"838943276"</f>
        <v>838943276</v>
      </c>
      <c r="B5878" t="s">
        <v>5559</v>
      </c>
      <c r="C5878">
        <v>132.16999999999999</v>
      </c>
      <c r="D5878" t="str">
        <f t="shared" si="218"/>
        <v>270</v>
      </c>
    </row>
    <row r="5879" spans="1:4" x14ac:dyDescent="0.25">
      <c r="A5879" t="str">
        <f>"838943277"</f>
        <v>838943277</v>
      </c>
      <c r="B5879" t="s">
        <v>5560</v>
      </c>
      <c r="C5879">
        <v>132.16999999999999</v>
      </c>
      <c r="D5879" t="str">
        <f t="shared" si="218"/>
        <v>270</v>
      </c>
    </row>
    <row r="5880" spans="1:4" x14ac:dyDescent="0.25">
      <c r="A5880" t="str">
        <f>"838943278"</f>
        <v>838943278</v>
      </c>
      <c r="B5880" t="s">
        <v>5561</v>
      </c>
      <c r="C5880">
        <v>134.46</v>
      </c>
      <c r="D5880" t="str">
        <f t="shared" si="218"/>
        <v>270</v>
      </c>
    </row>
    <row r="5881" spans="1:4" x14ac:dyDescent="0.25">
      <c r="A5881" t="str">
        <f>"838943279"</f>
        <v>838943279</v>
      </c>
      <c r="B5881" t="s">
        <v>5562</v>
      </c>
      <c r="C5881">
        <v>134.46</v>
      </c>
      <c r="D5881" t="str">
        <f t="shared" si="218"/>
        <v>270</v>
      </c>
    </row>
    <row r="5882" spans="1:4" x14ac:dyDescent="0.25">
      <c r="A5882" t="str">
        <f>"838943280"</f>
        <v>838943280</v>
      </c>
      <c r="B5882" t="s">
        <v>5563</v>
      </c>
      <c r="C5882">
        <v>132.16999999999999</v>
      </c>
      <c r="D5882" t="str">
        <f t="shared" si="218"/>
        <v>270</v>
      </c>
    </row>
    <row r="5883" spans="1:4" x14ac:dyDescent="0.25">
      <c r="A5883" t="str">
        <f>"838943281"</f>
        <v>838943281</v>
      </c>
      <c r="B5883" t="s">
        <v>5564</v>
      </c>
      <c r="C5883">
        <v>132.16999999999999</v>
      </c>
      <c r="D5883" t="str">
        <f t="shared" ref="D5883:D5946" si="219">"270"</f>
        <v>270</v>
      </c>
    </row>
    <row r="5884" spans="1:4" x14ac:dyDescent="0.25">
      <c r="A5884" t="str">
        <f>"838943282"</f>
        <v>838943282</v>
      </c>
      <c r="B5884" t="s">
        <v>5565</v>
      </c>
      <c r="C5884">
        <v>134.46</v>
      </c>
      <c r="D5884" t="str">
        <f t="shared" si="219"/>
        <v>270</v>
      </c>
    </row>
    <row r="5885" spans="1:4" x14ac:dyDescent="0.25">
      <c r="A5885" t="str">
        <f>"838943283"</f>
        <v>838943283</v>
      </c>
      <c r="B5885" t="s">
        <v>5566</v>
      </c>
      <c r="C5885">
        <v>134.46</v>
      </c>
      <c r="D5885" t="str">
        <f t="shared" si="219"/>
        <v>270</v>
      </c>
    </row>
    <row r="5886" spans="1:4" x14ac:dyDescent="0.25">
      <c r="A5886" t="str">
        <f>"838943284"</f>
        <v>838943284</v>
      </c>
      <c r="B5886" t="s">
        <v>5567</v>
      </c>
      <c r="C5886">
        <v>134.46</v>
      </c>
      <c r="D5886" t="str">
        <f t="shared" si="219"/>
        <v>270</v>
      </c>
    </row>
    <row r="5887" spans="1:4" x14ac:dyDescent="0.25">
      <c r="A5887" t="str">
        <f>"838943285"</f>
        <v>838943285</v>
      </c>
      <c r="B5887" t="s">
        <v>5568</v>
      </c>
      <c r="C5887">
        <v>134.46</v>
      </c>
      <c r="D5887" t="str">
        <f t="shared" si="219"/>
        <v>270</v>
      </c>
    </row>
    <row r="5888" spans="1:4" x14ac:dyDescent="0.25">
      <c r="A5888" t="str">
        <f>"838943286"</f>
        <v>838943286</v>
      </c>
      <c r="B5888" t="s">
        <v>5569</v>
      </c>
      <c r="C5888">
        <v>134.46</v>
      </c>
      <c r="D5888" t="str">
        <f t="shared" si="219"/>
        <v>270</v>
      </c>
    </row>
    <row r="5889" spans="1:4" x14ac:dyDescent="0.25">
      <c r="A5889" t="str">
        <f>"838943287"</f>
        <v>838943287</v>
      </c>
      <c r="B5889" t="s">
        <v>5570</v>
      </c>
      <c r="C5889">
        <v>134.46</v>
      </c>
      <c r="D5889" t="str">
        <f t="shared" si="219"/>
        <v>270</v>
      </c>
    </row>
    <row r="5890" spans="1:4" x14ac:dyDescent="0.25">
      <c r="A5890" t="str">
        <f>"838943288"</f>
        <v>838943288</v>
      </c>
      <c r="B5890" t="s">
        <v>5571</v>
      </c>
      <c r="C5890">
        <v>29.3</v>
      </c>
      <c r="D5890" t="str">
        <f t="shared" si="219"/>
        <v>270</v>
      </c>
    </row>
    <row r="5891" spans="1:4" x14ac:dyDescent="0.25">
      <c r="A5891" t="str">
        <f>"838943289"</f>
        <v>838943289</v>
      </c>
      <c r="B5891" t="s">
        <v>5572</v>
      </c>
      <c r="C5891">
        <v>29.3</v>
      </c>
      <c r="D5891" t="str">
        <f t="shared" si="219"/>
        <v>270</v>
      </c>
    </row>
    <row r="5892" spans="1:4" x14ac:dyDescent="0.25">
      <c r="A5892" t="str">
        <f>"838943290"</f>
        <v>838943290</v>
      </c>
      <c r="B5892" t="s">
        <v>5573</v>
      </c>
      <c r="C5892">
        <v>28.91</v>
      </c>
      <c r="D5892" t="str">
        <f t="shared" si="219"/>
        <v>270</v>
      </c>
    </row>
    <row r="5893" spans="1:4" x14ac:dyDescent="0.25">
      <c r="A5893" t="str">
        <f>"838943291"</f>
        <v>838943291</v>
      </c>
      <c r="B5893" t="s">
        <v>5574</v>
      </c>
      <c r="C5893">
        <v>28.91</v>
      </c>
      <c r="D5893" t="str">
        <f t="shared" si="219"/>
        <v>270</v>
      </c>
    </row>
    <row r="5894" spans="1:4" x14ac:dyDescent="0.25">
      <c r="A5894" t="str">
        <f>"838943292"</f>
        <v>838943292</v>
      </c>
      <c r="B5894" t="s">
        <v>5575</v>
      </c>
      <c r="C5894">
        <v>29.25</v>
      </c>
      <c r="D5894" t="str">
        <f t="shared" si="219"/>
        <v>270</v>
      </c>
    </row>
    <row r="5895" spans="1:4" x14ac:dyDescent="0.25">
      <c r="A5895" t="str">
        <f>"838943293"</f>
        <v>838943293</v>
      </c>
      <c r="B5895" t="s">
        <v>5576</v>
      </c>
      <c r="C5895">
        <v>29.25</v>
      </c>
      <c r="D5895" t="str">
        <f t="shared" si="219"/>
        <v>270</v>
      </c>
    </row>
    <row r="5896" spans="1:4" x14ac:dyDescent="0.25">
      <c r="A5896" t="str">
        <f>"838943294"</f>
        <v>838943294</v>
      </c>
      <c r="B5896" t="s">
        <v>5577</v>
      </c>
      <c r="C5896">
        <v>134.46</v>
      </c>
      <c r="D5896" t="str">
        <f t="shared" si="219"/>
        <v>270</v>
      </c>
    </row>
    <row r="5897" spans="1:4" x14ac:dyDescent="0.25">
      <c r="A5897" t="str">
        <f>"838943295"</f>
        <v>838943295</v>
      </c>
      <c r="B5897" t="s">
        <v>5578</v>
      </c>
      <c r="C5897">
        <v>134.46</v>
      </c>
      <c r="D5897" t="str">
        <f t="shared" si="219"/>
        <v>270</v>
      </c>
    </row>
    <row r="5898" spans="1:4" x14ac:dyDescent="0.25">
      <c r="A5898" t="str">
        <f>"838943296"</f>
        <v>838943296</v>
      </c>
      <c r="B5898" t="s">
        <v>5579</v>
      </c>
      <c r="C5898">
        <v>134.46</v>
      </c>
      <c r="D5898" t="str">
        <f t="shared" si="219"/>
        <v>270</v>
      </c>
    </row>
    <row r="5899" spans="1:4" x14ac:dyDescent="0.25">
      <c r="A5899" t="str">
        <f>"838943297"</f>
        <v>838943297</v>
      </c>
      <c r="B5899" t="s">
        <v>5579</v>
      </c>
      <c r="C5899">
        <v>134.46</v>
      </c>
      <c r="D5899" t="str">
        <f t="shared" si="219"/>
        <v>270</v>
      </c>
    </row>
    <row r="5900" spans="1:4" x14ac:dyDescent="0.25">
      <c r="A5900" t="str">
        <f>"838943298"</f>
        <v>838943298</v>
      </c>
      <c r="B5900" t="s">
        <v>5580</v>
      </c>
      <c r="C5900">
        <v>92.36</v>
      </c>
      <c r="D5900" t="str">
        <f t="shared" si="219"/>
        <v>270</v>
      </c>
    </row>
    <row r="5901" spans="1:4" x14ac:dyDescent="0.25">
      <c r="A5901" t="str">
        <f>"838943299"</f>
        <v>838943299</v>
      </c>
      <c r="B5901" t="s">
        <v>5581</v>
      </c>
      <c r="C5901">
        <v>92.36</v>
      </c>
      <c r="D5901" t="str">
        <f t="shared" si="219"/>
        <v>270</v>
      </c>
    </row>
    <row r="5902" spans="1:4" x14ac:dyDescent="0.25">
      <c r="A5902" t="str">
        <f>"838943300"</f>
        <v>838943300</v>
      </c>
      <c r="B5902" t="s">
        <v>5582</v>
      </c>
      <c r="C5902">
        <v>80.27</v>
      </c>
      <c r="D5902" t="str">
        <f t="shared" si="219"/>
        <v>270</v>
      </c>
    </row>
    <row r="5903" spans="1:4" x14ac:dyDescent="0.25">
      <c r="A5903" t="str">
        <f>"838943301"</f>
        <v>838943301</v>
      </c>
      <c r="B5903" t="s">
        <v>5583</v>
      </c>
      <c r="C5903">
        <v>80.27</v>
      </c>
      <c r="D5903" t="str">
        <f t="shared" si="219"/>
        <v>270</v>
      </c>
    </row>
    <row r="5904" spans="1:4" x14ac:dyDescent="0.25">
      <c r="A5904" t="str">
        <f>"838943302"</f>
        <v>838943302</v>
      </c>
      <c r="B5904" t="s">
        <v>5584</v>
      </c>
      <c r="C5904">
        <v>92.36</v>
      </c>
      <c r="D5904" t="str">
        <f t="shared" si="219"/>
        <v>270</v>
      </c>
    </row>
    <row r="5905" spans="1:4" x14ac:dyDescent="0.25">
      <c r="A5905" t="str">
        <f>"838943303"</f>
        <v>838943303</v>
      </c>
      <c r="B5905" t="s">
        <v>5585</v>
      </c>
      <c r="C5905">
        <v>92.36</v>
      </c>
      <c r="D5905" t="str">
        <f t="shared" si="219"/>
        <v>270</v>
      </c>
    </row>
    <row r="5906" spans="1:4" x14ac:dyDescent="0.25">
      <c r="A5906" t="str">
        <f>"838943304"</f>
        <v>838943304</v>
      </c>
      <c r="B5906" t="s">
        <v>5586</v>
      </c>
      <c r="C5906">
        <v>90.22</v>
      </c>
      <c r="D5906" t="str">
        <f t="shared" si="219"/>
        <v>270</v>
      </c>
    </row>
    <row r="5907" spans="1:4" x14ac:dyDescent="0.25">
      <c r="A5907" t="str">
        <f>"838943305"</f>
        <v>838943305</v>
      </c>
      <c r="B5907" t="s">
        <v>5587</v>
      </c>
      <c r="C5907">
        <v>90.22</v>
      </c>
      <c r="D5907" t="str">
        <f t="shared" si="219"/>
        <v>270</v>
      </c>
    </row>
    <row r="5908" spans="1:4" x14ac:dyDescent="0.25">
      <c r="A5908" t="str">
        <f>"838943306"</f>
        <v>838943306</v>
      </c>
      <c r="B5908" t="s">
        <v>5588</v>
      </c>
      <c r="C5908">
        <v>102.06</v>
      </c>
      <c r="D5908" t="str">
        <f t="shared" si="219"/>
        <v>270</v>
      </c>
    </row>
    <row r="5909" spans="1:4" x14ac:dyDescent="0.25">
      <c r="A5909" t="str">
        <f>"838943307"</f>
        <v>838943307</v>
      </c>
      <c r="B5909" t="s">
        <v>5589</v>
      </c>
      <c r="C5909">
        <v>102.06</v>
      </c>
      <c r="D5909" t="str">
        <f t="shared" si="219"/>
        <v>270</v>
      </c>
    </row>
    <row r="5910" spans="1:4" x14ac:dyDescent="0.25">
      <c r="A5910" t="str">
        <f>"838943308"</f>
        <v>838943308</v>
      </c>
      <c r="B5910" t="s">
        <v>5590</v>
      </c>
      <c r="C5910">
        <v>18.95</v>
      </c>
      <c r="D5910" t="str">
        <f t="shared" si="219"/>
        <v>270</v>
      </c>
    </row>
    <row r="5911" spans="1:4" x14ac:dyDescent="0.25">
      <c r="A5911" t="str">
        <f>"838943309"</f>
        <v>838943309</v>
      </c>
      <c r="B5911" t="s">
        <v>5591</v>
      </c>
      <c r="C5911">
        <v>18.95</v>
      </c>
      <c r="D5911" t="str">
        <f t="shared" si="219"/>
        <v>270</v>
      </c>
    </row>
    <row r="5912" spans="1:4" x14ac:dyDescent="0.25">
      <c r="A5912" t="str">
        <f>"838943310"</f>
        <v>838943310</v>
      </c>
      <c r="B5912" t="s">
        <v>5592</v>
      </c>
      <c r="C5912">
        <v>22.68</v>
      </c>
      <c r="D5912" t="str">
        <f t="shared" si="219"/>
        <v>270</v>
      </c>
    </row>
    <row r="5913" spans="1:4" x14ac:dyDescent="0.25">
      <c r="A5913" t="str">
        <f>"838943311"</f>
        <v>838943311</v>
      </c>
      <c r="B5913" t="s">
        <v>5593</v>
      </c>
      <c r="C5913">
        <v>22.68</v>
      </c>
      <c r="D5913" t="str">
        <f t="shared" si="219"/>
        <v>270</v>
      </c>
    </row>
    <row r="5914" spans="1:4" x14ac:dyDescent="0.25">
      <c r="A5914" t="str">
        <f>"838943312"</f>
        <v>838943312</v>
      </c>
      <c r="B5914" t="s">
        <v>5594</v>
      </c>
      <c r="C5914">
        <v>14.92</v>
      </c>
      <c r="D5914" t="str">
        <f t="shared" si="219"/>
        <v>270</v>
      </c>
    </row>
    <row r="5915" spans="1:4" x14ac:dyDescent="0.25">
      <c r="A5915" t="str">
        <f>"838943313"</f>
        <v>838943313</v>
      </c>
      <c r="B5915" t="s">
        <v>5595</v>
      </c>
      <c r="C5915">
        <v>14.92</v>
      </c>
      <c r="D5915" t="str">
        <f t="shared" si="219"/>
        <v>270</v>
      </c>
    </row>
    <row r="5916" spans="1:4" x14ac:dyDescent="0.25">
      <c r="A5916" t="str">
        <f>"838943314"</f>
        <v>838943314</v>
      </c>
      <c r="B5916" t="s">
        <v>5596</v>
      </c>
      <c r="C5916">
        <v>17.52</v>
      </c>
      <c r="D5916" t="str">
        <f t="shared" si="219"/>
        <v>270</v>
      </c>
    </row>
    <row r="5917" spans="1:4" x14ac:dyDescent="0.25">
      <c r="A5917" t="str">
        <f>"838943315"</f>
        <v>838943315</v>
      </c>
      <c r="B5917" t="s">
        <v>5597</v>
      </c>
      <c r="C5917">
        <v>17.52</v>
      </c>
      <c r="D5917" t="str">
        <f t="shared" si="219"/>
        <v>270</v>
      </c>
    </row>
    <row r="5918" spans="1:4" x14ac:dyDescent="0.25">
      <c r="A5918" t="str">
        <f>"838943316"</f>
        <v>838943316</v>
      </c>
      <c r="B5918" t="s">
        <v>5598</v>
      </c>
      <c r="C5918">
        <v>17.5</v>
      </c>
      <c r="D5918" t="str">
        <f t="shared" si="219"/>
        <v>270</v>
      </c>
    </row>
    <row r="5919" spans="1:4" x14ac:dyDescent="0.25">
      <c r="A5919" t="str">
        <f>"838943317"</f>
        <v>838943317</v>
      </c>
      <c r="B5919" t="s">
        <v>5599</v>
      </c>
      <c r="C5919">
        <v>17.5</v>
      </c>
      <c r="D5919" t="str">
        <f t="shared" si="219"/>
        <v>270</v>
      </c>
    </row>
    <row r="5920" spans="1:4" x14ac:dyDescent="0.25">
      <c r="A5920" t="str">
        <f>"838943318"</f>
        <v>838943318</v>
      </c>
      <c r="B5920" t="s">
        <v>5600</v>
      </c>
      <c r="C5920">
        <v>16.940000000000001</v>
      </c>
      <c r="D5920" t="str">
        <f t="shared" si="219"/>
        <v>270</v>
      </c>
    </row>
    <row r="5921" spans="1:4" x14ac:dyDescent="0.25">
      <c r="A5921" t="str">
        <f>"838943319"</f>
        <v>838943319</v>
      </c>
      <c r="B5921" t="s">
        <v>5601</v>
      </c>
      <c r="C5921">
        <v>16.940000000000001</v>
      </c>
      <c r="D5921" t="str">
        <f t="shared" si="219"/>
        <v>270</v>
      </c>
    </row>
    <row r="5922" spans="1:4" x14ac:dyDescent="0.25">
      <c r="A5922" t="str">
        <f>"838943320"</f>
        <v>838943320</v>
      </c>
      <c r="B5922" t="s">
        <v>5602</v>
      </c>
      <c r="C5922">
        <v>18.21</v>
      </c>
      <c r="D5922" t="str">
        <f t="shared" si="219"/>
        <v>270</v>
      </c>
    </row>
    <row r="5923" spans="1:4" x14ac:dyDescent="0.25">
      <c r="A5923" t="str">
        <f>"838943321"</f>
        <v>838943321</v>
      </c>
      <c r="B5923" t="s">
        <v>5603</v>
      </c>
      <c r="C5923">
        <v>18.21</v>
      </c>
      <c r="D5923" t="str">
        <f t="shared" si="219"/>
        <v>270</v>
      </c>
    </row>
    <row r="5924" spans="1:4" x14ac:dyDescent="0.25">
      <c r="A5924" t="str">
        <f>"838943322"</f>
        <v>838943322</v>
      </c>
      <c r="B5924" t="s">
        <v>5604</v>
      </c>
      <c r="C5924">
        <v>14.99</v>
      </c>
      <c r="D5924" t="str">
        <f t="shared" si="219"/>
        <v>270</v>
      </c>
    </row>
    <row r="5925" spans="1:4" x14ac:dyDescent="0.25">
      <c r="A5925" t="str">
        <f>"838943323"</f>
        <v>838943323</v>
      </c>
      <c r="B5925" t="s">
        <v>5605</v>
      </c>
      <c r="C5925">
        <v>14.99</v>
      </c>
      <c r="D5925" t="str">
        <f t="shared" si="219"/>
        <v>270</v>
      </c>
    </row>
    <row r="5926" spans="1:4" x14ac:dyDescent="0.25">
      <c r="A5926" t="str">
        <f>"838943324"</f>
        <v>838943324</v>
      </c>
      <c r="B5926" t="s">
        <v>5606</v>
      </c>
      <c r="C5926">
        <v>28.71</v>
      </c>
      <c r="D5926" t="str">
        <f t="shared" si="219"/>
        <v>270</v>
      </c>
    </row>
    <row r="5927" spans="1:4" x14ac:dyDescent="0.25">
      <c r="A5927" t="str">
        <f>"838943325"</f>
        <v>838943325</v>
      </c>
      <c r="B5927" t="s">
        <v>5607</v>
      </c>
      <c r="C5927">
        <v>28.71</v>
      </c>
      <c r="D5927" t="str">
        <f t="shared" si="219"/>
        <v>270</v>
      </c>
    </row>
    <row r="5928" spans="1:4" x14ac:dyDescent="0.25">
      <c r="A5928" t="str">
        <f>"838943326"</f>
        <v>838943326</v>
      </c>
      <c r="B5928" t="s">
        <v>5608</v>
      </c>
      <c r="C5928">
        <v>28.71</v>
      </c>
      <c r="D5928" t="str">
        <f t="shared" si="219"/>
        <v>270</v>
      </c>
    </row>
    <row r="5929" spans="1:4" x14ac:dyDescent="0.25">
      <c r="A5929" t="str">
        <f>"838943327"</f>
        <v>838943327</v>
      </c>
      <c r="B5929" t="s">
        <v>5609</v>
      </c>
      <c r="C5929">
        <v>28.71</v>
      </c>
      <c r="D5929" t="str">
        <f t="shared" si="219"/>
        <v>270</v>
      </c>
    </row>
    <row r="5930" spans="1:4" x14ac:dyDescent="0.25">
      <c r="A5930" t="str">
        <f>"838943328"</f>
        <v>838943328</v>
      </c>
      <c r="B5930" t="s">
        <v>5610</v>
      </c>
      <c r="C5930">
        <v>18.98</v>
      </c>
      <c r="D5930" t="str">
        <f t="shared" si="219"/>
        <v>270</v>
      </c>
    </row>
    <row r="5931" spans="1:4" x14ac:dyDescent="0.25">
      <c r="A5931" t="str">
        <f>"838943329"</f>
        <v>838943329</v>
      </c>
      <c r="B5931" t="s">
        <v>5611</v>
      </c>
      <c r="C5931">
        <v>18.98</v>
      </c>
      <c r="D5931" t="str">
        <f t="shared" si="219"/>
        <v>270</v>
      </c>
    </row>
    <row r="5932" spans="1:4" x14ac:dyDescent="0.25">
      <c r="A5932" t="str">
        <f>"838943330"</f>
        <v>838943330</v>
      </c>
      <c r="B5932" t="s">
        <v>5612</v>
      </c>
      <c r="C5932">
        <v>14.99</v>
      </c>
      <c r="D5932" t="str">
        <f t="shared" si="219"/>
        <v>270</v>
      </c>
    </row>
    <row r="5933" spans="1:4" x14ac:dyDescent="0.25">
      <c r="A5933" t="str">
        <f>"838943331"</f>
        <v>838943331</v>
      </c>
      <c r="B5933" t="s">
        <v>5613</v>
      </c>
      <c r="C5933">
        <v>14.99</v>
      </c>
      <c r="D5933" t="str">
        <f t="shared" si="219"/>
        <v>270</v>
      </c>
    </row>
    <row r="5934" spans="1:4" x14ac:dyDescent="0.25">
      <c r="A5934" t="str">
        <f>"838943332"</f>
        <v>838943332</v>
      </c>
      <c r="B5934" t="s">
        <v>5614</v>
      </c>
      <c r="C5934">
        <v>29.91</v>
      </c>
      <c r="D5934" t="str">
        <f t="shared" si="219"/>
        <v>270</v>
      </c>
    </row>
    <row r="5935" spans="1:4" x14ac:dyDescent="0.25">
      <c r="A5935" t="str">
        <f>"838943333"</f>
        <v>838943333</v>
      </c>
      <c r="B5935" t="s">
        <v>5615</v>
      </c>
      <c r="C5935">
        <v>29.91</v>
      </c>
      <c r="D5935" t="str">
        <f t="shared" si="219"/>
        <v>270</v>
      </c>
    </row>
    <row r="5936" spans="1:4" x14ac:dyDescent="0.25">
      <c r="A5936" t="str">
        <f>"838943334"</f>
        <v>838943334</v>
      </c>
      <c r="B5936" t="s">
        <v>5616</v>
      </c>
      <c r="C5936">
        <v>15.57</v>
      </c>
      <c r="D5936" t="str">
        <f t="shared" si="219"/>
        <v>270</v>
      </c>
    </row>
    <row r="5937" spans="1:4" x14ac:dyDescent="0.25">
      <c r="A5937" t="str">
        <f>"838943335"</f>
        <v>838943335</v>
      </c>
      <c r="B5937" t="s">
        <v>5617</v>
      </c>
      <c r="C5937">
        <v>15.57</v>
      </c>
      <c r="D5937" t="str">
        <f t="shared" si="219"/>
        <v>270</v>
      </c>
    </row>
    <row r="5938" spans="1:4" x14ac:dyDescent="0.25">
      <c r="A5938" t="str">
        <f>"838943336"</f>
        <v>838943336</v>
      </c>
      <c r="B5938" t="s">
        <v>5618</v>
      </c>
      <c r="C5938">
        <v>30.56</v>
      </c>
      <c r="D5938" t="str">
        <f t="shared" si="219"/>
        <v>270</v>
      </c>
    </row>
    <row r="5939" spans="1:4" x14ac:dyDescent="0.25">
      <c r="A5939" t="str">
        <f>"838943337"</f>
        <v>838943337</v>
      </c>
      <c r="B5939" t="s">
        <v>5619</v>
      </c>
      <c r="C5939">
        <v>30.56</v>
      </c>
      <c r="D5939" t="str">
        <f t="shared" si="219"/>
        <v>270</v>
      </c>
    </row>
    <row r="5940" spans="1:4" x14ac:dyDescent="0.25">
      <c r="A5940" t="str">
        <f>"838943338"</f>
        <v>838943338</v>
      </c>
      <c r="B5940" t="s">
        <v>5620</v>
      </c>
      <c r="C5940">
        <v>30.32</v>
      </c>
      <c r="D5940" t="str">
        <f t="shared" si="219"/>
        <v>270</v>
      </c>
    </row>
    <row r="5941" spans="1:4" x14ac:dyDescent="0.25">
      <c r="A5941" t="str">
        <f>"838943339"</f>
        <v>838943339</v>
      </c>
      <c r="B5941" t="s">
        <v>5621</v>
      </c>
      <c r="C5941">
        <v>30.32</v>
      </c>
      <c r="D5941" t="str">
        <f t="shared" si="219"/>
        <v>270</v>
      </c>
    </row>
    <row r="5942" spans="1:4" x14ac:dyDescent="0.25">
      <c r="A5942" t="str">
        <f>"838943340"</f>
        <v>838943340</v>
      </c>
      <c r="B5942" t="s">
        <v>5622</v>
      </c>
      <c r="C5942">
        <v>31.85</v>
      </c>
      <c r="D5942" t="str">
        <f t="shared" si="219"/>
        <v>270</v>
      </c>
    </row>
    <row r="5943" spans="1:4" x14ac:dyDescent="0.25">
      <c r="A5943" t="str">
        <f>"838943341"</f>
        <v>838943341</v>
      </c>
      <c r="B5943" t="s">
        <v>5623</v>
      </c>
      <c r="C5943">
        <v>31.85</v>
      </c>
      <c r="D5943" t="str">
        <f t="shared" si="219"/>
        <v>270</v>
      </c>
    </row>
    <row r="5944" spans="1:4" x14ac:dyDescent="0.25">
      <c r="A5944" t="str">
        <f>"838943342"</f>
        <v>838943342</v>
      </c>
      <c r="B5944" t="s">
        <v>5624</v>
      </c>
      <c r="C5944">
        <v>15.25</v>
      </c>
      <c r="D5944" t="str">
        <f t="shared" si="219"/>
        <v>270</v>
      </c>
    </row>
    <row r="5945" spans="1:4" x14ac:dyDescent="0.25">
      <c r="A5945" t="str">
        <f>"838943343"</f>
        <v>838943343</v>
      </c>
      <c r="B5945" t="s">
        <v>5625</v>
      </c>
      <c r="C5945">
        <v>15.25</v>
      </c>
      <c r="D5945" t="str">
        <f t="shared" si="219"/>
        <v>270</v>
      </c>
    </row>
    <row r="5946" spans="1:4" x14ac:dyDescent="0.25">
      <c r="A5946" t="str">
        <f>"838943344"</f>
        <v>838943344</v>
      </c>
      <c r="B5946" t="s">
        <v>5626</v>
      </c>
      <c r="C5946">
        <v>18.059999999999999</v>
      </c>
      <c r="D5946" t="str">
        <f t="shared" si="219"/>
        <v>270</v>
      </c>
    </row>
    <row r="5947" spans="1:4" x14ac:dyDescent="0.25">
      <c r="A5947" t="str">
        <f>"838943345"</f>
        <v>838943345</v>
      </c>
      <c r="B5947" t="s">
        <v>5627</v>
      </c>
      <c r="C5947">
        <v>18.059999999999999</v>
      </c>
      <c r="D5947" t="str">
        <f t="shared" ref="D5947:D6010" si="220">"270"</f>
        <v>270</v>
      </c>
    </row>
    <row r="5948" spans="1:4" x14ac:dyDescent="0.25">
      <c r="A5948" t="str">
        <f>"838943346"</f>
        <v>838943346</v>
      </c>
      <c r="B5948" t="s">
        <v>5628</v>
      </c>
      <c r="C5948">
        <v>18.170000000000002</v>
      </c>
      <c r="D5948" t="str">
        <f t="shared" si="220"/>
        <v>270</v>
      </c>
    </row>
    <row r="5949" spans="1:4" x14ac:dyDescent="0.25">
      <c r="A5949" t="str">
        <f>"838943347"</f>
        <v>838943347</v>
      </c>
      <c r="B5949" t="s">
        <v>5629</v>
      </c>
      <c r="C5949">
        <v>18.170000000000002</v>
      </c>
      <c r="D5949" t="str">
        <f t="shared" si="220"/>
        <v>270</v>
      </c>
    </row>
    <row r="5950" spans="1:4" x14ac:dyDescent="0.25">
      <c r="A5950" t="str">
        <f>"838943348"</f>
        <v>838943348</v>
      </c>
      <c r="B5950" t="s">
        <v>5630</v>
      </c>
      <c r="C5950">
        <v>18.010000000000002</v>
      </c>
      <c r="D5950" t="str">
        <f t="shared" si="220"/>
        <v>270</v>
      </c>
    </row>
    <row r="5951" spans="1:4" x14ac:dyDescent="0.25">
      <c r="A5951" t="str">
        <f>"838943349"</f>
        <v>838943349</v>
      </c>
      <c r="B5951" t="s">
        <v>5631</v>
      </c>
      <c r="C5951">
        <v>18.010000000000002</v>
      </c>
      <c r="D5951" t="str">
        <f t="shared" si="220"/>
        <v>270</v>
      </c>
    </row>
    <row r="5952" spans="1:4" x14ac:dyDescent="0.25">
      <c r="A5952" t="str">
        <f>"838943350"</f>
        <v>838943350</v>
      </c>
      <c r="B5952" t="s">
        <v>5632</v>
      </c>
      <c r="C5952">
        <v>16.34</v>
      </c>
      <c r="D5952" t="str">
        <f t="shared" si="220"/>
        <v>270</v>
      </c>
    </row>
    <row r="5953" spans="1:4" x14ac:dyDescent="0.25">
      <c r="A5953" t="str">
        <f>"838943351"</f>
        <v>838943351</v>
      </c>
      <c r="B5953" t="s">
        <v>5633</v>
      </c>
      <c r="C5953">
        <v>16.34</v>
      </c>
      <c r="D5953" t="str">
        <f t="shared" si="220"/>
        <v>270</v>
      </c>
    </row>
    <row r="5954" spans="1:4" x14ac:dyDescent="0.25">
      <c r="A5954" t="str">
        <f>"838943352"</f>
        <v>838943352</v>
      </c>
      <c r="B5954" t="s">
        <v>5634</v>
      </c>
      <c r="C5954">
        <v>16.34</v>
      </c>
      <c r="D5954" t="str">
        <f t="shared" si="220"/>
        <v>270</v>
      </c>
    </row>
    <row r="5955" spans="1:4" x14ac:dyDescent="0.25">
      <c r="A5955" t="str">
        <f>"838943353"</f>
        <v>838943353</v>
      </c>
      <c r="B5955" t="s">
        <v>5635</v>
      </c>
      <c r="C5955">
        <v>16.34</v>
      </c>
      <c r="D5955" t="str">
        <f t="shared" si="220"/>
        <v>270</v>
      </c>
    </row>
    <row r="5956" spans="1:4" x14ac:dyDescent="0.25">
      <c r="A5956" t="str">
        <f>"838943354"</f>
        <v>838943354</v>
      </c>
      <c r="B5956" t="s">
        <v>5636</v>
      </c>
      <c r="C5956">
        <v>49.3</v>
      </c>
      <c r="D5956" t="str">
        <f t="shared" si="220"/>
        <v>270</v>
      </c>
    </row>
    <row r="5957" spans="1:4" x14ac:dyDescent="0.25">
      <c r="A5957" t="str">
        <f>"838943355"</f>
        <v>838943355</v>
      </c>
      <c r="B5957" t="s">
        <v>5637</v>
      </c>
      <c r="C5957">
        <v>49.3</v>
      </c>
      <c r="D5957" t="str">
        <f t="shared" si="220"/>
        <v>270</v>
      </c>
    </row>
    <row r="5958" spans="1:4" x14ac:dyDescent="0.25">
      <c r="A5958" t="str">
        <f>"838943356"</f>
        <v>838943356</v>
      </c>
      <c r="B5958" t="s">
        <v>5638</v>
      </c>
      <c r="C5958">
        <v>46.63</v>
      </c>
      <c r="D5958" t="str">
        <f t="shared" si="220"/>
        <v>270</v>
      </c>
    </row>
    <row r="5959" spans="1:4" x14ac:dyDescent="0.25">
      <c r="A5959" t="str">
        <f>"838943357"</f>
        <v>838943357</v>
      </c>
      <c r="B5959" t="s">
        <v>5639</v>
      </c>
      <c r="C5959">
        <v>46.63</v>
      </c>
      <c r="D5959" t="str">
        <f t="shared" si="220"/>
        <v>270</v>
      </c>
    </row>
    <row r="5960" spans="1:4" x14ac:dyDescent="0.25">
      <c r="A5960" t="str">
        <f>"838943358"</f>
        <v>838943358</v>
      </c>
      <c r="B5960" t="s">
        <v>5640</v>
      </c>
      <c r="C5960">
        <v>38.869999999999997</v>
      </c>
      <c r="D5960" t="str">
        <f t="shared" si="220"/>
        <v>270</v>
      </c>
    </row>
    <row r="5961" spans="1:4" x14ac:dyDescent="0.25">
      <c r="A5961" t="str">
        <f>"838943359"</f>
        <v>838943359</v>
      </c>
      <c r="B5961" t="s">
        <v>5641</v>
      </c>
      <c r="C5961">
        <v>38.869999999999997</v>
      </c>
      <c r="D5961" t="str">
        <f t="shared" si="220"/>
        <v>270</v>
      </c>
    </row>
    <row r="5962" spans="1:4" x14ac:dyDescent="0.25">
      <c r="A5962" t="str">
        <f>"838943360"</f>
        <v>838943360</v>
      </c>
      <c r="B5962" t="s">
        <v>5642</v>
      </c>
      <c r="C5962">
        <v>38.58</v>
      </c>
      <c r="D5962" t="str">
        <f t="shared" si="220"/>
        <v>270</v>
      </c>
    </row>
    <row r="5963" spans="1:4" x14ac:dyDescent="0.25">
      <c r="A5963" t="str">
        <f>"838943361"</f>
        <v>838943361</v>
      </c>
      <c r="B5963" t="s">
        <v>5643</v>
      </c>
      <c r="C5963">
        <v>38.58</v>
      </c>
      <c r="D5963" t="str">
        <f t="shared" si="220"/>
        <v>270</v>
      </c>
    </row>
    <row r="5964" spans="1:4" x14ac:dyDescent="0.25">
      <c r="A5964" t="str">
        <f>"838943362"</f>
        <v>838943362</v>
      </c>
      <c r="B5964" t="s">
        <v>5644</v>
      </c>
      <c r="C5964">
        <v>15.6</v>
      </c>
      <c r="D5964" t="str">
        <f t="shared" si="220"/>
        <v>270</v>
      </c>
    </row>
    <row r="5965" spans="1:4" x14ac:dyDescent="0.25">
      <c r="A5965" t="str">
        <f>"838943363"</f>
        <v>838943363</v>
      </c>
      <c r="B5965" t="s">
        <v>5645</v>
      </c>
      <c r="C5965">
        <v>15.6</v>
      </c>
      <c r="D5965" t="str">
        <f t="shared" si="220"/>
        <v>270</v>
      </c>
    </row>
    <row r="5966" spans="1:4" x14ac:dyDescent="0.25">
      <c r="A5966" t="str">
        <f>"838943364"</f>
        <v>838943364</v>
      </c>
      <c r="B5966" t="s">
        <v>5646</v>
      </c>
      <c r="C5966">
        <v>39.25</v>
      </c>
      <c r="D5966" t="str">
        <f t="shared" si="220"/>
        <v>270</v>
      </c>
    </row>
    <row r="5967" spans="1:4" x14ac:dyDescent="0.25">
      <c r="A5967" t="str">
        <f>"838943365"</f>
        <v>838943365</v>
      </c>
      <c r="B5967" t="s">
        <v>5647</v>
      </c>
      <c r="C5967">
        <v>39.25</v>
      </c>
      <c r="D5967" t="str">
        <f t="shared" si="220"/>
        <v>270</v>
      </c>
    </row>
    <row r="5968" spans="1:4" x14ac:dyDescent="0.25">
      <c r="A5968" t="str">
        <f>"838943366"</f>
        <v>838943366</v>
      </c>
      <c r="B5968" t="s">
        <v>5648</v>
      </c>
      <c r="C5968">
        <v>38.81</v>
      </c>
      <c r="D5968" t="str">
        <f t="shared" si="220"/>
        <v>270</v>
      </c>
    </row>
    <row r="5969" spans="1:4" x14ac:dyDescent="0.25">
      <c r="A5969" t="str">
        <f>"838943367"</f>
        <v>838943367</v>
      </c>
      <c r="B5969" t="s">
        <v>5649</v>
      </c>
      <c r="C5969">
        <v>38.81</v>
      </c>
      <c r="D5969" t="str">
        <f t="shared" si="220"/>
        <v>270</v>
      </c>
    </row>
    <row r="5970" spans="1:4" x14ac:dyDescent="0.25">
      <c r="A5970" t="str">
        <f>"838943368"</f>
        <v>838943368</v>
      </c>
      <c r="B5970" t="s">
        <v>5650</v>
      </c>
      <c r="C5970">
        <v>38.520000000000003</v>
      </c>
      <c r="D5970" t="str">
        <f t="shared" si="220"/>
        <v>270</v>
      </c>
    </row>
    <row r="5971" spans="1:4" x14ac:dyDescent="0.25">
      <c r="A5971" t="str">
        <f>"838943369"</f>
        <v>838943369</v>
      </c>
      <c r="B5971" t="s">
        <v>5651</v>
      </c>
      <c r="C5971">
        <v>38.520000000000003</v>
      </c>
      <c r="D5971" t="str">
        <f t="shared" si="220"/>
        <v>270</v>
      </c>
    </row>
    <row r="5972" spans="1:4" x14ac:dyDescent="0.25">
      <c r="A5972" t="str">
        <f>"838943370"</f>
        <v>838943370</v>
      </c>
      <c r="B5972" t="s">
        <v>5652</v>
      </c>
      <c r="C5972">
        <v>38.35</v>
      </c>
      <c r="D5972" t="str">
        <f t="shared" si="220"/>
        <v>270</v>
      </c>
    </row>
    <row r="5973" spans="1:4" x14ac:dyDescent="0.25">
      <c r="A5973" t="str">
        <f>"838943371"</f>
        <v>838943371</v>
      </c>
      <c r="B5973" t="s">
        <v>5653</v>
      </c>
      <c r="C5973">
        <v>38.35</v>
      </c>
      <c r="D5973" t="str">
        <f t="shared" si="220"/>
        <v>270</v>
      </c>
    </row>
    <row r="5974" spans="1:4" x14ac:dyDescent="0.25">
      <c r="A5974" t="str">
        <f>"838943372"</f>
        <v>838943372</v>
      </c>
      <c r="B5974" t="s">
        <v>5654</v>
      </c>
      <c r="C5974">
        <v>15.6</v>
      </c>
      <c r="D5974" t="str">
        <f t="shared" si="220"/>
        <v>270</v>
      </c>
    </row>
    <row r="5975" spans="1:4" x14ac:dyDescent="0.25">
      <c r="A5975" t="str">
        <f>"838943373"</f>
        <v>838943373</v>
      </c>
      <c r="B5975" t="s">
        <v>5655</v>
      </c>
      <c r="C5975">
        <v>15.6</v>
      </c>
      <c r="D5975" t="str">
        <f t="shared" si="220"/>
        <v>270</v>
      </c>
    </row>
    <row r="5976" spans="1:4" x14ac:dyDescent="0.25">
      <c r="A5976" t="str">
        <f>"838943374"</f>
        <v>838943374</v>
      </c>
      <c r="B5976" t="s">
        <v>5656</v>
      </c>
      <c r="C5976">
        <v>38.869999999999997</v>
      </c>
      <c r="D5976" t="str">
        <f t="shared" si="220"/>
        <v>270</v>
      </c>
    </row>
    <row r="5977" spans="1:4" x14ac:dyDescent="0.25">
      <c r="A5977" t="str">
        <f>"838943375"</f>
        <v>838943375</v>
      </c>
      <c r="B5977" t="s">
        <v>5657</v>
      </c>
      <c r="C5977">
        <v>38.869999999999997</v>
      </c>
      <c r="D5977" t="str">
        <f t="shared" si="220"/>
        <v>270</v>
      </c>
    </row>
    <row r="5978" spans="1:4" x14ac:dyDescent="0.25">
      <c r="A5978" t="str">
        <f>"838943376"</f>
        <v>838943376</v>
      </c>
      <c r="B5978" t="s">
        <v>5658</v>
      </c>
      <c r="C5978">
        <v>38.54</v>
      </c>
      <c r="D5978" t="str">
        <f t="shared" si="220"/>
        <v>270</v>
      </c>
    </row>
    <row r="5979" spans="1:4" x14ac:dyDescent="0.25">
      <c r="A5979" t="str">
        <f>"838943377"</f>
        <v>838943377</v>
      </c>
      <c r="B5979" t="s">
        <v>5659</v>
      </c>
      <c r="C5979">
        <v>38.54</v>
      </c>
      <c r="D5979" t="str">
        <f t="shared" si="220"/>
        <v>270</v>
      </c>
    </row>
    <row r="5980" spans="1:4" x14ac:dyDescent="0.25">
      <c r="A5980" t="str">
        <f>"838943378"</f>
        <v>838943378</v>
      </c>
      <c r="B5980" t="s">
        <v>5660</v>
      </c>
      <c r="C5980">
        <v>38.130000000000003</v>
      </c>
      <c r="D5980" t="str">
        <f t="shared" si="220"/>
        <v>270</v>
      </c>
    </row>
    <row r="5981" spans="1:4" x14ac:dyDescent="0.25">
      <c r="A5981" t="str">
        <f>"838943379"</f>
        <v>838943379</v>
      </c>
      <c r="B5981" t="s">
        <v>5661</v>
      </c>
      <c r="C5981">
        <v>38.130000000000003</v>
      </c>
      <c r="D5981" t="str">
        <f t="shared" si="220"/>
        <v>270</v>
      </c>
    </row>
    <row r="5982" spans="1:4" x14ac:dyDescent="0.25">
      <c r="A5982" t="str">
        <f>"838943380"</f>
        <v>838943380</v>
      </c>
      <c r="B5982" t="s">
        <v>5662</v>
      </c>
      <c r="C5982">
        <v>38.74</v>
      </c>
      <c r="D5982" t="str">
        <f t="shared" si="220"/>
        <v>270</v>
      </c>
    </row>
    <row r="5983" spans="1:4" x14ac:dyDescent="0.25">
      <c r="A5983" t="str">
        <f>"838943381"</f>
        <v>838943381</v>
      </c>
      <c r="B5983" t="s">
        <v>5663</v>
      </c>
      <c r="C5983">
        <v>38.74</v>
      </c>
      <c r="D5983" t="str">
        <f t="shared" si="220"/>
        <v>270</v>
      </c>
    </row>
    <row r="5984" spans="1:4" x14ac:dyDescent="0.25">
      <c r="A5984" t="str">
        <f>"838943382"</f>
        <v>838943382</v>
      </c>
      <c r="B5984" t="s">
        <v>5664</v>
      </c>
      <c r="C5984">
        <v>16.260000000000002</v>
      </c>
      <c r="D5984" t="str">
        <f t="shared" si="220"/>
        <v>270</v>
      </c>
    </row>
    <row r="5985" spans="1:4" x14ac:dyDescent="0.25">
      <c r="A5985" t="str">
        <f>"838943383"</f>
        <v>838943383</v>
      </c>
      <c r="B5985" t="s">
        <v>5665</v>
      </c>
      <c r="C5985">
        <v>16.260000000000002</v>
      </c>
      <c r="D5985" t="str">
        <f t="shared" si="220"/>
        <v>270</v>
      </c>
    </row>
    <row r="5986" spans="1:4" x14ac:dyDescent="0.25">
      <c r="A5986" t="str">
        <f>"838943384"</f>
        <v>838943384</v>
      </c>
      <c r="B5986" t="s">
        <v>5666</v>
      </c>
      <c r="C5986">
        <v>101.24</v>
      </c>
      <c r="D5986" t="str">
        <f t="shared" si="220"/>
        <v>270</v>
      </c>
    </row>
    <row r="5987" spans="1:4" x14ac:dyDescent="0.25">
      <c r="A5987" t="str">
        <f>"838943385"</f>
        <v>838943385</v>
      </c>
      <c r="B5987" t="s">
        <v>5667</v>
      </c>
      <c r="C5987">
        <v>101.24</v>
      </c>
      <c r="D5987" t="str">
        <f t="shared" si="220"/>
        <v>270</v>
      </c>
    </row>
    <row r="5988" spans="1:4" x14ac:dyDescent="0.25">
      <c r="A5988" t="str">
        <f>"838943386"</f>
        <v>838943386</v>
      </c>
      <c r="B5988" t="s">
        <v>5668</v>
      </c>
      <c r="C5988">
        <v>108.85</v>
      </c>
      <c r="D5988" t="str">
        <f t="shared" si="220"/>
        <v>270</v>
      </c>
    </row>
    <row r="5989" spans="1:4" x14ac:dyDescent="0.25">
      <c r="A5989" t="str">
        <f>"838943387"</f>
        <v>838943387</v>
      </c>
      <c r="B5989" t="s">
        <v>5669</v>
      </c>
      <c r="C5989">
        <v>108.85</v>
      </c>
      <c r="D5989" t="str">
        <f t="shared" si="220"/>
        <v>270</v>
      </c>
    </row>
    <row r="5990" spans="1:4" x14ac:dyDescent="0.25">
      <c r="A5990" t="str">
        <f>"838943388"</f>
        <v>838943388</v>
      </c>
      <c r="B5990" t="s">
        <v>5670</v>
      </c>
      <c r="C5990">
        <v>85.15</v>
      </c>
      <c r="D5990" t="str">
        <f t="shared" si="220"/>
        <v>270</v>
      </c>
    </row>
    <row r="5991" spans="1:4" x14ac:dyDescent="0.25">
      <c r="A5991" t="str">
        <f>"838943389"</f>
        <v>838943389</v>
      </c>
      <c r="B5991" t="s">
        <v>5671</v>
      </c>
      <c r="C5991">
        <v>85.15</v>
      </c>
      <c r="D5991" t="str">
        <f t="shared" si="220"/>
        <v>270</v>
      </c>
    </row>
    <row r="5992" spans="1:4" x14ac:dyDescent="0.25">
      <c r="A5992" t="str">
        <f>"838943390"</f>
        <v>838943390</v>
      </c>
      <c r="B5992" t="s">
        <v>5672</v>
      </c>
      <c r="C5992">
        <v>101.24</v>
      </c>
      <c r="D5992" t="str">
        <f t="shared" si="220"/>
        <v>270</v>
      </c>
    </row>
    <row r="5993" spans="1:4" x14ac:dyDescent="0.25">
      <c r="A5993" t="str">
        <f>"838943391"</f>
        <v>838943391</v>
      </c>
      <c r="B5993" t="s">
        <v>5673</v>
      </c>
      <c r="C5993">
        <v>101.24</v>
      </c>
      <c r="D5993" t="str">
        <f t="shared" si="220"/>
        <v>270</v>
      </c>
    </row>
    <row r="5994" spans="1:4" x14ac:dyDescent="0.25">
      <c r="A5994" t="str">
        <f>"838943392"</f>
        <v>838943392</v>
      </c>
      <c r="B5994" t="s">
        <v>5674</v>
      </c>
      <c r="C5994">
        <v>94.45</v>
      </c>
      <c r="D5994" t="str">
        <f t="shared" si="220"/>
        <v>270</v>
      </c>
    </row>
    <row r="5995" spans="1:4" x14ac:dyDescent="0.25">
      <c r="A5995" t="str">
        <f>"838943393"</f>
        <v>838943393</v>
      </c>
      <c r="B5995" t="s">
        <v>5675</v>
      </c>
      <c r="C5995">
        <v>94.45</v>
      </c>
      <c r="D5995" t="str">
        <f t="shared" si="220"/>
        <v>270</v>
      </c>
    </row>
    <row r="5996" spans="1:4" x14ac:dyDescent="0.25">
      <c r="A5996" t="str">
        <f>"838943394"</f>
        <v>838943394</v>
      </c>
      <c r="B5996" t="s">
        <v>5676</v>
      </c>
      <c r="C5996">
        <v>96.17</v>
      </c>
      <c r="D5996" t="str">
        <f t="shared" si="220"/>
        <v>270</v>
      </c>
    </row>
    <row r="5997" spans="1:4" x14ac:dyDescent="0.25">
      <c r="A5997" t="str">
        <f>"838943395"</f>
        <v>838943395</v>
      </c>
      <c r="B5997" t="s">
        <v>5677</v>
      </c>
      <c r="C5997">
        <v>96.17</v>
      </c>
      <c r="D5997" t="str">
        <f t="shared" si="220"/>
        <v>270</v>
      </c>
    </row>
    <row r="5998" spans="1:4" x14ac:dyDescent="0.25">
      <c r="A5998" t="str">
        <f>"838943396"</f>
        <v>838943396</v>
      </c>
      <c r="B5998" t="s">
        <v>5678</v>
      </c>
      <c r="C5998">
        <v>97.54</v>
      </c>
      <c r="D5998" t="str">
        <f t="shared" si="220"/>
        <v>270</v>
      </c>
    </row>
    <row r="5999" spans="1:4" x14ac:dyDescent="0.25">
      <c r="A5999" t="str">
        <f>"838943397"</f>
        <v>838943397</v>
      </c>
      <c r="B5999" t="s">
        <v>5678</v>
      </c>
      <c r="C5999">
        <v>97.54</v>
      </c>
      <c r="D5999" t="str">
        <f t="shared" si="220"/>
        <v>270</v>
      </c>
    </row>
    <row r="6000" spans="1:4" x14ac:dyDescent="0.25">
      <c r="A6000" t="str">
        <f>"838943398"</f>
        <v>838943398</v>
      </c>
      <c r="B6000" t="s">
        <v>5679</v>
      </c>
      <c r="C6000">
        <v>103.94</v>
      </c>
      <c r="D6000" t="str">
        <f t="shared" si="220"/>
        <v>270</v>
      </c>
    </row>
    <row r="6001" spans="1:4" x14ac:dyDescent="0.25">
      <c r="A6001" t="str">
        <f>"838943399"</f>
        <v>838943399</v>
      </c>
      <c r="B6001" t="s">
        <v>5679</v>
      </c>
      <c r="C6001">
        <v>103.94</v>
      </c>
      <c r="D6001" t="str">
        <f t="shared" si="220"/>
        <v>270</v>
      </c>
    </row>
    <row r="6002" spans="1:4" x14ac:dyDescent="0.25">
      <c r="A6002" t="str">
        <f>"838943400"</f>
        <v>838943400</v>
      </c>
      <c r="B6002" t="s">
        <v>5680</v>
      </c>
      <c r="C6002">
        <v>97.42</v>
      </c>
      <c r="D6002" t="str">
        <f t="shared" si="220"/>
        <v>270</v>
      </c>
    </row>
    <row r="6003" spans="1:4" x14ac:dyDescent="0.25">
      <c r="A6003" t="str">
        <f>"838943401"</f>
        <v>838943401</v>
      </c>
      <c r="B6003" t="s">
        <v>5680</v>
      </c>
      <c r="C6003">
        <v>97.42</v>
      </c>
      <c r="D6003" t="str">
        <f t="shared" si="220"/>
        <v>270</v>
      </c>
    </row>
    <row r="6004" spans="1:4" x14ac:dyDescent="0.25">
      <c r="A6004" t="str">
        <f>"838943402"</f>
        <v>838943402</v>
      </c>
      <c r="B6004" t="s">
        <v>5681</v>
      </c>
      <c r="C6004">
        <v>97.42</v>
      </c>
      <c r="D6004" t="str">
        <f t="shared" si="220"/>
        <v>270</v>
      </c>
    </row>
    <row r="6005" spans="1:4" x14ac:dyDescent="0.25">
      <c r="A6005" t="str">
        <f>"838943403"</f>
        <v>838943403</v>
      </c>
      <c r="B6005" t="s">
        <v>5681</v>
      </c>
      <c r="C6005">
        <v>97.42</v>
      </c>
      <c r="D6005" t="str">
        <f t="shared" si="220"/>
        <v>270</v>
      </c>
    </row>
    <row r="6006" spans="1:4" x14ac:dyDescent="0.25">
      <c r="A6006" t="str">
        <f>"838943404"</f>
        <v>838943404</v>
      </c>
      <c r="B6006" t="s">
        <v>5682</v>
      </c>
      <c r="C6006">
        <v>106.23</v>
      </c>
      <c r="D6006" t="str">
        <f t="shared" si="220"/>
        <v>270</v>
      </c>
    </row>
    <row r="6007" spans="1:4" x14ac:dyDescent="0.25">
      <c r="A6007" t="str">
        <f>"838943405"</f>
        <v>838943405</v>
      </c>
      <c r="B6007" t="s">
        <v>5683</v>
      </c>
      <c r="C6007">
        <v>106.23</v>
      </c>
      <c r="D6007" t="str">
        <f t="shared" si="220"/>
        <v>270</v>
      </c>
    </row>
    <row r="6008" spans="1:4" x14ac:dyDescent="0.25">
      <c r="A6008" t="str">
        <f>"838943406"</f>
        <v>838943406</v>
      </c>
      <c r="B6008" t="s">
        <v>5684</v>
      </c>
      <c r="C6008">
        <v>81.73</v>
      </c>
      <c r="D6008" t="str">
        <f t="shared" si="220"/>
        <v>270</v>
      </c>
    </row>
    <row r="6009" spans="1:4" x14ac:dyDescent="0.25">
      <c r="A6009" t="str">
        <f>"838943407"</f>
        <v>838943407</v>
      </c>
      <c r="B6009" t="s">
        <v>5685</v>
      </c>
      <c r="C6009">
        <v>81.73</v>
      </c>
      <c r="D6009" t="str">
        <f t="shared" si="220"/>
        <v>270</v>
      </c>
    </row>
    <row r="6010" spans="1:4" x14ac:dyDescent="0.25">
      <c r="A6010" t="str">
        <f>"838943408"</f>
        <v>838943408</v>
      </c>
      <c r="B6010" t="s">
        <v>5686</v>
      </c>
      <c r="C6010">
        <v>88.28</v>
      </c>
      <c r="D6010" t="str">
        <f t="shared" si="220"/>
        <v>270</v>
      </c>
    </row>
    <row r="6011" spans="1:4" x14ac:dyDescent="0.25">
      <c r="A6011" t="str">
        <f>"838943409"</f>
        <v>838943409</v>
      </c>
      <c r="B6011" t="s">
        <v>5686</v>
      </c>
      <c r="C6011">
        <v>88.28</v>
      </c>
      <c r="D6011" t="str">
        <f t="shared" ref="D6011:D6074" si="221">"270"</f>
        <v>270</v>
      </c>
    </row>
    <row r="6012" spans="1:4" x14ac:dyDescent="0.25">
      <c r="A6012" t="str">
        <f>"838943410"</f>
        <v>838943410</v>
      </c>
      <c r="B6012" t="s">
        <v>5687</v>
      </c>
      <c r="C6012">
        <v>81.73</v>
      </c>
      <c r="D6012" t="str">
        <f t="shared" si="221"/>
        <v>270</v>
      </c>
    </row>
    <row r="6013" spans="1:4" x14ac:dyDescent="0.25">
      <c r="A6013" t="str">
        <f>"838943411"</f>
        <v>838943411</v>
      </c>
      <c r="B6013" t="s">
        <v>5688</v>
      </c>
      <c r="C6013">
        <v>81.73</v>
      </c>
      <c r="D6013" t="str">
        <f t="shared" si="221"/>
        <v>270</v>
      </c>
    </row>
    <row r="6014" spans="1:4" x14ac:dyDescent="0.25">
      <c r="A6014" t="str">
        <f>"838943412"</f>
        <v>838943412</v>
      </c>
      <c r="B6014" t="s">
        <v>5689</v>
      </c>
      <c r="C6014">
        <v>81.73</v>
      </c>
      <c r="D6014" t="str">
        <f t="shared" si="221"/>
        <v>270</v>
      </c>
    </row>
    <row r="6015" spans="1:4" x14ac:dyDescent="0.25">
      <c r="A6015" t="str">
        <f>"838943413"</f>
        <v>838943413</v>
      </c>
      <c r="B6015" t="s">
        <v>5690</v>
      </c>
      <c r="C6015">
        <v>81.73</v>
      </c>
      <c r="D6015" t="str">
        <f t="shared" si="221"/>
        <v>270</v>
      </c>
    </row>
    <row r="6016" spans="1:4" x14ac:dyDescent="0.25">
      <c r="A6016" t="str">
        <f>"838943414"</f>
        <v>838943414</v>
      </c>
      <c r="B6016" t="s">
        <v>5691</v>
      </c>
      <c r="C6016">
        <v>77.42</v>
      </c>
      <c r="D6016" t="str">
        <f t="shared" si="221"/>
        <v>270</v>
      </c>
    </row>
    <row r="6017" spans="1:4" x14ac:dyDescent="0.25">
      <c r="A6017" t="str">
        <f>"838943415"</f>
        <v>838943415</v>
      </c>
      <c r="B6017" t="s">
        <v>5692</v>
      </c>
      <c r="C6017">
        <v>77.42</v>
      </c>
      <c r="D6017" t="str">
        <f t="shared" si="221"/>
        <v>270</v>
      </c>
    </row>
    <row r="6018" spans="1:4" x14ac:dyDescent="0.25">
      <c r="A6018" t="str">
        <f>"838943416"</f>
        <v>838943416</v>
      </c>
      <c r="B6018" t="s">
        <v>5693</v>
      </c>
      <c r="C6018">
        <v>77.2</v>
      </c>
      <c r="D6018" t="str">
        <f t="shared" si="221"/>
        <v>270</v>
      </c>
    </row>
    <row r="6019" spans="1:4" x14ac:dyDescent="0.25">
      <c r="A6019" t="str">
        <f>"838943417"</f>
        <v>838943417</v>
      </c>
      <c r="B6019" t="s">
        <v>5694</v>
      </c>
      <c r="C6019">
        <v>77.2</v>
      </c>
      <c r="D6019" t="str">
        <f t="shared" si="221"/>
        <v>270</v>
      </c>
    </row>
    <row r="6020" spans="1:4" x14ac:dyDescent="0.25">
      <c r="A6020" t="str">
        <f>"838943418"</f>
        <v>838943418</v>
      </c>
      <c r="B6020" t="s">
        <v>5695</v>
      </c>
      <c r="C6020">
        <v>16.61</v>
      </c>
      <c r="D6020" t="str">
        <f t="shared" si="221"/>
        <v>270</v>
      </c>
    </row>
    <row r="6021" spans="1:4" x14ac:dyDescent="0.25">
      <c r="A6021" t="str">
        <f>"838943419"</f>
        <v>838943419</v>
      </c>
      <c r="B6021" t="s">
        <v>5696</v>
      </c>
      <c r="C6021">
        <v>16.61</v>
      </c>
      <c r="D6021" t="str">
        <f t="shared" si="221"/>
        <v>270</v>
      </c>
    </row>
    <row r="6022" spans="1:4" x14ac:dyDescent="0.25">
      <c r="A6022" t="str">
        <f>"838943420"</f>
        <v>838943420</v>
      </c>
      <c r="B6022" t="s">
        <v>5697</v>
      </c>
      <c r="C6022">
        <v>16.64</v>
      </c>
      <c r="D6022" t="str">
        <f t="shared" si="221"/>
        <v>270</v>
      </c>
    </row>
    <row r="6023" spans="1:4" x14ac:dyDescent="0.25">
      <c r="A6023" t="str">
        <f>"838943421"</f>
        <v>838943421</v>
      </c>
      <c r="B6023" t="s">
        <v>5698</v>
      </c>
      <c r="C6023">
        <v>16.64</v>
      </c>
      <c r="D6023" t="str">
        <f t="shared" si="221"/>
        <v>270</v>
      </c>
    </row>
    <row r="6024" spans="1:4" x14ac:dyDescent="0.25">
      <c r="A6024" t="str">
        <f>"838943422"</f>
        <v>838943422</v>
      </c>
      <c r="B6024" t="s">
        <v>5699</v>
      </c>
      <c r="C6024">
        <v>16.68</v>
      </c>
      <c r="D6024" t="str">
        <f t="shared" si="221"/>
        <v>270</v>
      </c>
    </row>
    <row r="6025" spans="1:4" x14ac:dyDescent="0.25">
      <c r="A6025" t="str">
        <f>"838943423"</f>
        <v>838943423</v>
      </c>
      <c r="B6025" t="s">
        <v>5700</v>
      </c>
      <c r="C6025">
        <v>16.68</v>
      </c>
      <c r="D6025" t="str">
        <f t="shared" si="221"/>
        <v>270</v>
      </c>
    </row>
    <row r="6026" spans="1:4" x14ac:dyDescent="0.25">
      <c r="A6026" t="str">
        <f>"838943424"</f>
        <v>838943424</v>
      </c>
      <c r="B6026" t="s">
        <v>5701</v>
      </c>
      <c r="C6026">
        <v>70.459999999999994</v>
      </c>
      <c r="D6026" t="str">
        <f t="shared" si="221"/>
        <v>270</v>
      </c>
    </row>
    <row r="6027" spans="1:4" x14ac:dyDescent="0.25">
      <c r="A6027" t="str">
        <f>"838943425"</f>
        <v>838943425</v>
      </c>
      <c r="B6027" t="s">
        <v>5702</v>
      </c>
      <c r="C6027">
        <v>70.459999999999994</v>
      </c>
      <c r="D6027" t="str">
        <f t="shared" si="221"/>
        <v>270</v>
      </c>
    </row>
    <row r="6028" spans="1:4" x14ac:dyDescent="0.25">
      <c r="A6028" t="str">
        <f>"838943426"</f>
        <v>838943426</v>
      </c>
      <c r="B6028" t="s">
        <v>5703</v>
      </c>
      <c r="C6028">
        <v>70.459999999999994</v>
      </c>
      <c r="D6028" t="str">
        <f t="shared" si="221"/>
        <v>270</v>
      </c>
    </row>
    <row r="6029" spans="1:4" x14ac:dyDescent="0.25">
      <c r="A6029" t="str">
        <f>"838943427"</f>
        <v>838943427</v>
      </c>
      <c r="B6029" t="s">
        <v>5704</v>
      </c>
      <c r="C6029">
        <v>70.459999999999994</v>
      </c>
      <c r="D6029" t="str">
        <f t="shared" si="221"/>
        <v>270</v>
      </c>
    </row>
    <row r="6030" spans="1:4" x14ac:dyDescent="0.25">
      <c r="A6030" t="str">
        <f>"838943428"</f>
        <v>838943428</v>
      </c>
      <c r="B6030" t="s">
        <v>5705</v>
      </c>
      <c r="C6030">
        <v>58.99</v>
      </c>
      <c r="D6030" t="str">
        <f t="shared" si="221"/>
        <v>270</v>
      </c>
    </row>
    <row r="6031" spans="1:4" x14ac:dyDescent="0.25">
      <c r="A6031" t="str">
        <f>"838943429"</f>
        <v>838943429</v>
      </c>
      <c r="B6031" t="s">
        <v>5706</v>
      </c>
      <c r="C6031">
        <v>58.99</v>
      </c>
      <c r="D6031" t="str">
        <f t="shared" si="221"/>
        <v>270</v>
      </c>
    </row>
    <row r="6032" spans="1:4" x14ac:dyDescent="0.25">
      <c r="A6032" t="str">
        <f>"838943430"</f>
        <v>838943430</v>
      </c>
      <c r="B6032" t="s">
        <v>5707</v>
      </c>
      <c r="C6032">
        <v>126.6</v>
      </c>
      <c r="D6032" t="str">
        <f t="shared" si="221"/>
        <v>270</v>
      </c>
    </row>
    <row r="6033" spans="1:4" x14ac:dyDescent="0.25">
      <c r="A6033" t="str">
        <f>"838943431"</f>
        <v>838943431</v>
      </c>
      <c r="B6033" t="s">
        <v>5708</v>
      </c>
      <c r="C6033">
        <v>126.6</v>
      </c>
      <c r="D6033" t="str">
        <f t="shared" si="221"/>
        <v>270</v>
      </c>
    </row>
    <row r="6034" spans="1:4" x14ac:dyDescent="0.25">
      <c r="A6034" t="str">
        <f>"838943432"</f>
        <v>838943432</v>
      </c>
      <c r="B6034" t="s">
        <v>5709</v>
      </c>
      <c r="C6034">
        <v>139.71</v>
      </c>
      <c r="D6034" t="str">
        <f t="shared" si="221"/>
        <v>270</v>
      </c>
    </row>
    <row r="6035" spans="1:4" x14ac:dyDescent="0.25">
      <c r="A6035" t="str">
        <f>"838943433"</f>
        <v>838943433</v>
      </c>
      <c r="B6035" t="s">
        <v>5709</v>
      </c>
      <c r="C6035">
        <v>139.71</v>
      </c>
      <c r="D6035" t="str">
        <f t="shared" si="221"/>
        <v>270</v>
      </c>
    </row>
    <row r="6036" spans="1:4" x14ac:dyDescent="0.25">
      <c r="A6036" t="str">
        <f>"838943434"</f>
        <v>838943434</v>
      </c>
      <c r="B6036" t="s">
        <v>5710</v>
      </c>
      <c r="C6036">
        <v>16.39</v>
      </c>
      <c r="D6036" t="str">
        <f t="shared" si="221"/>
        <v>270</v>
      </c>
    </row>
    <row r="6037" spans="1:4" x14ac:dyDescent="0.25">
      <c r="A6037" t="str">
        <f>"838943435"</f>
        <v>838943435</v>
      </c>
      <c r="B6037" t="s">
        <v>5711</v>
      </c>
      <c r="C6037">
        <v>16.39</v>
      </c>
      <c r="D6037" t="str">
        <f t="shared" si="221"/>
        <v>270</v>
      </c>
    </row>
    <row r="6038" spans="1:4" x14ac:dyDescent="0.25">
      <c r="A6038" t="str">
        <f>"838943436"</f>
        <v>838943436</v>
      </c>
      <c r="B6038" t="s">
        <v>5712</v>
      </c>
      <c r="C6038">
        <v>16.239999999999998</v>
      </c>
      <c r="D6038" t="str">
        <f t="shared" si="221"/>
        <v>270</v>
      </c>
    </row>
    <row r="6039" spans="1:4" x14ac:dyDescent="0.25">
      <c r="A6039" t="str">
        <f>"838943437"</f>
        <v>838943437</v>
      </c>
      <c r="B6039" t="s">
        <v>5713</v>
      </c>
      <c r="C6039">
        <v>16.239999999999998</v>
      </c>
      <c r="D6039" t="str">
        <f t="shared" si="221"/>
        <v>270</v>
      </c>
    </row>
    <row r="6040" spans="1:4" x14ac:dyDescent="0.25">
      <c r="A6040" t="str">
        <f>"838943438"</f>
        <v>838943438</v>
      </c>
      <c r="B6040" t="s">
        <v>5714</v>
      </c>
      <c r="C6040">
        <v>16.27</v>
      </c>
      <c r="D6040" t="str">
        <f t="shared" si="221"/>
        <v>270</v>
      </c>
    </row>
    <row r="6041" spans="1:4" x14ac:dyDescent="0.25">
      <c r="A6041" t="str">
        <f>"838943439"</f>
        <v>838943439</v>
      </c>
      <c r="B6041" t="s">
        <v>5715</v>
      </c>
      <c r="C6041">
        <v>16.27</v>
      </c>
      <c r="D6041" t="str">
        <f t="shared" si="221"/>
        <v>270</v>
      </c>
    </row>
    <row r="6042" spans="1:4" x14ac:dyDescent="0.25">
      <c r="A6042" t="str">
        <f>"838943440"</f>
        <v>838943440</v>
      </c>
      <c r="B6042" t="s">
        <v>5716</v>
      </c>
      <c r="C6042">
        <v>16.489999999999998</v>
      </c>
      <c r="D6042" t="str">
        <f t="shared" si="221"/>
        <v>270</v>
      </c>
    </row>
    <row r="6043" spans="1:4" x14ac:dyDescent="0.25">
      <c r="A6043" t="str">
        <f>"838943441"</f>
        <v>838943441</v>
      </c>
      <c r="B6043" t="s">
        <v>5717</v>
      </c>
      <c r="C6043">
        <v>16.489999999999998</v>
      </c>
      <c r="D6043" t="str">
        <f t="shared" si="221"/>
        <v>270</v>
      </c>
    </row>
    <row r="6044" spans="1:4" x14ac:dyDescent="0.25">
      <c r="A6044" t="str">
        <f>"838943442"</f>
        <v>838943442</v>
      </c>
      <c r="B6044" t="s">
        <v>5718</v>
      </c>
      <c r="C6044">
        <v>16.12</v>
      </c>
      <c r="D6044" t="str">
        <f t="shared" si="221"/>
        <v>270</v>
      </c>
    </row>
    <row r="6045" spans="1:4" x14ac:dyDescent="0.25">
      <c r="A6045" t="str">
        <f>"838943443"</f>
        <v>838943443</v>
      </c>
      <c r="B6045" t="s">
        <v>5719</v>
      </c>
      <c r="C6045">
        <v>16.12</v>
      </c>
      <c r="D6045" t="str">
        <f t="shared" si="221"/>
        <v>270</v>
      </c>
    </row>
    <row r="6046" spans="1:4" x14ac:dyDescent="0.25">
      <c r="A6046" t="str">
        <f>"838943444"</f>
        <v>838943444</v>
      </c>
      <c r="B6046" t="s">
        <v>5720</v>
      </c>
      <c r="C6046">
        <v>16.14</v>
      </c>
      <c r="D6046" t="str">
        <f t="shared" si="221"/>
        <v>270</v>
      </c>
    </row>
    <row r="6047" spans="1:4" x14ac:dyDescent="0.25">
      <c r="A6047" t="str">
        <f>"838943445"</f>
        <v>838943445</v>
      </c>
      <c r="B6047" t="s">
        <v>5721</v>
      </c>
      <c r="C6047">
        <v>16.14</v>
      </c>
      <c r="D6047" t="str">
        <f t="shared" si="221"/>
        <v>270</v>
      </c>
    </row>
    <row r="6048" spans="1:4" x14ac:dyDescent="0.25">
      <c r="A6048" t="str">
        <f>"838943446"</f>
        <v>838943446</v>
      </c>
      <c r="B6048" t="s">
        <v>5722</v>
      </c>
      <c r="C6048">
        <v>15.97</v>
      </c>
      <c r="D6048" t="str">
        <f t="shared" si="221"/>
        <v>270</v>
      </c>
    </row>
    <row r="6049" spans="1:4" x14ac:dyDescent="0.25">
      <c r="A6049" t="str">
        <f>"838943447"</f>
        <v>838943447</v>
      </c>
      <c r="B6049" t="s">
        <v>5723</v>
      </c>
      <c r="C6049">
        <v>15.97</v>
      </c>
      <c r="D6049" t="str">
        <f t="shared" si="221"/>
        <v>270</v>
      </c>
    </row>
    <row r="6050" spans="1:4" x14ac:dyDescent="0.25">
      <c r="A6050" t="str">
        <f>"838943448"</f>
        <v>838943448</v>
      </c>
      <c r="B6050" t="s">
        <v>5724</v>
      </c>
      <c r="C6050">
        <v>16.489999999999998</v>
      </c>
      <c r="D6050" t="str">
        <f t="shared" si="221"/>
        <v>270</v>
      </c>
    </row>
    <row r="6051" spans="1:4" x14ac:dyDescent="0.25">
      <c r="A6051" t="str">
        <f>"838943449"</f>
        <v>838943449</v>
      </c>
      <c r="B6051" t="s">
        <v>5725</v>
      </c>
      <c r="C6051">
        <v>16.489999999999998</v>
      </c>
      <c r="D6051" t="str">
        <f t="shared" si="221"/>
        <v>270</v>
      </c>
    </row>
    <row r="6052" spans="1:4" x14ac:dyDescent="0.25">
      <c r="A6052" t="str">
        <f>"838943450"</f>
        <v>838943450</v>
      </c>
      <c r="B6052" t="s">
        <v>5726</v>
      </c>
      <c r="C6052">
        <v>24.94</v>
      </c>
      <c r="D6052" t="str">
        <f t="shared" si="221"/>
        <v>270</v>
      </c>
    </row>
    <row r="6053" spans="1:4" x14ac:dyDescent="0.25">
      <c r="A6053" t="str">
        <f>"838943451"</f>
        <v>838943451</v>
      </c>
      <c r="B6053" t="s">
        <v>5727</v>
      </c>
      <c r="C6053">
        <v>24.94</v>
      </c>
      <c r="D6053" t="str">
        <f t="shared" si="221"/>
        <v>270</v>
      </c>
    </row>
    <row r="6054" spans="1:4" x14ac:dyDescent="0.25">
      <c r="A6054" t="str">
        <f>"838943452"</f>
        <v>838943452</v>
      </c>
      <c r="B6054" t="s">
        <v>5728</v>
      </c>
      <c r="C6054">
        <v>25.1</v>
      </c>
      <c r="D6054" t="str">
        <f t="shared" si="221"/>
        <v>270</v>
      </c>
    </row>
    <row r="6055" spans="1:4" x14ac:dyDescent="0.25">
      <c r="A6055" t="str">
        <f>"838943453"</f>
        <v>838943453</v>
      </c>
      <c r="B6055" t="s">
        <v>5729</v>
      </c>
      <c r="C6055">
        <v>25.1</v>
      </c>
      <c r="D6055" t="str">
        <f t="shared" si="221"/>
        <v>270</v>
      </c>
    </row>
    <row r="6056" spans="1:4" x14ac:dyDescent="0.25">
      <c r="A6056" t="str">
        <f>"838943454"</f>
        <v>838943454</v>
      </c>
      <c r="B6056" t="s">
        <v>5730</v>
      </c>
      <c r="C6056">
        <v>25.1</v>
      </c>
      <c r="D6056" t="str">
        <f t="shared" si="221"/>
        <v>270</v>
      </c>
    </row>
    <row r="6057" spans="1:4" x14ac:dyDescent="0.25">
      <c r="A6057" t="str">
        <f>"838943455"</f>
        <v>838943455</v>
      </c>
      <c r="B6057" t="s">
        <v>5731</v>
      </c>
      <c r="C6057">
        <v>25.1</v>
      </c>
      <c r="D6057" t="str">
        <f t="shared" si="221"/>
        <v>270</v>
      </c>
    </row>
    <row r="6058" spans="1:4" x14ac:dyDescent="0.25">
      <c r="A6058" t="str">
        <f>"838943456"</f>
        <v>838943456</v>
      </c>
      <c r="B6058" t="s">
        <v>5732</v>
      </c>
      <c r="C6058">
        <v>25.11</v>
      </c>
      <c r="D6058" t="str">
        <f t="shared" si="221"/>
        <v>270</v>
      </c>
    </row>
    <row r="6059" spans="1:4" x14ac:dyDescent="0.25">
      <c r="A6059" t="str">
        <f>"838943457"</f>
        <v>838943457</v>
      </c>
      <c r="B6059" t="s">
        <v>5733</v>
      </c>
      <c r="C6059">
        <v>25.11</v>
      </c>
      <c r="D6059" t="str">
        <f t="shared" si="221"/>
        <v>270</v>
      </c>
    </row>
    <row r="6060" spans="1:4" x14ac:dyDescent="0.25">
      <c r="A6060" t="str">
        <f>"838943458"</f>
        <v>838943458</v>
      </c>
      <c r="B6060" t="s">
        <v>5734</v>
      </c>
      <c r="C6060">
        <v>44.32</v>
      </c>
      <c r="D6060" t="str">
        <f t="shared" si="221"/>
        <v>270</v>
      </c>
    </row>
    <row r="6061" spans="1:4" x14ac:dyDescent="0.25">
      <c r="A6061" t="str">
        <f>"838943459"</f>
        <v>838943459</v>
      </c>
      <c r="B6061" t="s">
        <v>5734</v>
      </c>
      <c r="C6061">
        <v>44.32</v>
      </c>
      <c r="D6061" t="str">
        <f t="shared" si="221"/>
        <v>270</v>
      </c>
    </row>
    <row r="6062" spans="1:4" x14ac:dyDescent="0.25">
      <c r="A6062" t="str">
        <f>"838943460"</f>
        <v>838943460</v>
      </c>
      <c r="B6062" t="s">
        <v>5735</v>
      </c>
      <c r="C6062">
        <v>125.42</v>
      </c>
      <c r="D6062" t="str">
        <f t="shared" si="221"/>
        <v>270</v>
      </c>
    </row>
    <row r="6063" spans="1:4" x14ac:dyDescent="0.25">
      <c r="A6063" t="str">
        <f>"838943461"</f>
        <v>838943461</v>
      </c>
      <c r="B6063" t="s">
        <v>5736</v>
      </c>
      <c r="C6063">
        <v>125.42</v>
      </c>
      <c r="D6063" t="str">
        <f t="shared" si="221"/>
        <v>270</v>
      </c>
    </row>
    <row r="6064" spans="1:4" x14ac:dyDescent="0.25">
      <c r="A6064" t="str">
        <f>"838943462"</f>
        <v>838943462</v>
      </c>
      <c r="B6064" t="s">
        <v>5737</v>
      </c>
      <c r="C6064">
        <v>124.05</v>
      </c>
      <c r="D6064" t="str">
        <f t="shared" si="221"/>
        <v>270</v>
      </c>
    </row>
    <row r="6065" spans="1:4" x14ac:dyDescent="0.25">
      <c r="A6065" t="str">
        <f>"838943463"</f>
        <v>838943463</v>
      </c>
      <c r="B6065" t="s">
        <v>5737</v>
      </c>
      <c r="C6065">
        <v>124.05</v>
      </c>
      <c r="D6065" t="str">
        <f t="shared" si="221"/>
        <v>270</v>
      </c>
    </row>
    <row r="6066" spans="1:4" x14ac:dyDescent="0.25">
      <c r="A6066" t="str">
        <f>"838943464"</f>
        <v>838943464</v>
      </c>
      <c r="B6066" t="s">
        <v>5738</v>
      </c>
      <c r="C6066">
        <v>17.7</v>
      </c>
      <c r="D6066" t="str">
        <f t="shared" si="221"/>
        <v>270</v>
      </c>
    </row>
    <row r="6067" spans="1:4" x14ac:dyDescent="0.25">
      <c r="A6067" t="str">
        <f>"838943465"</f>
        <v>838943465</v>
      </c>
      <c r="B6067" t="s">
        <v>5739</v>
      </c>
      <c r="C6067">
        <v>17.7</v>
      </c>
      <c r="D6067" t="str">
        <f t="shared" si="221"/>
        <v>270</v>
      </c>
    </row>
    <row r="6068" spans="1:4" x14ac:dyDescent="0.25">
      <c r="A6068" t="str">
        <f>"838943466"</f>
        <v>838943466</v>
      </c>
      <c r="B6068" t="s">
        <v>5740</v>
      </c>
      <c r="C6068">
        <v>26.33</v>
      </c>
      <c r="D6068" t="str">
        <f t="shared" si="221"/>
        <v>270</v>
      </c>
    </row>
    <row r="6069" spans="1:4" x14ac:dyDescent="0.25">
      <c r="A6069" t="str">
        <f>"838943467"</f>
        <v>838943467</v>
      </c>
      <c r="B6069" t="s">
        <v>5740</v>
      </c>
      <c r="C6069">
        <v>26.33</v>
      </c>
      <c r="D6069" t="str">
        <f t="shared" si="221"/>
        <v>270</v>
      </c>
    </row>
    <row r="6070" spans="1:4" x14ac:dyDescent="0.25">
      <c r="A6070" t="str">
        <f>"838943468"</f>
        <v>838943468</v>
      </c>
      <c r="B6070" t="s">
        <v>5741</v>
      </c>
      <c r="C6070">
        <v>30.47</v>
      </c>
      <c r="D6070" t="str">
        <f t="shared" si="221"/>
        <v>270</v>
      </c>
    </row>
    <row r="6071" spans="1:4" x14ac:dyDescent="0.25">
      <c r="A6071" t="str">
        <f>"838943469"</f>
        <v>838943469</v>
      </c>
      <c r="B6071" t="s">
        <v>5741</v>
      </c>
      <c r="C6071">
        <v>30.47</v>
      </c>
      <c r="D6071" t="str">
        <f t="shared" si="221"/>
        <v>270</v>
      </c>
    </row>
    <row r="6072" spans="1:4" x14ac:dyDescent="0.25">
      <c r="A6072" t="str">
        <f>"838943470"</f>
        <v>838943470</v>
      </c>
      <c r="B6072" t="s">
        <v>5742</v>
      </c>
      <c r="C6072">
        <v>31.81</v>
      </c>
      <c r="D6072" t="str">
        <f t="shared" si="221"/>
        <v>270</v>
      </c>
    </row>
    <row r="6073" spans="1:4" x14ac:dyDescent="0.25">
      <c r="A6073" t="str">
        <f>"838943471"</f>
        <v>838943471</v>
      </c>
      <c r="B6073" t="s">
        <v>5742</v>
      </c>
      <c r="C6073">
        <v>31.81</v>
      </c>
      <c r="D6073" t="str">
        <f t="shared" si="221"/>
        <v>270</v>
      </c>
    </row>
    <row r="6074" spans="1:4" x14ac:dyDescent="0.25">
      <c r="A6074" t="str">
        <f>"838943472"</f>
        <v>838943472</v>
      </c>
      <c r="B6074" t="s">
        <v>5743</v>
      </c>
      <c r="C6074">
        <v>28.05</v>
      </c>
      <c r="D6074" t="str">
        <f t="shared" si="221"/>
        <v>270</v>
      </c>
    </row>
    <row r="6075" spans="1:4" x14ac:dyDescent="0.25">
      <c r="A6075" t="str">
        <f>"838943473"</f>
        <v>838943473</v>
      </c>
      <c r="B6075" t="s">
        <v>5744</v>
      </c>
      <c r="C6075">
        <v>28.05</v>
      </c>
      <c r="D6075" t="str">
        <f t="shared" ref="D6075:D6138" si="222">"270"</f>
        <v>270</v>
      </c>
    </row>
    <row r="6076" spans="1:4" x14ac:dyDescent="0.25">
      <c r="A6076" t="str">
        <f>"838943474"</f>
        <v>838943474</v>
      </c>
      <c r="B6076" t="s">
        <v>5745</v>
      </c>
      <c r="C6076">
        <v>27.65</v>
      </c>
      <c r="D6076" t="str">
        <f t="shared" si="222"/>
        <v>270</v>
      </c>
    </row>
    <row r="6077" spans="1:4" x14ac:dyDescent="0.25">
      <c r="A6077" t="str">
        <f>"838943475"</f>
        <v>838943475</v>
      </c>
      <c r="B6077" t="s">
        <v>5746</v>
      </c>
      <c r="C6077">
        <v>27.65</v>
      </c>
      <c r="D6077" t="str">
        <f t="shared" si="222"/>
        <v>270</v>
      </c>
    </row>
    <row r="6078" spans="1:4" x14ac:dyDescent="0.25">
      <c r="A6078" t="str">
        <f>"838943476"</f>
        <v>838943476</v>
      </c>
      <c r="B6078" t="s">
        <v>5747</v>
      </c>
      <c r="C6078">
        <v>9.0500000000000007</v>
      </c>
      <c r="D6078" t="str">
        <f t="shared" si="222"/>
        <v>270</v>
      </c>
    </row>
    <row r="6079" spans="1:4" x14ac:dyDescent="0.25">
      <c r="A6079" t="str">
        <f>"838943477"</f>
        <v>838943477</v>
      </c>
      <c r="B6079" t="s">
        <v>5748</v>
      </c>
      <c r="C6079">
        <v>9.0500000000000007</v>
      </c>
      <c r="D6079" t="str">
        <f t="shared" si="222"/>
        <v>270</v>
      </c>
    </row>
    <row r="6080" spans="1:4" x14ac:dyDescent="0.25">
      <c r="A6080" t="str">
        <f>"838943478"</f>
        <v>838943478</v>
      </c>
      <c r="B6080" t="s">
        <v>5749</v>
      </c>
      <c r="C6080">
        <v>10.41</v>
      </c>
      <c r="D6080" t="str">
        <f t="shared" si="222"/>
        <v>270</v>
      </c>
    </row>
    <row r="6081" spans="1:4" x14ac:dyDescent="0.25">
      <c r="A6081" t="str">
        <f>"838943479"</f>
        <v>838943479</v>
      </c>
      <c r="B6081" t="s">
        <v>5750</v>
      </c>
      <c r="C6081">
        <v>10.41</v>
      </c>
      <c r="D6081" t="str">
        <f t="shared" si="222"/>
        <v>270</v>
      </c>
    </row>
    <row r="6082" spans="1:4" x14ac:dyDescent="0.25">
      <c r="A6082" t="str">
        <f>"838943480"</f>
        <v>838943480</v>
      </c>
      <c r="B6082" t="s">
        <v>5751</v>
      </c>
      <c r="C6082">
        <v>8.86</v>
      </c>
      <c r="D6082" t="str">
        <f t="shared" si="222"/>
        <v>270</v>
      </c>
    </row>
    <row r="6083" spans="1:4" x14ac:dyDescent="0.25">
      <c r="A6083" t="str">
        <f>"838943481"</f>
        <v>838943481</v>
      </c>
      <c r="B6083" t="s">
        <v>5752</v>
      </c>
      <c r="C6083">
        <v>8.86</v>
      </c>
      <c r="D6083" t="str">
        <f t="shared" si="222"/>
        <v>270</v>
      </c>
    </row>
    <row r="6084" spans="1:4" x14ac:dyDescent="0.25">
      <c r="A6084" t="str">
        <f>"838943482"</f>
        <v>838943482</v>
      </c>
      <c r="B6084" t="s">
        <v>5753</v>
      </c>
      <c r="C6084">
        <v>7.61</v>
      </c>
      <c r="D6084" t="str">
        <f t="shared" si="222"/>
        <v>270</v>
      </c>
    </row>
    <row r="6085" spans="1:4" x14ac:dyDescent="0.25">
      <c r="A6085" t="str">
        <f>"838943483"</f>
        <v>838943483</v>
      </c>
      <c r="B6085" t="s">
        <v>5754</v>
      </c>
      <c r="C6085">
        <v>7.61</v>
      </c>
      <c r="D6085" t="str">
        <f t="shared" si="222"/>
        <v>270</v>
      </c>
    </row>
    <row r="6086" spans="1:4" x14ac:dyDescent="0.25">
      <c r="A6086" t="str">
        <f>"838943484"</f>
        <v>838943484</v>
      </c>
      <c r="B6086" t="s">
        <v>5755</v>
      </c>
      <c r="C6086">
        <v>4.72</v>
      </c>
      <c r="D6086" t="str">
        <f t="shared" si="222"/>
        <v>270</v>
      </c>
    </row>
    <row r="6087" spans="1:4" x14ac:dyDescent="0.25">
      <c r="A6087" t="str">
        <f>"838943485"</f>
        <v>838943485</v>
      </c>
      <c r="B6087" t="s">
        <v>5756</v>
      </c>
      <c r="C6087">
        <v>4.72</v>
      </c>
      <c r="D6087" t="str">
        <f t="shared" si="222"/>
        <v>270</v>
      </c>
    </row>
    <row r="6088" spans="1:4" x14ac:dyDescent="0.25">
      <c r="A6088" t="str">
        <f>"838943486"</f>
        <v>838943486</v>
      </c>
      <c r="B6088" t="s">
        <v>5757</v>
      </c>
      <c r="C6088">
        <v>4.3099999999999996</v>
      </c>
      <c r="D6088" t="str">
        <f t="shared" si="222"/>
        <v>270</v>
      </c>
    </row>
    <row r="6089" spans="1:4" x14ac:dyDescent="0.25">
      <c r="A6089" t="str">
        <f>"838943487"</f>
        <v>838943487</v>
      </c>
      <c r="B6089" t="s">
        <v>5758</v>
      </c>
      <c r="C6089">
        <v>4.3099999999999996</v>
      </c>
      <c r="D6089" t="str">
        <f t="shared" si="222"/>
        <v>270</v>
      </c>
    </row>
    <row r="6090" spans="1:4" x14ac:dyDescent="0.25">
      <c r="A6090" t="str">
        <f>"838943488"</f>
        <v>838943488</v>
      </c>
      <c r="B6090" t="s">
        <v>5759</v>
      </c>
      <c r="C6090">
        <v>14.96</v>
      </c>
      <c r="D6090" t="str">
        <f t="shared" si="222"/>
        <v>270</v>
      </c>
    </row>
    <row r="6091" spans="1:4" x14ac:dyDescent="0.25">
      <c r="A6091" t="str">
        <f>"838943489"</f>
        <v>838943489</v>
      </c>
      <c r="B6091" t="s">
        <v>5760</v>
      </c>
      <c r="C6091">
        <v>14.96</v>
      </c>
      <c r="D6091" t="str">
        <f t="shared" si="222"/>
        <v>270</v>
      </c>
    </row>
    <row r="6092" spans="1:4" x14ac:dyDescent="0.25">
      <c r="A6092" t="str">
        <f>"838943490"</f>
        <v>838943490</v>
      </c>
      <c r="B6092" t="s">
        <v>5761</v>
      </c>
      <c r="C6092">
        <v>15.1</v>
      </c>
      <c r="D6092" t="str">
        <f t="shared" si="222"/>
        <v>270</v>
      </c>
    </row>
    <row r="6093" spans="1:4" x14ac:dyDescent="0.25">
      <c r="A6093" t="str">
        <f>"838943491"</f>
        <v>838943491</v>
      </c>
      <c r="B6093" t="s">
        <v>5762</v>
      </c>
      <c r="C6093">
        <v>15.1</v>
      </c>
      <c r="D6093" t="str">
        <f t="shared" si="222"/>
        <v>270</v>
      </c>
    </row>
    <row r="6094" spans="1:4" x14ac:dyDescent="0.25">
      <c r="A6094" t="str">
        <f>"838943492"</f>
        <v>838943492</v>
      </c>
      <c r="B6094" t="s">
        <v>5763</v>
      </c>
      <c r="C6094">
        <v>14.91</v>
      </c>
      <c r="D6094" t="str">
        <f t="shared" si="222"/>
        <v>270</v>
      </c>
    </row>
    <row r="6095" spans="1:4" x14ac:dyDescent="0.25">
      <c r="A6095" t="str">
        <f>"838943493"</f>
        <v>838943493</v>
      </c>
      <c r="B6095" t="s">
        <v>5764</v>
      </c>
      <c r="C6095">
        <v>14.91</v>
      </c>
      <c r="D6095" t="str">
        <f t="shared" si="222"/>
        <v>270</v>
      </c>
    </row>
    <row r="6096" spans="1:4" x14ac:dyDescent="0.25">
      <c r="A6096" t="str">
        <f>"838943494"</f>
        <v>838943494</v>
      </c>
      <c r="B6096" t="s">
        <v>5765</v>
      </c>
      <c r="C6096">
        <v>12.52</v>
      </c>
      <c r="D6096" t="str">
        <f t="shared" si="222"/>
        <v>270</v>
      </c>
    </row>
    <row r="6097" spans="1:4" x14ac:dyDescent="0.25">
      <c r="A6097" t="str">
        <f>"838943495"</f>
        <v>838943495</v>
      </c>
      <c r="B6097" t="s">
        <v>5766</v>
      </c>
      <c r="C6097">
        <v>12.52</v>
      </c>
      <c r="D6097" t="str">
        <f t="shared" si="222"/>
        <v>270</v>
      </c>
    </row>
    <row r="6098" spans="1:4" x14ac:dyDescent="0.25">
      <c r="A6098" t="str">
        <f>"838943496"</f>
        <v>838943496</v>
      </c>
      <c r="B6098" t="s">
        <v>5767</v>
      </c>
      <c r="C6098">
        <v>7.08</v>
      </c>
      <c r="D6098" t="str">
        <f t="shared" si="222"/>
        <v>270</v>
      </c>
    </row>
    <row r="6099" spans="1:4" x14ac:dyDescent="0.25">
      <c r="A6099" t="str">
        <f>"838943497"</f>
        <v>838943497</v>
      </c>
      <c r="B6099" t="s">
        <v>5768</v>
      </c>
      <c r="C6099">
        <v>7.08</v>
      </c>
      <c r="D6099" t="str">
        <f t="shared" si="222"/>
        <v>270</v>
      </c>
    </row>
    <row r="6100" spans="1:4" x14ac:dyDescent="0.25">
      <c r="A6100" t="str">
        <f>"838943498"</f>
        <v>838943498</v>
      </c>
      <c r="B6100" t="s">
        <v>5769</v>
      </c>
      <c r="C6100">
        <v>7.03</v>
      </c>
      <c r="D6100" t="str">
        <f t="shared" si="222"/>
        <v>270</v>
      </c>
    </row>
    <row r="6101" spans="1:4" x14ac:dyDescent="0.25">
      <c r="A6101" t="str">
        <f>"838943499"</f>
        <v>838943499</v>
      </c>
      <c r="B6101" t="s">
        <v>5770</v>
      </c>
      <c r="C6101">
        <v>7.03</v>
      </c>
      <c r="D6101" t="str">
        <f t="shared" si="222"/>
        <v>270</v>
      </c>
    </row>
    <row r="6102" spans="1:4" x14ac:dyDescent="0.25">
      <c r="A6102" t="str">
        <f>"838943500"</f>
        <v>838943500</v>
      </c>
      <c r="B6102" t="s">
        <v>5771</v>
      </c>
      <c r="C6102">
        <v>13.06</v>
      </c>
      <c r="D6102" t="str">
        <f t="shared" si="222"/>
        <v>270</v>
      </c>
    </row>
    <row r="6103" spans="1:4" x14ac:dyDescent="0.25">
      <c r="A6103" t="str">
        <f>"838943501"</f>
        <v>838943501</v>
      </c>
      <c r="B6103" t="s">
        <v>5772</v>
      </c>
      <c r="C6103">
        <v>13.06</v>
      </c>
      <c r="D6103" t="str">
        <f t="shared" si="222"/>
        <v>270</v>
      </c>
    </row>
    <row r="6104" spans="1:4" x14ac:dyDescent="0.25">
      <c r="A6104" t="str">
        <f>"838943502"</f>
        <v>838943502</v>
      </c>
      <c r="B6104" t="s">
        <v>5773</v>
      </c>
      <c r="C6104">
        <v>19.16</v>
      </c>
      <c r="D6104" t="str">
        <f t="shared" si="222"/>
        <v>270</v>
      </c>
    </row>
    <row r="6105" spans="1:4" x14ac:dyDescent="0.25">
      <c r="A6105" t="str">
        <f>"838943503"</f>
        <v>838943503</v>
      </c>
      <c r="B6105" t="s">
        <v>5774</v>
      </c>
      <c r="C6105">
        <v>19.16</v>
      </c>
      <c r="D6105" t="str">
        <f t="shared" si="222"/>
        <v>270</v>
      </c>
    </row>
    <row r="6106" spans="1:4" x14ac:dyDescent="0.25">
      <c r="A6106" t="str">
        <f>"838943504"</f>
        <v>838943504</v>
      </c>
      <c r="B6106" t="s">
        <v>5775</v>
      </c>
      <c r="C6106">
        <v>44.18</v>
      </c>
      <c r="D6106" t="str">
        <f t="shared" si="222"/>
        <v>270</v>
      </c>
    </row>
    <row r="6107" spans="1:4" x14ac:dyDescent="0.25">
      <c r="A6107" t="str">
        <f>"838943505"</f>
        <v>838943505</v>
      </c>
      <c r="B6107" t="s">
        <v>5775</v>
      </c>
      <c r="C6107">
        <v>44.18</v>
      </c>
      <c r="D6107" t="str">
        <f t="shared" si="222"/>
        <v>270</v>
      </c>
    </row>
    <row r="6108" spans="1:4" x14ac:dyDescent="0.25">
      <c r="A6108" t="str">
        <f>"838943506"</f>
        <v>838943506</v>
      </c>
      <c r="B6108" t="s">
        <v>5776</v>
      </c>
      <c r="C6108">
        <v>45.41</v>
      </c>
      <c r="D6108" t="str">
        <f t="shared" si="222"/>
        <v>270</v>
      </c>
    </row>
    <row r="6109" spans="1:4" x14ac:dyDescent="0.25">
      <c r="A6109" t="str">
        <f>"838943507"</f>
        <v>838943507</v>
      </c>
      <c r="B6109" t="s">
        <v>5776</v>
      </c>
      <c r="C6109">
        <v>45.41</v>
      </c>
      <c r="D6109" t="str">
        <f t="shared" si="222"/>
        <v>270</v>
      </c>
    </row>
    <row r="6110" spans="1:4" x14ac:dyDescent="0.25">
      <c r="A6110" t="str">
        <f>"838943508"</f>
        <v>838943508</v>
      </c>
      <c r="B6110" t="s">
        <v>5777</v>
      </c>
      <c r="C6110">
        <v>28.96</v>
      </c>
      <c r="D6110" t="str">
        <f t="shared" si="222"/>
        <v>270</v>
      </c>
    </row>
    <row r="6111" spans="1:4" x14ac:dyDescent="0.25">
      <c r="A6111" t="str">
        <f>"838943509"</f>
        <v>838943509</v>
      </c>
      <c r="B6111" t="s">
        <v>5778</v>
      </c>
      <c r="C6111">
        <v>28.96</v>
      </c>
      <c r="D6111" t="str">
        <f t="shared" si="222"/>
        <v>270</v>
      </c>
    </row>
    <row r="6112" spans="1:4" x14ac:dyDescent="0.25">
      <c r="A6112" t="str">
        <f>"838943510"</f>
        <v>838943510</v>
      </c>
      <c r="B6112" t="s">
        <v>5779</v>
      </c>
      <c r="C6112">
        <v>43.68</v>
      </c>
      <c r="D6112" t="str">
        <f t="shared" si="222"/>
        <v>270</v>
      </c>
    </row>
    <row r="6113" spans="1:4" x14ac:dyDescent="0.25">
      <c r="A6113" t="str">
        <f>"838943511"</f>
        <v>838943511</v>
      </c>
      <c r="B6113" t="s">
        <v>5780</v>
      </c>
      <c r="C6113">
        <v>43.68</v>
      </c>
      <c r="D6113" t="str">
        <f t="shared" si="222"/>
        <v>270</v>
      </c>
    </row>
    <row r="6114" spans="1:4" x14ac:dyDescent="0.25">
      <c r="A6114" t="str">
        <f>"838943512"</f>
        <v>838943512</v>
      </c>
      <c r="B6114" t="s">
        <v>5781</v>
      </c>
      <c r="C6114">
        <v>28.63</v>
      </c>
      <c r="D6114" t="str">
        <f t="shared" si="222"/>
        <v>270</v>
      </c>
    </row>
    <row r="6115" spans="1:4" x14ac:dyDescent="0.25">
      <c r="A6115" t="str">
        <f>"838943513"</f>
        <v>838943513</v>
      </c>
      <c r="B6115" t="s">
        <v>5782</v>
      </c>
      <c r="C6115">
        <v>28.63</v>
      </c>
      <c r="D6115" t="str">
        <f t="shared" si="222"/>
        <v>270</v>
      </c>
    </row>
    <row r="6116" spans="1:4" x14ac:dyDescent="0.25">
      <c r="A6116" t="str">
        <f>"838943514"</f>
        <v>838943514</v>
      </c>
      <c r="B6116" t="s">
        <v>5783</v>
      </c>
      <c r="C6116">
        <v>43.41</v>
      </c>
      <c r="D6116" t="str">
        <f t="shared" si="222"/>
        <v>270</v>
      </c>
    </row>
    <row r="6117" spans="1:4" x14ac:dyDescent="0.25">
      <c r="A6117" t="str">
        <f>"838943515"</f>
        <v>838943515</v>
      </c>
      <c r="B6117" t="s">
        <v>5784</v>
      </c>
      <c r="C6117">
        <v>43.41</v>
      </c>
      <c r="D6117" t="str">
        <f t="shared" si="222"/>
        <v>270</v>
      </c>
    </row>
    <row r="6118" spans="1:4" x14ac:dyDescent="0.25">
      <c r="A6118" t="str">
        <f>"838943516"</f>
        <v>838943516</v>
      </c>
      <c r="B6118" t="s">
        <v>5785</v>
      </c>
      <c r="C6118">
        <v>29.37</v>
      </c>
      <c r="D6118" t="str">
        <f t="shared" si="222"/>
        <v>270</v>
      </c>
    </row>
    <row r="6119" spans="1:4" x14ac:dyDescent="0.25">
      <c r="A6119" t="str">
        <f>"838943517"</f>
        <v>838943517</v>
      </c>
      <c r="B6119" t="s">
        <v>5786</v>
      </c>
      <c r="C6119">
        <v>29.37</v>
      </c>
      <c r="D6119" t="str">
        <f t="shared" si="222"/>
        <v>270</v>
      </c>
    </row>
    <row r="6120" spans="1:4" x14ac:dyDescent="0.25">
      <c r="A6120" t="str">
        <f>"838943518"</f>
        <v>838943518</v>
      </c>
      <c r="B6120" t="s">
        <v>5787</v>
      </c>
      <c r="C6120">
        <v>43.48</v>
      </c>
      <c r="D6120" t="str">
        <f t="shared" si="222"/>
        <v>270</v>
      </c>
    </row>
    <row r="6121" spans="1:4" x14ac:dyDescent="0.25">
      <c r="A6121" t="str">
        <f>"838943519"</f>
        <v>838943519</v>
      </c>
      <c r="B6121" t="s">
        <v>5788</v>
      </c>
      <c r="C6121">
        <v>43.48</v>
      </c>
      <c r="D6121" t="str">
        <f t="shared" si="222"/>
        <v>270</v>
      </c>
    </row>
    <row r="6122" spans="1:4" x14ac:dyDescent="0.25">
      <c r="A6122" t="str">
        <f>"838943520"</f>
        <v>838943520</v>
      </c>
      <c r="B6122" t="s">
        <v>5789</v>
      </c>
      <c r="C6122">
        <v>49.04</v>
      </c>
      <c r="D6122" t="str">
        <f t="shared" si="222"/>
        <v>270</v>
      </c>
    </row>
    <row r="6123" spans="1:4" x14ac:dyDescent="0.25">
      <c r="A6123" t="str">
        <f>"838943521"</f>
        <v>838943521</v>
      </c>
      <c r="B6123" t="s">
        <v>5789</v>
      </c>
      <c r="C6123">
        <v>49.04</v>
      </c>
      <c r="D6123" t="str">
        <f t="shared" si="222"/>
        <v>270</v>
      </c>
    </row>
    <row r="6124" spans="1:4" x14ac:dyDescent="0.25">
      <c r="A6124" t="str">
        <f>"838943522"</f>
        <v>838943522</v>
      </c>
      <c r="B6124" t="s">
        <v>5790</v>
      </c>
      <c r="C6124">
        <v>48.42</v>
      </c>
      <c r="D6124" t="str">
        <f t="shared" si="222"/>
        <v>270</v>
      </c>
    </row>
    <row r="6125" spans="1:4" x14ac:dyDescent="0.25">
      <c r="A6125" t="str">
        <f>"838943523"</f>
        <v>838943523</v>
      </c>
      <c r="B6125" t="s">
        <v>5790</v>
      </c>
      <c r="C6125">
        <v>48.42</v>
      </c>
      <c r="D6125" t="str">
        <f t="shared" si="222"/>
        <v>270</v>
      </c>
    </row>
    <row r="6126" spans="1:4" x14ac:dyDescent="0.25">
      <c r="A6126" t="str">
        <f>"838943524"</f>
        <v>838943524</v>
      </c>
      <c r="B6126" t="s">
        <v>5791</v>
      </c>
      <c r="C6126">
        <v>49.05</v>
      </c>
      <c r="D6126" t="str">
        <f t="shared" si="222"/>
        <v>270</v>
      </c>
    </row>
    <row r="6127" spans="1:4" x14ac:dyDescent="0.25">
      <c r="A6127" t="str">
        <f>"838943525"</f>
        <v>838943525</v>
      </c>
      <c r="B6127" t="s">
        <v>5791</v>
      </c>
      <c r="C6127">
        <v>49.05</v>
      </c>
      <c r="D6127" t="str">
        <f t="shared" si="222"/>
        <v>270</v>
      </c>
    </row>
    <row r="6128" spans="1:4" x14ac:dyDescent="0.25">
      <c r="A6128" t="str">
        <f>"838943526"</f>
        <v>838943526</v>
      </c>
      <c r="B6128" t="s">
        <v>5792</v>
      </c>
      <c r="C6128">
        <v>44.84</v>
      </c>
      <c r="D6128" t="str">
        <f t="shared" si="222"/>
        <v>270</v>
      </c>
    </row>
    <row r="6129" spans="1:4" x14ac:dyDescent="0.25">
      <c r="A6129" t="str">
        <f>"838943527"</f>
        <v>838943527</v>
      </c>
      <c r="B6129" t="s">
        <v>5793</v>
      </c>
      <c r="C6129">
        <v>44.84</v>
      </c>
      <c r="D6129" t="str">
        <f t="shared" si="222"/>
        <v>270</v>
      </c>
    </row>
    <row r="6130" spans="1:4" x14ac:dyDescent="0.25">
      <c r="A6130" t="str">
        <f>"838943528"</f>
        <v>838943528</v>
      </c>
      <c r="B6130" t="s">
        <v>5794</v>
      </c>
      <c r="C6130">
        <v>44.57</v>
      </c>
      <c r="D6130" t="str">
        <f t="shared" si="222"/>
        <v>270</v>
      </c>
    </row>
    <row r="6131" spans="1:4" x14ac:dyDescent="0.25">
      <c r="A6131" t="str">
        <f>"838943529"</f>
        <v>838943529</v>
      </c>
      <c r="B6131" t="s">
        <v>5794</v>
      </c>
      <c r="C6131">
        <v>44.57</v>
      </c>
      <c r="D6131" t="str">
        <f t="shared" si="222"/>
        <v>270</v>
      </c>
    </row>
    <row r="6132" spans="1:4" x14ac:dyDescent="0.25">
      <c r="A6132" t="str">
        <f>"838943530"</f>
        <v>838943530</v>
      </c>
      <c r="B6132" t="s">
        <v>5795</v>
      </c>
      <c r="C6132">
        <v>44.84</v>
      </c>
      <c r="D6132" t="str">
        <f t="shared" si="222"/>
        <v>270</v>
      </c>
    </row>
    <row r="6133" spans="1:4" x14ac:dyDescent="0.25">
      <c r="A6133" t="str">
        <f>"838943531"</f>
        <v>838943531</v>
      </c>
      <c r="B6133" t="s">
        <v>5796</v>
      </c>
      <c r="C6133">
        <v>44.84</v>
      </c>
      <c r="D6133" t="str">
        <f t="shared" si="222"/>
        <v>270</v>
      </c>
    </row>
    <row r="6134" spans="1:4" x14ac:dyDescent="0.25">
      <c r="A6134" t="str">
        <f>"838943532"</f>
        <v>838943532</v>
      </c>
      <c r="B6134" t="s">
        <v>5797</v>
      </c>
      <c r="C6134">
        <v>44.84</v>
      </c>
      <c r="D6134" t="str">
        <f t="shared" si="222"/>
        <v>270</v>
      </c>
    </row>
    <row r="6135" spans="1:4" x14ac:dyDescent="0.25">
      <c r="A6135" t="str">
        <f>"838943533"</f>
        <v>838943533</v>
      </c>
      <c r="B6135" t="s">
        <v>5798</v>
      </c>
      <c r="C6135">
        <v>44.84</v>
      </c>
      <c r="D6135" t="str">
        <f t="shared" si="222"/>
        <v>270</v>
      </c>
    </row>
    <row r="6136" spans="1:4" x14ac:dyDescent="0.25">
      <c r="A6136" t="str">
        <f>"838943534"</f>
        <v>838943534</v>
      </c>
      <c r="B6136" t="s">
        <v>5799</v>
      </c>
      <c r="C6136">
        <v>51.73</v>
      </c>
      <c r="D6136" t="str">
        <f t="shared" si="222"/>
        <v>270</v>
      </c>
    </row>
    <row r="6137" spans="1:4" x14ac:dyDescent="0.25">
      <c r="A6137" t="str">
        <f>"838943535"</f>
        <v>838943535</v>
      </c>
      <c r="B6137" t="s">
        <v>5800</v>
      </c>
      <c r="C6137">
        <v>51.73</v>
      </c>
      <c r="D6137" t="str">
        <f t="shared" si="222"/>
        <v>270</v>
      </c>
    </row>
    <row r="6138" spans="1:4" x14ac:dyDescent="0.25">
      <c r="A6138" t="str">
        <f>"838943536"</f>
        <v>838943536</v>
      </c>
      <c r="B6138" t="s">
        <v>5801</v>
      </c>
      <c r="C6138">
        <v>51.77</v>
      </c>
      <c r="D6138" t="str">
        <f t="shared" si="222"/>
        <v>270</v>
      </c>
    </row>
    <row r="6139" spans="1:4" x14ac:dyDescent="0.25">
      <c r="A6139" t="str">
        <f>"838943537"</f>
        <v>838943537</v>
      </c>
      <c r="B6139" t="s">
        <v>5802</v>
      </c>
      <c r="C6139">
        <v>51.77</v>
      </c>
      <c r="D6139" t="str">
        <f t="shared" ref="D6139:D6202" si="223">"270"</f>
        <v>270</v>
      </c>
    </row>
    <row r="6140" spans="1:4" x14ac:dyDescent="0.25">
      <c r="A6140" t="str">
        <f>"838943538"</f>
        <v>838943538</v>
      </c>
      <c r="B6140" t="s">
        <v>5803</v>
      </c>
      <c r="C6140">
        <v>53.83</v>
      </c>
      <c r="D6140" t="str">
        <f t="shared" si="223"/>
        <v>270</v>
      </c>
    </row>
    <row r="6141" spans="1:4" x14ac:dyDescent="0.25">
      <c r="A6141" t="str">
        <f>"838943539"</f>
        <v>838943539</v>
      </c>
      <c r="B6141" t="s">
        <v>5803</v>
      </c>
      <c r="C6141">
        <v>53.83</v>
      </c>
      <c r="D6141" t="str">
        <f t="shared" si="223"/>
        <v>270</v>
      </c>
    </row>
    <row r="6142" spans="1:4" x14ac:dyDescent="0.25">
      <c r="A6142" t="str">
        <f>"838943540"</f>
        <v>838943540</v>
      </c>
      <c r="B6142" t="s">
        <v>5804</v>
      </c>
      <c r="C6142">
        <v>56.43</v>
      </c>
      <c r="D6142" t="str">
        <f t="shared" si="223"/>
        <v>270</v>
      </c>
    </row>
    <row r="6143" spans="1:4" x14ac:dyDescent="0.25">
      <c r="A6143" t="str">
        <f>"838943541"</f>
        <v>838943541</v>
      </c>
      <c r="B6143" t="s">
        <v>5804</v>
      </c>
      <c r="C6143">
        <v>56.43</v>
      </c>
      <c r="D6143" t="str">
        <f t="shared" si="223"/>
        <v>270</v>
      </c>
    </row>
    <row r="6144" spans="1:4" x14ac:dyDescent="0.25">
      <c r="A6144" t="str">
        <f>"838943542"</f>
        <v>838943542</v>
      </c>
      <c r="B6144" t="s">
        <v>5805</v>
      </c>
      <c r="C6144">
        <v>60.15</v>
      </c>
      <c r="D6144" t="str">
        <f t="shared" si="223"/>
        <v>270</v>
      </c>
    </row>
    <row r="6145" spans="1:4" x14ac:dyDescent="0.25">
      <c r="A6145" t="str">
        <f>"838943543"</f>
        <v>838943543</v>
      </c>
      <c r="B6145" t="s">
        <v>5806</v>
      </c>
      <c r="C6145">
        <v>60.15</v>
      </c>
      <c r="D6145" t="str">
        <f t="shared" si="223"/>
        <v>270</v>
      </c>
    </row>
    <row r="6146" spans="1:4" x14ac:dyDescent="0.25">
      <c r="A6146" t="str">
        <f>"838943544"</f>
        <v>838943544</v>
      </c>
      <c r="B6146" t="s">
        <v>5807</v>
      </c>
      <c r="C6146">
        <v>52.75</v>
      </c>
      <c r="D6146" t="str">
        <f t="shared" si="223"/>
        <v>270</v>
      </c>
    </row>
    <row r="6147" spans="1:4" x14ac:dyDescent="0.25">
      <c r="A6147" t="str">
        <f>"838943545"</f>
        <v>838943545</v>
      </c>
      <c r="B6147" t="s">
        <v>5807</v>
      </c>
      <c r="C6147">
        <v>52.75</v>
      </c>
      <c r="D6147" t="str">
        <f t="shared" si="223"/>
        <v>270</v>
      </c>
    </row>
    <row r="6148" spans="1:4" x14ac:dyDescent="0.25">
      <c r="A6148" t="str">
        <f>"838943546"</f>
        <v>838943546</v>
      </c>
      <c r="B6148" t="s">
        <v>5808</v>
      </c>
      <c r="C6148">
        <v>53.83</v>
      </c>
      <c r="D6148" t="str">
        <f t="shared" si="223"/>
        <v>270</v>
      </c>
    </row>
    <row r="6149" spans="1:4" x14ac:dyDescent="0.25">
      <c r="A6149" t="str">
        <f>"838943547"</f>
        <v>838943547</v>
      </c>
      <c r="B6149" t="s">
        <v>5809</v>
      </c>
      <c r="C6149">
        <v>53.83</v>
      </c>
      <c r="D6149" t="str">
        <f t="shared" si="223"/>
        <v>270</v>
      </c>
    </row>
    <row r="6150" spans="1:4" x14ac:dyDescent="0.25">
      <c r="A6150" t="str">
        <f>"838943548"</f>
        <v>838943548</v>
      </c>
      <c r="B6150" t="s">
        <v>5810</v>
      </c>
      <c r="C6150">
        <v>52.75</v>
      </c>
      <c r="D6150" t="str">
        <f t="shared" si="223"/>
        <v>270</v>
      </c>
    </row>
    <row r="6151" spans="1:4" x14ac:dyDescent="0.25">
      <c r="A6151" t="str">
        <f>"838943549"</f>
        <v>838943549</v>
      </c>
      <c r="B6151" t="s">
        <v>5811</v>
      </c>
      <c r="C6151">
        <v>52.75</v>
      </c>
      <c r="D6151" t="str">
        <f t="shared" si="223"/>
        <v>270</v>
      </c>
    </row>
    <row r="6152" spans="1:4" x14ac:dyDescent="0.25">
      <c r="A6152" t="str">
        <f>"838943550"</f>
        <v>838943550</v>
      </c>
      <c r="B6152" t="s">
        <v>5812</v>
      </c>
      <c r="C6152">
        <v>53.83</v>
      </c>
      <c r="D6152" t="str">
        <f t="shared" si="223"/>
        <v>270</v>
      </c>
    </row>
    <row r="6153" spans="1:4" x14ac:dyDescent="0.25">
      <c r="A6153" t="str">
        <f>"838943551"</f>
        <v>838943551</v>
      </c>
      <c r="B6153" t="s">
        <v>5812</v>
      </c>
      <c r="C6153">
        <v>53.83</v>
      </c>
      <c r="D6153" t="str">
        <f t="shared" si="223"/>
        <v>270</v>
      </c>
    </row>
    <row r="6154" spans="1:4" x14ac:dyDescent="0.25">
      <c r="A6154" t="str">
        <f>"838943552"</f>
        <v>838943552</v>
      </c>
      <c r="B6154" t="s">
        <v>5813</v>
      </c>
      <c r="C6154">
        <v>54.6</v>
      </c>
      <c r="D6154" t="str">
        <f t="shared" si="223"/>
        <v>270</v>
      </c>
    </row>
    <row r="6155" spans="1:4" x14ac:dyDescent="0.25">
      <c r="A6155" t="str">
        <f>"838943553"</f>
        <v>838943553</v>
      </c>
      <c r="B6155" t="s">
        <v>5814</v>
      </c>
      <c r="C6155">
        <v>54.6</v>
      </c>
      <c r="D6155" t="str">
        <f t="shared" si="223"/>
        <v>270</v>
      </c>
    </row>
    <row r="6156" spans="1:4" x14ac:dyDescent="0.25">
      <c r="A6156" t="str">
        <f>"838943554"</f>
        <v>838943554</v>
      </c>
      <c r="B6156" t="s">
        <v>5815</v>
      </c>
      <c r="C6156">
        <v>55.39</v>
      </c>
      <c r="D6156" t="str">
        <f t="shared" si="223"/>
        <v>270</v>
      </c>
    </row>
    <row r="6157" spans="1:4" x14ac:dyDescent="0.25">
      <c r="A6157" t="str">
        <f>"838943555"</f>
        <v>838943555</v>
      </c>
      <c r="B6157" t="s">
        <v>5816</v>
      </c>
      <c r="C6157">
        <v>55.39</v>
      </c>
      <c r="D6157" t="str">
        <f t="shared" si="223"/>
        <v>270</v>
      </c>
    </row>
    <row r="6158" spans="1:4" x14ac:dyDescent="0.25">
      <c r="A6158" t="str">
        <f>"838943556"</f>
        <v>838943556</v>
      </c>
      <c r="B6158" t="s">
        <v>5817</v>
      </c>
      <c r="C6158">
        <v>53.83</v>
      </c>
      <c r="D6158" t="str">
        <f t="shared" si="223"/>
        <v>270</v>
      </c>
    </row>
    <row r="6159" spans="1:4" x14ac:dyDescent="0.25">
      <c r="A6159" t="str">
        <f>"838943557"</f>
        <v>838943557</v>
      </c>
      <c r="B6159" t="s">
        <v>5818</v>
      </c>
      <c r="C6159">
        <v>53.83</v>
      </c>
      <c r="D6159" t="str">
        <f t="shared" si="223"/>
        <v>270</v>
      </c>
    </row>
    <row r="6160" spans="1:4" x14ac:dyDescent="0.25">
      <c r="A6160" t="str">
        <f>"838943558"</f>
        <v>838943558</v>
      </c>
      <c r="B6160" t="s">
        <v>5819</v>
      </c>
      <c r="C6160">
        <v>56.67</v>
      </c>
      <c r="D6160" t="str">
        <f t="shared" si="223"/>
        <v>270</v>
      </c>
    </row>
    <row r="6161" spans="1:4" x14ac:dyDescent="0.25">
      <c r="A6161" t="str">
        <f>"838943559"</f>
        <v>838943559</v>
      </c>
      <c r="B6161" t="s">
        <v>5820</v>
      </c>
      <c r="C6161">
        <v>56.67</v>
      </c>
      <c r="D6161" t="str">
        <f t="shared" si="223"/>
        <v>270</v>
      </c>
    </row>
    <row r="6162" spans="1:4" x14ac:dyDescent="0.25">
      <c r="A6162" t="str">
        <f>"838943560"</f>
        <v>838943560</v>
      </c>
      <c r="B6162" t="s">
        <v>5820</v>
      </c>
      <c r="C6162">
        <v>52.75</v>
      </c>
      <c r="D6162" t="str">
        <f t="shared" si="223"/>
        <v>270</v>
      </c>
    </row>
    <row r="6163" spans="1:4" x14ac:dyDescent="0.25">
      <c r="A6163" t="str">
        <f>"838943561"</f>
        <v>838943561</v>
      </c>
      <c r="B6163" t="s">
        <v>5820</v>
      </c>
      <c r="C6163">
        <v>52.75</v>
      </c>
      <c r="D6163" t="str">
        <f t="shared" si="223"/>
        <v>270</v>
      </c>
    </row>
    <row r="6164" spans="1:4" x14ac:dyDescent="0.25">
      <c r="A6164" t="str">
        <f>"838943562"</f>
        <v>838943562</v>
      </c>
      <c r="B6164" t="s">
        <v>5821</v>
      </c>
      <c r="C6164">
        <v>53.83</v>
      </c>
      <c r="D6164" t="str">
        <f t="shared" si="223"/>
        <v>270</v>
      </c>
    </row>
    <row r="6165" spans="1:4" x14ac:dyDescent="0.25">
      <c r="A6165" t="str">
        <f>"838943563"</f>
        <v>838943563</v>
      </c>
      <c r="B6165" t="s">
        <v>5822</v>
      </c>
      <c r="C6165">
        <v>53.83</v>
      </c>
      <c r="D6165" t="str">
        <f t="shared" si="223"/>
        <v>270</v>
      </c>
    </row>
    <row r="6166" spans="1:4" x14ac:dyDescent="0.25">
      <c r="A6166" t="str">
        <f>"838943564"</f>
        <v>838943564</v>
      </c>
      <c r="B6166" t="s">
        <v>5823</v>
      </c>
      <c r="C6166">
        <v>61.29</v>
      </c>
      <c r="D6166" t="str">
        <f t="shared" si="223"/>
        <v>270</v>
      </c>
    </row>
    <row r="6167" spans="1:4" x14ac:dyDescent="0.25">
      <c r="A6167" t="str">
        <f>"838943565"</f>
        <v>838943565</v>
      </c>
      <c r="B6167" t="s">
        <v>5824</v>
      </c>
      <c r="C6167">
        <v>61.29</v>
      </c>
      <c r="D6167" t="str">
        <f t="shared" si="223"/>
        <v>270</v>
      </c>
    </row>
    <row r="6168" spans="1:4" x14ac:dyDescent="0.25">
      <c r="A6168" t="str">
        <f>"838943566"</f>
        <v>838943566</v>
      </c>
      <c r="B6168" t="s">
        <v>5825</v>
      </c>
      <c r="C6168">
        <v>61.29</v>
      </c>
      <c r="D6168" t="str">
        <f t="shared" si="223"/>
        <v>270</v>
      </c>
    </row>
    <row r="6169" spans="1:4" x14ac:dyDescent="0.25">
      <c r="A6169" t="str">
        <f>"838943567"</f>
        <v>838943567</v>
      </c>
      <c r="B6169" t="s">
        <v>5826</v>
      </c>
      <c r="C6169">
        <v>61.29</v>
      </c>
      <c r="D6169" t="str">
        <f t="shared" si="223"/>
        <v>270</v>
      </c>
    </row>
    <row r="6170" spans="1:4" x14ac:dyDescent="0.25">
      <c r="A6170" t="str">
        <f>"838943568"</f>
        <v>838943568</v>
      </c>
      <c r="B6170" t="s">
        <v>5827</v>
      </c>
      <c r="C6170">
        <v>61.25</v>
      </c>
      <c r="D6170" t="str">
        <f t="shared" si="223"/>
        <v>270</v>
      </c>
    </row>
    <row r="6171" spans="1:4" x14ac:dyDescent="0.25">
      <c r="A6171" t="str">
        <f>"838943569"</f>
        <v>838943569</v>
      </c>
      <c r="B6171" t="s">
        <v>5828</v>
      </c>
      <c r="C6171">
        <v>61.25</v>
      </c>
      <c r="D6171" t="str">
        <f t="shared" si="223"/>
        <v>270</v>
      </c>
    </row>
    <row r="6172" spans="1:4" x14ac:dyDescent="0.25">
      <c r="A6172" t="str">
        <f>"838943570"</f>
        <v>838943570</v>
      </c>
      <c r="B6172" t="s">
        <v>5829</v>
      </c>
      <c r="C6172">
        <v>65.47</v>
      </c>
      <c r="D6172" t="str">
        <f t="shared" si="223"/>
        <v>270</v>
      </c>
    </row>
    <row r="6173" spans="1:4" x14ac:dyDescent="0.25">
      <c r="A6173" t="str">
        <f>"838943571"</f>
        <v>838943571</v>
      </c>
      <c r="B6173" t="s">
        <v>5830</v>
      </c>
      <c r="C6173">
        <v>65.47</v>
      </c>
      <c r="D6173" t="str">
        <f t="shared" si="223"/>
        <v>270</v>
      </c>
    </row>
    <row r="6174" spans="1:4" x14ac:dyDescent="0.25">
      <c r="A6174" t="str">
        <f>"838943572"</f>
        <v>838943572</v>
      </c>
      <c r="B6174" t="s">
        <v>5831</v>
      </c>
      <c r="C6174">
        <v>55.39</v>
      </c>
      <c r="D6174" t="str">
        <f t="shared" si="223"/>
        <v>270</v>
      </c>
    </row>
    <row r="6175" spans="1:4" x14ac:dyDescent="0.25">
      <c r="A6175" t="str">
        <f>"838943573"</f>
        <v>838943573</v>
      </c>
      <c r="B6175" t="s">
        <v>5832</v>
      </c>
      <c r="C6175">
        <v>55.39</v>
      </c>
      <c r="D6175" t="str">
        <f t="shared" si="223"/>
        <v>270</v>
      </c>
    </row>
    <row r="6176" spans="1:4" x14ac:dyDescent="0.25">
      <c r="A6176" t="str">
        <f>"838943574"</f>
        <v>838943574</v>
      </c>
      <c r="B6176" t="s">
        <v>5833</v>
      </c>
      <c r="C6176">
        <v>53.83</v>
      </c>
      <c r="D6176" t="str">
        <f t="shared" si="223"/>
        <v>270</v>
      </c>
    </row>
    <row r="6177" spans="1:4" x14ac:dyDescent="0.25">
      <c r="A6177" t="str">
        <f>"838943575"</f>
        <v>838943575</v>
      </c>
      <c r="B6177" t="s">
        <v>5834</v>
      </c>
      <c r="C6177">
        <v>53.83</v>
      </c>
      <c r="D6177" t="str">
        <f t="shared" si="223"/>
        <v>270</v>
      </c>
    </row>
    <row r="6178" spans="1:4" x14ac:dyDescent="0.25">
      <c r="A6178" t="str">
        <f>"838943576"</f>
        <v>838943576</v>
      </c>
      <c r="B6178" t="s">
        <v>5835</v>
      </c>
      <c r="C6178">
        <v>67.650000000000006</v>
      </c>
      <c r="D6178" t="str">
        <f t="shared" si="223"/>
        <v>270</v>
      </c>
    </row>
    <row r="6179" spans="1:4" x14ac:dyDescent="0.25">
      <c r="A6179" t="str">
        <f>"838943577"</f>
        <v>838943577</v>
      </c>
      <c r="B6179" t="s">
        <v>5836</v>
      </c>
      <c r="C6179">
        <v>67.650000000000006</v>
      </c>
      <c r="D6179" t="str">
        <f t="shared" si="223"/>
        <v>270</v>
      </c>
    </row>
    <row r="6180" spans="1:4" x14ac:dyDescent="0.25">
      <c r="A6180" t="str">
        <f>"838943578"</f>
        <v>838943578</v>
      </c>
      <c r="B6180" t="s">
        <v>5837</v>
      </c>
      <c r="C6180">
        <v>66.33</v>
      </c>
      <c r="D6180" t="str">
        <f t="shared" si="223"/>
        <v>270</v>
      </c>
    </row>
    <row r="6181" spans="1:4" x14ac:dyDescent="0.25">
      <c r="A6181" t="str">
        <f>"838943579"</f>
        <v>838943579</v>
      </c>
      <c r="B6181" t="s">
        <v>5838</v>
      </c>
      <c r="C6181">
        <v>66.33</v>
      </c>
      <c r="D6181" t="str">
        <f t="shared" si="223"/>
        <v>270</v>
      </c>
    </row>
    <row r="6182" spans="1:4" x14ac:dyDescent="0.25">
      <c r="A6182" t="str">
        <f>"838943580"</f>
        <v>838943580</v>
      </c>
      <c r="B6182" t="s">
        <v>5839</v>
      </c>
      <c r="C6182">
        <v>76.209999999999994</v>
      </c>
      <c r="D6182" t="str">
        <f t="shared" si="223"/>
        <v>270</v>
      </c>
    </row>
    <row r="6183" spans="1:4" x14ac:dyDescent="0.25">
      <c r="A6183" t="str">
        <f>"838943581"</f>
        <v>838943581</v>
      </c>
      <c r="B6183" t="s">
        <v>5840</v>
      </c>
      <c r="C6183">
        <v>76.209999999999994</v>
      </c>
      <c r="D6183" t="str">
        <f t="shared" si="223"/>
        <v>270</v>
      </c>
    </row>
    <row r="6184" spans="1:4" x14ac:dyDescent="0.25">
      <c r="A6184" t="str">
        <f>"838943582"</f>
        <v>838943582</v>
      </c>
      <c r="B6184" t="s">
        <v>5841</v>
      </c>
      <c r="C6184">
        <v>73.099999999999994</v>
      </c>
      <c r="D6184" t="str">
        <f t="shared" si="223"/>
        <v>270</v>
      </c>
    </row>
    <row r="6185" spans="1:4" x14ac:dyDescent="0.25">
      <c r="A6185" t="str">
        <f>"838943583"</f>
        <v>838943583</v>
      </c>
      <c r="B6185" t="s">
        <v>5841</v>
      </c>
      <c r="C6185">
        <v>73.099999999999994</v>
      </c>
      <c r="D6185" t="str">
        <f t="shared" si="223"/>
        <v>270</v>
      </c>
    </row>
    <row r="6186" spans="1:4" x14ac:dyDescent="0.25">
      <c r="A6186" t="str">
        <f>"838943584"</f>
        <v>838943584</v>
      </c>
      <c r="B6186" t="s">
        <v>5842</v>
      </c>
      <c r="C6186">
        <v>76.98</v>
      </c>
      <c r="D6186" t="str">
        <f t="shared" si="223"/>
        <v>270</v>
      </c>
    </row>
    <row r="6187" spans="1:4" x14ac:dyDescent="0.25">
      <c r="A6187" t="str">
        <f>"838943585"</f>
        <v>838943585</v>
      </c>
      <c r="B6187" t="s">
        <v>5842</v>
      </c>
      <c r="C6187">
        <v>76.98</v>
      </c>
      <c r="D6187" t="str">
        <f t="shared" si="223"/>
        <v>270</v>
      </c>
    </row>
    <row r="6188" spans="1:4" x14ac:dyDescent="0.25">
      <c r="A6188" t="str">
        <f>"838943586"</f>
        <v>838943586</v>
      </c>
      <c r="B6188" t="s">
        <v>5843</v>
      </c>
      <c r="C6188">
        <v>67.680000000000007</v>
      </c>
      <c r="D6188" t="str">
        <f t="shared" si="223"/>
        <v>270</v>
      </c>
    </row>
    <row r="6189" spans="1:4" x14ac:dyDescent="0.25">
      <c r="A6189" t="str">
        <f>"838943587"</f>
        <v>838943587</v>
      </c>
      <c r="B6189" t="s">
        <v>5844</v>
      </c>
      <c r="C6189">
        <v>67.680000000000007</v>
      </c>
      <c r="D6189" t="str">
        <f t="shared" si="223"/>
        <v>270</v>
      </c>
    </row>
    <row r="6190" spans="1:4" x14ac:dyDescent="0.25">
      <c r="A6190" t="str">
        <f>"838943588"</f>
        <v>838943588</v>
      </c>
      <c r="B6190" t="s">
        <v>5845</v>
      </c>
      <c r="C6190">
        <v>67.239999999999995</v>
      </c>
      <c r="D6190" t="str">
        <f t="shared" si="223"/>
        <v>270</v>
      </c>
    </row>
    <row r="6191" spans="1:4" x14ac:dyDescent="0.25">
      <c r="A6191" t="str">
        <f>"838943589"</f>
        <v>838943589</v>
      </c>
      <c r="B6191" t="s">
        <v>5846</v>
      </c>
      <c r="C6191">
        <v>67.239999999999995</v>
      </c>
      <c r="D6191" t="str">
        <f t="shared" si="223"/>
        <v>270</v>
      </c>
    </row>
    <row r="6192" spans="1:4" x14ac:dyDescent="0.25">
      <c r="A6192" t="str">
        <f>"838943590"</f>
        <v>838943590</v>
      </c>
      <c r="B6192" t="s">
        <v>5847</v>
      </c>
      <c r="C6192">
        <v>69.63</v>
      </c>
      <c r="D6192" t="str">
        <f t="shared" si="223"/>
        <v>270</v>
      </c>
    </row>
    <row r="6193" spans="1:4" x14ac:dyDescent="0.25">
      <c r="A6193" t="str">
        <f>"838943591"</f>
        <v>838943591</v>
      </c>
      <c r="B6193" t="s">
        <v>5848</v>
      </c>
      <c r="C6193">
        <v>69.63</v>
      </c>
      <c r="D6193" t="str">
        <f t="shared" si="223"/>
        <v>270</v>
      </c>
    </row>
    <row r="6194" spans="1:4" x14ac:dyDescent="0.25">
      <c r="A6194" t="str">
        <f>"838943592"</f>
        <v>838943592</v>
      </c>
      <c r="B6194" t="s">
        <v>5849</v>
      </c>
      <c r="C6194">
        <v>75.819999999999993</v>
      </c>
      <c r="D6194" t="str">
        <f t="shared" si="223"/>
        <v>270</v>
      </c>
    </row>
    <row r="6195" spans="1:4" x14ac:dyDescent="0.25">
      <c r="A6195" t="str">
        <f>"838943593"</f>
        <v>838943593</v>
      </c>
      <c r="B6195" t="s">
        <v>5850</v>
      </c>
      <c r="C6195">
        <v>75.819999999999993</v>
      </c>
      <c r="D6195" t="str">
        <f t="shared" si="223"/>
        <v>270</v>
      </c>
    </row>
    <row r="6196" spans="1:4" x14ac:dyDescent="0.25">
      <c r="A6196" t="str">
        <f>"838943594"</f>
        <v>838943594</v>
      </c>
      <c r="B6196" t="s">
        <v>5851</v>
      </c>
      <c r="C6196">
        <v>33.450000000000003</v>
      </c>
      <c r="D6196" t="str">
        <f t="shared" si="223"/>
        <v>270</v>
      </c>
    </row>
    <row r="6197" spans="1:4" x14ac:dyDescent="0.25">
      <c r="A6197" t="str">
        <f>"838943595"</f>
        <v>838943595</v>
      </c>
      <c r="B6197" t="s">
        <v>5852</v>
      </c>
      <c r="C6197">
        <v>33.450000000000003</v>
      </c>
      <c r="D6197" t="str">
        <f t="shared" si="223"/>
        <v>270</v>
      </c>
    </row>
    <row r="6198" spans="1:4" x14ac:dyDescent="0.25">
      <c r="A6198" t="str">
        <f>"838943596"</f>
        <v>838943596</v>
      </c>
      <c r="B6198" t="s">
        <v>5853</v>
      </c>
      <c r="C6198">
        <v>75.58</v>
      </c>
      <c r="D6198" t="str">
        <f t="shared" si="223"/>
        <v>270</v>
      </c>
    </row>
    <row r="6199" spans="1:4" x14ac:dyDescent="0.25">
      <c r="A6199" t="str">
        <f>"838943597"</f>
        <v>838943597</v>
      </c>
      <c r="B6199" t="s">
        <v>5854</v>
      </c>
      <c r="C6199">
        <v>75.58</v>
      </c>
      <c r="D6199" t="str">
        <f t="shared" si="223"/>
        <v>270</v>
      </c>
    </row>
    <row r="6200" spans="1:4" x14ac:dyDescent="0.25">
      <c r="A6200" t="str">
        <f>"838943598"</f>
        <v>838943598</v>
      </c>
      <c r="B6200" t="s">
        <v>5855</v>
      </c>
      <c r="C6200">
        <v>74.569999999999993</v>
      </c>
      <c r="D6200" t="str">
        <f t="shared" si="223"/>
        <v>270</v>
      </c>
    </row>
    <row r="6201" spans="1:4" x14ac:dyDescent="0.25">
      <c r="A6201" t="str">
        <f>"838943599"</f>
        <v>838943599</v>
      </c>
      <c r="B6201" t="s">
        <v>5855</v>
      </c>
      <c r="C6201">
        <v>74.569999999999993</v>
      </c>
      <c r="D6201" t="str">
        <f t="shared" si="223"/>
        <v>270</v>
      </c>
    </row>
    <row r="6202" spans="1:4" x14ac:dyDescent="0.25">
      <c r="A6202" t="str">
        <f>"838943600"</f>
        <v>838943600</v>
      </c>
      <c r="B6202" t="s">
        <v>5856</v>
      </c>
      <c r="C6202">
        <v>75.63</v>
      </c>
      <c r="D6202" t="str">
        <f t="shared" si="223"/>
        <v>270</v>
      </c>
    </row>
    <row r="6203" spans="1:4" x14ac:dyDescent="0.25">
      <c r="A6203" t="str">
        <f>"838943601"</f>
        <v>838943601</v>
      </c>
      <c r="B6203" t="s">
        <v>5856</v>
      </c>
      <c r="C6203">
        <v>75.63</v>
      </c>
      <c r="D6203" t="str">
        <f t="shared" ref="D6203:D6266" si="224">"270"</f>
        <v>270</v>
      </c>
    </row>
    <row r="6204" spans="1:4" x14ac:dyDescent="0.25">
      <c r="A6204" t="str">
        <f>"838943602"</f>
        <v>838943602</v>
      </c>
      <c r="B6204" t="s">
        <v>5856</v>
      </c>
      <c r="C6204">
        <v>75.63</v>
      </c>
      <c r="D6204" t="str">
        <f t="shared" si="224"/>
        <v>270</v>
      </c>
    </row>
    <row r="6205" spans="1:4" x14ac:dyDescent="0.25">
      <c r="A6205" t="str">
        <f>"838943603"</f>
        <v>838943603</v>
      </c>
      <c r="B6205" t="s">
        <v>5857</v>
      </c>
      <c r="C6205">
        <v>75.63</v>
      </c>
      <c r="D6205" t="str">
        <f t="shared" si="224"/>
        <v>270</v>
      </c>
    </row>
    <row r="6206" spans="1:4" x14ac:dyDescent="0.25">
      <c r="A6206" t="str">
        <f>"838943604"</f>
        <v>838943604</v>
      </c>
      <c r="B6206" t="s">
        <v>5858</v>
      </c>
      <c r="C6206">
        <v>74.569999999999993</v>
      </c>
      <c r="D6206" t="str">
        <f t="shared" si="224"/>
        <v>270</v>
      </c>
    </row>
    <row r="6207" spans="1:4" x14ac:dyDescent="0.25">
      <c r="A6207" t="str">
        <f>"838943605"</f>
        <v>838943605</v>
      </c>
      <c r="B6207" t="s">
        <v>5858</v>
      </c>
      <c r="C6207">
        <v>74.569999999999993</v>
      </c>
      <c r="D6207" t="str">
        <f t="shared" si="224"/>
        <v>270</v>
      </c>
    </row>
    <row r="6208" spans="1:4" x14ac:dyDescent="0.25">
      <c r="A6208" t="str">
        <f>"838943606"</f>
        <v>838943606</v>
      </c>
      <c r="B6208" t="s">
        <v>5859</v>
      </c>
      <c r="C6208">
        <v>75.94</v>
      </c>
      <c r="D6208" t="str">
        <f t="shared" si="224"/>
        <v>270</v>
      </c>
    </row>
    <row r="6209" spans="1:4" x14ac:dyDescent="0.25">
      <c r="A6209" t="str">
        <f>"838943607"</f>
        <v>838943607</v>
      </c>
      <c r="B6209" t="s">
        <v>5860</v>
      </c>
      <c r="C6209">
        <v>75.94</v>
      </c>
      <c r="D6209" t="str">
        <f t="shared" si="224"/>
        <v>270</v>
      </c>
    </row>
    <row r="6210" spans="1:4" x14ac:dyDescent="0.25">
      <c r="A6210" t="str">
        <f>"838943608"</f>
        <v>838943608</v>
      </c>
      <c r="B6210" t="s">
        <v>5861</v>
      </c>
      <c r="C6210">
        <v>75.94</v>
      </c>
      <c r="D6210" t="str">
        <f t="shared" si="224"/>
        <v>270</v>
      </c>
    </row>
    <row r="6211" spans="1:4" x14ac:dyDescent="0.25">
      <c r="A6211" t="str">
        <f>"838943609"</f>
        <v>838943609</v>
      </c>
      <c r="B6211" t="s">
        <v>5861</v>
      </c>
      <c r="C6211">
        <v>75.94</v>
      </c>
      <c r="D6211" t="str">
        <f t="shared" si="224"/>
        <v>270</v>
      </c>
    </row>
    <row r="6212" spans="1:4" x14ac:dyDescent="0.25">
      <c r="A6212" t="str">
        <f>"838943610"</f>
        <v>838943610</v>
      </c>
      <c r="B6212" t="s">
        <v>5862</v>
      </c>
      <c r="C6212">
        <v>1.1000000000000001</v>
      </c>
      <c r="D6212" t="str">
        <f t="shared" si="224"/>
        <v>270</v>
      </c>
    </row>
    <row r="6213" spans="1:4" x14ac:dyDescent="0.25">
      <c r="A6213" t="str">
        <f>"838943611"</f>
        <v>838943611</v>
      </c>
      <c r="B6213" t="s">
        <v>5862</v>
      </c>
      <c r="C6213">
        <v>1.1000000000000001</v>
      </c>
      <c r="D6213" t="str">
        <f t="shared" si="224"/>
        <v>270</v>
      </c>
    </row>
    <row r="6214" spans="1:4" x14ac:dyDescent="0.25">
      <c r="A6214" t="str">
        <f>"838943612"</f>
        <v>838943612</v>
      </c>
      <c r="B6214" t="s">
        <v>5863</v>
      </c>
      <c r="C6214">
        <v>155.6</v>
      </c>
      <c r="D6214" t="str">
        <f t="shared" si="224"/>
        <v>270</v>
      </c>
    </row>
    <row r="6215" spans="1:4" x14ac:dyDescent="0.25">
      <c r="A6215" t="str">
        <f>"838943613"</f>
        <v>838943613</v>
      </c>
      <c r="B6215" t="s">
        <v>5864</v>
      </c>
      <c r="C6215">
        <v>155.6</v>
      </c>
      <c r="D6215" t="str">
        <f t="shared" si="224"/>
        <v>270</v>
      </c>
    </row>
    <row r="6216" spans="1:4" x14ac:dyDescent="0.25">
      <c r="A6216" t="str">
        <f>"838943614"</f>
        <v>838943614</v>
      </c>
      <c r="B6216" t="s">
        <v>5865</v>
      </c>
      <c r="C6216">
        <v>153.65</v>
      </c>
      <c r="D6216" t="str">
        <f t="shared" si="224"/>
        <v>270</v>
      </c>
    </row>
    <row r="6217" spans="1:4" x14ac:dyDescent="0.25">
      <c r="A6217" t="str">
        <f>"838943615"</f>
        <v>838943615</v>
      </c>
      <c r="B6217" t="s">
        <v>5866</v>
      </c>
      <c r="C6217">
        <v>153.65</v>
      </c>
      <c r="D6217" t="str">
        <f t="shared" si="224"/>
        <v>270</v>
      </c>
    </row>
    <row r="6218" spans="1:4" x14ac:dyDescent="0.25">
      <c r="A6218" t="str">
        <f>"838943616"</f>
        <v>838943616</v>
      </c>
      <c r="B6218" t="s">
        <v>5867</v>
      </c>
      <c r="C6218">
        <v>157.07</v>
      </c>
      <c r="D6218" t="str">
        <f t="shared" si="224"/>
        <v>270</v>
      </c>
    </row>
    <row r="6219" spans="1:4" x14ac:dyDescent="0.25">
      <c r="A6219" t="str">
        <f>"838943617"</f>
        <v>838943617</v>
      </c>
      <c r="B6219" t="s">
        <v>5868</v>
      </c>
      <c r="C6219">
        <v>157.07</v>
      </c>
      <c r="D6219" t="str">
        <f t="shared" si="224"/>
        <v>270</v>
      </c>
    </row>
    <row r="6220" spans="1:4" x14ac:dyDescent="0.25">
      <c r="A6220" t="str">
        <f>"838943618"</f>
        <v>838943618</v>
      </c>
      <c r="B6220" t="s">
        <v>5869</v>
      </c>
      <c r="C6220">
        <v>153.65</v>
      </c>
      <c r="D6220" t="str">
        <f t="shared" si="224"/>
        <v>270</v>
      </c>
    </row>
    <row r="6221" spans="1:4" x14ac:dyDescent="0.25">
      <c r="A6221" t="str">
        <f>"838943619"</f>
        <v>838943619</v>
      </c>
      <c r="B6221" t="s">
        <v>5870</v>
      </c>
      <c r="C6221">
        <v>153.65</v>
      </c>
      <c r="D6221" t="str">
        <f t="shared" si="224"/>
        <v>270</v>
      </c>
    </row>
    <row r="6222" spans="1:4" x14ac:dyDescent="0.25">
      <c r="A6222" t="str">
        <f>"838943620"</f>
        <v>838943620</v>
      </c>
      <c r="B6222" t="s">
        <v>5871</v>
      </c>
      <c r="C6222">
        <v>165.47</v>
      </c>
      <c r="D6222" t="str">
        <f t="shared" si="224"/>
        <v>270</v>
      </c>
    </row>
    <row r="6223" spans="1:4" x14ac:dyDescent="0.25">
      <c r="A6223" t="str">
        <f>"838943621"</f>
        <v>838943621</v>
      </c>
      <c r="B6223" t="s">
        <v>5872</v>
      </c>
      <c r="C6223">
        <v>165.47</v>
      </c>
      <c r="D6223" t="str">
        <f t="shared" si="224"/>
        <v>270</v>
      </c>
    </row>
    <row r="6224" spans="1:4" x14ac:dyDescent="0.25">
      <c r="A6224" t="str">
        <f>"838943622"</f>
        <v>838943622</v>
      </c>
      <c r="B6224" t="s">
        <v>5873</v>
      </c>
      <c r="C6224">
        <v>123.32</v>
      </c>
      <c r="D6224" t="str">
        <f t="shared" si="224"/>
        <v>270</v>
      </c>
    </row>
    <row r="6225" spans="1:4" x14ac:dyDescent="0.25">
      <c r="A6225" t="str">
        <f>"838943623"</f>
        <v>838943623</v>
      </c>
      <c r="B6225" t="s">
        <v>5874</v>
      </c>
      <c r="C6225">
        <v>123.32</v>
      </c>
      <c r="D6225" t="str">
        <f t="shared" si="224"/>
        <v>270</v>
      </c>
    </row>
    <row r="6226" spans="1:4" x14ac:dyDescent="0.25">
      <c r="A6226" t="str">
        <f>"838943624"</f>
        <v>838943624</v>
      </c>
      <c r="B6226" t="s">
        <v>5875</v>
      </c>
      <c r="C6226">
        <v>117.67</v>
      </c>
      <c r="D6226" t="str">
        <f t="shared" si="224"/>
        <v>270</v>
      </c>
    </row>
    <row r="6227" spans="1:4" x14ac:dyDescent="0.25">
      <c r="A6227" t="str">
        <f>"838943625"</f>
        <v>838943625</v>
      </c>
      <c r="B6227" t="s">
        <v>5876</v>
      </c>
      <c r="C6227">
        <v>117.67</v>
      </c>
      <c r="D6227" t="str">
        <f t="shared" si="224"/>
        <v>270</v>
      </c>
    </row>
    <row r="6228" spans="1:4" x14ac:dyDescent="0.25">
      <c r="A6228" t="str">
        <f>"838943626"</f>
        <v>838943626</v>
      </c>
      <c r="B6228" t="s">
        <v>5877</v>
      </c>
      <c r="C6228">
        <v>123.75</v>
      </c>
      <c r="D6228" t="str">
        <f t="shared" si="224"/>
        <v>270</v>
      </c>
    </row>
    <row r="6229" spans="1:4" x14ac:dyDescent="0.25">
      <c r="A6229" t="str">
        <f>"838943627"</f>
        <v>838943627</v>
      </c>
      <c r="B6229" t="s">
        <v>5878</v>
      </c>
      <c r="C6229">
        <v>123.75</v>
      </c>
      <c r="D6229" t="str">
        <f t="shared" si="224"/>
        <v>270</v>
      </c>
    </row>
    <row r="6230" spans="1:4" x14ac:dyDescent="0.25">
      <c r="A6230" t="str">
        <f>"838943628"</f>
        <v>838943628</v>
      </c>
      <c r="B6230" t="s">
        <v>5879</v>
      </c>
      <c r="C6230">
        <v>56.38</v>
      </c>
      <c r="D6230" t="str">
        <f t="shared" si="224"/>
        <v>270</v>
      </c>
    </row>
    <row r="6231" spans="1:4" x14ac:dyDescent="0.25">
      <c r="A6231" t="str">
        <f>"838943629"</f>
        <v>838943629</v>
      </c>
      <c r="B6231" t="s">
        <v>5880</v>
      </c>
      <c r="C6231">
        <v>56.38</v>
      </c>
      <c r="D6231" t="str">
        <f t="shared" si="224"/>
        <v>270</v>
      </c>
    </row>
    <row r="6232" spans="1:4" x14ac:dyDescent="0.25">
      <c r="A6232" t="str">
        <f>"838943630"</f>
        <v>838943630</v>
      </c>
      <c r="B6232" t="s">
        <v>5881</v>
      </c>
      <c r="C6232">
        <v>56.38</v>
      </c>
      <c r="D6232" t="str">
        <f t="shared" si="224"/>
        <v>270</v>
      </c>
    </row>
    <row r="6233" spans="1:4" x14ac:dyDescent="0.25">
      <c r="A6233" t="str">
        <f>"838943631"</f>
        <v>838943631</v>
      </c>
      <c r="B6233" t="s">
        <v>5881</v>
      </c>
      <c r="C6233">
        <v>56.38</v>
      </c>
      <c r="D6233" t="str">
        <f t="shared" si="224"/>
        <v>270</v>
      </c>
    </row>
    <row r="6234" spans="1:4" x14ac:dyDescent="0.25">
      <c r="A6234" t="str">
        <f>"838943632"</f>
        <v>838943632</v>
      </c>
      <c r="B6234" t="s">
        <v>5882</v>
      </c>
      <c r="C6234">
        <v>61.38</v>
      </c>
      <c r="D6234" t="str">
        <f t="shared" si="224"/>
        <v>270</v>
      </c>
    </row>
    <row r="6235" spans="1:4" x14ac:dyDescent="0.25">
      <c r="A6235" t="str">
        <f>"838943633"</f>
        <v>838943633</v>
      </c>
      <c r="B6235" t="s">
        <v>5882</v>
      </c>
      <c r="C6235">
        <v>61.38</v>
      </c>
      <c r="D6235" t="str">
        <f t="shared" si="224"/>
        <v>270</v>
      </c>
    </row>
    <row r="6236" spans="1:4" x14ac:dyDescent="0.25">
      <c r="A6236" t="str">
        <f>"838943634"</f>
        <v>838943634</v>
      </c>
      <c r="B6236" t="s">
        <v>5883</v>
      </c>
      <c r="C6236">
        <v>56.55</v>
      </c>
      <c r="D6236" t="str">
        <f t="shared" si="224"/>
        <v>270</v>
      </c>
    </row>
    <row r="6237" spans="1:4" x14ac:dyDescent="0.25">
      <c r="A6237" t="str">
        <f>"838943635"</f>
        <v>838943635</v>
      </c>
      <c r="B6237" t="s">
        <v>5883</v>
      </c>
      <c r="C6237">
        <v>56.55</v>
      </c>
      <c r="D6237" t="str">
        <f t="shared" si="224"/>
        <v>270</v>
      </c>
    </row>
    <row r="6238" spans="1:4" x14ac:dyDescent="0.25">
      <c r="A6238" t="str">
        <f>"838943636"</f>
        <v>838943636</v>
      </c>
      <c r="B6238" t="s">
        <v>5884</v>
      </c>
      <c r="C6238">
        <v>55.72</v>
      </c>
      <c r="D6238" t="str">
        <f t="shared" si="224"/>
        <v>270</v>
      </c>
    </row>
    <row r="6239" spans="1:4" x14ac:dyDescent="0.25">
      <c r="A6239" t="str">
        <f>"838943637"</f>
        <v>838943637</v>
      </c>
      <c r="B6239" t="s">
        <v>5884</v>
      </c>
      <c r="C6239">
        <v>55.72</v>
      </c>
      <c r="D6239" t="str">
        <f t="shared" si="224"/>
        <v>270</v>
      </c>
    </row>
    <row r="6240" spans="1:4" x14ac:dyDescent="0.25">
      <c r="A6240" t="str">
        <f>"838943638"</f>
        <v>838943638</v>
      </c>
      <c r="B6240" t="s">
        <v>5884</v>
      </c>
      <c r="C6240">
        <v>56.34</v>
      </c>
      <c r="D6240" t="str">
        <f t="shared" si="224"/>
        <v>270</v>
      </c>
    </row>
    <row r="6241" spans="1:4" x14ac:dyDescent="0.25">
      <c r="A6241" t="str">
        <f>"838943639"</f>
        <v>838943639</v>
      </c>
      <c r="B6241" t="s">
        <v>5884</v>
      </c>
      <c r="C6241">
        <v>56.34</v>
      </c>
      <c r="D6241" t="str">
        <f t="shared" si="224"/>
        <v>270</v>
      </c>
    </row>
    <row r="6242" spans="1:4" x14ac:dyDescent="0.25">
      <c r="A6242" t="str">
        <f>"838943640"</f>
        <v>838943640</v>
      </c>
      <c r="B6242" t="s">
        <v>5885</v>
      </c>
      <c r="C6242">
        <v>55.72</v>
      </c>
      <c r="D6242" t="str">
        <f t="shared" si="224"/>
        <v>270</v>
      </c>
    </row>
    <row r="6243" spans="1:4" x14ac:dyDescent="0.25">
      <c r="A6243" t="str">
        <f>"838943641"</f>
        <v>838943641</v>
      </c>
      <c r="B6243" t="s">
        <v>5885</v>
      </c>
      <c r="C6243">
        <v>55.72</v>
      </c>
      <c r="D6243" t="str">
        <f t="shared" si="224"/>
        <v>270</v>
      </c>
    </row>
    <row r="6244" spans="1:4" x14ac:dyDescent="0.25">
      <c r="A6244" t="str">
        <f>"838943642"</f>
        <v>838943642</v>
      </c>
      <c r="B6244" t="s">
        <v>5886</v>
      </c>
      <c r="C6244">
        <v>55.79</v>
      </c>
      <c r="D6244" t="str">
        <f t="shared" si="224"/>
        <v>270</v>
      </c>
    </row>
    <row r="6245" spans="1:4" x14ac:dyDescent="0.25">
      <c r="A6245" t="str">
        <f>"838943643"</f>
        <v>838943643</v>
      </c>
      <c r="B6245" t="s">
        <v>5886</v>
      </c>
      <c r="C6245">
        <v>55.79</v>
      </c>
      <c r="D6245" t="str">
        <f t="shared" si="224"/>
        <v>270</v>
      </c>
    </row>
    <row r="6246" spans="1:4" x14ac:dyDescent="0.25">
      <c r="A6246" t="str">
        <f>"838943644"</f>
        <v>838943644</v>
      </c>
      <c r="B6246" t="s">
        <v>5887</v>
      </c>
      <c r="C6246">
        <v>55.75</v>
      </c>
      <c r="D6246" t="str">
        <f t="shared" si="224"/>
        <v>270</v>
      </c>
    </row>
    <row r="6247" spans="1:4" x14ac:dyDescent="0.25">
      <c r="A6247" t="str">
        <f>"838943645"</f>
        <v>838943645</v>
      </c>
      <c r="B6247" t="s">
        <v>5887</v>
      </c>
      <c r="C6247">
        <v>55.75</v>
      </c>
      <c r="D6247" t="str">
        <f t="shared" si="224"/>
        <v>270</v>
      </c>
    </row>
    <row r="6248" spans="1:4" x14ac:dyDescent="0.25">
      <c r="A6248" t="str">
        <f>"838943646"</f>
        <v>838943646</v>
      </c>
      <c r="B6248" t="s">
        <v>5888</v>
      </c>
      <c r="C6248">
        <v>66.5</v>
      </c>
      <c r="D6248" t="str">
        <f t="shared" si="224"/>
        <v>270</v>
      </c>
    </row>
    <row r="6249" spans="1:4" x14ac:dyDescent="0.25">
      <c r="A6249" t="str">
        <f>"838943647"</f>
        <v>838943647</v>
      </c>
      <c r="B6249" t="s">
        <v>5888</v>
      </c>
      <c r="C6249">
        <v>66.5</v>
      </c>
      <c r="D6249" t="str">
        <f t="shared" si="224"/>
        <v>270</v>
      </c>
    </row>
    <row r="6250" spans="1:4" x14ac:dyDescent="0.25">
      <c r="A6250" t="str">
        <f>"838943648"</f>
        <v>838943648</v>
      </c>
      <c r="B6250" t="s">
        <v>5889</v>
      </c>
      <c r="C6250">
        <v>66.06</v>
      </c>
      <c r="D6250" t="str">
        <f t="shared" si="224"/>
        <v>270</v>
      </c>
    </row>
    <row r="6251" spans="1:4" x14ac:dyDescent="0.25">
      <c r="A6251" t="str">
        <f>"838943649"</f>
        <v>838943649</v>
      </c>
      <c r="B6251" t="s">
        <v>5890</v>
      </c>
      <c r="C6251">
        <v>66.06</v>
      </c>
      <c r="D6251" t="str">
        <f t="shared" si="224"/>
        <v>270</v>
      </c>
    </row>
    <row r="6252" spans="1:4" x14ac:dyDescent="0.25">
      <c r="A6252" t="str">
        <f>"838943650"</f>
        <v>838943650</v>
      </c>
      <c r="B6252" t="s">
        <v>5891</v>
      </c>
      <c r="C6252">
        <v>66.5</v>
      </c>
      <c r="D6252" t="str">
        <f t="shared" si="224"/>
        <v>270</v>
      </c>
    </row>
    <row r="6253" spans="1:4" x14ac:dyDescent="0.25">
      <c r="A6253" t="str">
        <f>"838943651"</f>
        <v>838943651</v>
      </c>
      <c r="B6253" t="s">
        <v>5891</v>
      </c>
      <c r="C6253">
        <v>66.5</v>
      </c>
      <c r="D6253" t="str">
        <f t="shared" si="224"/>
        <v>270</v>
      </c>
    </row>
    <row r="6254" spans="1:4" x14ac:dyDescent="0.25">
      <c r="A6254" t="str">
        <f>"838943652"</f>
        <v>838943652</v>
      </c>
      <c r="B6254" t="s">
        <v>5890</v>
      </c>
      <c r="C6254">
        <v>66.5</v>
      </c>
      <c r="D6254" t="str">
        <f t="shared" si="224"/>
        <v>270</v>
      </c>
    </row>
    <row r="6255" spans="1:4" x14ac:dyDescent="0.25">
      <c r="A6255" t="str">
        <f>"838943653"</f>
        <v>838943653</v>
      </c>
      <c r="B6255" t="s">
        <v>5890</v>
      </c>
      <c r="C6255">
        <v>66.5</v>
      </c>
      <c r="D6255" t="str">
        <f t="shared" si="224"/>
        <v>270</v>
      </c>
    </row>
    <row r="6256" spans="1:4" x14ac:dyDescent="0.25">
      <c r="A6256" t="str">
        <f>"838943654"</f>
        <v>838943654</v>
      </c>
      <c r="B6256" t="s">
        <v>5892</v>
      </c>
      <c r="C6256">
        <v>32.51</v>
      </c>
      <c r="D6256" t="str">
        <f t="shared" si="224"/>
        <v>270</v>
      </c>
    </row>
    <row r="6257" spans="1:4" x14ac:dyDescent="0.25">
      <c r="A6257" t="str">
        <f>"838943655"</f>
        <v>838943655</v>
      </c>
      <c r="B6257" t="s">
        <v>5892</v>
      </c>
      <c r="C6257">
        <v>32.51</v>
      </c>
      <c r="D6257" t="str">
        <f t="shared" si="224"/>
        <v>270</v>
      </c>
    </row>
    <row r="6258" spans="1:4" x14ac:dyDescent="0.25">
      <c r="A6258" t="str">
        <f>"838943656"</f>
        <v>838943656</v>
      </c>
      <c r="B6258" t="s">
        <v>5893</v>
      </c>
      <c r="C6258">
        <v>33.39</v>
      </c>
      <c r="D6258" t="str">
        <f t="shared" si="224"/>
        <v>270</v>
      </c>
    </row>
    <row r="6259" spans="1:4" x14ac:dyDescent="0.25">
      <c r="A6259" t="str">
        <f>"838943657"</f>
        <v>838943657</v>
      </c>
      <c r="B6259" t="s">
        <v>5894</v>
      </c>
      <c r="C6259">
        <v>33.39</v>
      </c>
      <c r="D6259" t="str">
        <f t="shared" si="224"/>
        <v>270</v>
      </c>
    </row>
    <row r="6260" spans="1:4" x14ac:dyDescent="0.25">
      <c r="A6260" t="str">
        <f>"838943658"</f>
        <v>838943658</v>
      </c>
      <c r="B6260" t="s">
        <v>5895</v>
      </c>
      <c r="C6260">
        <v>35.409999999999997</v>
      </c>
      <c r="D6260" t="str">
        <f t="shared" si="224"/>
        <v>270</v>
      </c>
    </row>
    <row r="6261" spans="1:4" x14ac:dyDescent="0.25">
      <c r="A6261" t="str">
        <f>"838943659"</f>
        <v>838943659</v>
      </c>
      <c r="B6261" t="s">
        <v>5896</v>
      </c>
      <c r="C6261">
        <v>35.409999999999997</v>
      </c>
      <c r="D6261" t="str">
        <f t="shared" si="224"/>
        <v>270</v>
      </c>
    </row>
    <row r="6262" spans="1:4" x14ac:dyDescent="0.25">
      <c r="A6262" t="str">
        <f>"838943660"</f>
        <v>838943660</v>
      </c>
      <c r="B6262" t="s">
        <v>5897</v>
      </c>
      <c r="C6262">
        <v>33.200000000000003</v>
      </c>
      <c r="D6262" t="str">
        <f t="shared" si="224"/>
        <v>270</v>
      </c>
    </row>
    <row r="6263" spans="1:4" x14ac:dyDescent="0.25">
      <c r="A6263" t="str">
        <f>"838943661"</f>
        <v>838943661</v>
      </c>
      <c r="B6263" t="s">
        <v>5898</v>
      </c>
      <c r="C6263">
        <v>33.200000000000003</v>
      </c>
      <c r="D6263" t="str">
        <f t="shared" si="224"/>
        <v>270</v>
      </c>
    </row>
    <row r="6264" spans="1:4" x14ac:dyDescent="0.25">
      <c r="A6264" t="str">
        <f>"838943662"</f>
        <v>838943662</v>
      </c>
      <c r="B6264" t="s">
        <v>5899</v>
      </c>
      <c r="C6264">
        <v>34.5</v>
      </c>
      <c r="D6264" t="str">
        <f t="shared" si="224"/>
        <v>270</v>
      </c>
    </row>
    <row r="6265" spans="1:4" x14ac:dyDescent="0.25">
      <c r="A6265" t="str">
        <f>"838943663"</f>
        <v>838943663</v>
      </c>
      <c r="B6265" t="s">
        <v>5900</v>
      </c>
      <c r="C6265">
        <v>34.5</v>
      </c>
      <c r="D6265" t="str">
        <f t="shared" si="224"/>
        <v>270</v>
      </c>
    </row>
    <row r="6266" spans="1:4" x14ac:dyDescent="0.25">
      <c r="A6266" t="str">
        <f>"838943664"</f>
        <v>838943664</v>
      </c>
      <c r="B6266" t="s">
        <v>5901</v>
      </c>
      <c r="C6266">
        <v>39.03</v>
      </c>
      <c r="D6266" t="str">
        <f t="shared" si="224"/>
        <v>270</v>
      </c>
    </row>
    <row r="6267" spans="1:4" x14ac:dyDescent="0.25">
      <c r="A6267" t="str">
        <f>"838943665"</f>
        <v>838943665</v>
      </c>
      <c r="B6267" t="s">
        <v>5902</v>
      </c>
      <c r="C6267">
        <v>39.03</v>
      </c>
      <c r="D6267" t="str">
        <f t="shared" ref="D6267:D6330" si="225">"270"</f>
        <v>270</v>
      </c>
    </row>
    <row r="6268" spans="1:4" x14ac:dyDescent="0.25">
      <c r="A6268" t="str">
        <f>"838943666"</f>
        <v>838943666</v>
      </c>
      <c r="B6268" t="s">
        <v>5903</v>
      </c>
      <c r="C6268">
        <v>32.85</v>
      </c>
      <c r="D6268" t="str">
        <f t="shared" si="225"/>
        <v>270</v>
      </c>
    </row>
    <row r="6269" spans="1:4" x14ac:dyDescent="0.25">
      <c r="A6269" t="str">
        <f>"838943667"</f>
        <v>838943667</v>
      </c>
      <c r="B6269" t="s">
        <v>5904</v>
      </c>
      <c r="C6269">
        <v>32.85</v>
      </c>
      <c r="D6269" t="str">
        <f t="shared" si="225"/>
        <v>270</v>
      </c>
    </row>
    <row r="6270" spans="1:4" x14ac:dyDescent="0.25">
      <c r="A6270" t="str">
        <f>"838943668"</f>
        <v>838943668</v>
      </c>
      <c r="B6270" t="s">
        <v>5905</v>
      </c>
      <c r="C6270">
        <v>34.85</v>
      </c>
      <c r="D6270" t="str">
        <f t="shared" si="225"/>
        <v>270</v>
      </c>
    </row>
    <row r="6271" spans="1:4" x14ac:dyDescent="0.25">
      <c r="A6271" t="str">
        <f>"838943669"</f>
        <v>838943669</v>
      </c>
      <c r="B6271" t="s">
        <v>5906</v>
      </c>
      <c r="C6271">
        <v>34.85</v>
      </c>
      <c r="D6271" t="str">
        <f t="shared" si="225"/>
        <v>270</v>
      </c>
    </row>
    <row r="6272" spans="1:4" x14ac:dyDescent="0.25">
      <c r="A6272" t="str">
        <f>"838943670"</f>
        <v>838943670</v>
      </c>
      <c r="B6272" t="s">
        <v>5907</v>
      </c>
      <c r="C6272">
        <v>35.549999999999997</v>
      </c>
      <c r="D6272" t="str">
        <f t="shared" si="225"/>
        <v>270</v>
      </c>
    </row>
    <row r="6273" spans="1:4" x14ac:dyDescent="0.25">
      <c r="A6273" t="str">
        <f>"838943671"</f>
        <v>838943671</v>
      </c>
      <c r="B6273" t="s">
        <v>5908</v>
      </c>
      <c r="C6273">
        <v>35.549999999999997</v>
      </c>
      <c r="D6273" t="str">
        <f t="shared" si="225"/>
        <v>270</v>
      </c>
    </row>
    <row r="6274" spans="1:4" x14ac:dyDescent="0.25">
      <c r="A6274" t="str">
        <f>"838943672"</f>
        <v>838943672</v>
      </c>
      <c r="B6274" t="s">
        <v>5909</v>
      </c>
      <c r="C6274">
        <v>34.840000000000003</v>
      </c>
      <c r="D6274" t="str">
        <f t="shared" si="225"/>
        <v>270</v>
      </c>
    </row>
    <row r="6275" spans="1:4" x14ac:dyDescent="0.25">
      <c r="A6275" t="str">
        <f>"838943673"</f>
        <v>838943673</v>
      </c>
      <c r="B6275" t="s">
        <v>5910</v>
      </c>
      <c r="C6275">
        <v>34.840000000000003</v>
      </c>
      <c r="D6275" t="str">
        <f t="shared" si="225"/>
        <v>270</v>
      </c>
    </row>
    <row r="6276" spans="1:4" x14ac:dyDescent="0.25">
      <c r="A6276" t="str">
        <f>"838943674"</f>
        <v>838943674</v>
      </c>
      <c r="B6276" t="s">
        <v>5911</v>
      </c>
      <c r="C6276">
        <v>36.549999999999997</v>
      </c>
      <c r="D6276" t="str">
        <f t="shared" si="225"/>
        <v>270</v>
      </c>
    </row>
    <row r="6277" spans="1:4" x14ac:dyDescent="0.25">
      <c r="A6277" t="str">
        <f>"838943675"</f>
        <v>838943675</v>
      </c>
      <c r="B6277" t="s">
        <v>5912</v>
      </c>
      <c r="C6277">
        <v>36.549999999999997</v>
      </c>
      <c r="D6277" t="str">
        <f t="shared" si="225"/>
        <v>270</v>
      </c>
    </row>
    <row r="6278" spans="1:4" x14ac:dyDescent="0.25">
      <c r="A6278" t="str">
        <f>"838943676"</f>
        <v>838943676</v>
      </c>
      <c r="B6278" t="s">
        <v>5913</v>
      </c>
      <c r="C6278">
        <v>38.78</v>
      </c>
      <c r="D6278" t="str">
        <f t="shared" si="225"/>
        <v>270</v>
      </c>
    </row>
    <row r="6279" spans="1:4" x14ac:dyDescent="0.25">
      <c r="A6279" t="str">
        <f>"838943677"</f>
        <v>838943677</v>
      </c>
      <c r="B6279" t="s">
        <v>5914</v>
      </c>
      <c r="C6279">
        <v>38.78</v>
      </c>
      <c r="D6279" t="str">
        <f t="shared" si="225"/>
        <v>270</v>
      </c>
    </row>
    <row r="6280" spans="1:4" x14ac:dyDescent="0.25">
      <c r="A6280" t="str">
        <f>"838943678"</f>
        <v>838943678</v>
      </c>
      <c r="B6280" t="s">
        <v>5915</v>
      </c>
      <c r="C6280">
        <v>39.44</v>
      </c>
      <c r="D6280" t="str">
        <f t="shared" si="225"/>
        <v>270</v>
      </c>
    </row>
    <row r="6281" spans="1:4" x14ac:dyDescent="0.25">
      <c r="A6281" t="str">
        <f>"838943679"</f>
        <v>838943679</v>
      </c>
      <c r="B6281" t="s">
        <v>5916</v>
      </c>
      <c r="C6281">
        <v>39.44</v>
      </c>
      <c r="D6281" t="str">
        <f t="shared" si="225"/>
        <v>270</v>
      </c>
    </row>
    <row r="6282" spans="1:4" x14ac:dyDescent="0.25">
      <c r="A6282" t="str">
        <f>"838943680"</f>
        <v>838943680</v>
      </c>
      <c r="B6282" t="s">
        <v>2783</v>
      </c>
      <c r="C6282">
        <v>55</v>
      </c>
      <c r="D6282" t="str">
        <f t="shared" si="225"/>
        <v>270</v>
      </c>
    </row>
    <row r="6283" spans="1:4" x14ac:dyDescent="0.25">
      <c r="A6283" t="str">
        <f>"838943681"</f>
        <v>838943681</v>
      </c>
      <c r="B6283" t="s">
        <v>5917</v>
      </c>
      <c r="C6283">
        <v>27.23</v>
      </c>
      <c r="D6283" t="str">
        <f t="shared" si="225"/>
        <v>270</v>
      </c>
    </row>
    <row r="6284" spans="1:4" x14ac:dyDescent="0.25">
      <c r="A6284" t="str">
        <f>"838943682"</f>
        <v>838943682</v>
      </c>
      <c r="B6284" t="s">
        <v>5918</v>
      </c>
      <c r="C6284">
        <v>75.14</v>
      </c>
      <c r="D6284" t="str">
        <f t="shared" si="225"/>
        <v>270</v>
      </c>
    </row>
    <row r="6285" spans="1:4" x14ac:dyDescent="0.25">
      <c r="A6285" t="str">
        <f>"838943683"</f>
        <v>838943683</v>
      </c>
      <c r="B6285" t="s">
        <v>5918</v>
      </c>
      <c r="C6285">
        <v>75.14</v>
      </c>
      <c r="D6285" t="str">
        <f t="shared" si="225"/>
        <v>270</v>
      </c>
    </row>
    <row r="6286" spans="1:4" x14ac:dyDescent="0.25">
      <c r="A6286" t="str">
        <f>"838943684"</f>
        <v>838943684</v>
      </c>
      <c r="B6286" t="s">
        <v>5919</v>
      </c>
      <c r="C6286">
        <v>128.36000000000001</v>
      </c>
      <c r="D6286" t="str">
        <f t="shared" si="225"/>
        <v>270</v>
      </c>
    </row>
    <row r="6287" spans="1:4" x14ac:dyDescent="0.25">
      <c r="A6287" t="str">
        <f>"838943685"</f>
        <v>838943685</v>
      </c>
      <c r="B6287" t="s">
        <v>5919</v>
      </c>
      <c r="C6287">
        <v>128.36000000000001</v>
      </c>
      <c r="D6287" t="str">
        <f t="shared" si="225"/>
        <v>270</v>
      </c>
    </row>
    <row r="6288" spans="1:4" x14ac:dyDescent="0.25">
      <c r="A6288" t="str">
        <f>"838943686"</f>
        <v>838943686</v>
      </c>
      <c r="B6288" t="s">
        <v>5920</v>
      </c>
      <c r="C6288">
        <v>106.21</v>
      </c>
      <c r="D6288" t="str">
        <f t="shared" si="225"/>
        <v>270</v>
      </c>
    </row>
    <row r="6289" spans="1:4" x14ac:dyDescent="0.25">
      <c r="A6289" t="str">
        <f>"838943687"</f>
        <v>838943687</v>
      </c>
      <c r="B6289" t="s">
        <v>5920</v>
      </c>
      <c r="C6289">
        <v>106.21</v>
      </c>
      <c r="D6289" t="str">
        <f t="shared" si="225"/>
        <v>270</v>
      </c>
    </row>
    <row r="6290" spans="1:4" x14ac:dyDescent="0.25">
      <c r="A6290" t="str">
        <f>"838943688"</f>
        <v>838943688</v>
      </c>
      <c r="B6290" t="s">
        <v>5920</v>
      </c>
      <c r="C6290">
        <v>124.32</v>
      </c>
      <c r="D6290" t="str">
        <f t="shared" si="225"/>
        <v>270</v>
      </c>
    </row>
    <row r="6291" spans="1:4" x14ac:dyDescent="0.25">
      <c r="A6291" t="str">
        <f>"838943689"</f>
        <v>838943689</v>
      </c>
      <c r="B6291" t="s">
        <v>5920</v>
      </c>
      <c r="C6291">
        <v>124.32</v>
      </c>
      <c r="D6291" t="str">
        <f t="shared" si="225"/>
        <v>270</v>
      </c>
    </row>
    <row r="6292" spans="1:4" x14ac:dyDescent="0.25">
      <c r="A6292" t="str">
        <f>"838943690"</f>
        <v>838943690</v>
      </c>
      <c r="B6292" t="s">
        <v>5921</v>
      </c>
      <c r="C6292">
        <v>109.89</v>
      </c>
      <c r="D6292" t="str">
        <f t="shared" si="225"/>
        <v>270</v>
      </c>
    </row>
    <row r="6293" spans="1:4" x14ac:dyDescent="0.25">
      <c r="A6293" t="str">
        <f>"838943691"</f>
        <v>838943691</v>
      </c>
      <c r="B6293" t="s">
        <v>5921</v>
      </c>
      <c r="C6293">
        <v>109.89</v>
      </c>
      <c r="D6293" t="str">
        <f t="shared" si="225"/>
        <v>270</v>
      </c>
    </row>
    <row r="6294" spans="1:4" x14ac:dyDescent="0.25">
      <c r="A6294" t="str">
        <f>"838943692"</f>
        <v>838943692</v>
      </c>
      <c r="B6294" t="s">
        <v>5920</v>
      </c>
      <c r="C6294">
        <v>128.25</v>
      </c>
      <c r="D6294" t="str">
        <f t="shared" si="225"/>
        <v>270</v>
      </c>
    </row>
    <row r="6295" spans="1:4" x14ac:dyDescent="0.25">
      <c r="A6295" t="str">
        <f>"838943693"</f>
        <v>838943693</v>
      </c>
      <c r="B6295" t="s">
        <v>5920</v>
      </c>
      <c r="C6295">
        <v>128.25</v>
      </c>
      <c r="D6295" t="str">
        <f t="shared" si="225"/>
        <v>270</v>
      </c>
    </row>
    <row r="6296" spans="1:4" x14ac:dyDescent="0.25">
      <c r="A6296" t="str">
        <f>"838943694"</f>
        <v>838943694</v>
      </c>
      <c r="B6296" t="s">
        <v>5920</v>
      </c>
      <c r="C6296">
        <v>86.46</v>
      </c>
      <c r="D6296" t="str">
        <f t="shared" si="225"/>
        <v>270</v>
      </c>
    </row>
    <row r="6297" spans="1:4" x14ac:dyDescent="0.25">
      <c r="A6297" t="str">
        <f>"838943695"</f>
        <v>838943695</v>
      </c>
      <c r="B6297" t="s">
        <v>5920</v>
      </c>
      <c r="C6297">
        <v>86.46</v>
      </c>
      <c r="D6297" t="str">
        <f t="shared" si="225"/>
        <v>270</v>
      </c>
    </row>
    <row r="6298" spans="1:4" x14ac:dyDescent="0.25">
      <c r="A6298" t="str">
        <f>"838943696"</f>
        <v>838943696</v>
      </c>
      <c r="B6298" t="s">
        <v>5922</v>
      </c>
      <c r="C6298">
        <v>86.39</v>
      </c>
      <c r="D6298" t="str">
        <f t="shared" si="225"/>
        <v>270</v>
      </c>
    </row>
    <row r="6299" spans="1:4" x14ac:dyDescent="0.25">
      <c r="A6299" t="str">
        <f>"838943697"</f>
        <v>838943697</v>
      </c>
      <c r="B6299" t="s">
        <v>5922</v>
      </c>
      <c r="C6299">
        <v>86.39</v>
      </c>
      <c r="D6299" t="str">
        <f t="shared" si="225"/>
        <v>270</v>
      </c>
    </row>
    <row r="6300" spans="1:4" x14ac:dyDescent="0.25">
      <c r="A6300" t="str">
        <f>"838943698"</f>
        <v>838943698</v>
      </c>
      <c r="B6300" t="s">
        <v>5922</v>
      </c>
      <c r="C6300">
        <v>103.75</v>
      </c>
      <c r="D6300" t="str">
        <f t="shared" si="225"/>
        <v>270</v>
      </c>
    </row>
    <row r="6301" spans="1:4" x14ac:dyDescent="0.25">
      <c r="A6301" t="str">
        <f>"838943699"</f>
        <v>838943699</v>
      </c>
      <c r="B6301" t="s">
        <v>5922</v>
      </c>
      <c r="C6301">
        <v>103.75</v>
      </c>
      <c r="D6301" t="str">
        <f t="shared" si="225"/>
        <v>270</v>
      </c>
    </row>
    <row r="6302" spans="1:4" x14ac:dyDescent="0.25">
      <c r="A6302" t="str">
        <f>"838943700"</f>
        <v>838943700</v>
      </c>
      <c r="B6302" t="s">
        <v>5922</v>
      </c>
      <c r="C6302">
        <v>126.08</v>
      </c>
      <c r="D6302" t="str">
        <f t="shared" si="225"/>
        <v>270</v>
      </c>
    </row>
    <row r="6303" spans="1:4" x14ac:dyDescent="0.25">
      <c r="A6303" t="str">
        <f>"838943701"</f>
        <v>838943701</v>
      </c>
      <c r="B6303" t="s">
        <v>5922</v>
      </c>
      <c r="C6303">
        <v>126.08</v>
      </c>
      <c r="D6303" t="str">
        <f t="shared" si="225"/>
        <v>270</v>
      </c>
    </row>
    <row r="6304" spans="1:4" x14ac:dyDescent="0.25">
      <c r="A6304" t="str">
        <f>"838943702"</f>
        <v>838943702</v>
      </c>
      <c r="B6304" t="s">
        <v>5919</v>
      </c>
      <c r="C6304">
        <v>106.21</v>
      </c>
      <c r="D6304" t="str">
        <f t="shared" si="225"/>
        <v>270</v>
      </c>
    </row>
    <row r="6305" spans="1:4" x14ac:dyDescent="0.25">
      <c r="A6305" t="str">
        <f>"838943703"</f>
        <v>838943703</v>
      </c>
      <c r="B6305" t="s">
        <v>5919</v>
      </c>
      <c r="C6305">
        <v>106.21</v>
      </c>
      <c r="D6305" t="str">
        <f t="shared" si="225"/>
        <v>270</v>
      </c>
    </row>
    <row r="6306" spans="1:4" x14ac:dyDescent="0.25">
      <c r="A6306" t="str">
        <f>"838943704"</f>
        <v>838943704</v>
      </c>
      <c r="B6306" t="s">
        <v>5923</v>
      </c>
      <c r="C6306">
        <v>154.19</v>
      </c>
      <c r="D6306" t="str">
        <f t="shared" si="225"/>
        <v>270</v>
      </c>
    </row>
    <row r="6307" spans="1:4" x14ac:dyDescent="0.25">
      <c r="A6307" t="str">
        <f>"838943705"</f>
        <v>838943705</v>
      </c>
      <c r="B6307" t="s">
        <v>5923</v>
      </c>
      <c r="C6307">
        <v>154.19</v>
      </c>
      <c r="D6307" t="str">
        <f t="shared" si="225"/>
        <v>270</v>
      </c>
    </row>
    <row r="6308" spans="1:4" x14ac:dyDescent="0.25">
      <c r="A6308" t="str">
        <f>"838943706"</f>
        <v>838943706</v>
      </c>
      <c r="B6308" t="s">
        <v>5924</v>
      </c>
      <c r="C6308">
        <v>156.93</v>
      </c>
      <c r="D6308" t="str">
        <f t="shared" si="225"/>
        <v>270</v>
      </c>
    </row>
    <row r="6309" spans="1:4" x14ac:dyDescent="0.25">
      <c r="A6309" t="str">
        <f>"838943707"</f>
        <v>838943707</v>
      </c>
      <c r="B6309" t="s">
        <v>5924</v>
      </c>
      <c r="C6309">
        <v>156.93</v>
      </c>
      <c r="D6309" t="str">
        <f t="shared" si="225"/>
        <v>270</v>
      </c>
    </row>
    <row r="6310" spans="1:4" x14ac:dyDescent="0.25">
      <c r="A6310" t="str">
        <f>"838943708"</f>
        <v>838943708</v>
      </c>
      <c r="B6310" t="s">
        <v>5925</v>
      </c>
      <c r="C6310">
        <v>152</v>
      </c>
      <c r="D6310" t="str">
        <f t="shared" si="225"/>
        <v>270</v>
      </c>
    </row>
    <row r="6311" spans="1:4" x14ac:dyDescent="0.25">
      <c r="A6311" t="str">
        <f>"838943709"</f>
        <v>838943709</v>
      </c>
      <c r="B6311" t="s">
        <v>5925</v>
      </c>
      <c r="C6311">
        <v>152</v>
      </c>
      <c r="D6311" t="str">
        <f t="shared" si="225"/>
        <v>270</v>
      </c>
    </row>
    <row r="6312" spans="1:4" x14ac:dyDescent="0.25">
      <c r="A6312" t="str">
        <f>"838943710"</f>
        <v>838943710</v>
      </c>
      <c r="B6312" t="s">
        <v>5926</v>
      </c>
      <c r="C6312">
        <v>154.63</v>
      </c>
      <c r="D6312" t="str">
        <f t="shared" si="225"/>
        <v>270</v>
      </c>
    </row>
    <row r="6313" spans="1:4" x14ac:dyDescent="0.25">
      <c r="A6313" t="str">
        <f>"838943711"</f>
        <v>838943711</v>
      </c>
      <c r="B6313" t="s">
        <v>5926</v>
      </c>
      <c r="C6313">
        <v>154.63</v>
      </c>
      <c r="D6313" t="str">
        <f t="shared" si="225"/>
        <v>270</v>
      </c>
    </row>
    <row r="6314" spans="1:4" x14ac:dyDescent="0.25">
      <c r="A6314" t="str">
        <f>"838943712"</f>
        <v>838943712</v>
      </c>
      <c r="B6314" t="s">
        <v>5923</v>
      </c>
      <c r="C6314">
        <v>154.19</v>
      </c>
      <c r="D6314" t="str">
        <f t="shared" si="225"/>
        <v>270</v>
      </c>
    </row>
    <row r="6315" spans="1:4" x14ac:dyDescent="0.25">
      <c r="A6315" t="str">
        <f>"838943713"</f>
        <v>838943713</v>
      </c>
      <c r="B6315" t="s">
        <v>5923</v>
      </c>
      <c r="C6315">
        <v>154.19</v>
      </c>
      <c r="D6315" t="str">
        <f t="shared" si="225"/>
        <v>270</v>
      </c>
    </row>
    <row r="6316" spans="1:4" x14ac:dyDescent="0.25">
      <c r="A6316" t="str">
        <f>"838943714"</f>
        <v>838943714</v>
      </c>
      <c r="B6316" t="s">
        <v>5924</v>
      </c>
      <c r="C6316">
        <v>156.93</v>
      </c>
      <c r="D6316" t="str">
        <f t="shared" si="225"/>
        <v>270</v>
      </c>
    </row>
    <row r="6317" spans="1:4" x14ac:dyDescent="0.25">
      <c r="A6317" t="str">
        <f>"838943715"</f>
        <v>838943715</v>
      </c>
      <c r="B6317" t="s">
        <v>5924</v>
      </c>
      <c r="C6317">
        <v>156.93</v>
      </c>
      <c r="D6317" t="str">
        <f t="shared" si="225"/>
        <v>270</v>
      </c>
    </row>
    <row r="6318" spans="1:4" x14ac:dyDescent="0.25">
      <c r="A6318" t="str">
        <f>"838943716"</f>
        <v>838943716</v>
      </c>
      <c r="B6318" t="s">
        <v>5925</v>
      </c>
      <c r="C6318">
        <v>152</v>
      </c>
      <c r="D6318" t="str">
        <f t="shared" si="225"/>
        <v>270</v>
      </c>
    </row>
    <row r="6319" spans="1:4" x14ac:dyDescent="0.25">
      <c r="A6319" t="str">
        <f>"838943717"</f>
        <v>838943717</v>
      </c>
      <c r="B6319" t="s">
        <v>5925</v>
      </c>
      <c r="C6319">
        <v>152</v>
      </c>
      <c r="D6319" t="str">
        <f t="shared" si="225"/>
        <v>270</v>
      </c>
    </row>
    <row r="6320" spans="1:4" x14ac:dyDescent="0.25">
      <c r="A6320" t="str">
        <f>"838943718"</f>
        <v>838943718</v>
      </c>
      <c r="B6320" t="s">
        <v>5926</v>
      </c>
      <c r="C6320">
        <v>154.63</v>
      </c>
      <c r="D6320" t="str">
        <f t="shared" si="225"/>
        <v>270</v>
      </c>
    </row>
    <row r="6321" spans="1:4" x14ac:dyDescent="0.25">
      <c r="A6321" t="str">
        <f>"838943719"</f>
        <v>838943719</v>
      </c>
      <c r="B6321" t="s">
        <v>5926</v>
      </c>
      <c r="C6321">
        <v>154.63</v>
      </c>
      <c r="D6321" t="str">
        <f t="shared" si="225"/>
        <v>270</v>
      </c>
    </row>
    <row r="6322" spans="1:4" x14ac:dyDescent="0.25">
      <c r="A6322" t="str">
        <f>"838943720"</f>
        <v>838943720</v>
      </c>
      <c r="B6322" t="s">
        <v>5923</v>
      </c>
      <c r="C6322">
        <v>154.19</v>
      </c>
      <c r="D6322" t="str">
        <f t="shared" si="225"/>
        <v>270</v>
      </c>
    </row>
    <row r="6323" spans="1:4" x14ac:dyDescent="0.25">
      <c r="A6323" t="str">
        <f>"838943721"</f>
        <v>838943721</v>
      </c>
      <c r="B6323" t="s">
        <v>5923</v>
      </c>
      <c r="C6323">
        <v>154.19</v>
      </c>
      <c r="D6323" t="str">
        <f t="shared" si="225"/>
        <v>270</v>
      </c>
    </row>
    <row r="6324" spans="1:4" x14ac:dyDescent="0.25">
      <c r="A6324" t="str">
        <f>"838943722"</f>
        <v>838943722</v>
      </c>
      <c r="B6324" t="s">
        <v>5924</v>
      </c>
      <c r="C6324">
        <v>156.93</v>
      </c>
      <c r="D6324" t="str">
        <f t="shared" si="225"/>
        <v>270</v>
      </c>
    </row>
    <row r="6325" spans="1:4" x14ac:dyDescent="0.25">
      <c r="A6325" t="str">
        <f>"838943723"</f>
        <v>838943723</v>
      </c>
      <c r="B6325" t="s">
        <v>5924</v>
      </c>
      <c r="C6325">
        <v>156.93</v>
      </c>
      <c r="D6325" t="str">
        <f t="shared" si="225"/>
        <v>270</v>
      </c>
    </row>
    <row r="6326" spans="1:4" x14ac:dyDescent="0.25">
      <c r="A6326" t="str">
        <f>"838943724"</f>
        <v>838943724</v>
      </c>
      <c r="B6326" t="s">
        <v>5927</v>
      </c>
      <c r="C6326">
        <v>156.93</v>
      </c>
      <c r="D6326" t="str">
        <f t="shared" si="225"/>
        <v>270</v>
      </c>
    </row>
    <row r="6327" spans="1:4" x14ac:dyDescent="0.25">
      <c r="A6327" t="str">
        <f>"838943725"</f>
        <v>838943725</v>
      </c>
      <c r="B6327" t="s">
        <v>5927</v>
      </c>
      <c r="C6327">
        <v>156.93</v>
      </c>
      <c r="D6327" t="str">
        <f t="shared" si="225"/>
        <v>270</v>
      </c>
    </row>
    <row r="6328" spans="1:4" x14ac:dyDescent="0.25">
      <c r="A6328" t="str">
        <f>"838943726"</f>
        <v>838943726</v>
      </c>
      <c r="B6328" t="s">
        <v>5921</v>
      </c>
      <c r="C6328">
        <v>154.63</v>
      </c>
      <c r="D6328" t="str">
        <f t="shared" si="225"/>
        <v>270</v>
      </c>
    </row>
    <row r="6329" spans="1:4" x14ac:dyDescent="0.25">
      <c r="A6329" t="str">
        <f>"838943727"</f>
        <v>838943727</v>
      </c>
      <c r="B6329" t="s">
        <v>5921</v>
      </c>
      <c r="C6329">
        <v>154.63</v>
      </c>
      <c r="D6329" t="str">
        <f t="shared" si="225"/>
        <v>270</v>
      </c>
    </row>
    <row r="6330" spans="1:4" x14ac:dyDescent="0.25">
      <c r="A6330" t="str">
        <f>"838943728"</f>
        <v>838943728</v>
      </c>
      <c r="B6330" t="s">
        <v>5926</v>
      </c>
      <c r="C6330">
        <v>154.63</v>
      </c>
      <c r="D6330" t="str">
        <f t="shared" si="225"/>
        <v>270</v>
      </c>
    </row>
    <row r="6331" spans="1:4" x14ac:dyDescent="0.25">
      <c r="A6331" t="str">
        <f>"838943729"</f>
        <v>838943729</v>
      </c>
      <c r="B6331" t="s">
        <v>5926</v>
      </c>
      <c r="C6331">
        <v>154.63</v>
      </c>
      <c r="D6331" t="str">
        <f t="shared" ref="D6331:D6394" si="226">"270"</f>
        <v>270</v>
      </c>
    </row>
    <row r="6332" spans="1:4" x14ac:dyDescent="0.25">
      <c r="A6332" t="str">
        <f>"838943730"</f>
        <v>838943730</v>
      </c>
      <c r="B6332" t="s">
        <v>5920</v>
      </c>
      <c r="C6332">
        <v>128.16</v>
      </c>
      <c r="D6332" t="str">
        <f t="shared" si="226"/>
        <v>270</v>
      </c>
    </row>
    <row r="6333" spans="1:4" x14ac:dyDescent="0.25">
      <c r="A6333" t="str">
        <f>"838943731"</f>
        <v>838943731</v>
      </c>
      <c r="B6333" t="s">
        <v>5920</v>
      </c>
      <c r="C6333">
        <v>128.16</v>
      </c>
      <c r="D6333" t="str">
        <f t="shared" si="226"/>
        <v>270</v>
      </c>
    </row>
    <row r="6334" spans="1:4" x14ac:dyDescent="0.25">
      <c r="A6334" t="str">
        <f>"838943732"</f>
        <v>838943732</v>
      </c>
      <c r="B6334" t="s">
        <v>5925</v>
      </c>
      <c r="C6334">
        <v>107.26</v>
      </c>
      <c r="D6334" t="str">
        <f t="shared" si="226"/>
        <v>270</v>
      </c>
    </row>
    <row r="6335" spans="1:4" x14ac:dyDescent="0.25">
      <c r="A6335" t="str">
        <f>"838943733"</f>
        <v>838943733</v>
      </c>
      <c r="B6335" t="s">
        <v>5925</v>
      </c>
      <c r="C6335">
        <v>107.26</v>
      </c>
      <c r="D6335" t="str">
        <f t="shared" si="226"/>
        <v>270</v>
      </c>
    </row>
    <row r="6336" spans="1:4" x14ac:dyDescent="0.25">
      <c r="A6336" t="str">
        <f>"838943734"</f>
        <v>838943734</v>
      </c>
      <c r="B6336" t="s">
        <v>5919</v>
      </c>
      <c r="C6336">
        <v>128.26</v>
      </c>
      <c r="D6336" t="str">
        <f t="shared" si="226"/>
        <v>270</v>
      </c>
    </row>
    <row r="6337" spans="1:4" x14ac:dyDescent="0.25">
      <c r="A6337" t="str">
        <f>"838943735"</f>
        <v>838943735</v>
      </c>
      <c r="B6337" t="s">
        <v>5919</v>
      </c>
      <c r="C6337">
        <v>128.26</v>
      </c>
      <c r="D6337" t="str">
        <f t="shared" si="226"/>
        <v>270</v>
      </c>
    </row>
    <row r="6338" spans="1:4" x14ac:dyDescent="0.25">
      <c r="A6338" t="str">
        <f>"838943736"</f>
        <v>838943736</v>
      </c>
      <c r="B6338" t="s">
        <v>5922</v>
      </c>
      <c r="C6338">
        <v>127.28</v>
      </c>
      <c r="D6338" t="str">
        <f t="shared" si="226"/>
        <v>270</v>
      </c>
    </row>
    <row r="6339" spans="1:4" x14ac:dyDescent="0.25">
      <c r="A6339" t="str">
        <f>"838943737"</f>
        <v>838943737</v>
      </c>
      <c r="B6339" t="s">
        <v>5922</v>
      </c>
      <c r="C6339">
        <v>127.28</v>
      </c>
      <c r="D6339" t="str">
        <f t="shared" si="226"/>
        <v>270</v>
      </c>
    </row>
    <row r="6340" spans="1:4" x14ac:dyDescent="0.25">
      <c r="A6340" t="str">
        <f>"838943738"</f>
        <v>838943738</v>
      </c>
      <c r="B6340" t="s">
        <v>5919</v>
      </c>
      <c r="C6340">
        <v>134.11000000000001</v>
      </c>
      <c r="D6340" t="str">
        <f t="shared" si="226"/>
        <v>270</v>
      </c>
    </row>
    <row r="6341" spans="1:4" x14ac:dyDescent="0.25">
      <c r="A6341" t="str">
        <f>"838943739"</f>
        <v>838943739</v>
      </c>
      <c r="B6341" t="s">
        <v>5919</v>
      </c>
      <c r="C6341">
        <v>134.11000000000001</v>
      </c>
      <c r="D6341" t="str">
        <f t="shared" si="226"/>
        <v>270</v>
      </c>
    </row>
    <row r="6342" spans="1:4" x14ac:dyDescent="0.25">
      <c r="A6342" t="str">
        <f>"838943740"</f>
        <v>838943740</v>
      </c>
      <c r="B6342" t="s">
        <v>5928</v>
      </c>
      <c r="C6342">
        <v>90.48</v>
      </c>
      <c r="D6342" t="str">
        <f t="shared" si="226"/>
        <v>270</v>
      </c>
    </row>
    <row r="6343" spans="1:4" x14ac:dyDescent="0.25">
      <c r="A6343" t="str">
        <f>"838943741"</f>
        <v>838943741</v>
      </c>
      <c r="B6343" t="s">
        <v>5928</v>
      </c>
      <c r="C6343">
        <v>90.48</v>
      </c>
      <c r="D6343" t="str">
        <f t="shared" si="226"/>
        <v>270</v>
      </c>
    </row>
    <row r="6344" spans="1:4" x14ac:dyDescent="0.25">
      <c r="A6344" t="str">
        <f>"838943742"</f>
        <v>838943742</v>
      </c>
      <c r="B6344" t="s">
        <v>5929</v>
      </c>
      <c r="C6344">
        <v>144.24</v>
      </c>
      <c r="D6344" t="str">
        <f t="shared" si="226"/>
        <v>270</v>
      </c>
    </row>
    <row r="6345" spans="1:4" x14ac:dyDescent="0.25">
      <c r="A6345" t="str">
        <f>"838943743"</f>
        <v>838943743</v>
      </c>
      <c r="B6345" t="s">
        <v>5929</v>
      </c>
      <c r="C6345">
        <v>144.24</v>
      </c>
      <c r="D6345" t="str">
        <f t="shared" si="226"/>
        <v>270</v>
      </c>
    </row>
    <row r="6346" spans="1:4" x14ac:dyDescent="0.25">
      <c r="A6346" t="str">
        <f>"838943744"</f>
        <v>838943744</v>
      </c>
      <c r="B6346" t="s">
        <v>5929</v>
      </c>
      <c r="C6346">
        <v>107.66</v>
      </c>
      <c r="D6346" t="str">
        <f t="shared" si="226"/>
        <v>270</v>
      </c>
    </row>
    <row r="6347" spans="1:4" x14ac:dyDescent="0.25">
      <c r="A6347" t="str">
        <f>"838943745"</f>
        <v>838943745</v>
      </c>
      <c r="B6347" t="s">
        <v>5929</v>
      </c>
      <c r="C6347">
        <v>107.66</v>
      </c>
      <c r="D6347" t="str">
        <f t="shared" si="226"/>
        <v>270</v>
      </c>
    </row>
    <row r="6348" spans="1:4" x14ac:dyDescent="0.25">
      <c r="A6348" t="str">
        <f>"838943746"</f>
        <v>838943746</v>
      </c>
      <c r="B6348" t="s">
        <v>5930</v>
      </c>
      <c r="C6348">
        <v>113.44</v>
      </c>
      <c r="D6348" t="str">
        <f t="shared" si="226"/>
        <v>270</v>
      </c>
    </row>
    <row r="6349" spans="1:4" x14ac:dyDescent="0.25">
      <c r="A6349" t="str">
        <f>"838943747"</f>
        <v>838943747</v>
      </c>
      <c r="B6349" t="s">
        <v>5930</v>
      </c>
      <c r="C6349">
        <v>113.44</v>
      </c>
      <c r="D6349" t="str">
        <f t="shared" si="226"/>
        <v>270</v>
      </c>
    </row>
    <row r="6350" spans="1:4" x14ac:dyDescent="0.25">
      <c r="A6350" t="str">
        <f>"838943748"</f>
        <v>838943748</v>
      </c>
      <c r="B6350" t="s">
        <v>5930</v>
      </c>
      <c r="C6350">
        <v>186.99</v>
      </c>
      <c r="D6350" t="str">
        <f t="shared" si="226"/>
        <v>270</v>
      </c>
    </row>
    <row r="6351" spans="1:4" x14ac:dyDescent="0.25">
      <c r="A6351" t="str">
        <f>"838943749"</f>
        <v>838943749</v>
      </c>
      <c r="B6351" t="s">
        <v>5930</v>
      </c>
      <c r="C6351">
        <v>186.99</v>
      </c>
      <c r="D6351" t="str">
        <f t="shared" si="226"/>
        <v>270</v>
      </c>
    </row>
    <row r="6352" spans="1:4" x14ac:dyDescent="0.25">
      <c r="A6352" t="str">
        <f>"838943750"</f>
        <v>838943750</v>
      </c>
      <c r="B6352" t="s">
        <v>5931</v>
      </c>
      <c r="C6352">
        <v>179.92</v>
      </c>
      <c r="D6352" t="str">
        <f t="shared" si="226"/>
        <v>270</v>
      </c>
    </row>
    <row r="6353" spans="1:4" x14ac:dyDescent="0.25">
      <c r="A6353" t="str">
        <f>"838943751"</f>
        <v>838943751</v>
      </c>
      <c r="B6353" t="s">
        <v>5931</v>
      </c>
      <c r="C6353">
        <v>179.92</v>
      </c>
      <c r="D6353" t="str">
        <f t="shared" si="226"/>
        <v>270</v>
      </c>
    </row>
    <row r="6354" spans="1:4" x14ac:dyDescent="0.25">
      <c r="A6354" t="str">
        <f>"838943752"</f>
        <v>838943752</v>
      </c>
      <c r="B6354" t="s">
        <v>5929</v>
      </c>
      <c r="C6354">
        <v>88.11</v>
      </c>
      <c r="D6354" t="str">
        <f t="shared" si="226"/>
        <v>270</v>
      </c>
    </row>
    <row r="6355" spans="1:4" x14ac:dyDescent="0.25">
      <c r="A6355" t="str">
        <f>"838943753"</f>
        <v>838943753</v>
      </c>
      <c r="B6355" t="s">
        <v>5929</v>
      </c>
      <c r="C6355">
        <v>88.11</v>
      </c>
      <c r="D6355" t="str">
        <f t="shared" si="226"/>
        <v>270</v>
      </c>
    </row>
    <row r="6356" spans="1:4" x14ac:dyDescent="0.25">
      <c r="A6356" t="str">
        <f>"838943754"</f>
        <v>838943754</v>
      </c>
      <c r="B6356" t="s">
        <v>5931</v>
      </c>
      <c r="C6356">
        <v>167.67</v>
      </c>
      <c r="D6356" t="str">
        <f t="shared" si="226"/>
        <v>270</v>
      </c>
    </row>
    <row r="6357" spans="1:4" x14ac:dyDescent="0.25">
      <c r="A6357" t="str">
        <f>"838943755"</f>
        <v>838943755</v>
      </c>
      <c r="B6357" t="s">
        <v>5931</v>
      </c>
      <c r="C6357">
        <v>167.67</v>
      </c>
      <c r="D6357" t="str">
        <f t="shared" si="226"/>
        <v>270</v>
      </c>
    </row>
    <row r="6358" spans="1:4" x14ac:dyDescent="0.25">
      <c r="A6358" t="str">
        <f>"838943756"</f>
        <v>838943756</v>
      </c>
      <c r="B6358" t="s">
        <v>5932</v>
      </c>
      <c r="C6358">
        <v>255.42</v>
      </c>
      <c r="D6358" t="str">
        <f t="shared" si="226"/>
        <v>270</v>
      </c>
    </row>
    <row r="6359" spans="1:4" x14ac:dyDescent="0.25">
      <c r="A6359" t="str">
        <f>"838943757"</f>
        <v>838943757</v>
      </c>
      <c r="B6359" t="s">
        <v>5932</v>
      </c>
      <c r="C6359">
        <v>255.42</v>
      </c>
      <c r="D6359" t="str">
        <f t="shared" si="226"/>
        <v>270</v>
      </c>
    </row>
    <row r="6360" spans="1:4" x14ac:dyDescent="0.25">
      <c r="A6360" t="str">
        <f>"838943758"</f>
        <v>838943758</v>
      </c>
      <c r="B6360" t="s">
        <v>5933</v>
      </c>
      <c r="C6360">
        <v>208.43</v>
      </c>
      <c r="D6360" t="str">
        <f t="shared" si="226"/>
        <v>270</v>
      </c>
    </row>
    <row r="6361" spans="1:4" x14ac:dyDescent="0.25">
      <c r="A6361" t="str">
        <f>"838943759"</f>
        <v>838943759</v>
      </c>
      <c r="B6361" t="s">
        <v>5933</v>
      </c>
      <c r="C6361">
        <v>208.43</v>
      </c>
      <c r="D6361" t="str">
        <f t="shared" si="226"/>
        <v>270</v>
      </c>
    </row>
    <row r="6362" spans="1:4" x14ac:dyDescent="0.25">
      <c r="A6362" t="str">
        <f>"838943760"</f>
        <v>838943760</v>
      </c>
      <c r="B6362" t="s">
        <v>5934</v>
      </c>
      <c r="C6362">
        <v>506.83</v>
      </c>
      <c r="D6362" t="str">
        <f t="shared" si="226"/>
        <v>270</v>
      </c>
    </row>
    <row r="6363" spans="1:4" x14ac:dyDescent="0.25">
      <c r="A6363" t="str">
        <f>"838943761"</f>
        <v>838943761</v>
      </c>
      <c r="B6363" t="s">
        <v>5934</v>
      </c>
      <c r="C6363">
        <v>506.83</v>
      </c>
      <c r="D6363" t="str">
        <f t="shared" si="226"/>
        <v>270</v>
      </c>
    </row>
    <row r="6364" spans="1:4" x14ac:dyDescent="0.25">
      <c r="A6364" t="str">
        <f>"838943762"</f>
        <v>838943762</v>
      </c>
      <c r="B6364" t="s">
        <v>5935</v>
      </c>
      <c r="C6364">
        <v>487.23</v>
      </c>
      <c r="D6364" t="str">
        <f t="shared" si="226"/>
        <v>270</v>
      </c>
    </row>
    <row r="6365" spans="1:4" x14ac:dyDescent="0.25">
      <c r="A6365" t="str">
        <f>"838943763"</f>
        <v>838943763</v>
      </c>
      <c r="B6365" t="s">
        <v>5935</v>
      </c>
      <c r="C6365">
        <v>487.23</v>
      </c>
      <c r="D6365" t="str">
        <f t="shared" si="226"/>
        <v>270</v>
      </c>
    </row>
    <row r="6366" spans="1:4" x14ac:dyDescent="0.25">
      <c r="A6366" t="str">
        <f>"838943764"</f>
        <v>838943764</v>
      </c>
      <c r="B6366" t="s">
        <v>5936</v>
      </c>
      <c r="C6366">
        <v>491.41</v>
      </c>
      <c r="D6366" t="str">
        <f t="shared" si="226"/>
        <v>270</v>
      </c>
    </row>
    <row r="6367" spans="1:4" x14ac:dyDescent="0.25">
      <c r="A6367" t="str">
        <f>"838943765"</f>
        <v>838943765</v>
      </c>
      <c r="B6367" t="s">
        <v>5936</v>
      </c>
      <c r="C6367">
        <v>491.41</v>
      </c>
      <c r="D6367" t="str">
        <f t="shared" si="226"/>
        <v>270</v>
      </c>
    </row>
    <row r="6368" spans="1:4" x14ac:dyDescent="0.25">
      <c r="A6368" t="str">
        <f>"838943766"</f>
        <v>838943766</v>
      </c>
      <c r="B6368" t="s">
        <v>5937</v>
      </c>
      <c r="C6368">
        <v>491.08</v>
      </c>
      <c r="D6368" t="str">
        <f t="shared" si="226"/>
        <v>270</v>
      </c>
    </row>
    <row r="6369" spans="1:4" x14ac:dyDescent="0.25">
      <c r="A6369" t="str">
        <f>"838943767"</f>
        <v>838943767</v>
      </c>
      <c r="B6369" t="s">
        <v>5937</v>
      </c>
      <c r="C6369">
        <v>491.08</v>
      </c>
      <c r="D6369" t="str">
        <f t="shared" si="226"/>
        <v>270</v>
      </c>
    </row>
    <row r="6370" spans="1:4" x14ac:dyDescent="0.25">
      <c r="A6370" t="str">
        <f>"838943768"</f>
        <v>838943768</v>
      </c>
      <c r="B6370" t="s">
        <v>5938</v>
      </c>
      <c r="C6370">
        <v>664.64</v>
      </c>
      <c r="D6370" t="str">
        <f t="shared" si="226"/>
        <v>270</v>
      </c>
    </row>
    <row r="6371" spans="1:4" x14ac:dyDescent="0.25">
      <c r="A6371" t="str">
        <f>"838943769"</f>
        <v>838943769</v>
      </c>
      <c r="B6371" t="s">
        <v>5938</v>
      </c>
      <c r="C6371">
        <v>664.64</v>
      </c>
      <c r="D6371" t="str">
        <f t="shared" si="226"/>
        <v>270</v>
      </c>
    </row>
    <row r="6372" spans="1:4" x14ac:dyDescent="0.25">
      <c r="A6372" t="str">
        <f>"838943770"</f>
        <v>838943770</v>
      </c>
      <c r="B6372" t="s">
        <v>5928</v>
      </c>
      <c r="C6372">
        <v>409.87</v>
      </c>
      <c r="D6372" t="str">
        <f t="shared" si="226"/>
        <v>270</v>
      </c>
    </row>
    <row r="6373" spans="1:4" x14ac:dyDescent="0.25">
      <c r="A6373" t="str">
        <f>"838943771"</f>
        <v>838943771</v>
      </c>
      <c r="B6373" t="s">
        <v>5928</v>
      </c>
      <c r="C6373">
        <v>409.87</v>
      </c>
      <c r="D6373" t="str">
        <f t="shared" si="226"/>
        <v>270</v>
      </c>
    </row>
    <row r="6374" spans="1:4" x14ac:dyDescent="0.25">
      <c r="A6374" t="str">
        <f>"838943772"</f>
        <v>838943772</v>
      </c>
      <c r="B6374" t="s">
        <v>5939</v>
      </c>
      <c r="C6374">
        <v>136.62</v>
      </c>
      <c r="D6374" t="str">
        <f t="shared" si="226"/>
        <v>270</v>
      </c>
    </row>
    <row r="6375" spans="1:4" x14ac:dyDescent="0.25">
      <c r="A6375" t="str">
        <f>"838943773"</f>
        <v>838943773</v>
      </c>
      <c r="B6375" t="s">
        <v>5939</v>
      </c>
      <c r="C6375">
        <v>136.62</v>
      </c>
      <c r="D6375" t="str">
        <f t="shared" si="226"/>
        <v>270</v>
      </c>
    </row>
    <row r="6376" spans="1:4" x14ac:dyDescent="0.25">
      <c r="A6376" t="str">
        <f>"838943774"</f>
        <v>838943774</v>
      </c>
      <c r="B6376" t="s">
        <v>5939</v>
      </c>
      <c r="C6376">
        <v>494.58</v>
      </c>
      <c r="D6376" t="str">
        <f t="shared" si="226"/>
        <v>270</v>
      </c>
    </row>
    <row r="6377" spans="1:4" x14ac:dyDescent="0.25">
      <c r="A6377" t="str">
        <f>"838943775"</f>
        <v>838943775</v>
      </c>
      <c r="B6377" t="s">
        <v>5939</v>
      </c>
      <c r="C6377">
        <v>494.58</v>
      </c>
      <c r="D6377" t="str">
        <f t="shared" si="226"/>
        <v>270</v>
      </c>
    </row>
    <row r="6378" spans="1:4" x14ac:dyDescent="0.25">
      <c r="A6378" t="str">
        <f>"838943776"</f>
        <v>838943776</v>
      </c>
      <c r="B6378" t="s">
        <v>5939</v>
      </c>
      <c r="C6378">
        <v>507.68</v>
      </c>
      <c r="D6378" t="str">
        <f t="shared" si="226"/>
        <v>270</v>
      </c>
    </row>
    <row r="6379" spans="1:4" x14ac:dyDescent="0.25">
      <c r="A6379" t="str">
        <f>"838943777"</f>
        <v>838943777</v>
      </c>
      <c r="B6379" t="s">
        <v>5939</v>
      </c>
      <c r="C6379">
        <v>507.68</v>
      </c>
      <c r="D6379" t="str">
        <f t="shared" si="226"/>
        <v>270</v>
      </c>
    </row>
    <row r="6380" spans="1:4" x14ac:dyDescent="0.25">
      <c r="A6380" t="str">
        <f>"838943778"</f>
        <v>838943778</v>
      </c>
      <c r="B6380" t="s">
        <v>5939</v>
      </c>
      <c r="C6380">
        <v>342.63</v>
      </c>
      <c r="D6380" t="str">
        <f t="shared" si="226"/>
        <v>270</v>
      </c>
    </row>
    <row r="6381" spans="1:4" x14ac:dyDescent="0.25">
      <c r="A6381" t="str">
        <f>"838943779"</f>
        <v>838943779</v>
      </c>
      <c r="B6381" t="s">
        <v>5939</v>
      </c>
      <c r="C6381">
        <v>342.63</v>
      </c>
      <c r="D6381" t="str">
        <f t="shared" si="226"/>
        <v>270</v>
      </c>
    </row>
    <row r="6382" spans="1:4" x14ac:dyDescent="0.25">
      <c r="A6382" t="str">
        <f>"838943780"</f>
        <v>838943780</v>
      </c>
      <c r="B6382" t="s">
        <v>5940</v>
      </c>
      <c r="C6382">
        <v>400.05</v>
      </c>
      <c r="D6382" t="str">
        <f t="shared" si="226"/>
        <v>270</v>
      </c>
    </row>
    <row r="6383" spans="1:4" x14ac:dyDescent="0.25">
      <c r="A6383" t="str">
        <f>"838943781"</f>
        <v>838943781</v>
      </c>
      <c r="B6383" t="s">
        <v>5940</v>
      </c>
      <c r="C6383">
        <v>400.05</v>
      </c>
      <c r="D6383" t="str">
        <f t="shared" si="226"/>
        <v>270</v>
      </c>
    </row>
    <row r="6384" spans="1:4" x14ac:dyDescent="0.25">
      <c r="A6384" t="str">
        <f>"838943782"</f>
        <v>838943782</v>
      </c>
      <c r="B6384" t="s">
        <v>5940</v>
      </c>
      <c r="C6384">
        <v>494.46</v>
      </c>
      <c r="D6384" t="str">
        <f t="shared" si="226"/>
        <v>270</v>
      </c>
    </row>
    <row r="6385" spans="1:4" x14ac:dyDescent="0.25">
      <c r="A6385" t="str">
        <f>"838943783"</f>
        <v>838943783</v>
      </c>
      <c r="B6385" t="s">
        <v>5940</v>
      </c>
      <c r="C6385">
        <v>494.46</v>
      </c>
      <c r="D6385" t="str">
        <f t="shared" si="226"/>
        <v>270</v>
      </c>
    </row>
    <row r="6386" spans="1:4" x14ac:dyDescent="0.25">
      <c r="A6386" t="str">
        <f>"838943784"</f>
        <v>838943784</v>
      </c>
      <c r="B6386" t="s">
        <v>5934</v>
      </c>
      <c r="C6386">
        <v>409.87</v>
      </c>
      <c r="D6386" t="str">
        <f t="shared" si="226"/>
        <v>270</v>
      </c>
    </row>
    <row r="6387" spans="1:4" x14ac:dyDescent="0.25">
      <c r="A6387" t="str">
        <f>"838943785"</f>
        <v>838943785</v>
      </c>
      <c r="B6387" t="s">
        <v>5934</v>
      </c>
      <c r="C6387">
        <v>409.87</v>
      </c>
      <c r="D6387" t="str">
        <f t="shared" si="226"/>
        <v>270</v>
      </c>
    </row>
    <row r="6388" spans="1:4" x14ac:dyDescent="0.25">
      <c r="A6388" t="str">
        <f>"838943786"</f>
        <v>838943786</v>
      </c>
      <c r="B6388" t="s">
        <v>5941</v>
      </c>
      <c r="C6388">
        <v>424.61</v>
      </c>
      <c r="D6388" t="str">
        <f t="shared" si="226"/>
        <v>270</v>
      </c>
    </row>
    <row r="6389" spans="1:4" x14ac:dyDescent="0.25">
      <c r="A6389" t="str">
        <f>"838943787"</f>
        <v>838943787</v>
      </c>
      <c r="B6389" t="s">
        <v>5941</v>
      </c>
      <c r="C6389">
        <v>424.61</v>
      </c>
      <c r="D6389" t="str">
        <f t="shared" si="226"/>
        <v>270</v>
      </c>
    </row>
    <row r="6390" spans="1:4" x14ac:dyDescent="0.25">
      <c r="A6390" t="str">
        <f>"838943788"</f>
        <v>838943788</v>
      </c>
      <c r="B6390" t="s">
        <v>5942</v>
      </c>
      <c r="C6390">
        <v>601.80999999999995</v>
      </c>
      <c r="D6390" t="str">
        <f t="shared" si="226"/>
        <v>270</v>
      </c>
    </row>
    <row r="6391" spans="1:4" x14ac:dyDescent="0.25">
      <c r="A6391" t="str">
        <f>"838943789"</f>
        <v>838943789</v>
      </c>
      <c r="B6391" t="s">
        <v>5942</v>
      </c>
      <c r="C6391">
        <v>601.80999999999995</v>
      </c>
      <c r="D6391" t="str">
        <f t="shared" si="226"/>
        <v>270</v>
      </c>
    </row>
    <row r="6392" spans="1:4" x14ac:dyDescent="0.25">
      <c r="A6392" t="str">
        <f>"838943790"</f>
        <v>838943790</v>
      </c>
      <c r="B6392" t="s">
        <v>5943</v>
      </c>
      <c r="C6392">
        <v>603.55999999999995</v>
      </c>
      <c r="D6392" t="str">
        <f t="shared" si="226"/>
        <v>270</v>
      </c>
    </row>
    <row r="6393" spans="1:4" x14ac:dyDescent="0.25">
      <c r="A6393" t="str">
        <f>"838943791"</f>
        <v>838943791</v>
      </c>
      <c r="B6393" t="s">
        <v>5943</v>
      </c>
      <c r="C6393">
        <v>603.55999999999995</v>
      </c>
      <c r="D6393" t="str">
        <f t="shared" si="226"/>
        <v>270</v>
      </c>
    </row>
    <row r="6394" spans="1:4" x14ac:dyDescent="0.25">
      <c r="A6394" t="str">
        <f>"838943792"</f>
        <v>838943792</v>
      </c>
      <c r="B6394" t="s">
        <v>5944</v>
      </c>
      <c r="C6394">
        <v>612.77</v>
      </c>
      <c r="D6394" t="str">
        <f t="shared" si="226"/>
        <v>270</v>
      </c>
    </row>
    <row r="6395" spans="1:4" x14ac:dyDescent="0.25">
      <c r="A6395" t="str">
        <f>"838943793"</f>
        <v>838943793</v>
      </c>
      <c r="B6395" t="s">
        <v>5944</v>
      </c>
      <c r="C6395">
        <v>612.77</v>
      </c>
      <c r="D6395" t="str">
        <f t="shared" ref="D6395:D6458" si="227">"270"</f>
        <v>270</v>
      </c>
    </row>
    <row r="6396" spans="1:4" x14ac:dyDescent="0.25">
      <c r="A6396" t="str">
        <f>"838943794"</f>
        <v>838943794</v>
      </c>
      <c r="B6396" t="s">
        <v>5945</v>
      </c>
      <c r="C6396">
        <v>305.27</v>
      </c>
      <c r="D6396" t="str">
        <f t="shared" si="227"/>
        <v>270</v>
      </c>
    </row>
    <row r="6397" spans="1:4" x14ac:dyDescent="0.25">
      <c r="A6397" t="str">
        <f>"838943795"</f>
        <v>838943795</v>
      </c>
      <c r="B6397" t="s">
        <v>5945</v>
      </c>
      <c r="C6397">
        <v>305.27</v>
      </c>
      <c r="D6397" t="str">
        <f t="shared" si="227"/>
        <v>270</v>
      </c>
    </row>
    <row r="6398" spans="1:4" x14ac:dyDescent="0.25">
      <c r="A6398" t="str">
        <f>"838943796"</f>
        <v>838943796</v>
      </c>
      <c r="B6398" t="s">
        <v>5946</v>
      </c>
      <c r="C6398">
        <v>593.03</v>
      </c>
      <c r="D6398" t="str">
        <f t="shared" si="227"/>
        <v>270</v>
      </c>
    </row>
    <row r="6399" spans="1:4" x14ac:dyDescent="0.25">
      <c r="A6399" t="str">
        <f>"838943797"</f>
        <v>838943797</v>
      </c>
      <c r="B6399" t="s">
        <v>5946</v>
      </c>
      <c r="C6399">
        <v>593.03</v>
      </c>
      <c r="D6399" t="str">
        <f t="shared" si="227"/>
        <v>270</v>
      </c>
    </row>
    <row r="6400" spans="1:4" x14ac:dyDescent="0.25">
      <c r="A6400" t="str">
        <f>"838943798"</f>
        <v>838943798</v>
      </c>
      <c r="B6400" t="s">
        <v>5941</v>
      </c>
      <c r="C6400">
        <v>603.55999999999995</v>
      </c>
      <c r="D6400" t="str">
        <f t="shared" si="227"/>
        <v>270</v>
      </c>
    </row>
    <row r="6401" spans="1:4" x14ac:dyDescent="0.25">
      <c r="A6401" t="str">
        <f>"838943799"</f>
        <v>838943799</v>
      </c>
      <c r="B6401" t="s">
        <v>5941</v>
      </c>
      <c r="C6401">
        <v>603.55999999999995</v>
      </c>
      <c r="D6401" t="str">
        <f t="shared" si="227"/>
        <v>270</v>
      </c>
    </row>
    <row r="6402" spans="1:4" x14ac:dyDescent="0.25">
      <c r="A6402" t="str">
        <f>"838943800"</f>
        <v>838943800</v>
      </c>
      <c r="B6402" t="s">
        <v>5947</v>
      </c>
      <c r="C6402">
        <v>300</v>
      </c>
      <c r="D6402" t="str">
        <f t="shared" si="227"/>
        <v>270</v>
      </c>
    </row>
    <row r="6403" spans="1:4" x14ac:dyDescent="0.25">
      <c r="A6403" t="str">
        <f>"838943801"</f>
        <v>838943801</v>
      </c>
      <c r="B6403" t="s">
        <v>5947</v>
      </c>
      <c r="C6403">
        <v>300</v>
      </c>
      <c r="D6403" t="str">
        <f t="shared" si="227"/>
        <v>270</v>
      </c>
    </row>
    <row r="6404" spans="1:4" x14ac:dyDescent="0.25">
      <c r="A6404" t="str">
        <f>"838943802"</f>
        <v>838943802</v>
      </c>
      <c r="B6404" t="s">
        <v>5948</v>
      </c>
      <c r="C6404">
        <v>305.27</v>
      </c>
      <c r="D6404" t="str">
        <f t="shared" si="227"/>
        <v>270</v>
      </c>
    </row>
    <row r="6405" spans="1:4" x14ac:dyDescent="0.25">
      <c r="A6405" t="str">
        <f>"838943803"</f>
        <v>838943803</v>
      </c>
      <c r="B6405" t="s">
        <v>5948</v>
      </c>
      <c r="C6405">
        <v>305.27</v>
      </c>
      <c r="D6405" t="str">
        <f t="shared" si="227"/>
        <v>270</v>
      </c>
    </row>
    <row r="6406" spans="1:4" x14ac:dyDescent="0.25">
      <c r="A6406" t="str">
        <f>"838943804"</f>
        <v>838943804</v>
      </c>
      <c r="B6406" t="s">
        <v>5949</v>
      </c>
      <c r="C6406">
        <v>304.39</v>
      </c>
      <c r="D6406" t="str">
        <f t="shared" si="227"/>
        <v>270</v>
      </c>
    </row>
    <row r="6407" spans="1:4" x14ac:dyDescent="0.25">
      <c r="A6407" t="str">
        <f>"838943805"</f>
        <v>838943805</v>
      </c>
      <c r="B6407" t="s">
        <v>5949</v>
      </c>
      <c r="C6407">
        <v>304.39</v>
      </c>
      <c r="D6407" t="str">
        <f t="shared" si="227"/>
        <v>270</v>
      </c>
    </row>
    <row r="6408" spans="1:4" x14ac:dyDescent="0.25">
      <c r="A6408" t="str">
        <f>"838943806"</f>
        <v>838943806</v>
      </c>
      <c r="B6408" t="s">
        <v>5950</v>
      </c>
      <c r="C6408">
        <v>309.87</v>
      </c>
      <c r="D6408" t="str">
        <f t="shared" si="227"/>
        <v>270</v>
      </c>
    </row>
    <row r="6409" spans="1:4" x14ac:dyDescent="0.25">
      <c r="A6409" t="str">
        <f>"838943807"</f>
        <v>838943807</v>
      </c>
      <c r="B6409" t="s">
        <v>5950</v>
      </c>
      <c r="C6409">
        <v>309.87</v>
      </c>
      <c r="D6409" t="str">
        <f t="shared" si="227"/>
        <v>270</v>
      </c>
    </row>
    <row r="6410" spans="1:4" x14ac:dyDescent="0.25">
      <c r="A6410" t="str">
        <f>"838943808"</f>
        <v>838943808</v>
      </c>
      <c r="B6410" t="s">
        <v>5944</v>
      </c>
      <c r="C6410">
        <v>603.55999999999995</v>
      </c>
      <c r="D6410" t="str">
        <f t="shared" si="227"/>
        <v>270</v>
      </c>
    </row>
    <row r="6411" spans="1:4" x14ac:dyDescent="0.25">
      <c r="A6411" t="str">
        <f>"838943809"</f>
        <v>838943809</v>
      </c>
      <c r="B6411" t="s">
        <v>5944</v>
      </c>
      <c r="C6411">
        <v>603.55999999999995</v>
      </c>
      <c r="D6411" t="str">
        <f t="shared" si="227"/>
        <v>270</v>
      </c>
    </row>
    <row r="6412" spans="1:4" x14ac:dyDescent="0.25">
      <c r="A6412" t="str">
        <f>"838943810"</f>
        <v>838943810</v>
      </c>
      <c r="B6412" t="s">
        <v>5949</v>
      </c>
      <c r="C6412">
        <v>300.45</v>
      </c>
      <c r="D6412" t="str">
        <f t="shared" si="227"/>
        <v>270</v>
      </c>
    </row>
    <row r="6413" spans="1:4" x14ac:dyDescent="0.25">
      <c r="A6413" t="str">
        <f>"838943811"</f>
        <v>838943811</v>
      </c>
      <c r="B6413" t="s">
        <v>5949</v>
      </c>
      <c r="C6413">
        <v>300.45</v>
      </c>
      <c r="D6413" t="str">
        <f t="shared" si="227"/>
        <v>270</v>
      </c>
    </row>
    <row r="6414" spans="1:4" x14ac:dyDescent="0.25">
      <c r="A6414" t="str">
        <f>"838943812"</f>
        <v>838943812</v>
      </c>
      <c r="B6414" t="s">
        <v>5950</v>
      </c>
      <c r="C6414">
        <v>305.27</v>
      </c>
      <c r="D6414" t="str">
        <f t="shared" si="227"/>
        <v>270</v>
      </c>
    </row>
    <row r="6415" spans="1:4" x14ac:dyDescent="0.25">
      <c r="A6415" t="str">
        <f>"838943813"</f>
        <v>838943813</v>
      </c>
      <c r="B6415" t="s">
        <v>5950</v>
      </c>
      <c r="C6415">
        <v>305.27</v>
      </c>
      <c r="D6415" t="str">
        <f t="shared" si="227"/>
        <v>270</v>
      </c>
    </row>
    <row r="6416" spans="1:4" x14ac:dyDescent="0.25">
      <c r="A6416" t="str">
        <f>"838943814"</f>
        <v>838943814</v>
      </c>
      <c r="B6416" t="s">
        <v>5938</v>
      </c>
      <c r="C6416">
        <v>603.55999999999995</v>
      </c>
      <c r="D6416" t="str">
        <f t="shared" si="227"/>
        <v>270</v>
      </c>
    </row>
    <row r="6417" spans="1:4" x14ac:dyDescent="0.25">
      <c r="A6417" t="str">
        <f>"838943815"</f>
        <v>838943815</v>
      </c>
      <c r="B6417" t="s">
        <v>5938</v>
      </c>
      <c r="C6417">
        <v>603.55999999999995</v>
      </c>
      <c r="D6417" t="str">
        <f t="shared" si="227"/>
        <v>270</v>
      </c>
    </row>
    <row r="6418" spans="1:4" x14ac:dyDescent="0.25">
      <c r="A6418" t="str">
        <f>"838943816"</f>
        <v>838943816</v>
      </c>
      <c r="B6418" t="s">
        <v>5947</v>
      </c>
      <c r="C6418">
        <v>300</v>
      </c>
      <c r="D6418" t="str">
        <f t="shared" si="227"/>
        <v>270</v>
      </c>
    </row>
    <row r="6419" spans="1:4" x14ac:dyDescent="0.25">
      <c r="A6419" t="str">
        <f>"838943817"</f>
        <v>838943817</v>
      </c>
      <c r="B6419" t="s">
        <v>5947</v>
      </c>
      <c r="C6419">
        <v>300</v>
      </c>
      <c r="D6419" t="str">
        <f t="shared" si="227"/>
        <v>270</v>
      </c>
    </row>
    <row r="6420" spans="1:4" x14ac:dyDescent="0.25">
      <c r="A6420" t="str">
        <f>"838943818"</f>
        <v>838943818</v>
      </c>
      <c r="B6420" t="s">
        <v>5951</v>
      </c>
      <c r="C6420">
        <v>305.27</v>
      </c>
      <c r="D6420" t="str">
        <f t="shared" si="227"/>
        <v>270</v>
      </c>
    </row>
    <row r="6421" spans="1:4" x14ac:dyDescent="0.25">
      <c r="A6421" t="str">
        <f>"838943819"</f>
        <v>838943819</v>
      </c>
      <c r="B6421" t="s">
        <v>5951</v>
      </c>
      <c r="C6421">
        <v>305.27</v>
      </c>
      <c r="D6421" t="str">
        <f t="shared" si="227"/>
        <v>270</v>
      </c>
    </row>
    <row r="6422" spans="1:4" x14ac:dyDescent="0.25">
      <c r="A6422" t="str">
        <f>"838943820"</f>
        <v>838943820</v>
      </c>
      <c r="B6422" t="s">
        <v>5952</v>
      </c>
      <c r="C6422">
        <v>603.55999999999995</v>
      </c>
      <c r="D6422" t="str">
        <f t="shared" si="227"/>
        <v>270</v>
      </c>
    </row>
    <row r="6423" spans="1:4" x14ac:dyDescent="0.25">
      <c r="A6423" t="str">
        <f>"838943821"</f>
        <v>838943821</v>
      </c>
      <c r="B6423" t="s">
        <v>5952</v>
      </c>
      <c r="C6423">
        <v>603.55999999999995</v>
      </c>
      <c r="D6423" t="str">
        <f t="shared" si="227"/>
        <v>270</v>
      </c>
    </row>
    <row r="6424" spans="1:4" x14ac:dyDescent="0.25">
      <c r="A6424" t="str">
        <f>"838943822"</f>
        <v>838943822</v>
      </c>
      <c r="B6424" t="s">
        <v>5949</v>
      </c>
      <c r="C6424">
        <v>345.3</v>
      </c>
      <c r="D6424" t="str">
        <f t="shared" si="227"/>
        <v>270</v>
      </c>
    </row>
    <row r="6425" spans="1:4" x14ac:dyDescent="0.25">
      <c r="A6425" t="str">
        <f>"838943823"</f>
        <v>838943823</v>
      </c>
      <c r="B6425" t="s">
        <v>5949</v>
      </c>
      <c r="C6425">
        <v>345.3</v>
      </c>
      <c r="D6425" t="str">
        <f t="shared" si="227"/>
        <v>270</v>
      </c>
    </row>
    <row r="6426" spans="1:4" x14ac:dyDescent="0.25">
      <c r="A6426" t="str">
        <f>"838943824"</f>
        <v>838943824</v>
      </c>
      <c r="B6426" t="s">
        <v>5950</v>
      </c>
      <c r="C6426">
        <v>338.79</v>
      </c>
      <c r="D6426" t="str">
        <f t="shared" si="227"/>
        <v>270</v>
      </c>
    </row>
    <row r="6427" spans="1:4" x14ac:dyDescent="0.25">
      <c r="A6427" t="str">
        <f>"838943825"</f>
        <v>838943825</v>
      </c>
      <c r="B6427" t="s">
        <v>5950</v>
      </c>
      <c r="C6427">
        <v>338.79</v>
      </c>
      <c r="D6427" t="str">
        <f t="shared" si="227"/>
        <v>270</v>
      </c>
    </row>
    <row r="6428" spans="1:4" x14ac:dyDescent="0.25">
      <c r="A6428" t="str">
        <f>"838943826"</f>
        <v>838943826</v>
      </c>
      <c r="B6428" t="s">
        <v>5953</v>
      </c>
      <c r="C6428">
        <v>305.27</v>
      </c>
      <c r="D6428" t="str">
        <f t="shared" si="227"/>
        <v>270</v>
      </c>
    </row>
    <row r="6429" spans="1:4" x14ac:dyDescent="0.25">
      <c r="A6429" t="str">
        <f>"838943827"</f>
        <v>838943827</v>
      </c>
      <c r="B6429" t="s">
        <v>5953</v>
      </c>
      <c r="C6429">
        <v>305.27</v>
      </c>
      <c r="D6429" t="str">
        <f t="shared" si="227"/>
        <v>270</v>
      </c>
    </row>
    <row r="6430" spans="1:4" x14ac:dyDescent="0.25">
      <c r="A6430" t="str">
        <f>"838943828"</f>
        <v>838943828</v>
      </c>
      <c r="B6430" t="s">
        <v>5945</v>
      </c>
      <c r="C6430">
        <v>305.27</v>
      </c>
      <c r="D6430" t="str">
        <f t="shared" si="227"/>
        <v>270</v>
      </c>
    </row>
    <row r="6431" spans="1:4" x14ac:dyDescent="0.25">
      <c r="A6431" t="str">
        <f>"838943829"</f>
        <v>838943829</v>
      </c>
      <c r="B6431" t="s">
        <v>5945</v>
      </c>
      <c r="C6431">
        <v>305.27</v>
      </c>
      <c r="D6431" t="str">
        <f t="shared" si="227"/>
        <v>270</v>
      </c>
    </row>
    <row r="6432" spans="1:4" x14ac:dyDescent="0.25">
      <c r="A6432" t="str">
        <f>"838943830"</f>
        <v>838943830</v>
      </c>
      <c r="B6432" t="s">
        <v>5947</v>
      </c>
      <c r="C6432">
        <v>277.75</v>
      </c>
      <c r="D6432" t="str">
        <f t="shared" si="227"/>
        <v>270</v>
      </c>
    </row>
    <row r="6433" spans="1:4" x14ac:dyDescent="0.25">
      <c r="A6433" t="str">
        <f>"838943831"</f>
        <v>838943831</v>
      </c>
      <c r="B6433" t="s">
        <v>5947</v>
      </c>
      <c r="C6433">
        <v>277.75</v>
      </c>
      <c r="D6433" t="str">
        <f t="shared" si="227"/>
        <v>270</v>
      </c>
    </row>
    <row r="6434" spans="1:4" x14ac:dyDescent="0.25">
      <c r="A6434" t="str">
        <f>"838943832"</f>
        <v>838943832</v>
      </c>
      <c r="B6434" t="s">
        <v>5951</v>
      </c>
      <c r="C6434">
        <v>305.27</v>
      </c>
      <c r="D6434" t="str">
        <f t="shared" si="227"/>
        <v>270</v>
      </c>
    </row>
    <row r="6435" spans="1:4" x14ac:dyDescent="0.25">
      <c r="A6435" t="str">
        <f>"838943833"</f>
        <v>838943833</v>
      </c>
      <c r="B6435" t="s">
        <v>5951</v>
      </c>
      <c r="C6435">
        <v>305.27</v>
      </c>
      <c r="D6435" t="str">
        <f t="shared" si="227"/>
        <v>270</v>
      </c>
    </row>
    <row r="6436" spans="1:4" x14ac:dyDescent="0.25">
      <c r="A6436" t="str">
        <f>"838943834"</f>
        <v>838943834</v>
      </c>
      <c r="B6436" t="s">
        <v>5950</v>
      </c>
      <c r="C6436">
        <v>305.27</v>
      </c>
      <c r="D6436" t="str">
        <f t="shared" si="227"/>
        <v>270</v>
      </c>
    </row>
    <row r="6437" spans="1:4" x14ac:dyDescent="0.25">
      <c r="A6437" t="str">
        <f>"838943835"</f>
        <v>838943835</v>
      </c>
      <c r="B6437" t="s">
        <v>5950</v>
      </c>
      <c r="C6437">
        <v>305.27</v>
      </c>
      <c r="D6437" t="str">
        <f t="shared" si="227"/>
        <v>270</v>
      </c>
    </row>
    <row r="6438" spans="1:4" x14ac:dyDescent="0.25">
      <c r="A6438" t="str">
        <f>"838943836"</f>
        <v>838943836</v>
      </c>
      <c r="B6438" t="s">
        <v>5945</v>
      </c>
      <c r="C6438">
        <v>305.27</v>
      </c>
      <c r="D6438" t="str">
        <f t="shared" si="227"/>
        <v>270</v>
      </c>
    </row>
    <row r="6439" spans="1:4" x14ac:dyDescent="0.25">
      <c r="A6439" t="str">
        <f>"838943837"</f>
        <v>838943837</v>
      </c>
      <c r="B6439" t="s">
        <v>5945</v>
      </c>
      <c r="C6439">
        <v>305.27</v>
      </c>
      <c r="D6439" t="str">
        <f t="shared" si="227"/>
        <v>270</v>
      </c>
    </row>
    <row r="6440" spans="1:4" x14ac:dyDescent="0.25">
      <c r="A6440" t="str">
        <f>"838943838"</f>
        <v>838943838</v>
      </c>
      <c r="B6440" t="s">
        <v>5941</v>
      </c>
      <c r="C6440">
        <v>603.55999999999995</v>
      </c>
      <c r="D6440" t="str">
        <f t="shared" si="227"/>
        <v>270</v>
      </c>
    </row>
    <row r="6441" spans="1:4" x14ac:dyDescent="0.25">
      <c r="A6441" t="str">
        <f>"838943839"</f>
        <v>838943839</v>
      </c>
      <c r="B6441" t="s">
        <v>5941</v>
      </c>
      <c r="C6441">
        <v>603.55999999999995</v>
      </c>
      <c r="D6441" t="str">
        <f t="shared" si="227"/>
        <v>270</v>
      </c>
    </row>
    <row r="6442" spans="1:4" x14ac:dyDescent="0.25">
      <c r="A6442" t="str">
        <f>"838943840"</f>
        <v>838943840</v>
      </c>
      <c r="B6442" t="s">
        <v>5939</v>
      </c>
      <c r="C6442">
        <v>506.83</v>
      </c>
      <c r="D6442" t="str">
        <f t="shared" si="227"/>
        <v>270</v>
      </c>
    </row>
    <row r="6443" spans="1:4" x14ac:dyDescent="0.25">
      <c r="A6443" t="str">
        <f>"838943841"</f>
        <v>838943841</v>
      </c>
      <c r="B6443" t="s">
        <v>5939</v>
      </c>
      <c r="C6443">
        <v>506.83</v>
      </c>
      <c r="D6443" t="str">
        <f t="shared" si="227"/>
        <v>270</v>
      </c>
    </row>
    <row r="6444" spans="1:4" x14ac:dyDescent="0.25">
      <c r="A6444" t="str">
        <f>"838943842"</f>
        <v>838943842</v>
      </c>
      <c r="B6444" t="s">
        <v>5943</v>
      </c>
      <c r="C6444">
        <v>603.55999999999995</v>
      </c>
      <c r="D6444" t="str">
        <f t="shared" si="227"/>
        <v>270</v>
      </c>
    </row>
    <row r="6445" spans="1:4" x14ac:dyDescent="0.25">
      <c r="A6445" t="str">
        <f>"838943843"</f>
        <v>838943843</v>
      </c>
      <c r="B6445" t="s">
        <v>5943</v>
      </c>
      <c r="C6445">
        <v>603.55999999999995</v>
      </c>
      <c r="D6445" t="str">
        <f t="shared" si="227"/>
        <v>270</v>
      </c>
    </row>
    <row r="6446" spans="1:4" x14ac:dyDescent="0.25">
      <c r="A6446" t="str">
        <f>"838943844"</f>
        <v>838943844</v>
      </c>
      <c r="B6446" t="s">
        <v>5946</v>
      </c>
      <c r="C6446">
        <v>414.08</v>
      </c>
      <c r="D6446" t="str">
        <f t="shared" si="227"/>
        <v>270</v>
      </c>
    </row>
    <row r="6447" spans="1:4" x14ac:dyDescent="0.25">
      <c r="A6447" t="str">
        <f>"838943845"</f>
        <v>838943845</v>
      </c>
      <c r="B6447" t="s">
        <v>5946</v>
      </c>
      <c r="C6447">
        <v>414.08</v>
      </c>
      <c r="D6447" t="str">
        <f t="shared" si="227"/>
        <v>270</v>
      </c>
    </row>
    <row r="6448" spans="1:4" x14ac:dyDescent="0.25">
      <c r="A6448" t="str">
        <f>"838943846"</f>
        <v>838943846</v>
      </c>
      <c r="B6448" t="s">
        <v>5934</v>
      </c>
      <c r="C6448">
        <v>507.14</v>
      </c>
      <c r="D6448" t="str">
        <f t="shared" si="227"/>
        <v>270</v>
      </c>
    </row>
    <row r="6449" spans="1:4" x14ac:dyDescent="0.25">
      <c r="A6449" t="str">
        <f>"838943847"</f>
        <v>838943847</v>
      </c>
      <c r="B6449" t="s">
        <v>5934</v>
      </c>
      <c r="C6449">
        <v>507.14</v>
      </c>
      <c r="D6449" t="str">
        <f t="shared" si="227"/>
        <v>270</v>
      </c>
    </row>
    <row r="6450" spans="1:4" x14ac:dyDescent="0.25">
      <c r="A6450" t="str">
        <f>"838943848"</f>
        <v>838943848</v>
      </c>
      <c r="B6450" t="s">
        <v>5940</v>
      </c>
      <c r="C6450">
        <v>504.04</v>
      </c>
      <c r="D6450" t="str">
        <f t="shared" si="227"/>
        <v>270</v>
      </c>
    </row>
    <row r="6451" spans="1:4" x14ac:dyDescent="0.25">
      <c r="A6451" t="str">
        <f>"838943849"</f>
        <v>838943849</v>
      </c>
      <c r="B6451" t="s">
        <v>5940</v>
      </c>
      <c r="C6451">
        <v>504.04</v>
      </c>
      <c r="D6451" t="str">
        <f t="shared" si="227"/>
        <v>270</v>
      </c>
    </row>
    <row r="6452" spans="1:4" x14ac:dyDescent="0.25">
      <c r="A6452" t="str">
        <f>"838943850"</f>
        <v>838943850</v>
      </c>
      <c r="B6452" t="s">
        <v>5934</v>
      </c>
      <c r="C6452">
        <v>518.21</v>
      </c>
      <c r="D6452" t="str">
        <f t="shared" si="227"/>
        <v>270</v>
      </c>
    </row>
    <row r="6453" spans="1:4" x14ac:dyDescent="0.25">
      <c r="A6453" t="str">
        <f>"838943851"</f>
        <v>838943851</v>
      </c>
      <c r="B6453" t="s">
        <v>5934</v>
      </c>
      <c r="C6453">
        <v>518.21</v>
      </c>
      <c r="D6453" t="str">
        <f t="shared" si="227"/>
        <v>270</v>
      </c>
    </row>
    <row r="6454" spans="1:4" x14ac:dyDescent="0.25">
      <c r="A6454" t="str">
        <f>"838943852"</f>
        <v>838943852</v>
      </c>
      <c r="B6454" t="s">
        <v>5952</v>
      </c>
      <c r="C6454">
        <v>664.64</v>
      </c>
      <c r="D6454" t="str">
        <f t="shared" si="227"/>
        <v>270</v>
      </c>
    </row>
    <row r="6455" spans="1:4" x14ac:dyDescent="0.25">
      <c r="A6455" t="str">
        <f>"838943853"</f>
        <v>838943853</v>
      </c>
      <c r="B6455" t="s">
        <v>5952</v>
      </c>
      <c r="C6455">
        <v>664.64</v>
      </c>
      <c r="D6455" t="str">
        <f t="shared" si="227"/>
        <v>270</v>
      </c>
    </row>
    <row r="6456" spans="1:4" x14ac:dyDescent="0.25">
      <c r="A6456" t="str">
        <f>"838943854"</f>
        <v>838943854</v>
      </c>
      <c r="B6456" t="s">
        <v>5954</v>
      </c>
      <c r="C6456">
        <v>15.54</v>
      </c>
      <c r="D6456" t="str">
        <f t="shared" si="227"/>
        <v>270</v>
      </c>
    </row>
    <row r="6457" spans="1:4" x14ac:dyDescent="0.25">
      <c r="A6457" t="str">
        <f>"838943855"</f>
        <v>838943855</v>
      </c>
      <c r="B6457" t="s">
        <v>5954</v>
      </c>
      <c r="C6457">
        <v>15.54</v>
      </c>
      <c r="D6457" t="str">
        <f t="shared" si="227"/>
        <v>270</v>
      </c>
    </row>
    <row r="6458" spans="1:4" x14ac:dyDescent="0.25">
      <c r="A6458" t="str">
        <f>"838943856"</f>
        <v>838943856</v>
      </c>
      <c r="B6458" t="s">
        <v>5955</v>
      </c>
      <c r="C6458">
        <v>14.99</v>
      </c>
      <c r="D6458" t="str">
        <f t="shared" si="227"/>
        <v>270</v>
      </c>
    </row>
    <row r="6459" spans="1:4" x14ac:dyDescent="0.25">
      <c r="A6459" t="str">
        <f>"838943857"</f>
        <v>838943857</v>
      </c>
      <c r="B6459" t="s">
        <v>5956</v>
      </c>
      <c r="C6459">
        <v>14.99</v>
      </c>
      <c r="D6459" t="str">
        <f t="shared" ref="D6459:D6522" si="228">"270"</f>
        <v>270</v>
      </c>
    </row>
    <row r="6460" spans="1:4" x14ac:dyDescent="0.25">
      <c r="A6460" t="str">
        <f>"838943858"</f>
        <v>838943858</v>
      </c>
      <c r="B6460" t="s">
        <v>5957</v>
      </c>
      <c r="C6460">
        <v>14.76</v>
      </c>
      <c r="D6460" t="str">
        <f t="shared" si="228"/>
        <v>270</v>
      </c>
    </row>
    <row r="6461" spans="1:4" x14ac:dyDescent="0.25">
      <c r="A6461" t="str">
        <f>"838943859"</f>
        <v>838943859</v>
      </c>
      <c r="B6461" t="s">
        <v>5958</v>
      </c>
      <c r="C6461">
        <v>14.76</v>
      </c>
      <c r="D6461" t="str">
        <f t="shared" si="228"/>
        <v>270</v>
      </c>
    </row>
    <row r="6462" spans="1:4" x14ac:dyDescent="0.25">
      <c r="A6462" t="str">
        <f>"838943860"</f>
        <v>838943860</v>
      </c>
      <c r="B6462" t="s">
        <v>5959</v>
      </c>
      <c r="C6462">
        <v>15.43</v>
      </c>
      <c r="D6462" t="str">
        <f t="shared" si="228"/>
        <v>270</v>
      </c>
    </row>
    <row r="6463" spans="1:4" x14ac:dyDescent="0.25">
      <c r="A6463" t="str">
        <f>"838943861"</f>
        <v>838943861</v>
      </c>
      <c r="B6463" t="s">
        <v>5960</v>
      </c>
      <c r="C6463">
        <v>15.43</v>
      </c>
      <c r="D6463" t="str">
        <f t="shared" si="228"/>
        <v>270</v>
      </c>
    </row>
    <row r="6464" spans="1:4" x14ac:dyDescent="0.25">
      <c r="A6464" t="str">
        <f>"838943862"</f>
        <v>838943862</v>
      </c>
      <c r="B6464" t="s">
        <v>5961</v>
      </c>
      <c r="C6464">
        <v>15.31</v>
      </c>
      <c r="D6464" t="str">
        <f t="shared" si="228"/>
        <v>270</v>
      </c>
    </row>
    <row r="6465" spans="1:4" x14ac:dyDescent="0.25">
      <c r="A6465" t="str">
        <f>"838943863"</f>
        <v>838943863</v>
      </c>
      <c r="B6465" t="s">
        <v>5962</v>
      </c>
      <c r="C6465">
        <v>15.31</v>
      </c>
      <c r="D6465" t="str">
        <f t="shared" si="228"/>
        <v>270</v>
      </c>
    </row>
    <row r="6466" spans="1:4" x14ac:dyDescent="0.25">
      <c r="A6466" t="str">
        <f>"838943864"</f>
        <v>838943864</v>
      </c>
      <c r="B6466" t="s">
        <v>5963</v>
      </c>
      <c r="C6466">
        <v>15.15</v>
      </c>
      <c r="D6466" t="str">
        <f t="shared" si="228"/>
        <v>270</v>
      </c>
    </row>
    <row r="6467" spans="1:4" x14ac:dyDescent="0.25">
      <c r="A6467" t="str">
        <f>"838943865"</f>
        <v>838943865</v>
      </c>
      <c r="B6467" t="s">
        <v>5964</v>
      </c>
      <c r="C6467">
        <v>15.15</v>
      </c>
      <c r="D6467" t="str">
        <f t="shared" si="228"/>
        <v>270</v>
      </c>
    </row>
    <row r="6468" spans="1:4" x14ac:dyDescent="0.25">
      <c r="A6468" t="str">
        <f>"838943866"</f>
        <v>838943866</v>
      </c>
      <c r="B6468" t="s">
        <v>5965</v>
      </c>
      <c r="C6468">
        <v>15.46</v>
      </c>
      <c r="D6468" t="str">
        <f t="shared" si="228"/>
        <v>270</v>
      </c>
    </row>
    <row r="6469" spans="1:4" x14ac:dyDescent="0.25">
      <c r="A6469" t="str">
        <f>"838943867"</f>
        <v>838943867</v>
      </c>
      <c r="B6469" t="s">
        <v>5966</v>
      </c>
      <c r="C6469">
        <v>15.46</v>
      </c>
      <c r="D6469" t="str">
        <f t="shared" si="228"/>
        <v>270</v>
      </c>
    </row>
    <row r="6470" spans="1:4" x14ac:dyDescent="0.25">
      <c r="A6470" t="str">
        <f>"838943868"</f>
        <v>838943868</v>
      </c>
      <c r="B6470" t="s">
        <v>5967</v>
      </c>
      <c r="C6470">
        <v>15.18</v>
      </c>
      <c r="D6470" t="str">
        <f t="shared" si="228"/>
        <v>270</v>
      </c>
    </row>
    <row r="6471" spans="1:4" x14ac:dyDescent="0.25">
      <c r="A6471" t="str">
        <f>"838943869"</f>
        <v>838943869</v>
      </c>
      <c r="B6471" t="s">
        <v>5967</v>
      </c>
      <c r="C6471">
        <v>15.18</v>
      </c>
      <c r="D6471" t="str">
        <f t="shared" si="228"/>
        <v>270</v>
      </c>
    </row>
    <row r="6472" spans="1:4" x14ac:dyDescent="0.25">
      <c r="A6472" t="str">
        <f>"838943870"</f>
        <v>838943870</v>
      </c>
      <c r="B6472" t="s">
        <v>5968</v>
      </c>
      <c r="C6472">
        <v>29.57</v>
      </c>
      <c r="D6472" t="str">
        <f t="shared" si="228"/>
        <v>270</v>
      </c>
    </row>
    <row r="6473" spans="1:4" x14ac:dyDescent="0.25">
      <c r="A6473" t="str">
        <f>"838943871"</f>
        <v>838943871</v>
      </c>
      <c r="B6473" t="s">
        <v>5968</v>
      </c>
      <c r="C6473">
        <v>29.57</v>
      </c>
      <c r="D6473" t="str">
        <f t="shared" si="228"/>
        <v>270</v>
      </c>
    </row>
    <row r="6474" spans="1:4" x14ac:dyDescent="0.25">
      <c r="A6474" t="str">
        <f>"838943872"</f>
        <v>838943872</v>
      </c>
      <c r="B6474" t="s">
        <v>5969</v>
      </c>
      <c r="C6474">
        <v>28.75</v>
      </c>
      <c r="D6474" t="str">
        <f t="shared" si="228"/>
        <v>270</v>
      </c>
    </row>
    <row r="6475" spans="1:4" x14ac:dyDescent="0.25">
      <c r="A6475" t="str">
        <f>"838943873"</f>
        <v>838943873</v>
      </c>
      <c r="B6475" t="s">
        <v>5969</v>
      </c>
      <c r="C6475">
        <v>28.75</v>
      </c>
      <c r="D6475" t="str">
        <f t="shared" si="228"/>
        <v>270</v>
      </c>
    </row>
    <row r="6476" spans="1:4" x14ac:dyDescent="0.25">
      <c r="A6476" t="str">
        <f>"838943874"</f>
        <v>838943874</v>
      </c>
      <c r="B6476" t="s">
        <v>5970</v>
      </c>
      <c r="C6476">
        <v>27.14</v>
      </c>
      <c r="D6476" t="str">
        <f t="shared" si="228"/>
        <v>270</v>
      </c>
    </row>
    <row r="6477" spans="1:4" x14ac:dyDescent="0.25">
      <c r="A6477" t="str">
        <f>"838943875"</f>
        <v>838943875</v>
      </c>
      <c r="B6477" t="s">
        <v>5970</v>
      </c>
      <c r="C6477">
        <v>27.14</v>
      </c>
      <c r="D6477" t="str">
        <f t="shared" si="228"/>
        <v>270</v>
      </c>
    </row>
    <row r="6478" spans="1:4" x14ac:dyDescent="0.25">
      <c r="A6478" t="str">
        <f>"838943876"</f>
        <v>838943876</v>
      </c>
      <c r="B6478" t="s">
        <v>5971</v>
      </c>
      <c r="C6478">
        <v>15.53</v>
      </c>
      <c r="D6478" t="str">
        <f t="shared" si="228"/>
        <v>270</v>
      </c>
    </row>
    <row r="6479" spans="1:4" x14ac:dyDescent="0.25">
      <c r="A6479" t="str">
        <f>"838943877"</f>
        <v>838943877</v>
      </c>
      <c r="B6479" t="s">
        <v>5971</v>
      </c>
      <c r="C6479">
        <v>15.53</v>
      </c>
      <c r="D6479" t="str">
        <f t="shared" si="228"/>
        <v>270</v>
      </c>
    </row>
    <row r="6480" spans="1:4" x14ac:dyDescent="0.25">
      <c r="A6480" t="str">
        <f>"838943878"</f>
        <v>838943878</v>
      </c>
      <c r="B6480" t="s">
        <v>5972</v>
      </c>
      <c r="C6480">
        <v>15.53</v>
      </c>
      <c r="D6480" t="str">
        <f t="shared" si="228"/>
        <v>270</v>
      </c>
    </row>
    <row r="6481" spans="1:4" x14ac:dyDescent="0.25">
      <c r="A6481" t="str">
        <f>"838943879"</f>
        <v>838943879</v>
      </c>
      <c r="B6481" t="s">
        <v>5972</v>
      </c>
      <c r="C6481">
        <v>15.53</v>
      </c>
      <c r="D6481" t="str">
        <f t="shared" si="228"/>
        <v>270</v>
      </c>
    </row>
    <row r="6482" spans="1:4" x14ac:dyDescent="0.25">
      <c r="A6482" t="str">
        <f>"838943880"</f>
        <v>838943880</v>
      </c>
      <c r="B6482" t="s">
        <v>5973</v>
      </c>
      <c r="C6482">
        <v>14.6</v>
      </c>
      <c r="D6482" t="str">
        <f t="shared" si="228"/>
        <v>270</v>
      </c>
    </row>
    <row r="6483" spans="1:4" x14ac:dyDescent="0.25">
      <c r="A6483" t="str">
        <f>"838943881"</f>
        <v>838943881</v>
      </c>
      <c r="B6483" t="s">
        <v>5974</v>
      </c>
      <c r="C6483">
        <v>14.6</v>
      </c>
      <c r="D6483" t="str">
        <f t="shared" si="228"/>
        <v>270</v>
      </c>
    </row>
    <row r="6484" spans="1:4" x14ac:dyDescent="0.25">
      <c r="A6484" t="str">
        <f>"838943882"</f>
        <v>838943882</v>
      </c>
      <c r="B6484" t="s">
        <v>5975</v>
      </c>
      <c r="C6484">
        <v>14.99</v>
      </c>
      <c r="D6484" t="str">
        <f t="shared" si="228"/>
        <v>270</v>
      </c>
    </row>
    <row r="6485" spans="1:4" x14ac:dyDescent="0.25">
      <c r="A6485" t="str">
        <f>"838943883"</f>
        <v>838943883</v>
      </c>
      <c r="B6485" t="s">
        <v>5976</v>
      </c>
      <c r="C6485">
        <v>14.99</v>
      </c>
      <c r="D6485" t="str">
        <f t="shared" si="228"/>
        <v>270</v>
      </c>
    </row>
    <row r="6486" spans="1:4" x14ac:dyDescent="0.25">
      <c r="A6486" t="str">
        <f>"838943884"</f>
        <v>838943884</v>
      </c>
      <c r="B6486" t="s">
        <v>5977</v>
      </c>
      <c r="C6486">
        <v>20</v>
      </c>
      <c r="D6486" t="str">
        <f t="shared" si="228"/>
        <v>270</v>
      </c>
    </row>
    <row r="6487" spans="1:4" x14ac:dyDescent="0.25">
      <c r="A6487" t="str">
        <f>"838943885"</f>
        <v>838943885</v>
      </c>
      <c r="B6487" t="s">
        <v>5977</v>
      </c>
      <c r="C6487">
        <v>20</v>
      </c>
      <c r="D6487" t="str">
        <f t="shared" si="228"/>
        <v>270</v>
      </c>
    </row>
    <row r="6488" spans="1:4" x14ac:dyDescent="0.25">
      <c r="A6488" t="str">
        <f>"838943886"</f>
        <v>838943886</v>
      </c>
      <c r="B6488" t="s">
        <v>5978</v>
      </c>
      <c r="C6488">
        <v>19.79</v>
      </c>
      <c r="D6488" t="str">
        <f t="shared" si="228"/>
        <v>270</v>
      </c>
    </row>
    <row r="6489" spans="1:4" x14ac:dyDescent="0.25">
      <c r="A6489" t="str">
        <f>"838943887"</f>
        <v>838943887</v>
      </c>
      <c r="B6489" t="s">
        <v>5978</v>
      </c>
      <c r="C6489">
        <v>19.79</v>
      </c>
      <c r="D6489" t="str">
        <f t="shared" si="228"/>
        <v>270</v>
      </c>
    </row>
    <row r="6490" spans="1:4" x14ac:dyDescent="0.25">
      <c r="A6490" t="str">
        <f>"838943888"</f>
        <v>838943888</v>
      </c>
      <c r="B6490" t="s">
        <v>5979</v>
      </c>
      <c r="C6490">
        <v>21.91</v>
      </c>
      <c r="D6490" t="str">
        <f t="shared" si="228"/>
        <v>270</v>
      </c>
    </row>
    <row r="6491" spans="1:4" x14ac:dyDescent="0.25">
      <c r="A6491" t="str">
        <f>"838943889"</f>
        <v>838943889</v>
      </c>
      <c r="B6491" t="s">
        <v>5979</v>
      </c>
      <c r="C6491">
        <v>21.91</v>
      </c>
      <c r="D6491" t="str">
        <f t="shared" si="228"/>
        <v>270</v>
      </c>
    </row>
    <row r="6492" spans="1:4" x14ac:dyDescent="0.25">
      <c r="A6492" t="str">
        <f>"838943890"</f>
        <v>838943890</v>
      </c>
      <c r="B6492" t="s">
        <v>5980</v>
      </c>
      <c r="C6492">
        <v>22.22</v>
      </c>
      <c r="D6492" t="str">
        <f t="shared" si="228"/>
        <v>270</v>
      </c>
    </row>
    <row r="6493" spans="1:4" x14ac:dyDescent="0.25">
      <c r="A6493" t="str">
        <f>"838943891"</f>
        <v>838943891</v>
      </c>
      <c r="B6493" t="s">
        <v>5980</v>
      </c>
      <c r="C6493">
        <v>22.22</v>
      </c>
      <c r="D6493" t="str">
        <f t="shared" si="228"/>
        <v>270</v>
      </c>
    </row>
    <row r="6494" spans="1:4" x14ac:dyDescent="0.25">
      <c r="A6494" t="str">
        <f>"838943892"</f>
        <v>838943892</v>
      </c>
      <c r="B6494" t="s">
        <v>5981</v>
      </c>
      <c r="C6494">
        <v>22.19</v>
      </c>
      <c r="D6494" t="str">
        <f t="shared" si="228"/>
        <v>270</v>
      </c>
    </row>
    <row r="6495" spans="1:4" x14ac:dyDescent="0.25">
      <c r="A6495" t="str">
        <f>"838943893"</f>
        <v>838943893</v>
      </c>
      <c r="B6495" t="s">
        <v>5981</v>
      </c>
      <c r="C6495">
        <v>22.19</v>
      </c>
      <c r="D6495" t="str">
        <f t="shared" si="228"/>
        <v>270</v>
      </c>
    </row>
    <row r="6496" spans="1:4" x14ac:dyDescent="0.25">
      <c r="A6496" t="str">
        <f>"838943894"</f>
        <v>838943894</v>
      </c>
      <c r="B6496" t="s">
        <v>5982</v>
      </c>
      <c r="C6496">
        <v>21.95</v>
      </c>
      <c r="D6496" t="str">
        <f t="shared" si="228"/>
        <v>270</v>
      </c>
    </row>
    <row r="6497" spans="1:4" x14ac:dyDescent="0.25">
      <c r="A6497" t="str">
        <f>"838943895"</f>
        <v>838943895</v>
      </c>
      <c r="B6497" t="s">
        <v>5983</v>
      </c>
      <c r="C6497">
        <v>21.95</v>
      </c>
      <c r="D6497" t="str">
        <f t="shared" si="228"/>
        <v>270</v>
      </c>
    </row>
    <row r="6498" spans="1:4" x14ac:dyDescent="0.25">
      <c r="A6498" t="str">
        <f>"838943896"</f>
        <v>838943896</v>
      </c>
      <c r="B6498" t="s">
        <v>5984</v>
      </c>
      <c r="C6498">
        <v>32.36</v>
      </c>
      <c r="D6498" t="str">
        <f t="shared" si="228"/>
        <v>270</v>
      </c>
    </row>
    <row r="6499" spans="1:4" x14ac:dyDescent="0.25">
      <c r="A6499" t="str">
        <f>"838943897"</f>
        <v>838943897</v>
      </c>
      <c r="B6499" t="s">
        <v>5984</v>
      </c>
      <c r="C6499">
        <v>32.36</v>
      </c>
      <c r="D6499" t="str">
        <f t="shared" si="228"/>
        <v>270</v>
      </c>
    </row>
    <row r="6500" spans="1:4" x14ac:dyDescent="0.25">
      <c r="A6500" t="str">
        <f>"838943898"</f>
        <v>838943898</v>
      </c>
      <c r="B6500" t="s">
        <v>5985</v>
      </c>
      <c r="C6500">
        <v>33.909999999999997</v>
      </c>
      <c r="D6500" t="str">
        <f t="shared" si="228"/>
        <v>270</v>
      </c>
    </row>
    <row r="6501" spans="1:4" x14ac:dyDescent="0.25">
      <c r="A6501" t="str">
        <f>"838943899"</f>
        <v>838943899</v>
      </c>
      <c r="B6501" t="s">
        <v>5985</v>
      </c>
      <c r="C6501">
        <v>33.909999999999997</v>
      </c>
      <c r="D6501" t="str">
        <f t="shared" si="228"/>
        <v>270</v>
      </c>
    </row>
    <row r="6502" spans="1:4" x14ac:dyDescent="0.25">
      <c r="A6502" t="str">
        <f>"838943900"</f>
        <v>838943900</v>
      </c>
      <c r="B6502" t="s">
        <v>5986</v>
      </c>
      <c r="C6502">
        <v>15.86</v>
      </c>
      <c r="D6502" t="str">
        <f t="shared" si="228"/>
        <v>270</v>
      </c>
    </row>
    <row r="6503" spans="1:4" x14ac:dyDescent="0.25">
      <c r="A6503" t="str">
        <f>"838943901"</f>
        <v>838943901</v>
      </c>
      <c r="B6503" t="s">
        <v>5987</v>
      </c>
      <c r="C6503">
        <v>15.86</v>
      </c>
      <c r="D6503" t="str">
        <f t="shared" si="228"/>
        <v>270</v>
      </c>
    </row>
    <row r="6504" spans="1:4" x14ac:dyDescent="0.25">
      <c r="A6504" t="str">
        <f>"838943902"</f>
        <v>838943902</v>
      </c>
      <c r="B6504" t="s">
        <v>5988</v>
      </c>
      <c r="C6504">
        <v>16.010000000000002</v>
      </c>
      <c r="D6504" t="str">
        <f t="shared" si="228"/>
        <v>270</v>
      </c>
    </row>
    <row r="6505" spans="1:4" x14ac:dyDescent="0.25">
      <c r="A6505" t="str">
        <f>"838943903"</f>
        <v>838943903</v>
      </c>
      <c r="B6505" t="s">
        <v>5989</v>
      </c>
      <c r="C6505">
        <v>16.010000000000002</v>
      </c>
      <c r="D6505" t="str">
        <f t="shared" si="228"/>
        <v>270</v>
      </c>
    </row>
    <row r="6506" spans="1:4" x14ac:dyDescent="0.25">
      <c r="A6506" t="str">
        <f>"838943904"</f>
        <v>838943904</v>
      </c>
      <c r="B6506" t="s">
        <v>5990</v>
      </c>
      <c r="C6506">
        <v>15.55</v>
      </c>
      <c r="D6506" t="str">
        <f t="shared" si="228"/>
        <v>270</v>
      </c>
    </row>
    <row r="6507" spans="1:4" x14ac:dyDescent="0.25">
      <c r="A6507" t="str">
        <f>"838943905"</f>
        <v>838943905</v>
      </c>
      <c r="B6507" t="s">
        <v>5991</v>
      </c>
      <c r="C6507">
        <v>15.55</v>
      </c>
      <c r="D6507" t="str">
        <f t="shared" si="228"/>
        <v>270</v>
      </c>
    </row>
    <row r="6508" spans="1:4" x14ac:dyDescent="0.25">
      <c r="A6508" t="str">
        <f>"838943906"</f>
        <v>838943906</v>
      </c>
      <c r="B6508" t="s">
        <v>5992</v>
      </c>
      <c r="C6508">
        <v>15.55</v>
      </c>
      <c r="D6508" t="str">
        <f t="shared" si="228"/>
        <v>270</v>
      </c>
    </row>
    <row r="6509" spans="1:4" x14ac:dyDescent="0.25">
      <c r="A6509" t="str">
        <f>"838943907"</f>
        <v>838943907</v>
      </c>
      <c r="B6509" t="s">
        <v>5993</v>
      </c>
      <c r="C6509">
        <v>15.55</v>
      </c>
      <c r="D6509" t="str">
        <f t="shared" si="228"/>
        <v>270</v>
      </c>
    </row>
    <row r="6510" spans="1:4" x14ac:dyDescent="0.25">
      <c r="A6510" t="str">
        <f>"838943908"</f>
        <v>838943908</v>
      </c>
      <c r="B6510" t="s">
        <v>5994</v>
      </c>
      <c r="C6510">
        <v>15.86</v>
      </c>
      <c r="D6510" t="str">
        <f t="shared" si="228"/>
        <v>270</v>
      </c>
    </row>
    <row r="6511" spans="1:4" x14ac:dyDescent="0.25">
      <c r="A6511" t="str">
        <f>"838943909"</f>
        <v>838943909</v>
      </c>
      <c r="B6511" t="s">
        <v>5995</v>
      </c>
      <c r="C6511">
        <v>15.86</v>
      </c>
      <c r="D6511" t="str">
        <f t="shared" si="228"/>
        <v>270</v>
      </c>
    </row>
    <row r="6512" spans="1:4" x14ac:dyDescent="0.25">
      <c r="A6512" t="str">
        <f>"838943910"</f>
        <v>838943910</v>
      </c>
      <c r="B6512" t="s">
        <v>5996</v>
      </c>
      <c r="C6512">
        <v>76.209999999999994</v>
      </c>
      <c r="D6512" t="str">
        <f t="shared" si="228"/>
        <v>270</v>
      </c>
    </row>
    <row r="6513" spans="1:4" x14ac:dyDescent="0.25">
      <c r="A6513" t="str">
        <f>"838943911"</f>
        <v>838943911</v>
      </c>
      <c r="B6513" t="s">
        <v>5996</v>
      </c>
      <c r="C6513">
        <v>76.209999999999994</v>
      </c>
      <c r="D6513" t="str">
        <f t="shared" si="228"/>
        <v>270</v>
      </c>
    </row>
    <row r="6514" spans="1:4" x14ac:dyDescent="0.25">
      <c r="A6514" t="str">
        <f>"838943912"</f>
        <v>838943912</v>
      </c>
      <c r="B6514" t="s">
        <v>5997</v>
      </c>
      <c r="C6514">
        <v>76.56</v>
      </c>
      <c r="D6514" t="str">
        <f t="shared" si="228"/>
        <v>270</v>
      </c>
    </row>
    <row r="6515" spans="1:4" x14ac:dyDescent="0.25">
      <c r="A6515" t="str">
        <f>"838943913"</f>
        <v>838943913</v>
      </c>
      <c r="B6515" t="s">
        <v>5997</v>
      </c>
      <c r="C6515">
        <v>76.56</v>
      </c>
      <c r="D6515" t="str">
        <f t="shared" si="228"/>
        <v>270</v>
      </c>
    </row>
    <row r="6516" spans="1:4" x14ac:dyDescent="0.25">
      <c r="A6516" t="str">
        <f>"838943914"</f>
        <v>838943914</v>
      </c>
      <c r="B6516" t="s">
        <v>5998</v>
      </c>
      <c r="C6516">
        <v>69.53</v>
      </c>
      <c r="D6516" t="str">
        <f t="shared" si="228"/>
        <v>270</v>
      </c>
    </row>
    <row r="6517" spans="1:4" x14ac:dyDescent="0.25">
      <c r="A6517" t="str">
        <f>"838943915"</f>
        <v>838943915</v>
      </c>
      <c r="B6517" t="s">
        <v>5998</v>
      </c>
      <c r="C6517">
        <v>69.53</v>
      </c>
      <c r="D6517" t="str">
        <f t="shared" si="228"/>
        <v>270</v>
      </c>
    </row>
    <row r="6518" spans="1:4" x14ac:dyDescent="0.25">
      <c r="A6518" t="str">
        <f>"838943916"</f>
        <v>838943916</v>
      </c>
      <c r="B6518" t="s">
        <v>5997</v>
      </c>
      <c r="C6518">
        <v>73.709999999999994</v>
      </c>
      <c r="D6518" t="str">
        <f t="shared" si="228"/>
        <v>270</v>
      </c>
    </row>
    <row r="6519" spans="1:4" x14ac:dyDescent="0.25">
      <c r="A6519" t="str">
        <f>"838943917"</f>
        <v>838943917</v>
      </c>
      <c r="B6519" t="s">
        <v>5997</v>
      </c>
      <c r="C6519">
        <v>73.709999999999994</v>
      </c>
      <c r="D6519" t="str">
        <f t="shared" si="228"/>
        <v>270</v>
      </c>
    </row>
    <row r="6520" spans="1:4" x14ac:dyDescent="0.25">
      <c r="A6520" t="str">
        <f>"838943918"</f>
        <v>838943918</v>
      </c>
      <c r="B6520" t="s">
        <v>5997</v>
      </c>
      <c r="C6520">
        <v>73.989999999999995</v>
      </c>
      <c r="D6520" t="str">
        <f t="shared" si="228"/>
        <v>270</v>
      </c>
    </row>
    <row r="6521" spans="1:4" x14ac:dyDescent="0.25">
      <c r="A6521" t="str">
        <f>"838943919"</f>
        <v>838943919</v>
      </c>
      <c r="B6521" t="s">
        <v>5997</v>
      </c>
      <c r="C6521">
        <v>73.989999999999995</v>
      </c>
      <c r="D6521" t="str">
        <f t="shared" si="228"/>
        <v>270</v>
      </c>
    </row>
    <row r="6522" spans="1:4" x14ac:dyDescent="0.25">
      <c r="A6522" t="str">
        <f>"838943920"</f>
        <v>838943920</v>
      </c>
      <c r="B6522" t="s">
        <v>5999</v>
      </c>
      <c r="C6522">
        <v>75.8</v>
      </c>
      <c r="D6522" t="str">
        <f t="shared" si="228"/>
        <v>270</v>
      </c>
    </row>
    <row r="6523" spans="1:4" x14ac:dyDescent="0.25">
      <c r="A6523" t="str">
        <f>"838943921"</f>
        <v>838943921</v>
      </c>
      <c r="B6523" t="s">
        <v>5999</v>
      </c>
      <c r="C6523">
        <v>75.8</v>
      </c>
      <c r="D6523" t="str">
        <f t="shared" ref="D6523:D6586" si="229">"270"</f>
        <v>270</v>
      </c>
    </row>
    <row r="6524" spans="1:4" x14ac:dyDescent="0.25">
      <c r="A6524" t="str">
        <f>"838943922"</f>
        <v>838943922</v>
      </c>
      <c r="B6524" t="s">
        <v>6000</v>
      </c>
      <c r="C6524">
        <v>43.37</v>
      </c>
      <c r="D6524" t="str">
        <f t="shared" si="229"/>
        <v>270</v>
      </c>
    </row>
    <row r="6525" spans="1:4" x14ac:dyDescent="0.25">
      <c r="A6525" t="str">
        <f>"838943923"</f>
        <v>838943923</v>
      </c>
      <c r="B6525" t="s">
        <v>6000</v>
      </c>
      <c r="C6525">
        <v>43.37</v>
      </c>
      <c r="D6525" t="str">
        <f t="shared" si="229"/>
        <v>270</v>
      </c>
    </row>
    <row r="6526" spans="1:4" x14ac:dyDescent="0.25">
      <c r="A6526" t="str">
        <f>"838943924"</f>
        <v>838943924</v>
      </c>
      <c r="B6526" t="s">
        <v>6001</v>
      </c>
      <c r="C6526">
        <v>42.13</v>
      </c>
      <c r="D6526" t="str">
        <f t="shared" si="229"/>
        <v>270</v>
      </c>
    </row>
    <row r="6527" spans="1:4" x14ac:dyDescent="0.25">
      <c r="A6527" t="str">
        <f>"838943925"</f>
        <v>838943925</v>
      </c>
      <c r="B6527" t="s">
        <v>6001</v>
      </c>
      <c r="C6527">
        <v>42.13</v>
      </c>
      <c r="D6527" t="str">
        <f t="shared" si="229"/>
        <v>270</v>
      </c>
    </row>
    <row r="6528" spans="1:4" x14ac:dyDescent="0.25">
      <c r="A6528" t="str">
        <f>"838943926"</f>
        <v>838943926</v>
      </c>
      <c r="B6528" t="s">
        <v>6002</v>
      </c>
      <c r="C6528">
        <v>42.43</v>
      </c>
      <c r="D6528" t="str">
        <f t="shared" si="229"/>
        <v>270</v>
      </c>
    </row>
    <row r="6529" spans="1:4" x14ac:dyDescent="0.25">
      <c r="A6529" t="str">
        <f>"838943927"</f>
        <v>838943927</v>
      </c>
      <c r="B6529" t="s">
        <v>6002</v>
      </c>
      <c r="C6529">
        <v>42.43</v>
      </c>
      <c r="D6529" t="str">
        <f t="shared" si="229"/>
        <v>270</v>
      </c>
    </row>
    <row r="6530" spans="1:4" x14ac:dyDescent="0.25">
      <c r="A6530" t="str">
        <f>"838943928"</f>
        <v>838943928</v>
      </c>
      <c r="B6530" t="s">
        <v>6003</v>
      </c>
      <c r="C6530">
        <v>25.3</v>
      </c>
      <c r="D6530" t="str">
        <f t="shared" si="229"/>
        <v>270</v>
      </c>
    </row>
    <row r="6531" spans="1:4" x14ac:dyDescent="0.25">
      <c r="A6531" t="str">
        <f>"838943929"</f>
        <v>838943929</v>
      </c>
      <c r="B6531" t="s">
        <v>6003</v>
      </c>
      <c r="C6531">
        <v>25.3</v>
      </c>
      <c r="D6531" t="str">
        <f t="shared" si="229"/>
        <v>270</v>
      </c>
    </row>
    <row r="6532" spans="1:4" x14ac:dyDescent="0.25">
      <c r="A6532" t="str">
        <f>"838943930"</f>
        <v>838943930</v>
      </c>
      <c r="B6532" t="s">
        <v>6004</v>
      </c>
      <c r="C6532">
        <v>43.75</v>
      </c>
      <c r="D6532" t="str">
        <f t="shared" si="229"/>
        <v>270</v>
      </c>
    </row>
    <row r="6533" spans="1:4" x14ac:dyDescent="0.25">
      <c r="A6533" t="str">
        <f>"838943931"</f>
        <v>838943931</v>
      </c>
      <c r="B6533" t="s">
        <v>6004</v>
      </c>
      <c r="C6533">
        <v>43.75</v>
      </c>
      <c r="D6533" t="str">
        <f t="shared" si="229"/>
        <v>270</v>
      </c>
    </row>
    <row r="6534" spans="1:4" x14ac:dyDescent="0.25">
      <c r="A6534" t="str">
        <f>"838943932"</f>
        <v>838943932</v>
      </c>
      <c r="B6534" t="s">
        <v>6005</v>
      </c>
      <c r="C6534">
        <v>41.64</v>
      </c>
      <c r="D6534" t="str">
        <f t="shared" si="229"/>
        <v>270</v>
      </c>
    </row>
    <row r="6535" spans="1:4" x14ac:dyDescent="0.25">
      <c r="A6535" t="str">
        <f>"838943933"</f>
        <v>838943933</v>
      </c>
      <c r="B6535" t="s">
        <v>6005</v>
      </c>
      <c r="C6535">
        <v>41.64</v>
      </c>
      <c r="D6535" t="str">
        <f t="shared" si="229"/>
        <v>270</v>
      </c>
    </row>
    <row r="6536" spans="1:4" x14ac:dyDescent="0.25">
      <c r="A6536" t="str">
        <f>"838943934"</f>
        <v>838943934</v>
      </c>
      <c r="B6536" t="s">
        <v>6006</v>
      </c>
      <c r="C6536">
        <v>42.43</v>
      </c>
      <c r="D6536" t="str">
        <f t="shared" si="229"/>
        <v>270</v>
      </c>
    </row>
    <row r="6537" spans="1:4" x14ac:dyDescent="0.25">
      <c r="A6537" t="str">
        <f>"838943935"</f>
        <v>838943935</v>
      </c>
      <c r="B6537" t="s">
        <v>6006</v>
      </c>
      <c r="C6537">
        <v>42.43</v>
      </c>
      <c r="D6537" t="str">
        <f t="shared" si="229"/>
        <v>270</v>
      </c>
    </row>
    <row r="6538" spans="1:4" x14ac:dyDescent="0.25">
      <c r="A6538" t="str">
        <f>"838943936"</f>
        <v>838943936</v>
      </c>
      <c r="B6538" t="s">
        <v>6007</v>
      </c>
      <c r="C6538">
        <v>24.84</v>
      </c>
      <c r="D6538" t="str">
        <f t="shared" si="229"/>
        <v>270</v>
      </c>
    </row>
    <row r="6539" spans="1:4" x14ac:dyDescent="0.25">
      <c r="A6539" t="str">
        <f>"838943937"</f>
        <v>838943937</v>
      </c>
      <c r="B6539" t="s">
        <v>6007</v>
      </c>
      <c r="C6539">
        <v>24.84</v>
      </c>
      <c r="D6539" t="str">
        <f t="shared" si="229"/>
        <v>270</v>
      </c>
    </row>
    <row r="6540" spans="1:4" x14ac:dyDescent="0.25">
      <c r="A6540" t="str">
        <f>"838943938"</f>
        <v>838943938</v>
      </c>
      <c r="B6540" t="s">
        <v>6008</v>
      </c>
      <c r="C6540">
        <v>25.07</v>
      </c>
      <c r="D6540" t="str">
        <f t="shared" si="229"/>
        <v>270</v>
      </c>
    </row>
    <row r="6541" spans="1:4" x14ac:dyDescent="0.25">
      <c r="A6541" t="str">
        <f>"838943939"</f>
        <v>838943939</v>
      </c>
      <c r="B6541" t="s">
        <v>6008</v>
      </c>
      <c r="C6541">
        <v>25.07</v>
      </c>
      <c r="D6541" t="str">
        <f t="shared" si="229"/>
        <v>270</v>
      </c>
    </row>
    <row r="6542" spans="1:4" x14ac:dyDescent="0.25">
      <c r="A6542" t="str">
        <f>"838943940"</f>
        <v>838943940</v>
      </c>
      <c r="B6542" t="s">
        <v>6009</v>
      </c>
      <c r="C6542">
        <v>9.1300000000000008</v>
      </c>
      <c r="D6542" t="str">
        <f t="shared" si="229"/>
        <v>270</v>
      </c>
    </row>
    <row r="6543" spans="1:4" x14ac:dyDescent="0.25">
      <c r="A6543" t="str">
        <f>"838943941"</f>
        <v>838943941</v>
      </c>
      <c r="B6543" t="s">
        <v>6009</v>
      </c>
      <c r="C6543">
        <v>9.1300000000000008</v>
      </c>
      <c r="D6543" t="str">
        <f t="shared" si="229"/>
        <v>270</v>
      </c>
    </row>
    <row r="6544" spans="1:4" x14ac:dyDescent="0.25">
      <c r="A6544" t="str">
        <f>"838943942"</f>
        <v>838943942</v>
      </c>
      <c r="B6544" t="s">
        <v>6010</v>
      </c>
      <c r="C6544">
        <v>8.2100000000000009</v>
      </c>
      <c r="D6544" t="str">
        <f t="shared" si="229"/>
        <v>270</v>
      </c>
    </row>
    <row r="6545" spans="1:4" x14ac:dyDescent="0.25">
      <c r="A6545" t="str">
        <f>"838943943"</f>
        <v>838943943</v>
      </c>
      <c r="B6545" t="s">
        <v>6010</v>
      </c>
      <c r="C6545">
        <v>8.2100000000000009</v>
      </c>
      <c r="D6545" t="str">
        <f t="shared" si="229"/>
        <v>270</v>
      </c>
    </row>
    <row r="6546" spans="1:4" x14ac:dyDescent="0.25">
      <c r="A6546" t="str">
        <f>"838943944"</f>
        <v>838943944</v>
      </c>
      <c r="B6546" t="s">
        <v>6011</v>
      </c>
      <c r="C6546">
        <v>10.49</v>
      </c>
      <c r="D6546" t="str">
        <f t="shared" si="229"/>
        <v>270</v>
      </c>
    </row>
    <row r="6547" spans="1:4" x14ac:dyDescent="0.25">
      <c r="A6547" t="str">
        <f>"838943945"</f>
        <v>838943945</v>
      </c>
      <c r="B6547" t="s">
        <v>6011</v>
      </c>
      <c r="C6547">
        <v>10.49</v>
      </c>
      <c r="D6547" t="str">
        <f t="shared" si="229"/>
        <v>270</v>
      </c>
    </row>
    <row r="6548" spans="1:4" x14ac:dyDescent="0.25">
      <c r="A6548" t="str">
        <f>"838943946"</f>
        <v>838943946</v>
      </c>
      <c r="B6548" t="s">
        <v>6012</v>
      </c>
      <c r="C6548">
        <v>10.6</v>
      </c>
      <c r="D6548" t="str">
        <f t="shared" si="229"/>
        <v>270</v>
      </c>
    </row>
    <row r="6549" spans="1:4" x14ac:dyDescent="0.25">
      <c r="A6549" t="str">
        <f>"838943947"</f>
        <v>838943947</v>
      </c>
      <c r="B6549" t="s">
        <v>6012</v>
      </c>
      <c r="C6549">
        <v>10.6</v>
      </c>
      <c r="D6549" t="str">
        <f t="shared" si="229"/>
        <v>270</v>
      </c>
    </row>
    <row r="6550" spans="1:4" x14ac:dyDescent="0.25">
      <c r="A6550" t="str">
        <f>"838943948"</f>
        <v>838943948</v>
      </c>
      <c r="B6550" t="s">
        <v>6013</v>
      </c>
      <c r="C6550">
        <v>10.71</v>
      </c>
      <c r="D6550" t="str">
        <f t="shared" si="229"/>
        <v>270</v>
      </c>
    </row>
    <row r="6551" spans="1:4" x14ac:dyDescent="0.25">
      <c r="A6551" t="str">
        <f>"838943949"</f>
        <v>838943949</v>
      </c>
      <c r="B6551" t="s">
        <v>6013</v>
      </c>
      <c r="C6551">
        <v>10.71</v>
      </c>
      <c r="D6551" t="str">
        <f t="shared" si="229"/>
        <v>270</v>
      </c>
    </row>
    <row r="6552" spans="1:4" x14ac:dyDescent="0.25">
      <c r="A6552" t="str">
        <f>"838943950"</f>
        <v>838943950</v>
      </c>
      <c r="B6552" t="s">
        <v>6014</v>
      </c>
      <c r="C6552">
        <v>10.49</v>
      </c>
      <c r="D6552" t="str">
        <f t="shared" si="229"/>
        <v>270</v>
      </c>
    </row>
    <row r="6553" spans="1:4" x14ac:dyDescent="0.25">
      <c r="A6553" t="str">
        <f>"838943951"</f>
        <v>838943951</v>
      </c>
      <c r="B6553" t="s">
        <v>6015</v>
      </c>
      <c r="C6553">
        <v>10.49</v>
      </c>
      <c r="D6553" t="str">
        <f t="shared" si="229"/>
        <v>270</v>
      </c>
    </row>
    <row r="6554" spans="1:4" x14ac:dyDescent="0.25">
      <c r="A6554" t="str">
        <f>"838943952"</f>
        <v>838943952</v>
      </c>
      <c r="B6554" t="s">
        <v>6016</v>
      </c>
      <c r="C6554">
        <v>10.75</v>
      </c>
      <c r="D6554" t="str">
        <f t="shared" si="229"/>
        <v>270</v>
      </c>
    </row>
    <row r="6555" spans="1:4" x14ac:dyDescent="0.25">
      <c r="A6555" t="str">
        <f>"838943953"</f>
        <v>838943953</v>
      </c>
      <c r="B6555" t="s">
        <v>6017</v>
      </c>
      <c r="C6555">
        <v>10.75</v>
      </c>
      <c r="D6555" t="str">
        <f t="shared" si="229"/>
        <v>270</v>
      </c>
    </row>
    <row r="6556" spans="1:4" x14ac:dyDescent="0.25">
      <c r="A6556" t="str">
        <f>"838943954"</f>
        <v>838943954</v>
      </c>
      <c r="B6556" t="s">
        <v>6018</v>
      </c>
      <c r="C6556">
        <v>8.61</v>
      </c>
      <c r="D6556" t="str">
        <f t="shared" si="229"/>
        <v>270</v>
      </c>
    </row>
    <row r="6557" spans="1:4" x14ac:dyDescent="0.25">
      <c r="A6557" t="str">
        <f>"838943955"</f>
        <v>838943955</v>
      </c>
      <c r="B6557" t="s">
        <v>6018</v>
      </c>
      <c r="C6557">
        <v>8.61</v>
      </c>
      <c r="D6557" t="str">
        <f t="shared" si="229"/>
        <v>270</v>
      </c>
    </row>
    <row r="6558" spans="1:4" x14ac:dyDescent="0.25">
      <c r="A6558" t="str">
        <f>"838943956"</f>
        <v>838943956</v>
      </c>
      <c r="B6558" t="s">
        <v>6019</v>
      </c>
      <c r="C6558">
        <v>9.36</v>
      </c>
      <c r="D6558" t="str">
        <f t="shared" si="229"/>
        <v>270</v>
      </c>
    </row>
    <row r="6559" spans="1:4" x14ac:dyDescent="0.25">
      <c r="A6559" t="str">
        <f>"838943957"</f>
        <v>838943957</v>
      </c>
      <c r="B6559" t="s">
        <v>6019</v>
      </c>
      <c r="C6559">
        <v>9.36</v>
      </c>
      <c r="D6559" t="str">
        <f t="shared" si="229"/>
        <v>270</v>
      </c>
    </row>
    <row r="6560" spans="1:4" x14ac:dyDescent="0.25">
      <c r="A6560" t="str">
        <f>"838943958"</f>
        <v>838943958</v>
      </c>
      <c r="B6560" t="s">
        <v>6020</v>
      </c>
      <c r="C6560">
        <v>7.73</v>
      </c>
      <c r="D6560" t="str">
        <f t="shared" si="229"/>
        <v>270</v>
      </c>
    </row>
    <row r="6561" spans="1:4" x14ac:dyDescent="0.25">
      <c r="A6561" t="str">
        <f>"838943959"</f>
        <v>838943959</v>
      </c>
      <c r="B6561" t="s">
        <v>6020</v>
      </c>
      <c r="C6561">
        <v>7.73</v>
      </c>
      <c r="D6561" t="str">
        <f t="shared" si="229"/>
        <v>270</v>
      </c>
    </row>
    <row r="6562" spans="1:4" x14ac:dyDescent="0.25">
      <c r="A6562" t="str">
        <f>"838943960"</f>
        <v>838943960</v>
      </c>
      <c r="B6562" t="s">
        <v>6021</v>
      </c>
      <c r="C6562">
        <v>8.44</v>
      </c>
      <c r="D6562" t="str">
        <f t="shared" si="229"/>
        <v>270</v>
      </c>
    </row>
    <row r="6563" spans="1:4" x14ac:dyDescent="0.25">
      <c r="A6563" t="str">
        <f>"838943961"</f>
        <v>838943961</v>
      </c>
      <c r="B6563" t="s">
        <v>6021</v>
      </c>
      <c r="C6563">
        <v>8.44</v>
      </c>
      <c r="D6563" t="str">
        <f t="shared" si="229"/>
        <v>270</v>
      </c>
    </row>
    <row r="6564" spans="1:4" x14ac:dyDescent="0.25">
      <c r="A6564" t="str">
        <f>"838943962"</f>
        <v>838943962</v>
      </c>
      <c r="B6564" t="s">
        <v>6022</v>
      </c>
      <c r="C6564">
        <v>7.65</v>
      </c>
      <c r="D6564" t="str">
        <f t="shared" si="229"/>
        <v>270</v>
      </c>
    </row>
    <row r="6565" spans="1:4" x14ac:dyDescent="0.25">
      <c r="A6565" t="str">
        <f>"838943963"</f>
        <v>838943963</v>
      </c>
      <c r="B6565" t="s">
        <v>6022</v>
      </c>
      <c r="C6565">
        <v>7.65</v>
      </c>
      <c r="D6565" t="str">
        <f t="shared" si="229"/>
        <v>270</v>
      </c>
    </row>
    <row r="6566" spans="1:4" x14ac:dyDescent="0.25">
      <c r="A6566" t="str">
        <f>"838943964"</f>
        <v>838943964</v>
      </c>
      <c r="B6566" t="s">
        <v>6023</v>
      </c>
      <c r="C6566">
        <v>8.6</v>
      </c>
      <c r="D6566" t="str">
        <f t="shared" si="229"/>
        <v>270</v>
      </c>
    </row>
    <row r="6567" spans="1:4" x14ac:dyDescent="0.25">
      <c r="A6567" t="str">
        <f>"838943965"</f>
        <v>838943965</v>
      </c>
      <c r="B6567" t="s">
        <v>6023</v>
      </c>
      <c r="C6567">
        <v>8.6</v>
      </c>
      <c r="D6567" t="str">
        <f t="shared" si="229"/>
        <v>270</v>
      </c>
    </row>
    <row r="6568" spans="1:4" x14ac:dyDescent="0.25">
      <c r="A6568" t="str">
        <f>"838943966"</f>
        <v>838943966</v>
      </c>
      <c r="B6568" t="s">
        <v>6024</v>
      </c>
      <c r="C6568">
        <v>7.76</v>
      </c>
      <c r="D6568" t="str">
        <f t="shared" si="229"/>
        <v>270</v>
      </c>
    </row>
    <row r="6569" spans="1:4" x14ac:dyDescent="0.25">
      <c r="A6569" t="str">
        <f>"838943967"</f>
        <v>838943967</v>
      </c>
      <c r="B6569" t="s">
        <v>6024</v>
      </c>
      <c r="C6569">
        <v>7.76</v>
      </c>
      <c r="D6569" t="str">
        <f t="shared" si="229"/>
        <v>270</v>
      </c>
    </row>
    <row r="6570" spans="1:4" x14ac:dyDescent="0.25">
      <c r="A6570" t="str">
        <f>"838943968"</f>
        <v>838943968</v>
      </c>
      <c r="B6570" t="s">
        <v>6024</v>
      </c>
      <c r="C6570">
        <v>7.49</v>
      </c>
      <c r="D6570" t="str">
        <f t="shared" si="229"/>
        <v>270</v>
      </c>
    </row>
    <row r="6571" spans="1:4" x14ac:dyDescent="0.25">
      <c r="A6571" t="str">
        <f>"838943969"</f>
        <v>838943969</v>
      </c>
      <c r="B6571" t="s">
        <v>6024</v>
      </c>
      <c r="C6571">
        <v>7.49</v>
      </c>
      <c r="D6571" t="str">
        <f t="shared" si="229"/>
        <v>270</v>
      </c>
    </row>
    <row r="6572" spans="1:4" x14ac:dyDescent="0.25">
      <c r="A6572" t="str">
        <f>"838943970"</f>
        <v>838943970</v>
      </c>
      <c r="B6572" t="s">
        <v>6025</v>
      </c>
      <c r="C6572">
        <v>7.48</v>
      </c>
      <c r="D6572" t="str">
        <f t="shared" si="229"/>
        <v>270</v>
      </c>
    </row>
    <row r="6573" spans="1:4" x14ac:dyDescent="0.25">
      <c r="A6573" t="str">
        <f>"838943971"</f>
        <v>838943971</v>
      </c>
      <c r="B6573" t="s">
        <v>6025</v>
      </c>
      <c r="C6573">
        <v>7.48</v>
      </c>
      <c r="D6573" t="str">
        <f t="shared" si="229"/>
        <v>270</v>
      </c>
    </row>
    <row r="6574" spans="1:4" x14ac:dyDescent="0.25">
      <c r="A6574" t="str">
        <f>"838943972"</f>
        <v>838943972</v>
      </c>
      <c r="B6574" t="s">
        <v>6026</v>
      </c>
      <c r="C6574">
        <v>7.51</v>
      </c>
      <c r="D6574" t="str">
        <f t="shared" si="229"/>
        <v>270</v>
      </c>
    </row>
    <row r="6575" spans="1:4" x14ac:dyDescent="0.25">
      <c r="A6575" t="str">
        <f>"838943973"</f>
        <v>838943973</v>
      </c>
      <c r="B6575" t="s">
        <v>6027</v>
      </c>
      <c r="C6575">
        <v>7.51</v>
      </c>
      <c r="D6575" t="str">
        <f t="shared" si="229"/>
        <v>270</v>
      </c>
    </row>
    <row r="6576" spans="1:4" x14ac:dyDescent="0.25">
      <c r="A6576" t="str">
        <f>"838943974"</f>
        <v>838943974</v>
      </c>
      <c r="B6576" t="s">
        <v>6028</v>
      </c>
      <c r="C6576">
        <v>7.79</v>
      </c>
      <c r="D6576" t="str">
        <f t="shared" si="229"/>
        <v>270</v>
      </c>
    </row>
    <row r="6577" spans="1:4" x14ac:dyDescent="0.25">
      <c r="A6577" t="str">
        <f>"838943975"</f>
        <v>838943975</v>
      </c>
      <c r="B6577" t="s">
        <v>6028</v>
      </c>
      <c r="C6577">
        <v>7.79</v>
      </c>
      <c r="D6577" t="str">
        <f t="shared" si="229"/>
        <v>270</v>
      </c>
    </row>
    <row r="6578" spans="1:4" x14ac:dyDescent="0.25">
      <c r="A6578" t="str">
        <f>"838943976"</f>
        <v>838943976</v>
      </c>
      <c r="B6578" t="s">
        <v>6029</v>
      </c>
      <c r="C6578">
        <v>8.11</v>
      </c>
      <c r="D6578" t="str">
        <f t="shared" si="229"/>
        <v>270</v>
      </c>
    </row>
    <row r="6579" spans="1:4" x14ac:dyDescent="0.25">
      <c r="A6579" t="str">
        <f>"838943977"</f>
        <v>838943977</v>
      </c>
      <c r="B6579" t="s">
        <v>6029</v>
      </c>
      <c r="C6579">
        <v>8.11</v>
      </c>
      <c r="D6579" t="str">
        <f t="shared" si="229"/>
        <v>270</v>
      </c>
    </row>
    <row r="6580" spans="1:4" x14ac:dyDescent="0.25">
      <c r="A6580" t="str">
        <f>"838943978"</f>
        <v>838943978</v>
      </c>
      <c r="B6580" t="s">
        <v>6030</v>
      </c>
      <c r="C6580">
        <v>8.18</v>
      </c>
      <c r="D6580" t="str">
        <f t="shared" si="229"/>
        <v>270</v>
      </c>
    </row>
    <row r="6581" spans="1:4" x14ac:dyDescent="0.25">
      <c r="A6581" t="str">
        <f>"838943979"</f>
        <v>838943979</v>
      </c>
      <c r="B6581" t="s">
        <v>6030</v>
      </c>
      <c r="C6581">
        <v>8.18</v>
      </c>
      <c r="D6581" t="str">
        <f t="shared" si="229"/>
        <v>270</v>
      </c>
    </row>
    <row r="6582" spans="1:4" x14ac:dyDescent="0.25">
      <c r="A6582" t="str">
        <f>"838943980"</f>
        <v>838943980</v>
      </c>
      <c r="B6582" t="s">
        <v>6031</v>
      </c>
      <c r="C6582">
        <v>8.34</v>
      </c>
      <c r="D6582" t="str">
        <f t="shared" si="229"/>
        <v>270</v>
      </c>
    </row>
    <row r="6583" spans="1:4" x14ac:dyDescent="0.25">
      <c r="A6583" t="str">
        <f>"838943981"</f>
        <v>838943981</v>
      </c>
      <c r="B6583" t="s">
        <v>6031</v>
      </c>
      <c r="C6583">
        <v>8.34</v>
      </c>
      <c r="D6583" t="str">
        <f t="shared" si="229"/>
        <v>270</v>
      </c>
    </row>
    <row r="6584" spans="1:4" x14ac:dyDescent="0.25">
      <c r="A6584" t="str">
        <f>"838943982"</f>
        <v>838943982</v>
      </c>
      <c r="B6584" t="s">
        <v>6025</v>
      </c>
      <c r="C6584">
        <v>7.98</v>
      </c>
      <c r="D6584" t="str">
        <f t="shared" si="229"/>
        <v>270</v>
      </c>
    </row>
    <row r="6585" spans="1:4" x14ac:dyDescent="0.25">
      <c r="A6585" t="str">
        <f>"838943983"</f>
        <v>838943983</v>
      </c>
      <c r="B6585" t="s">
        <v>6025</v>
      </c>
      <c r="C6585">
        <v>7.98</v>
      </c>
      <c r="D6585" t="str">
        <f t="shared" si="229"/>
        <v>270</v>
      </c>
    </row>
    <row r="6586" spans="1:4" x14ac:dyDescent="0.25">
      <c r="A6586" t="str">
        <f>"838943984"</f>
        <v>838943984</v>
      </c>
      <c r="B6586" t="s">
        <v>6032</v>
      </c>
      <c r="C6586">
        <v>7.8</v>
      </c>
      <c r="D6586" t="str">
        <f t="shared" si="229"/>
        <v>270</v>
      </c>
    </row>
    <row r="6587" spans="1:4" x14ac:dyDescent="0.25">
      <c r="A6587" t="str">
        <f>"838943985"</f>
        <v>838943985</v>
      </c>
      <c r="B6587" t="s">
        <v>6032</v>
      </c>
      <c r="C6587">
        <v>7.8</v>
      </c>
      <c r="D6587" t="str">
        <f t="shared" ref="D6587:D6650" si="230">"270"</f>
        <v>270</v>
      </c>
    </row>
    <row r="6588" spans="1:4" x14ac:dyDescent="0.25">
      <c r="A6588" t="str">
        <f>"838943986"</f>
        <v>838943986</v>
      </c>
      <c r="B6588" t="s">
        <v>6033</v>
      </c>
      <c r="C6588">
        <v>7.76</v>
      </c>
      <c r="D6588" t="str">
        <f t="shared" si="230"/>
        <v>270</v>
      </c>
    </row>
    <row r="6589" spans="1:4" x14ac:dyDescent="0.25">
      <c r="A6589" t="str">
        <f>"838943987"</f>
        <v>838943987</v>
      </c>
      <c r="B6589" t="s">
        <v>6033</v>
      </c>
      <c r="C6589">
        <v>7.76</v>
      </c>
      <c r="D6589" t="str">
        <f t="shared" si="230"/>
        <v>270</v>
      </c>
    </row>
    <row r="6590" spans="1:4" x14ac:dyDescent="0.25">
      <c r="A6590" t="str">
        <f>"838943988"</f>
        <v>838943988</v>
      </c>
      <c r="B6590" t="s">
        <v>6034</v>
      </c>
      <c r="C6590">
        <v>7.76</v>
      </c>
      <c r="D6590" t="str">
        <f t="shared" si="230"/>
        <v>270</v>
      </c>
    </row>
    <row r="6591" spans="1:4" x14ac:dyDescent="0.25">
      <c r="A6591" t="str">
        <f>"838943989"</f>
        <v>838943989</v>
      </c>
      <c r="B6591" t="s">
        <v>6034</v>
      </c>
      <c r="C6591">
        <v>7.76</v>
      </c>
      <c r="D6591" t="str">
        <f t="shared" si="230"/>
        <v>270</v>
      </c>
    </row>
    <row r="6592" spans="1:4" x14ac:dyDescent="0.25">
      <c r="A6592" t="str">
        <f>"838943990"</f>
        <v>838943990</v>
      </c>
      <c r="B6592" t="s">
        <v>6035</v>
      </c>
      <c r="C6592">
        <v>7.79</v>
      </c>
      <c r="D6592" t="str">
        <f t="shared" si="230"/>
        <v>270</v>
      </c>
    </row>
    <row r="6593" spans="1:4" x14ac:dyDescent="0.25">
      <c r="A6593" t="str">
        <f>"838943991"</f>
        <v>838943991</v>
      </c>
      <c r="B6593" t="s">
        <v>6035</v>
      </c>
      <c r="C6593">
        <v>7.79</v>
      </c>
      <c r="D6593" t="str">
        <f t="shared" si="230"/>
        <v>270</v>
      </c>
    </row>
    <row r="6594" spans="1:4" x14ac:dyDescent="0.25">
      <c r="A6594" t="str">
        <f>"838943992"</f>
        <v>838943992</v>
      </c>
      <c r="B6594" t="s">
        <v>6036</v>
      </c>
      <c r="C6594">
        <v>13.02</v>
      </c>
      <c r="D6594" t="str">
        <f t="shared" si="230"/>
        <v>270</v>
      </c>
    </row>
    <row r="6595" spans="1:4" x14ac:dyDescent="0.25">
      <c r="A6595" t="str">
        <f>"838943993"</f>
        <v>838943993</v>
      </c>
      <c r="B6595" t="s">
        <v>6036</v>
      </c>
      <c r="C6595">
        <v>13.02</v>
      </c>
      <c r="D6595" t="str">
        <f t="shared" si="230"/>
        <v>270</v>
      </c>
    </row>
    <row r="6596" spans="1:4" x14ac:dyDescent="0.25">
      <c r="A6596" t="str">
        <f>"838943994"</f>
        <v>838943994</v>
      </c>
      <c r="B6596" t="s">
        <v>6037</v>
      </c>
      <c r="C6596">
        <v>10.49</v>
      </c>
      <c r="D6596" t="str">
        <f t="shared" si="230"/>
        <v>270</v>
      </c>
    </row>
    <row r="6597" spans="1:4" x14ac:dyDescent="0.25">
      <c r="A6597" t="str">
        <f>"838943995"</f>
        <v>838943995</v>
      </c>
      <c r="B6597" t="s">
        <v>6038</v>
      </c>
      <c r="C6597">
        <v>10.49</v>
      </c>
      <c r="D6597" t="str">
        <f t="shared" si="230"/>
        <v>270</v>
      </c>
    </row>
    <row r="6598" spans="1:4" x14ac:dyDescent="0.25">
      <c r="A6598" t="str">
        <f>"838943996"</f>
        <v>838943996</v>
      </c>
      <c r="B6598" t="s">
        <v>6039</v>
      </c>
      <c r="C6598">
        <v>10.52</v>
      </c>
      <c r="D6598" t="str">
        <f t="shared" si="230"/>
        <v>270</v>
      </c>
    </row>
    <row r="6599" spans="1:4" x14ac:dyDescent="0.25">
      <c r="A6599" t="str">
        <f>"838943997"</f>
        <v>838943997</v>
      </c>
      <c r="B6599" t="s">
        <v>6039</v>
      </c>
      <c r="C6599">
        <v>10.52</v>
      </c>
      <c r="D6599" t="str">
        <f t="shared" si="230"/>
        <v>270</v>
      </c>
    </row>
    <row r="6600" spans="1:4" x14ac:dyDescent="0.25">
      <c r="A6600" t="str">
        <f>"838943998"</f>
        <v>838943998</v>
      </c>
      <c r="B6600" t="s">
        <v>6040</v>
      </c>
      <c r="C6600">
        <v>10.71</v>
      </c>
      <c r="D6600" t="str">
        <f t="shared" si="230"/>
        <v>270</v>
      </c>
    </row>
    <row r="6601" spans="1:4" x14ac:dyDescent="0.25">
      <c r="A6601" t="str">
        <f>"838943999"</f>
        <v>838943999</v>
      </c>
      <c r="B6601" t="s">
        <v>6040</v>
      </c>
      <c r="C6601">
        <v>10.71</v>
      </c>
      <c r="D6601" t="str">
        <f t="shared" si="230"/>
        <v>270</v>
      </c>
    </row>
    <row r="6602" spans="1:4" x14ac:dyDescent="0.25">
      <c r="A6602" t="str">
        <f>"838944000"</f>
        <v>838944000</v>
      </c>
      <c r="B6602" t="s">
        <v>6041</v>
      </c>
      <c r="C6602">
        <v>10.49</v>
      </c>
      <c r="D6602" t="str">
        <f t="shared" si="230"/>
        <v>270</v>
      </c>
    </row>
    <row r="6603" spans="1:4" x14ac:dyDescent="0.25">
      <c r="A6603" t="str">
        <f>"838944001"</f>
        <v>838944001</v>
      </c>
      <c r="B6603" t="s">
        <v>6042</v>
      </c>
      <c r="C6603">
        <v>10.49</v>
      </c>
      <c r="D6603" t="str">
        <f t="shared" si="230"/>
        <v>270</v>
      </c>
    </row>
    <row r="6604" spans="1:4" x14ac:dyDescent="0.25">
      <c r="A6604" t="str">
        <f>"838944002"</f>
        <v>838944002</v>
      </c>
      <c r="B6604" t="s">
        <v>6043</v>
      </c>
      <c r="C6604">
        <v>7.73</v>
      </c>
      <c r="D6604" t="str">
        <f t="shared" si="230"/>
        <v>270</v>
      </c>
    </row>
    <row r="6605" spans="1:4" x14ac:dyDescent="0.25">
      <c r="A6605" t="str">
        <f>"838944003"</f>
        <v>838944003</v>
      </c>
      <c r="B6605" t="s">
        <v>6043</v>
      </c>
      <c r="C6605">
        <v>7.73</v>
      </c>
      <c r="D6605" t="str">
        <f t="shared" si="230"/>
        <v>270</v>
      </c>
    </row>
    <row r="6606" spans="1:4" x14ac:dyDescent="0.25">
      <c r="A6606" t="str">
        <f>"838944004"</f>
        <v>838944004</v>
      </c>
      <c r="B6606" t="s">
        <v>6044</v>
      </c>
      <c r="C6606">
        <v>7.8</v>
      </c>
      <c r="D6606" t="str">
        <f t="shared" si="230"/>
        <v>270</v>
      </c>
    </row>
    <row r="6607" spans="1:4" x14ac:dyDescent="0.25">
      <c r="A6607" t="str">
        <f>"838944005"</f>
        <v>838944005</v>
      </c>
      <c r="B6607" t="s">
        <v>6044</v>
      </c>
      <c r="C6607">
        <v>7.8</v>
      </c>
      <c r="D6607" t="str">
        <f t="shared" si="230"/>
        <v>270</v>
      </c>
    </row>
    <row r="6608" spans="1:4" x14ac:dyDescent="0.25">
      <c r="A6608" t="str">
        <f>"838944006"</f>
        <v>838944006</v>
      </c>
      <c r="B6608" t="s">
        <v>6045</v>
      </c>
      <c r="C6608">
        <v>8.2899999999999991</v>
      </c>
      <c r="D6608" t="str">
        <f t="shared" si="230"/>
        <v>270</v>
      </c>
    </row>
    <row r="6609" spans="1:4" x14ac:dyDescent="0.25">
      <c r="A6609" t="str">
        <f>"838944007"</f>
        <v>838944007</v>
      </c>
      <c r="B6609" t="s">
        <v>6045</v>
      </c>
      <c r="C6609">
        <v>8.2899999999999991</v>
      </c>
      <c r="D6609" t="str">
        <f t="shared" si="230"/>
        <v>270</v>
      </c>
    </row>
    <row r="6610" spans="1:4" x14ac:dyDescent="0.25">
      <c r="A6610" t="str">
        <f>"838944008"</f>
        <v>838944008</v>
      </c>
      <c r="B6610" t="s">
        <v>6046</v>
      </c>
      <c r="C6610">
        <v>7.78</v>
      </c>
      <c r="D6610" t="str">
        <f t="shared" si="230"/>
        <v>270</v>
      </c>
    </row>
    <row r="6611" spans="1:4" x14ac:dyDescent="0.25">
      <c r="A6611" t="str">
        <f>"838944009"</f>
        <v>838944009</v>
      </c>
      <c r="B6611" t="s">
        <v>6046</v>
      </c>
      <c r="C6611">
        <v>7.78</v>
      </c>
      <c r="D6611" t="str">
        <f t="shared" si="230"/>
        <v>270</v>
      </c>
    </row>
    <row r="6612" spans="1:4" x14ac:dyDescent="0.25">
      <c r="A6612" t="str">
        <f>"838944010"</f>
        <v>838944010</v>
      </c>
      <c r="B6612" t="s">
        <v>6047</v>
      </c>
      <c r="C6612">
        <v>7.79</v>
      </c>
      <c r="D6612" t="str">
        <f t="shared" si="230"/>
        <v>270</v>
      </c>
    </row>
    <row r="6613" spans="1:4" x14ac:dyDescent="0.25">
      <c r="A6613" t="str">
        <f>"838944011"</f>
        <v>838944011</v>
      </c>
      <c r="B6613" t="s">
        <v>6047</v>
      </c>
      <c r="C6613">
        <v>7.79</v>
      </c>
      <c r="D6613" t="str">
        <f t="shared" si="230"/>
        <v>270</v>
      </c>
    </row>
    <row r="6614" spans="1:4" x14ac:dyDescent="0.25">
      <c r="A6614" t="str">
        <f>"838944012"</f>
        <v>838944012</v>
      </c>
      <c r="B6614" t="s">
        <v>6048</v>
      </c>
      <c r="C6614">
        <v>8.75</v>
      </c>
      <c r="D6614" t="str">
        <f t="shared" si="230"/>
        <v>270</v>
      </c>
    </row>
    <row r="6615" spans="1:4" x14ac:dyDescent="0.25">
      <c r="A6615" t="str">
        <f>"838944013"</f>
        <v>838944013</v>
      </c>
      <c r="B6615" t="s">
        <v>6048</v>
      </c>
      <c r="C6615">
        <v>8.75</v>
      </c>
      <c r="D6615" t="str">
        <f t="shared" si="230"/>
        <v>270</v>
      </c>
    </row>
    <row r="6616" spans="1:4" x14ac:dyDescent="0.25">
      <c r="A6616" t="str">
        <f>"838944014"</f>
        <v>838944014</v>
      </c>
      <c r="B6616" t="s">
        <v>6049</v>
      </c>
      <c r="C6616">
        <v>7.79</v>
      </c>
      <c r="D6616" t="str">
        <f t="shared" si="230"/>
        <v>270</v>
      </c>
    </row>
    <row r="6617" spans="1:4" x14ac:dyDescent="0.25">
      <c r="A6617" t="str">
        <f>"838944015"</f>
        <v>838944015</v>
      </c>
      <c r="B6617" t="s">
        <v>6049</v>
      </c>
      <c r="C6617">
        <v>7.79</v>
      </c>
      <c r="D6617" t="str">
        <f t="shared" si="230"/>
        <v>270</v>
      </c>
    </row>
    <row r="6618" spans="1:4" x14ac:dyDescent="0.25">
      <c r="A6618" t="str">
        <f>"838944016"</f>
        <v>838944016</v>
      </c>
      <c r="B6618" t="s">
        <v>6050</v>
      </c>
      <c r="C6618">
        <v>7.49</v>
      </c>
      <c r="D6618" t="str">
        <f t="shared" si="230"/>
        <v>270</v>
      </c>
    </row>
    <row r="6619" spans="1:4" x14ac:dyDescent="0.25">
      <c r="A6619" t="str">
        <f>"838944017"</f>
        <v>838944017</v>
      </c>
      <c r="B6619" t="s">
        <v>6050</v>
      </c>
      <c r="C6619">
        <v>7.49</v>
      </c>
      <c r="D6619" t="str">
        <f t="shared" si="230"/>
        <v>270</v>
      </c>
    </row>
    <row r="6620" spans="1:4" x14ac:dyDescent="0.25">
      <c r="A6620" t="str">
        <f>"838944018"</f>
        <v>838944018</v>
      </c>
      <c r="B6620" t="s">
        <v>6051</v>
      </c>
      <c r="C6620">
        <v>7.48</v>
      </c>
      <c r="D6620" t="str">
        <f t="shared" si="230"/>
        <v>270</v>
      </c>
    </row>
    <row r="6621" spans="1:4" x14ac:dyDescent="0.25">
      <c r="A6621" t="str">
        <f>"838944019"</f>
        <v>838944019</v>
      </c>
      <c r="B6621" t="s">
        <v>6051</v>
      </c>
      <c r="C6621">
        <v>7.48</v>
      </c>
      <c r="D6621" t="str">
        <f t="shared" si="230"/>
        <v>270</v>
      </c>
    </row>
    <row r="6622" spans="1:4" x14ac:dyDescent="0.25">
      <c r="A6622" t="str">
        <f>"838944020"</f>
        <v>838944020</v>
      </c>
      <c r="B6622" t="s">
        <v>6052</v>
      </c>
      <c r="C6622">
        <v>7.62</v>
      </c>
      <c r="D6622" t="str">
        <f t="shared" si="230"/>
        <v>270</v>
      </c>
    </row>
    <row r="6623" spans="1:4" x14ac:dyDescent="0.25">
      <c r="A6623" t="str">
        <f>"838944021"</f>
        <v>838944021</v>
      </c>
      <c r="B6623" t="s">
        <v>6052</v>
      </c>
      <c r="C6623">
        <v>7.62</v>
      </c>
      <c r="D6623" t="str">
        <f t="shared" si="230"/>
        <v>270</v>
      </c>
    </row>
    <row r="6624" spans="1:4" x14ac:dyDescent="0.25">
      <c r="A6624" t="str">
        <f>"838944022"</f>
        <v>838944022</v>
      </c>
      <c r="B6624" t="s">
        <v>6053</v>
      </c>
      <c r="C6624">
        <v>7.6</v>
      </c>
      <c r="D6624" t="str">
        <f t="shared" si="230"/>
        <v>270</v>
      </c>
    </row>
    <row r="6625" spans="1:4" x14ac:dyDescent="0.25">
      <c r="A6625" t="str">
        <f>"838944023"</f>
        <v>838944023</v>
      </c>
      <c r="B6625" t="s">
        <v>6053</v>
      </c>
      <c r="C6625">
        <v>7.6</v>
      </c>
      <c r="D6625" t="str">
        <f t="shared" si="230"/>
        <v>270</v>
      </c>
    </row>
    <row r="6626" spans="1:4" x14ac:dyDescent="0.25">
      <c r="A6626" t="str">
        <f>"838944024"</f>
        <v>838944024</v>
      </c>
      <c r="B6626" t="s">
        <v>6054</v>
      </c>
      <c r="C6626">
        <v>8.4600000000000009</v>
      </c>
      <c r="D6626" t="str">
        <f t="shared" si="230"/>
        <v>270</v>
      </c>
    </row>
    <row r="6627" spans="1:4" x14ac:dyDescent="0.25">
      <c r="A6627" t="str">
        <f>"838944025"</f>
        <v>838944025</v>
      </c>
      <c r="B6627" t="s">
        <v>6054</v>
      </c>
      <c r="C6627">
        <v>8.4600000000000009</v>
      </c>
      <c r="D6627" t="str">
        <f t="shared" si="230"/>
        <v>270</v>
      </c>
    </row>
    <row r="6628" spans="1:4" x14ac:dyDescent="0.25">
      <c r="A6628" t="str">
        <f>"838944026"</f>
        <v>838944026</v>
      </c>
      <c r="B6628" t="s">
        <v>6055</v>
      </c>
      <c r="C6628">
        <v>7.82</v>
      </c>
      <c r="D6628" t="str">
        <f t="shared" si="230"/>
        <v>270</v>
      </c>
    </row>
    <row r="6629" spans="1:4" x14ac:dyDescent="0.25">
      <c r="A6629" t="str">
        <f>"838944027"</f>
        <v>838944027</v>
      </c>
      <c r="B6629" t="s">
        <v>6055</v>
      </c>
      <c r="C6629">
        <v>7.82</v>
      </c>
      <c r="D6629" t="str">
        <f t="shared" si="230"/>
        <v>270</v>
      </c>
    </row>
    <row r="6630" spans="1:4" x14ac:dyDescent="0.25">
      <c r="A6630" t="str">
        <f>"838944028"</f>
        <v>838944028</v>
      </c>
      <c r="B6630" t="s">
        <v>6056</v>
      </c>
      <c r="C6630">
        <v>7.79</v>
      </c>
      <c r="D6630" t="str">
        <f t="shared" si="230"/>
        <v>270</v>
      </c>
    </row>
    <row r="6631" spans="1:4" x14ac:dyDescent="0.25">
      <c r="A6631" t="str">
        <f>"838944029"</f>
        <v>838944029</v>
      </c>
      <c r="B6631" t="s">
        <v>6057</v>
      </c>
      <c r="C6631">
        <v>7.79</v>
      </c>
      <c r="D6631" t="str">
        <f t="shared" si="230"/>
        <v>270</v>
      </c>
    </row>
    <row r="6632" spans="1:4" x14ac:dyDescent="0.25">
      <c r="A6632" t="str">
        <f>"838944030"</f>
        <v>838944030</v>
      </c>
      <c r="B6632" t="s">
        <v>6058</v>
      </c>
      <c r="C6632">
        <v>7.76</v>
      </c>
      <c r="D6632" t="str">
        <f t="shared" si="230"/>
        <v>270</v>
      </c>
    </row>
    <row r="6633" spans="1:4" x14ac:dyDescent="0.25">
      <c r="A6633" t="str">
        <f>"838944031"</f>
        <v>838944031</v>
      </c>
      <c r="B6633" t="s">
        <v>6058</v>
      </c>
      <c r="C6633">
        <v>7.76</v>
      </c>
      <c r="D6633" t="str">
        <f t="shared" si="230"/>
        <v>270</v>
      </c>
    </row>
    <row r="6634" spans="1:4" x14ac:dyDescent="0.25">
      <c r="A6634" t="str">
        <f>"838944032"</f>
        <v>838944032</v>
      </c>
      <c r="B6634" t="s">
        <v>6059</v>
      </c>
      <c r="C6634">
        <v>7.65</v>
      </c>
      <c r="D6634" t="str">
        <f t="shared" si="230"/>
        <v>270</v>
      </c>
    </row>
    <row r="6635" spans="1:4" x14ac:dyDescent="0.25">
      <c r="A6635" t="str">
        <f>"838944033"</f>
        <v>838944033</v>
      </c>
      <c r="B6635" t="s">
        <v>6060</v>
      </c>
      <c r="C6635">
        <v>7.65</v>
      </c>
      <c r="D6635" t="str">
        <f t="shared" si="230"/>
        <v>270</v>
      </c>
    </row>
    <row r="6636" spans="1:4" x14ac:dyDescent="0.25">
      <c r="A6636" t="str">
        <f>"838944034"</f>
        <v>838944034</v>
      </c>
      <c r="B6636" t="s">
        <v>6061</v>
      </c>
      <c r="C6636">
        <v>7.65</v>
      </c>
      <c r="D6636" t="str">
        <f t="shared" si="230"/>
        <v>270</v>
      </c>
    </row>
    <row r="6637" spans="1:4" x14ac:dyDescent="0.25">
      <c r="A6637" t="str">
        <f>"838944035"</f>
        <v>838944035</v>
      </c>
      <c r="B6637" t="s">
        <v>6062</v>
      </c>
      <c r="C6637">
        <v>7.65</v>
      </c>
      <c r="D6637" t="str">
        <f t="shared" si="230"/>
        <v>270</v>
      </c>
    </row>
    <row r="6638" spans="1:4" x14ac:dyDescent="0.25">
      <c r="A6638" t="str">
        <f>"838944036"</f>
        <v>838944036</v>
      </c>
      <c r="B6638" t="s">
        <v>6063</v>
      </c>
      <c r="C6638">
        <v>7.79</v>
      </c>
      <c r="D6638" t="str">
        <f t="shared" si="230"/>
        <v>270</v>
      </c>
    </row>
    <row r="6639" spans="1:4" x14ac:dyDescent="0.25">
      <c r="A6639" t="str">
        <f>"838944037"</f>
        <v>838944037</v>
      </c>
      <c r="B6639" t="s">
        <v>6064</v>
      </c>
      <c r="C6639">
        <v>7.79</v>
      </c>
      <c r="D6639" t="str">
        <f t="shared" si="230"/>
        <v>270</v>
      </c>
    </row>
    <row r="6640" spans="1:4" x14ac:dyDescent="0.25">
      <c r="A6640" t="str">
        <f>"838944038"</f>
        <v>838944038</v>
      </c>
      <c r="B6640" t="s">
        <v>6065</v>
      </c>
      <c r="C6640">
        <v>7.65</v>
      </c>
      <c r="D6640" t="str">
        <f t="shared" si="230"/>
        <v>270</v>
      </c>
    </row>
    <row r="6641" spans="1:4" x14ac:dyDescent="0.25">
      <c r="A6641" t="str">
        <f>"838944039"</f>
        <v>838944039</v>
      </c>
      <c r="B6641" t="s">
        <v>6066</v>
      </c>
      <c r="C6641">
        <v>7.65</v>
      </c>
      <c r="D6641" t="str">
        <f t="shared" si="230"/>
        <v>270</v>
      </c>
    </row>
    <row r="6642" spans="1:4" x14ac:dyDescent="0.25">
      <c r="A6642" t="str">
        <f>"838944040"</f>
        <v>838944040</v>
      </c>
      <c r="B6642" t="s">
        <v>6067</v>
      </c>
      <c r="C6642">
        <v>7.54</v>
      </c>
      <c r="D6642" t="str">
        <f t="shared" si="230"/>
        <v>270</v>
      </c>
    </row>
    <row r="6643" spans="1:4" x14ac:dyDescent="0.25">
      <c r="A6643" t="str">
        <f>"838944041"</f>
        <v>838944041</v>
      </c>
      <c r="B6643" t="s">
        <v>6068</v>
      </c>
      <c r="C6643">
        <v>7.54</v>
      </c>
      <c r="D6643" t="str">
        <f t="shared" si="230"/>
        <v>270</v>
      </c>
    </row>
    <row r="6644" spans="1:4" x14ac:dyDescent="0.25">
      <c r="A6644" t="str">
        <f>"838944042"</f>
        <v>838944042</v>
      </c>
      <c r="B6644" t="s">
        <v>6069</v>
      </c>
      <c r="C6644">
        <v>7.48</v>
      </c>
      <c r="D6644" t="str">
        <f t="shared" si="230"/>
        <v>270</v>
      </c>
    </row>
    <row r="6645" spans="1:4" x14ac:dyDescent="0.25">
      <c r="A6645" t="str">
        <f>"838944043"</f>
        <v>838944043</v>
      </c>
      <c r="B6645" t="s">
        <v>6069</v>
      </c>
      <c r="C6645">
        <v>7.48</v>
      </c>
      <c r="D6645" t="str">
        <f t="shared" si="230"/>
        <v>270</v>
      </c>
    </row>
    <row r="6646" spans="1:4" x14ac:dyDescent="0.25">
      <c r="A6646" t="str">
        <f>"838944044"</f>
        <v>838944044</v>
      </c>
      <c r="B6646" t="s">
        <v>6070</v>
      </c>
      <c r="C6646">
        <v>7.58</v>
      </c>
      <c r="D6646" t="str">
        <f t="shared" si="230"/>
        <v>270</v>
      </c>
    </row>
    <row r="6647" spans="1:4" x14ac:dyDescent="0.25">
      <c r="A6647" t="str">
        <f>"838944045"</f>
        <v>838944045</v>
      </c>
      <c r="B6647" t="s">
        <v>6071</v>
      </c>
      <c r="C6647">
        <v>7.58</v>
      </c>
      <c r="D6647" t="str">
        <f t="shared" si="230"/>
        <v>270</v>
      </c>
    </row>
    <row r="6648" spans="1:4" x14ac:dyDescent="0.25">
      <c r="A6648" t="str">
        <f>"838944046"</f>
        <v>838944046</v>
      </c>
      <c r="B6648" t="s">
        <v>6072</v>
      </c>
      <c r="C6648">
        <v>7.79</v>
      </c>
      <c r="D6648" t="str">
        <f t="shared" si="230"/>
        <v>270</v>
      </c>
    </row>
    <row r="6649" spans="1:4" x14ac:dyDescent="0.25">
      <c r="A6649" t="str">
        <f>"838944047"</f>
        <v>838944047</v>
      </c>
      <c r="B6649" t="s">
        <v>6073</v>
      </c>
      <c r="C6649">
        <v>7.79</v>
      </c>
      <c r="D6649" t="str">
        <f t="shared" si="230"/>
        <v>270</v>
      </c>
    </row>
    <row r="6650" spans="1:4" x14ac:dyDescent="0.25">
      <c r="A6650" t="str">
        <f>"838944048"</f>
        <v>838944048</v>
      </c>
      <c r="B6650" t="s">
        <v>6074</v>
      </c>
      <c r="C6650">
        <v>8.07</v>
      </c>
      <c r="D6650" t="str">
        <f t="shared" si="230"/>
        <v>270</v>
      </c>
    </row>
    <row r="6651" spans="1:4" x14ac:dyDescent="0.25">
      <c r="A6651" t="str">
        <f>"838944049"</f>
        <v>838944049</v>
      </c>
      <c r="B6651" t="s">
        <v>6075</v>
      </c>
      <c r="C6651">
        <v>8.07</v>
      </c>
      <c r="D6651" t="str">
        <f t="shared" ref="D6651:D6714" si="231">"270"</f>
        <v>270</v>
      </c>
    </row>
    <row r="6652" spans="1:4" x14ac:dyDescent="0.25">
      <c r="A6652" t="str">
        <f>"838944050"</f>
        <v>838944050</v>
      </c>
      <c r="B6652" t="s">
        <v>6076</v>
      </c>
      <c r="C6652">
        <v>7.98</v>
      </c>
      <c r="D6652" t="str">
        <f t="shared" si="231"/>
        <v>270</v>
      </c>
    </row>
    <row r="6653" spans="1:4" x14ac:dyDescent="0.25">
      <c r="A6653" t="str">
        <f>"838944051"</f>
        <v>838944051</v>
      </c>
      <c r="B6653" t="s">
        <v>6077</v>
      </c>
      <c r="C6653">
        <v>7.98</v>
      </c>
      <c r="D6653" t="str">
        <f t="shared" si="231"/>
        <v>270</v>
      </c>
    </row>
    <row r="6654" spans="1:4" x14ac:dyDescent="0.25">
      <c r="A6654" t="str">
        <f>"838944052"</f>
        <v>838944052</v>
      </c>
      <c r="B6654" t="s">
        <v>6078</v>
      </c>
      <c r="C6654">
        <v>7.98</v>
      </c>
      <c r="D6654" t="str">
        <f t="shared" si="231"/>
        <v>270</v>
      </c>
    </row>
    <row r="6655" spans="1:4" x14ac:dyDescent="0.25">
      <c r="A6655" t="str">
        <f>"838944053"</f>
        <v>838944053</v>
      </c>
      <c r="B6655" t="s">
        <v>6079</v>
      </c>
      <c r="C6655">
        <v>7.98</v>
      </c>
      <c r="D6655" t="str">
        <f t="shared" si="231"/>
        <v>270</v>
      </c>
    </row>
    <row r="6656" spans="1:4" x14ac:dyDescent="0.25">
      <c r="A6656" t="str">
        <f>"838944054"</f>
        <v>838944054</v>
      </c>
      <c r="B6656" t="s">
        <v>6080</v>
      </c>
      <c r="C6656">
        <v>8.18</v>
      </c>
      <c r="D6656" t="str">
        <f t="shared" si="231"/>
        <v>270</v>
      </c>
    </row>
    <row r="6657" spans="1:4" x14ac:dyDescent="0.25">
      <c r="A6657" t="str">
        <f>"838944055"</f>
        <v>838944055</v>
      </c>
      <c r="B6657" t="s">
        <v>6081</v>
      </c>
      <c r="C6657">
        <v>8.18</v>
      </c>
      <c r="D6657" t="str">
        <f t="shared" si="231"/>
        <v>270</v>
      </c>
    </row>
    <row r="6658" spans="1:4" x14ac:dyDescent="0.25">
      <c r="A6658" t="str">
        <f>"838944056"</f>
        <v>838944056</v>
      </c>
      <c r="B6658" t="s">
        <v>6082</v>
      </c>
      <c r="C6658">
        <v>7.76</v>
      </c>
      <c r="D6658" t="str">
        <f t="shared" si="231"/>
        <v>270</v>
      </c>
    </row>
    <row r="6659" spans="1:4" x14ac:dyDescent="0.25">
      <c r="A6659" t="str">
        <f>"838944057"</f>
        <v>838944057</v>
      </c>
      <c r="B6659" t="s">
        <v>6083</v>
      </c>
      <c r="C6659">
        <v>7.76</v>
      </c>
      <c r="D6659" t="str">
        <f t="shared" si="231"/>
        <v>270</v>
      </c>
    </row>
    <row r="6660" spans="1:4" x14ac:dyDescent="0.25">
      <c r="A6660" t="str">
        <f>"838944058"</f>
        <v>838944058</v>
      </c>
      <c r="B6660" t="s">
        <v>6084</v>
      </c>
      <c r="C6660">
        <v>7.72</v>
      </c>
      <c r="D6660" t="str">
        <f t="shared" si="231"/>
        <v>270</v>
      </c>
    </row>
    <row r="6661" spans="1:4" x14ac:dyDescent="0.25">
      <c r="A6661" t="str">
        <f>"838944059"</f>
        <v>838944059</v>
      </c>
      <c r="B6661" t="s">
        <v>6085</v>
      </c>
      <c r="C6661">
        <v>7.72</v>
      </c>
      <c r="D6661" t="str">
        <f t="shared" si="231"/>
        <v>270</v>
      </c>
    </row>
    <row r="6662" spans="1:4" x14ac:dyDescent="0.25">
      <c r="A6662" t="str">
        <f>"838944060"</f>
        <v>838944060</v>
      </c>
      <c r="B6662" t="s">
        <v>6086</v>
      </c>
      <c r="C6662">
        <v>7.79</v>
      </c>
      <c r="D6662" t="str">
        <f t="shared" si="231"/>
        <v>270</v>
      </c>
    </row>
    <row r="6663" spans="1:4" x14ac:dyDescent="0.25">
      <c r="A6663" t="str">
        <f>"838944061"</f>
        <v>838944061</v>
      </c>
      <c r="B6663" t="s">
        <v>6087</v>
      </c>
      <c r="C6663">
        <v>7.79</v>
      </c>
      <c r="D6663" t="str">
        <f t="shared" si="231"/>
        <v>270</v>
      </c>
    </row>
    <row r="6664" spans="1:4" x14ac:dyDescent="0.25">
      <c r="A6664" t="str">
        <f>"838944062"</f>
        <v>838944062</v>
      </c>
      <c r="B6664" t="s">
        <v>6088</v>
      </c>
      <c r="C6664">
        <v>8.23</v>
      </c>
      <c r="D6664" t="str">
        <f t="shared" si="231"/>
        <v>270</v>
      </c>
    </row>
    <row r="6665" spans="1:4" x14ac:dyDescent="0.25">
      <c r="A6665" t="str">
        <f>"838944063"</f>
        <v>838944063</v>
      </c>
      <c r="B6665" t="s">
        <v>6089</v>
      </c>
      <c r="C6665">
        <v>8.23</v>
      </c>
      <c r="D6665" t="str">
        <f t="shared" si="231"/>
        <v>270</v>
      </c>
    </row>
    <row r="6666" spans="1:4" x14ac:dyDescent="0.25">
      <c r="A6666" t="str">
        <f>"838944064"</f>
        <v>838944064</v>
      </c>
      <c r="B6666" t="s">
        <v>6090</v>
      </c>
      <c r="C6666">
        <v>8.0399999999999991</v>
      </c>
      <c r="D6666" t="str">
        <f t="shared" si="231"/>
        <v>270</v>
      </c>
    </row>
    <row r="6667" spans="1:4" x14ac:dyDescent="0.25">
      <c r="A6667" t="str">
        <f>"838944065"</f>
        <v>838944065</v>
      </c>
      <c r="B6667" t="s">
        <v>6091</v>
      </c>
      <c r="C6667">
        <v>8.0399999999999991</v>
      </c>
      <c r="D6667" t="str">
        <f t="shared" si="231"/>
        <v>270</v>
      </c>
    </row>
    <row r="6668" spans="1:4" x14ac:dyDescent="0.25">
      <c r="A6668" t="str">
        <f>"838944066"</f>
        <v>838944066</v>
      </c>
      <c r="B6668" t="s">
        <v>6092</v>
      </c>
      <c r="C6668">
        <v>8.1199999999999992</v>
      </c>
      <c r="D6668" t="str">
        <f t="shared" si="231"/>
        <v>270</v>
      </c>
    </row>
    <row r="6669" spans="1:4" x14ac:dyDescent="0.25">
      <c r="A6669" t="str">
        <f>"838944067"</f>
        <v>838944067</v>
      </c>
      <c r="B6669" t="s">
        <v>6093</v>
      </c>
      <c r="C6669">
        <v>8.1199999999999992</v>
      </c>
      <c r="D6669" t="str">
        <f t="shared" si="231"/>
        <v>270</v>
      </c>
    </row>
    <row r="6670" spans="1:4" x14ac:dyDescent="0.25">
      <c r="A6670" t="str">
        <f>"838944068"</f>
        <v>838944068</v>
      </c>
      <c r="B6670" t="s">
        <v>6094</v>
      </c>
      <c r="C6670">
        <v>8.26</v>
      </c>
      <c r="D6670" t="str">
        <f t="shared" si="231"/>
        <v>270</v>
      </c>
    </row>
    <row r="6671" spans="1:4" x14ac:dyDescent="0.25">
      <c r="A6671" t="str">
        <f>"838944069"</f>
        <v>838944069</v>
      </c>
      <c r="B6671" t="s">
        <v>6095</v>
      </c>
      <c r="C6671">
        <v>8.26</v>
      </c>
      <c r="D6671" t="str">
        <f t="shared" si="231"/>
        <v>270</v>
      </c>
    </row>
    <row r="6672" spans="1:4" x14ac:dyDescent="0.25">
      <c r="A6672" t="str">
        <f>"838944070"</f>
        <v>838944070</v>
      </c>
      <c r="B6672" t="s">
        <v>6096</v>
      </c>
      <c r="C6672">
        <v>7.62</v>
      </c>
      <c r="D6672" t="str">
        <f t="shared" si="231"/>
        <v>270</v>
      </c>
    </row>
    <row r="6673" spans="1:4" x14ac:dyDescent="0.25">
      <c r="A6673" t="str">
        <f>"838944071"</f>
        <v>838944071</v>
      </c>
      <c r="B6673" t="s">
        <v>6097</v>
      </c>
      <c r="C6673">
        <v>7.62</v>
      </c>
      <c r="D6673" t="str">
        <f t="shared" si="231"/>
        <v>270</v>
      </c>
    </row>
    <row r="6674" spans="1:4" x14ac:dyDescent="0.25">
      <c r="A6674" t="str">
        <f>"838944072"</f>
        <v>838944072</v>
      </c>
      <c r="B6674" t="s">
        <v>6098</v>
      </c>
      <c r="C6674">
        <v>8.2899999999999991</v>
      </c>
      <c r="D6674" t="str">
        <f t="shared" si="231"/>
        <v>270</v>
      </c>
    </row>
    <row r="6675" spans="1:4" x14ac:dyDescent="0.25">
      <c r="A6675" t="str">
        <f>"838944073"</f>
        <v>838944073</v>
      </c>
      <c r="B6675" t="s">
        <v>6099</v>
      </c>
      <c r="C6675">
        <v>8.2899999999999991</v>
      </c>
      <c r="D6675" t="str">
        <f t="shared" si="231"/>
        <v>270</v>
      </c>
    </row>
    <row r="6676" spans="1:4" x14ac:dyDescent="0.25">
      <c r="A6676" t="str">
        <f>"838944074"</f>
        <v>838944074</v>
      </c>
      <c r="B6676" t="s">
        <v>6100</v>
      </c>
      <c r="C6676">
        <v>7.83</v>
      </c>
      <c r="D6676" t="str">
        <f t="shared" si="231"/>
        <v>270</v>
      </c>
    </row>
    <row r="6677" spans="1:4" x14ac:dyDescent="0.25">
      <c r="A6677" t="str">
        <f>"838944075"</f>
        <v>838944075</v>
      </c>
      <c r="B6677" t="s">
        <v>6101</v>
      </c>
      <c r="C6677">
        <v>7.83</v>
      </c>
      <c r="D6677" t="str">
        <f t="shared" si="231"/>
        <v>270</v>
      </c>
    </row>
    <row r="6678" spans="1:4" x14ac:dyDescent="0.25">
      <c r="A6678" t="str">
        <f>"838944076"</f>
        <v>838944076</v>
      </c>
      <c r="B6678" t="s">
        <v>6102</v>
      </c>
      <c r="C6678">
        <v>8.31</v>
      </c>
      <c r="D6678" t="str">
        <f t="shared" si="231"/>
        <v>270</v>
      </c>
    </row>
    <row r="6679" spans="1:4" x14ac:dyDescent="0.25">
      <c r="A6679" t="str">
        <f>"838944077"</f>
        <v>838944077</v>
      </c>
      <c r="B6679" t="s">
        <v>6102</v>
      </c>
      <c r="C6679">
        <v>8.31</v>
      </c>
      <c r="D6679" t="str">
        <f t="shared" si="231"/>
        <v>270</v>
      </c>
    </row>
    <row r="6680" spans="1:4" x14ac:dyDescent="0.25">
      <c r="A6680" t="str">
        <f>"838944078"</f>
        <v>838944078</v>
      </c>
      <c r="B6680" t="s">
        <v>6103</v>
      </c>
      <c r="C6680">
        <v>8.27</v>
      </c>
      <c r="D6680" t="str">
        <f t="shared" si="231"/>
        <v>270</v>
      </c>
    </row>
    <row r="6681" spans="1:4" x14ac:dyDescent="0.25">
      <c r="A6681" t="str">
        <f>"838944079"</f>
        <v>838944079</v>
      </c>
      <c r="B6681" t="s">
        <v>6104</v>
      </c>
      <c r="C6681">
        <v>8.27</v>
      </c>
      <c r="D6681" t="str">
        <f t="shared" si="231"/>
        <v>270</v>
      </c>
    </row>
    <row r="6682" spans="1:4" x14ac:dyDescent="0.25">
      <c r="A6682" t="str">
        <f>"838944080"</f>
        <v>838944080</v>
      </c>
      <c r="B6682" t="s">
        <v>6105</v>
      </c>
      <c r="C6682">
        <v>8.2799999999999994</v>
      </c>
      <c r="D6682" t="str">
        <f t="shared" si="231"/>
        <v>270</v>
      </c>
    </row>
    <row r="6683" spans="1:4" x14ac:dyDescent="0.25">
      <c r="A6683" t="str">
        <f>"838944081"</f>
        <v>838944081</v>
      </c>
      <c r="B6683" t="s">
        <v>6106</v>
      </c>
      <c r="C6683">
        <v>8.2799999999999994</v>
      </c>
      <c r="D6683" t="str">
        <f t="shared" si="231"/>
        <v>270</v>
      </c>
    </row>
    <row r="6684" spans="1:4" x14ac:dyDescent="0.25">
      <c r="A6684" t="str">
        <f>"838944082"</f>
        <v>838944082</v>
      </c>
      <c r="B6684" t="s">
        <v>6107</v>
      </c>
      <c r="C6684">
        <v>9.42</v>
      </c>
      <c r="D6684" t="str">
        <f t="shared" si="231"/>
        <v>270</v>
      </c>
    </row>
    <row r="6685" spans="1:4" x14ac:dyDescent="0.25">
      <c r="A6685" t="str">
        <f>"838944083"</f>
        <v>838944083</v>
      </c>
      <c r="B6685" t="s">
        <v>6108</v>
      </c>
      <c r="C6685">
        <v>9.42</v>
      </c>
      <c r="D6685" t="str">
        <f t="shared" si="231"/>
        <v>270</v>
      </c>
    </row>
    <row r="6686" spans="1:4" x14ac:dyDescent="0.25">
      <c r="A6686" t="str">
        <f>"838944084"</f>
        <v>838944084</v>
      </c>
      <c r="B6686" t="s">
        <v>6109</v>
      </c>
      <c r="C6686">
        <v>9.42</v>
      </c>
      <c r="D6686" t="str">
        <f t="shared" si="231"/>
        <v>270</v>
      </c>
    </row>
    <row r="6687" spans="1:4" x14ac:dyDescent="0.25">
      <c r="A6687" t="str">
        <f>"838944085"</f>
        <v>838944085</v>
      </c>
      <c r="B6687" t="s">
        <v>6109</v>
      </c>
      <c r="C6687">
        <v>9.42</v>
      </c>
      <c r="D6687" t="str">
        <f t="shared" si="231"/>
        <v>270</v>
      </c>
    </row>
    <row r="6688" spans="1:4" x14ac:dyDescent="0.25">
      <c r="A6688" t="str">
        <f>"838944086"</f>
        <v>838944086</v>
      </c>
      <c r="B6688" t="s">
        <v>6110</v>
      </c>
      <c r="C6688">
        <v>9.61</v>
      </c>
      <c r="D6688" t="str">
        <f t="shared" si="231"/>
        <v>270</v>
      </c>
    </row>
    <row r="6689" spans="1:4" x14ac:dyDescent="0.25">
      <c r="A6689" t="str">
        <f>"838944087"</f>
        <v>838944087</v>
      </c>
      <c r="B6689" t="s">
        <v>6110</v>
      </c>
      <c r="C6689">
        <v>9.61</v>
      </c>
      <c r="D6689" t="str">
        <f t="shared" si="231"/>
        <v>270</v>
      </c>
    </row>
    <row r="6690" spans="1:4" x14ac:dyDescent="0.25">
      <c r="A6690" t="str">
        <f>"838944088"</f>
        <v>838944088</v>
      </c>
      <c r="B6690" t="s">
        <v>6111</v>
      </c>
      <c r="C6690">
        <v>10.7</v>
      </c>
      <c r="D6690" t="str">
        <f t="shared" si="231"/>
        <v>270</v>
      </c>
    </row>
    <row r="6691" spans="1:4" x14ac:dyDescent="0.25">
      <c r="A6691" t="str">
        <f>"838944089"</f>
        <v>838944089</v>
      </c>
      <c r="B6691" t="s">
        <v>6111</v>
      </c>
      <c r="C6691">
        <v>10.7</v>
      </c>
      <c r="D6691" t="str">
        <f t="shared" si="231"/>
        <v>270</v>
      </c>
    </row>
    <row r="6692" spans="1:4" x14ac:dyDescent="0.25">
      <c r="A6692" t="str">
        <f>"838944090"</f>
        <v>838944090</v>
      </c>
      <c r="B6692" t="s">
        <v>6112</v>
      </c>
      <c r="C6692">
        <v>10.41</v>
      </c>
      <c r="D6692" t="str">
        <f t="shared" si="231"/>
        <v>270</v>
      </c>
    </row>
    <row r="6693" spans="1:4" x14ac:dyDescent="0.25">
      <c r="A6693" t="str">
        <f>"838944091"</f>
        <v>838944091</v>
      </c>
      <c r="B6693" t="s">
        <v>6112</v>
      </c>
      <c r="C6693">
        <v>10.41</v>
      </c>
      <c r="D6693" t="str">
        <f t="shared" si="231"/>
        <v>270</v>
      </c>
    </row>
    <row r="6694" spans="1:4" x14ac:dyDescent="0.25">
      <c r="A6694" t="str">
        <f>"838944092"</f>
        <v>838944092</v>
      </c>
      <c r="B6694" t="s">
        <v>6113</v>
      </c>
      <c r="C6694">
        <v>10.73</v>
      </c>
      <c r="D6694" t="str">
        <f t="shared" si="231"/>
        <v>270</v>
      </c>
    </row>
    <row r="6695" spans="1:4" x14ac:dyDescent="0.25">
      <c r="A6695" t="str">
        <f>"838944093"</f>
        <v>838944093</v>
      </c>
      <c r="B6695" t="s">
        <v>6113</v>
      </c>
      <c r="C6695">
        <v>10.73</v>
      </c>
      <c r="D6695" t="str">
        <f t="shared" si="231"/>
        <v>270</v>
      </c>
    </row>
    <row r="6696" spans="1:4" x14ac:dyDescent="0.25">
      <c r="A6696" t="str">
        <f>"838944094"</f>
        <v>838944094</v>
      </c>
      <c r="B6696" t="s">
        <v>6114</v>
      </c>
      <c r="C6696">
        <v>10.73</v>
      </c>
      <c r="D6696" t="str">
        <f t="shared" si="231"/>
        <v>270</v>
      </c>
    </row>
    <row r="6697" spans="1:4" x14ac:dyDescent="0.25">
      <c r="A6697" t="str">
        <f>"838944095"</f>
        <v>838944095</v>
      </c>
      <c r="B6697" t="s">
        <v>6114</v>
      </c>
      <c r="C6697">
        <v>10.73</v>
      </c>
      <c r="D6697" t="str">
        <f t="shared" si="231"/>
        <v>270</v>
      </c>
    </row>
    <row r="6698" spans="1:4" x14ac:dyDescent="0.25">
      <c r="A6698" t="str">
        <f>"838944096"</f>
        <v>838944096</v>
      </c>
      <c r="B6698" t="s">
        <v>6115</v>
      </c>
      <c r="C6698">
        <v>10.73</v>
      </c>
      <c r="D6698" t="str">
        <f t="shared" si="231"/>
        <v>270</v>
      </c>
    </row>
    <row r="6699" spans="1:4" x14ac:dyDescent="0.25">
      <c r="A6699" t="str">
        <f>"838944097"</f>
        <v>838944097</v>
      </c>
      <c r="B6699" t="s">
        <v>6116</v>
      </c>
      <c r="C6699">
        <v>10.73</v>
      </c>
      <c r="D6699" t="str">
        <f t="shared" si="231"/>
        <v>270</v>
      </c>
    </row>
    <row r="6700" spans="1:4" x14ac:dyDescent="0.25">
      <c r="A6700" t="str">
        <f>"838944098"</f>
        <v>838944098</v>
      </c>
      <c r="B6700" t="s">
        <v>6117</v>
      </c>
      <c r="C6700">
        <v>79.95</v>
      </c>
      <c r="D6700" t="str">
        <f t="shared" si="231"/>
        <v>270</v>
      </c>
    </row>
    <row r="6701" spans="1:4" x14ac:dyDescent="0.25">
      <c r="A6701" t="str">
        <f>"838944099"</f>
        <v>838944099</v>
      </c>
      <c r="B6701" t="s">
        <v>6117</v>
      </c>
      <c r="C6701">
        <v>79.95</v>
      </c>
      <c r="D6701" t="str">
        <f t="shared" si="231"/>
        <v>270</v>
      </c>
    </row>
    <row r="6702" spans="1:4" x14ac:dyDescent="0.25">
      <c r="A6702" t="str">
        <f>"838944100"</f>
        <v>838944100</v>
      </c>
      <c r="B6702" t="s">
        <v>6117</v>
      </c>
      <c r="C6702">
        <v>83.38</v>
      </c>
      <c r="D6702" t="str">
        <f t="shared" si="231"/>
        <v>270</v>
      </c>
    </row>
    <row r="6703" spans="1:4" x14ac:dyDescent="0.25">
      <c r="A6703" t="str">
        <f>"838944101"</f>
        <v>838944101</v>
      </c>
      <c r="B6703" t="s">
        <v>6117</v>
      </c>
      <c r="C6703">
        <v>83.38</v>
      </c>
      <c r="D6703" t="str">
        <f t="shared" si="231"/>
        <v>270</v>
      </c>
    </row>
    <row r="6704" spans="1:4" x14ac:dyDescent="0.25">
      <c r="A6704" t="str">
        <f>"838944102"</f>
        <v>838944102</v>
      </c>
      <c r="B6704" t="s">
        <v>6118</v>
      </c>
      <c r="C6704">
        <v>85.7</v>
      </c>
      <c r="D6704" t="str">
        <f t="shared" si="231"/>
        <v>270</v>
      </c>
    </row>
    <row r="6705" spans="1:4" x14ac:dyDescent="0.25">
      <c r="A6705" t="str">
        <f>"838944103"</f>
        <v>838944103</v>
      </c>
      <c r="B6705" t="s">
        <v>6118</v>
      </c>
      <c r="C6705">
        <v>85.7</v>
      </c>
      <c r="D6705" t="str">
        <f t="shared" si="231"/>
        <v>270</v>
      </c>
    </row>
    <row r="6706" spans="1:4" x14ac:dyDescent="0.25">
      <c r="A6706" t="str">
        <f>"838944104"</f>
        <v>838944104</v>
      </c>
      <c r="B6706" t="s">
        <v>6118</v>
      </c>
      <c r="C6706">
        <v>83.17</v>
      </c>
      <c r="D6706" t="str">
        <f t="shared" si="231"/>
        <v>270</v>
      </c>
    </row>
    <row r="6707" spans="1:4" x14ac:dyDescent="0.25">
      <c r="A6707" t="str">
        <f>"838944105"</f>
        <v>838944105</v>
      </c>
      <c r="B6707" t="s">
        <v>6118</v>
      </c>
      <c r="C6707">
        <v>83.17</v>
      </c>
      <c r="D6707" t="str">
        <f t="shared" si="231"/>
        <v>270</v>
      </c>
    </row>
    <row r="6708" spans="1:4" x14ac:dyDescent="0.25">
      <c r="A6708" t="str">
        <f>"838944106"</f>
        <v>838944106</v>
      </c>
      <c r="B6708" t="s">
        <v>6119</v>
      </c>
      <c r="C6708">
        <v>7.7</v>
      </c>
      <c r="D6708" t="str">
        <f t="shared" si="231"/>
        <v>270</v>
      </c>
    </row>
    <row r="6709" spans="1:4" x14ac:dyDescent="0.25">
      <c r="A6709" t="str">
        <f>"838944107"</f>
        <v>838944107</v>
      </c>
      <c r="B6709" t="s">
        <v>6119</v>
      </c>
      <c r="C6709">
        <v>7.7</v>
      </c>
      <c r="D6709" t="str">
        <f t="shared" si="231"/>
        <v>270</v>
      </c>
    </row>
    <row r="6710" spans="1:4" x14ac:dyDescent="0.25">
      <c r="A6710" t="str">
        <f>"838944108"</f>
        <v>838944108</v>
      </c>
      <c r="B6710" t="s">
        <v>6120</v>
      </c>
      <c r="C6710">
        <v>7.49</v>
      </c>
      <c r="D6710" t="str">
        <f t="shared" si="231"/>
        <v>270</v>
      </c>
    </row>
    <row r="6711" spans="1:4" x14ac:dyDescent="0.25">
      <c r="A6711" t="str">
        <f>"838944109"</f>
        <v>838944109</v>
      </c>
      <c r="B6711" t="s">
        <v>6121</v>
      </c>
      <c r="C6711">
        <v>7.49</v>
      </c>
      <c r="D6711" t="str">
        <f t="shared" si="231"/>
        <v>270</v>
      </c>
    </row>
    <row r="6712" spans="1:4" x14ac:dyDescent="0.25">
      <c r="A6712" t="str">
        <f>"838944110"</f>
        <v>838944110</v>
      </c>
      <c r="B6712" t="s">
        <v>6122</v>
      </c>
      <c r="C6712">
        <v>7.48</v>
      </c>
      <c r="D6712" t="str">
        <f t="shared" si="231"/>
        <v>270</v>
      </c>
    </row>
    <row r="6713" spans="1:4" x14ac:dyDescent="0.25">
      <c r="A6713" t="str">
        <f>"838944111"</f>
        <v>838944111</v>
      </c>
      <c r="B6713" t="s">
        <v>6122</v>
      </c>
      <c r="C6713">
        <v>7.48</v>
      </c>
      <c r="D6713" t="str">
        <f t="shared" si="231"/>
        <v>270</v>
      </c>
    </row>
    <row r="6714" spans="1:4" x14ac:dyDescent="0.25">
      <c r="A6714" t="str">
        <f>"838944112"</f>
        <v>838944112</v>
      </c>
      <c r="B6714" t="s">
        <v>6123</v>
      </c>
      <c r="C6714">
        <v>7.76</v>
      </c>
      <c r="D6714" t="str">
        <f t="shared" si="231"/>
        <v>270</v>
      </c>
    </row>
    <row r="6715" spans="1:4" x14ac:dyDescent="0.25">
      <c r="A6715" t="str">
        <f>"838944113"</f>
        <v>838944113</v>
      </c>
      <c r="B6715" t="s">
        <v>6124</v>
      </c>
      <c r="C6715">
        <v>7.76</v>
      </c>
      <c r="D6715" t="str">
        <f t="shared" ref="D6715:D6778" si="232">"270"</f>
        <v>270</v>
      </c>
    </row>
    <row r="6716" spans="1:4" x14ac:dyDescent="0.25">
      <c r="A6716" t="str">
        <f>"838944114"</f>
        <v>838944114</v>
      </c>
      <c r="B6716" t="s">
        <v>6125</v>
      </c>
      <c r="C6716">
        <v>10.75</v>
      </c>
      <c r="D6716" t="str">
        <f t="shared" si="232"/>
        <v>270</v>
      </c>
    </row>
    <row r="6717" spans="1:4" x14ac:dyDescent="0.25">
      <c r="A6717" t="str">
        <f>"838944115"</f>
        <v>838944115</v>
      </c>
      <c r="B6717" t="s">
        <v>6125</v>
      </c>
      <c r="C6717">
        <v>10.75</v>
      </c>
      <c r="D6717" t="str">
        <f t="shared" si="232"/>
        <v>270</v>
      </c>
    </row>
    <row r="6718" spans="1:4" x14ac:dyDescent="0.25">
      <c r="A6718" t="str">
        <f>"838944116"</f>
        <v>838944116</v>
      </c>
      <c r="B6718" t="s">
        <v>6126</v>
      </c>
      <c r="C6718">
        <v>10.54</v>
      </c>
      <c r="D6718" t="str">
        <f t="shared" si="232"/>
        <v>270</v>
      </c>
    </row>
    <row r="6719" spans="1:4" x14ac:dyDescent="0.25">
      <c r="A6719" t="str">
        <f>"838944117"</f>
        <v>838944117</v>
      </c>
      <c r="B6719" t="s">
        <v>6126</v>
      </c>
      <c r="C6719">
        <v>10.54</v>
      </c>
      <c r="D6719" t="str">
        <f t="shared" si="232"/>
        <v>270</v>
      </c>
    </row>
    <row r="6720" spans="1:4" x14ac:dyDescent="0.25">
      <c r="A6720" t="str">
        <f>"838944118"</f>
        <v>838944118</v>
      </c>
      <c r="B6720" t="s">
        <v>6127</v>
      </c>
      <c r="C6720">
        <v>10.75</v>
      </c>
      <c r="D6720" t="str">
        <f t="shared" si="232"/>
        <v>270</v>
      </c>
    </row>
    <row r="6721" spans="1:4" x14ac:dyDescent="0.25">
      <c r="A6721" t="str">
        <f>"838944119"</f>
        <v>838944119</v>
      </c>
      <c r="B6721" t="s">
        <v>6127</v>
      </c>
      <c r="C6721">
        <v>10.75</v>
      </c>
      <c r="D6721" t="str">
        <f t="shared" si="232"/>
        <v>270</v>
      </c>
    </row>
    <row r="6722" spans="1:4" x14ac:dyDescent="0.25">
      <c r="A6722" t="str">
        <f>"838944120"</f>
        <v>838944120</v>
      </c>
      <c r="B6722" t="s">
        <v>6128</v>
      </c>
      <c r="C6722">
        <v>20.149999999999999</v>
      </c>
      <c r="D6722" t="str">
        <f t="shared" si="232"/>
        <v>270</v>
      </c>
    </row>
    <row r="6723" spans="1:4" x14ac:dyDescent="0.25">
      <c r="A6723" t="str">
        <f>"838944121"</f>
        <v>838944121</v>
      </c>
      <c r="B6723" t="s">
        <v>6128</v>
      </c>
      <c r="C6723">
        <v>20.149999999999999</v>
      </c>
      <c r="D6723" t="str">
        <f t="shared" si="232"/>
        <v>270</v>
      </c>
    </row>
    <row r="6724" spans="1:4" x14ac:dyDescent="0.25">
      <c r="A6724" t="str">
        <f>"838944122"</f>
        <v>838944122</v>
      </c>
      <c r="B6724" t="s">
        <v>6129</v>
      </c>
      <c r="C6724">
        <v>20.010000000000002</v>
      </c>
      <c r="D6724" t="str">
        <f t="shared" si="232"/>
        <v>270</v>
      </c>
    </row>
    <row r="6725" spans="1:4" x14ac:dyDescent="0.25">
      <c r="A6725" t="str">
        <f>"838944123"</f>
        <v>838944123</v>
      </c>
      <c r="B6725" t="s">
        <v>6129</v>
      </c>
      <c r="C6725">
        <v>20.010000000000002</v>
      </c>
      <c r="D6725" t="str">
        <f t="shared" si="232"/>
        <v>270</v>
      </c>
    </row>
    <row r="6726" spans="1:4" x14ac:dyDescent="0.25">
      <c r="A6726" t="str">
        <f>"838944124"</f>
        <v>838944124</v>
      </c>
      <c r="B6726" t="s">
        <v>6130</v>
      </c>
      <c r="C6726">
        <v>19.79</v>
      </c>
      <c r="D6726" t="str">
        <f t="shared" si="232"/>
        <v>270</v>
      </c>
    </row>
    <row r="6727" spans="1:4" x14ac:dyDescent="0.25">
      <c r="A6727" t="str">
        <f>"838944125"</f>
        <v>838944125</v>
      </c>
      <c r="B6727" t="s">
        <v>6130</v>
      </c>
      <c r="C6727">
        <v>19.79</v>
      </c>
      <c r="D6727" t="str">
        <f t="shared" si="232"/>
        <v>270</v>
      </c>
    </row>
    <row r="6728" spans="1:4" x14ac:dyDescent="0.25">
      <c r="A6728" t="str">
        <f>"838944126"</f>
        <v>838944126</v>
      </c>
      <c r="B6728" t="s">
        <v>6131</v>
      </c>
      <c r="C6728">
        <v>21.84</v>
      </c>
      <c r="D6728" t="str">
        <f t="shared" si="232"/>
        <v>270</v>
      </c>
    </row>
    <row r="6729" spans="1:4" x14ac:dyDescent="0.25">
      <c r="A6729" t="str">
        <f>"838944127"</f>
        <v>838944127</v>
      </c>
      <c r="B6729" t="s">
        <v>6131</v>
      </c>
      <c r="C6729">
        <v>21.84</v>
      </c>
      <c r="D6729" t="str">
        <f t="shared" si="232"/>
        <v>270</v>
      </c>
    </row>
    <row r="6730" spans="1:4" x14ac:dyDescent="0.25">
      <c r="A6730" t="str">
        <f>"838944128"</f>
        <v>838944128</v>
      </c>
      <c r="B6730" t="s">
        <v>6132</v>
      </c>
      <c r="C6730">
        <v>9.6</v>
      </c>
      <c r="D6730" t="str">
        <f t="shared" si="232"/>
        <v>270</v>
      </c>
    </row>
    <row r="6731" spans="1:4" x14ac:dyDescent="0.25">
      <c r="A6731" t="str">
        <f>"838944129"</f>
        <v>838944129</v>
      </c>
      <c r="B6731" t="s">
        <v>6133</v>
      </c>
      <c r="C6731">
        <v>9.6</v>
      </c>
      <c r="D6731" t="str">
        <f t="shared" si="232"/>
        <v>270</v>
      </c>
    </row>
    <row r="6732" spans="1:4" x14ac:dyDescent="0.25">
      <c r="A6732" t="str">
        <f>"838944130"</f>
        <v>838944130</v>
      </c>
      <c r="B6732" t="s">
        <v>6134</v>
      </c>
      <c r="C6732">
        <v>9.48</v>
      </c>
      <c r="D6732" t="str">
        <f t="shared" si="232"/>
        <v>270</v>
      </c>
    </row>
    <row r="6733" spans="1:4" x14ac:dyDescent="0.25">
      <c r="A6733" t="str">
        <f>"838944131"</f>
        <v>838944131</v>
      </c>
      <c r="B6733" t="s">
        <v>6134</v>
      </c>
      <c r="C6733">
        <v>9.48</v>
      </c>
      <c r="D6733" t="str">
        <f t="shared" si="232"/>
        <v>270</v>
      </c>
    </row>
    <row r="6734" spans="1:4" x14ac:dyDescent="0.25">
      <c r="A6734" t="str">
        <f>"838944132"</f>
        <v>838944132</v>
      </c>
      <c r="B6734" t="s">
        <v>6135</v>
      </c>
      <c r="C6734">
        <v>10.37</v>
      </c>
      <c r="D6734" t="str">
        <f t="shared" si="232"/>
        <v>270</v>
      </c>
    </row>
    <row r="6735" spans="1:4" x14ac:dyDescent="0.25">
      <c r="A6735" t="str">
        <f>"838944133"</f>
        <v>838944133</v>
      </c>
      <c r="B6735" t="s">
        <v>6135</v>
      </c>
      <c r="C6735">
        <v>10.37</v>
      </c>
      <c r="D6735" t="str">
        <f t="shared" si="232"/>
        <v>270</v>
      </c>
    </row>
    <row r="6736" spans="1:4" x14ac:dyDescent="0.25">
      <c r="A6736" t="str">
        <f>"838944134"</f>
        <v>838944134</v>
      </c>
      <c r="B6736" t="s">
        <v>6136</v>
      </c>
      <c r="C6736">
        <v>10.41</v>
      </c>
      <c r="D6736" t="str">
        <f t="shared" si="232"/>
        <v>270</v>
      </c>
    </row>
    <row r="6737" spans="1:4" x14ac:dyDescent="0.25">
      <c r="A6737" t="str">
        <f>"838944135"</f>
        <v>838944135</v>
      </c>
      <c r="B6737" t="s">
        <v>6137</v>
      </c>
      <c r="C6737">
        <v>10.41</v>
      </c>
      <c r="D6737" t="str">
        <f t="shared" si="232"/>
        <v>270</v>
      </c>
    </row>
    <row r="6738" spans="1:4" x14ac:dyDescent="0.25">
      <c r="A6738" t="str">
        <f>"838944136"</f>
        <v>838944136</v>
      </c>
      <c r="B6738" t="s">
        <v>6126</v>
      </c>
      <c r="C6738">
        <v>10.73</v>
      </c>
      <c r="D6738" t="str">
        <f t="shared" si="232"/>
        <v>270</v>
      </c>
    </row>
    <row r="6739" spans="1:4" x14ac:dyDescent="0.25">
      <c r="A6739" t="str">
        <f>"838944137"</f>
        <v>838944137</v>
      </c>
      <c r="B6739" t="s">
        <v>6126</v>
      </c>
      <c r="C6739">
        <v>10.73</v>
      </c>
      <c r="D6739" t="str">
        <f t="shared" si="232"/>
        <v>270</v>
      </c>
    </row>
    <row r="6740" spans="1:4" x14ac:dyDescent="0.25">
      <c r="A6740" t="str">
        <f>"838944138"</f>
        <v>838944138</v>
      </c>
      <c r="B6740" t="s">
        <v>6127</v>
      </c>
      <c r="C6740">
        <v>10.73</v>
      </c>
      <c r="D6740" t="str">
        <f t="shared" si="232"/>
        <v>270</v>
      </c>
    </row>
    <row r="6741" spans="1:4" x14ac:dyDescent="0.25">
      <c r="A6741" t="str">
        <f>"838944139"</f>
        <v>838944139</v>
      </c>
      <c r="B6741" t="s">
        <v>6127</v>
      </c>
      <c r="C6741">
        <v>10.73</v>
      </c>
      <c r="D6741" t="str">
        <f t="shared" si="232"/>
        <v>270</v>
      </c>
    </row>
    <row r="6742" spans="1:4" x14ac:dyDescent="0.25">
      <c r="A6742" t="str">
        <f>"838944140"</f>
        <v>838944140</v>
      </c>
      <c r="B6742" t="s">
        <v>6138</v>
      </c>
      <c r="C6742">
        <v>10.73</v>
      </c>
      <c r="D6742" t="str">
        <f t="shared" si="232"/>
        <v>270</v>
      </c>
    </row>
    <row r="6743" spans="1:4" x14ac:dyDescent="0.25">
      <c r="A6743" t="str">
        <f>"838944141"</f>
        <v>838944141</v>
      </c>
      <c r="B6743" t="s">
        <v>6138</v>
      </c>
      <c r="C6743">
        <v>10.73</v>
      </c>
      <c r="D6743" t="str">
        <f t="shared" si="232"/>
        <v>270</v>
      </c>
    </row>
    <row r="6744" spans="1:4" x14ac:dyDescent="0.25">
      <c r="A6744" t="str">
        <f>"838944142"</f>
        <v>838944142</v>
      </c>
      <c r="B6744" t="s">
        <v>6139</v>
      </c>
      <c r="C6744">
        <v>73.849999999999994</v>
      </c>
      <c r="D6744" t="str">
        <f t="shared" si="232"/>
        <v>270</v>
      </c>
    </row>
    <row r="6745" spans="1:4" x14ac:dyDescent="0.25">
      <c r="A6745" t="str">
        <f>"838944143"</f>
        <v>838944143</v>
      </c>
      <c r="B6745" t="s">
        <v>6140</v>
      </c>
      <c r="C6745">
        <v>73.849999999999994</v>
      </c>
      <c r="D6745" t="str">
        <f t="shared" si="232"/>
        <v>270</v>
      </c>
    </row>
    <row r="6746" spans="1:4" x14ac:dyDescent="0.25">
      <c r="A6746" t="str">
        <f>"838944144"</f>
        <v>838944144</v>
      </c>
      <c r="B6746" t="s">
        <v>6141</v>
      </c>
      <c r="C6746">
        <v>10.73</v>
      </c>
      <c r="D6746" t="str">
        <f t="shared" si="232"/>
        <v>270</v>
      </c>
    </row>
    <row r="6747" spans="1:4" x14ac:dyDescent="0.25">
      <c r="A6747" t="str">
        <f>"838944145"</f>
        <v>838944145</v>
      </c>
      <c r="B6747" t="s">
        <v>6141</v>
      </c>
      <c r="C6747">
        <v>10.73</v>
      </c>
      <c r="D6747" t="str">
        <f t="shared" si="232"/>
        <v>270</v>
      </c>
    </row>
    <row r="6748" spans="1:4" x14ac:dyDescent="0.25">
      <c r="A6748" t="str">
        <f>"838944146"</f>
        <v>838944146</v>
      </c>
      <c r="B6748" t="s">
        <v>6142</v>
      </c>
      <c r="C6748">
        <v>9.02</v>
      </c>
      <c r="D6748" t="str">
        <f t="shared" si="232"/>
        <v>270</v>
      </c>
    </row>
    <row r="6749" spans="1:4" x14ac:dyDescent="0.25">
      <c r="A6749" t="str">
        <f>"838944147"</f>
        <v>838944147</v>
      </c>
      <c r="B6749" t="s">
        <v>6142</v>
      </c>
      <c r="C6749">
        <v>9.02</v>
      </c>
      <c r="D6749" t="str">
        <f t="shared" si="232"/>
        <v>270</v>
      </c>
    </row>
    <row r="6750" spans="1:4" x14ac:dyDescent="0.25">
      <c r="A6750" t="str">
        <f>"838944148"</f>
        <v>838944148</v>
      </c>
      <c r="B6750" t="s">
        <v>6143</v>
      </c>
      <c r="C6750">
        <v>10.58</v>
      </c>
      <c r="D6750" t="str">
        <f t="shared" si="232"/>
        <v>270</v>
      </c>
    </row>
    <row r="6751" spans="1:4" x14ac:dyDescent="0.25">
      <c r="A6751" t="str">
        <f>"838944149"</f>
        <v>838944149</v>
      </c>
      <c r="B6751" t="s">
        <v>6143</v>
      </c>
      <c r="C6751">
        <v>10.58</v>
      </c>
      <c r="D6751" t="str">
        <f t="shared" si="232"/>
        <v>270</v>
      </c>
    </row>
    <row r="6752" spans="1:4" x14ac:dyDescent="0.25">
      <c r="A6752" t="str">
        <f>"838944150"</f>
        <v>838944150</v>
      </c>
      <c r="B6752" t="s">
        <v>6144</v>
      </c>
      <c r="C6752">
        <v>10.58</v>
      </c>
      <c r="D6752" t="str">
        <f t="shared" si="232"/>
        <v>270</v>
      </c>
    </row>
    <row r="6753" spans="1:4" x14ac:dyDescent="0.25">
      <c r="A6753" t="str">
        <f>"838944151"</f>
        <v>838944151</v>
      </c>
      <c r="B6753" t="s">
        <v>6144</v>
      </c>
      <c r="C6753">
        <v>10.58</v>
      </c>
      <c r="D6753" t="str">
        <f t="shared" si="232"/>
        <v>270</v>
      </c>
    </row>
    <row r="6754" spans="1:4" x14ac:dyDescent="0.25">
      <c r="A6754" t="str">
        <f>"838944152"</f>
        <v>838944152</v>
      </c>
      <c r="B6754" t="s">
        <v>6145</v>
      </c>
      <c r="C6754">
        <v>10.58</v>
      </c>
      <c r="D6754" t="str">
        <f t="shared" si="232"/>
        <v>270</v>
      </c>
    </row>
    <row r="6755" spans="1:4" x14ac:dyDescent="0.25">
      <c r="A6755" t="str">
        <f>"838944153"</f>
        <v>838944153</v>
      </c>
      <c r="B6755" t="s">
        <v>6146</v>
      </c>
      <c r="C6755">
        <v>10.58</v>
      </c>
      <c r="D6755" t="str">
        <f t="shared" si="232"/>
        <v>270</v>
      </c>
    </row>
    <row r="6756" spans="1:4" x14ac:dyDescent="0.25">
      <c r="A6756" t="str">
        <f>"838944154"</f>
        <v>838944154</v>
      </c>
      <c r="B6756" t="s">
        <v>6147</v>
      </c>
      <c r="C6756">
        <v>10.58</v>
      </c>
      <c r="D6756" t="str">
        <f t="shared" si="232"/>
        <v>270</v>
      </c>
    </row>
    <row r="6757" spans="1:4" x14ac:dyDescent="0.25">
      <c r="A6757" t="str">
        <f>"838944155"</f>
        <v>838944155</v>
      </c>
      <c r="B6757" t="s">
        <v>6147</v>
      </c>
      <c r="C6757">
        <v>10.58</v>
      </c>
      <c r="D6757" t="str">
        <f t="shared" si="232"/>
        <v>270</v>
      </c>
    </row>
    <row r="6758" spans="1:4" x14ac:dyDescent="0.25">
      <c r="A6758" t="str">
        <f>"838944156"</f>
        <v>838944156</v>
      </c>
      <c r="B6758" t="s">
        <v>6148</v>
      </c>
      <c r="C6758">
        <v>21.95</v>
      </c>
      <c r="D6758" t="str">
        <f t="shared" si="232"/>
        <v>270</v>
      </c>
    </row>
    <row r="6759" spans="1:4" x14ac:dyDescent="0.25">
      <c r="A6759" t="str">
        <f>"838944157"</f>
        <v>838944157</v>
      </c>
      <c r="B6759" t="s">
        <v>6148</v>
      </c>
      <c r="C6759">
        <v>21.95</v>
      </c>
      <c r="D6759" t="str">
        <f t="shared" si="232"/>
        <v>270</v>
      </c>
    </row>
    <row r="6760" spans="1:4" x14ac:dyDescent="0.25">
      <c r="A6760" t="str">
        <f>"838944158"</f>
        <v>838944158</v>
      </c>
      <c r="B6760" t="s">
        <v>6149</v>
      </c>
      <c r="C6760">
        <v>21.74</v>
      </c>
      <c r="D6760" t="str">
        <f t="shared" si="232"/>
        <v>270</v>
      </c>
    </row>
    <row r="6761" spans="1:4" x14ac:dyDescent="0.25">
      <c r="A6761" t="str">
        <f>"838944159"</f>
        <v>838944159</v>
      </c>
      <c r="B6761" t="s">
        <v>6149</v>
      </c>
      <c r="C6761">
        <v>21.74</v>
      </c>
      <c r="D6761" t="str">
        <f t="shared" si="232"/>
        <v>270</v>
      </c>
    </row>
    <row r="6762" spans="1:4" x14ac:dyDescent="0.25">
      <c r="A6762" t="str">
        <f>"838944160"</f>
        <v>838944160</v>
      </c>
      <c r="B6762" t="s">
        <v>6150</v>
      </c>
      <c r="C6762">
        <v>8.26</v>
      </c>
      <c r="D6762" t="str">
        <f t="shared" si="232"/>
        <v>270</v>
      </c>
    </row>
    <row r="6763" spans="1:4" x14ac:dyDescent="0.25">
      <c r="A6763" t="str">
        <f>"838944161"</f>
        <v>838944161</v>
      </c>
      <c r="B6763" t="s">
        <v>6150</v>
      </c>
      <c r="C6763">
        <v>8.26</v>
      </c>
      <c r="D6763" t="str">
        <f t="shared" si="232"/>
        <v>270</v>
      </c>
    </row>
    <row r="6764" spans="1:4" x14ac:dyDescent="0.25">
      <c r="A6764" t="str">
        <f>"838944162"</f>
        <v>838944162</v>
      </c>
      <c r="B6764" t="s">
        <v>6151</v>
      </c>
      <c r="C6764">
        <v>8.1199999999999992</v>
      </c>
      <c r="D6764" t="str">
        <f t="shared" si="232"/>
        <v>270</v>
      </c>
    </row>
    <row r="6765" spans="1:4" x14ac:dyDescent="0.25">
      <c r="A6765" t="str">
        <f>"838944163"</f>
        <v>838944163</v>
      </c>
      <c r="B6765" t="s">
        <v>6152</v>
      </c>
      <c r="C6765">
        <v>8.1199999999999992</v>
      </c>
      <c r="D6765" t="str">
        <f t="shared" si="232"/>
        <v>270</v>
      </c>
    </row>
    <row r="6766" spans="1:4" x14ac:dyDescent="0.25">
      <c r="A6766" t="str">
        <f>"838944164"</f>
        <v>838944164</v>
      </c>
      <c r="B6766" t="s">
        <v>6153</v>
      </c>
      <c r="C6766">
        <v>8.3699999999999992</v>
      </c>
      <c r="D6766" t="str">
        <f t="shared" si="232"/>
        <v>270</v>
      </c>
    </row>
    <row r="6767" spans="1:4" x14ac:dyDescent="0.25">
      <c r="A6767" t="str">
        <f>"838944165"</f>
        <v>838944165</v>
      </c>
      <c r="B6767" t="s">
        <v>6153</v>
      </c>
      <c r="C6767">
        <v>8.3699999999999992</v>
      </c>
      <c r="D6767" t="str">
        <f t="shared" si="232"/>
        <v>270</v>
      </c>
    </row>
    <row r="6768" spans="1:4" x14ac:dyDescent="0.25">
      <c r="A6768" t="str">
        <f>"838944166"</f>
        <v>838944166</v>
      </c>
      <c r="B6768" t="s">
        <v>6154</v>
      </c>
      <c r="C6768">
        <v>9.24</v>
      </c>
      <c r="D6768" t="str">
        <f t="shared" si="232"/>
        <v>270</v>
      </c>
    </row>
    <row r="6769" spans="1:4" x14ac:dyDescent="0.25">
      <c r="A6769" t="str">
        <f>"838944167"</f>
        <v>838944167</v>
      </c>
      <c r="B6769" t="s">
        <v>6154</v>
      </c>
      <c r="C6769">
        <v>9.24</v>
      </c>
      <c r="D6769" t="str">
        <f t="shared" si="232"/>
        <v>270</v>
      </c>
    </row>
    <row r="6770" spans="1:4" x14ac:dyDescent="0.25">
      <c r="A6770" t="str">
        <f>"838944168"</f>
        <v>838944168</v>
      </c>
      <c r="B6770" t="s">
        <v>6155</v>
      </c>
      <c r="C6770">
        <v>9.01</v>
      </c>
      <c r="D6770" t="str">
        <f t="shared" si="232"/>
        <v>270</v>
      </c>
    </row>
    <row r="6771" spans="1:4" x14ac:dyDescent="0.25">
      <c r="A6771" t="str">
        <f>"838944169"</f>
        <v>838944169</v>
      </c>
      <c r="B6771" t="s">
        <v>6155</v>
      </c>
      <c r="C6771">
        <v>9.01</v>
      </c>
      <c r="D6771" t="str">
        <f t="shared" si="232"/>
        <v>270</v>
      </c>
    </row>
    <row r="6772" spans="1:4" x14ac:dyDescent="0.25">
      <c r="A6772" t="str">
        <f>"838944170"</f>
        <v>838944170</v>
      </c>
      <c r="B6772" t="s">
        <v>6156</v>
      </c>
      <c r="C6772">
        <v>9.24</v>
      </c>
      <c r="D6772" t="str">
        <f t="shared" si="232"/>
        <v>270</v>
      </c>
    </row>
    <row r="6773" spans="1:4" x14ac:dyDescent="0.25">
      <c r="A6773" t="str">
        <f>"838944171"</f>
        <v>838944171</v>
      </c>
      <c r="B6773" t="s">
        <v>6156</v>
      </c>
      <c r="C6773">
        <v>9.24</v>
      </c>
      <c r="D6773" t="str">
        <f t="shared" si="232"/>
        <v>270</v>
      </c>
    </row>
    <row r="6774" spans="1:4" x14ac:dyDescent="0.25">
      <c r="A6774" t="str">
        <f>"838944172"</f>
        <v>838944172</v>
      </c>
      <c r="B6774" t="s">
        <v>6157</v>
      </c>
      <c r="C6774">
        <v>9.5500000000000007</v>
      </c>
      <c r="D6774" t="str">
        <f t="shared" si="232"/>
        <v>270</v>
      </c>
    </row>
    <row r="6775" spans="1:4" x14ac:dyDescent="0.25">
      <c r="A6775" t="str">
        <f>"838944173"</f>
        <v>838944173</v>
      </c>
      <c r="B6775" t="s">
        <v>6157</v>
      </c>
      <c r="C6775">
        <v>9.5500000000000007</v>
      </c>
      <c r="D6775" t="str">
        <f t="shared" si="232"/>
        <v>270</v>
      </c>
    </row>
    <row r="6776" spans="1:4" x14ac:dyDescent="0.25">
      <c r="A6776" t="str">
        <f>"838944174"</f>
        <v>838944174</v>
      </c>
      <c r="B6776" t="s">
        <v>6158</v>
      </c>
      <c r="C6776">
        <v>8.1300000000000008</v>
      </c>
      <c r="D6776" t="str">
        <f t="shared" si="232"/>
        <v>270</v>
      </c>
    </row>
    <row r="6777" spans="1:4" x14ac:dyDescent="0.25">
      <c r="A6777" t="str">
        <f>"838944175"</f>
        <v>838944175</v>
      </c>
      <c r="B6777" t="s">
        <v>6159</v>
      </c>
      <c r="C6777">
        <v>8.1300000000000008</v>
      </c>
      <c r="D6777" t="str">
        <f t="shared" si="232"/>
        <v>270</v>
      </c>
    </row>
    <row r="6778" spans="1:4" x14ac:dyDescent="0.25">
      <c r="A6778" t="str">
        <f>"838944176"</f>
        <v>838944176</v>
      </c>
      <c r="B6778" t="s">
        <v>6160</v>
      </c>
      <c r="C6778">
        <v>8.3699999999999992</v>
      </c>
      <c r="D6778" t="str">
        <f t="shared" si="232"/>
        <v>270</v>
      </c>
    </row>
    <row r="6779" spans="1:4" x14ac:dyDescent="0.25">
      <c r="A6779" t="str">
        <f>"838944177"</f>
        <v>838944177</v>
      </c>
      <c r="B6779" t="s">
        <v>6161</v>
      </c>
      <c r="C6779">
        <v>8.3699999999999992</v>
      </c>
      <c r="D6779" t="str">
        <f t="shared" ref="D6779:D6842" si="233">"270"</f>
        <v>270</v>
      </c>
    </row>
    <row r="6780" spans="1:4" x14ac:dyDescent="0.25">
      <c r="A6780" t="str">
        <f>"838944178"</f>
        <v>838944178</v>
      </c>
      <c r="B6780" t="s">
        <v>6162</v>
      </c>
      <c r="C6780">
        <v>9.24</v>
      </c>
      <c r="D6780" t="str">
        <f t="shared" si="233"/>
        <v>270</v>
      </c>
    </row>
    <row r="6781" spans="1:4" x14ac:dyDescent="0.25">
      <c r="A6781" t="str">
        <f>"838944179"</f>
        <v>838944179</v>
      </c>
      <c r="B6781" t="s">
        <v>6163</v>
      </c>
      <c r="C6781">
        <v>9.24</v>
      </c>
      <c r="D6781" t="str">
        <f t="shared" si="233"/>
        <v>270</v>
      </c>
    </row>
    <row r="6782" spans="1:4" x14ac:dyDescent="0.25">
      <c r="A6782" t="str">
        <f>"838944180"</f>
        <v>838944180</v>
      </c>
      <c r="B6782" t="s">
        <v>6164</v>
      </c>
      <c r="C6782">
        <v>9.5500000000000007</v>
      </c>
      <c r="D6782" t="str">
        <f t="shared" si="233"/>
        <v>270</v>
      </c>
    </row>
    <row r="6783" spans="1:4" x14ac:dyDescent="0.25">
      <c r="A6783" t="str">
        <f>"838944181"</f>
        <v>838944181</v>
      </c>
      <c r="B6783" t="s">
        <v>6165</v>
      </c>
      <c r="C6783">
        <v>9.5500000000000007</v>
      </c>
      <c r="D6783" t="str">
        <f t="shared" si="233"/>
        <v>270</v>
      </c>
    </row>
    <row r="6784" spans="1:4" x14ac:dyDescent="0.25">
      <c r="A6784" t="str">
        <f>"838944182"</f>
        <v>838944182</v>
      </c>
      <c r="B6784" t="s">
        <v>6166</v>
      </c>
      <c r="C6784">
        <v>22.74</v>
      </c>
      <c r="D6784" t="str">
        <f t="shared" si="233"/>
        <v>270</v>
      </c>
    </row>
    <row r="6785" spans="1:4" x14ac:dyDescent="0.25">
      <c r="A6785" t="str">
        <f>"838944183"</f>
        <v>838944183</v>
      </c>
      <c r="B6785" t="s">
        <v>6166</v>
      </c>
      <c r="C6785">
        <v>22.74</v>
      </c>
      <c r="D6785" t="str">
        <f t="shared" si="233"/>
        <v>270</v>
      </c>
    </row>
    <row r="6786" spans="1:4" x14ac:dyDescent="0.25">
      <c r="A6786" t="str">
        <f>"838944184"</f>
        <v>838944184</v>
      </c>
      <c r="B6786" t="s">
        <v>6167</v>
      </c>
      <c r="C6786">
        <v>22.19</v>
      </c>
      <c r="D6786" t="str">
        <f t="shared" si="233"/>
        <v>270</v>
      </c>
    </row>
    <row r="6787" spans="1:4" x14ac:dyDescent="0.25">
      <c r="A6787" t="str">
        <f>"838944185"</f>
        <v>838944185</v>
      </c>
      <c r="B6787" t="s">
        <v>6167</v>
      </c>
      <c r="C6787">
        <v>22.19</v>
      </c>
      <c r="D6787" t="str">
        <f t="shared" si="233"/>
        <v>270</v>
      </c>
    </row>
    <row r="6788" spans="1:4" x14ac:dyDescent="0.25">
      <c r="A6788" t="str">
        <f>"838944186"</f>
        <v>838944186</v>
      </c>
      <c r="B6788" t="s">
        <v>6168</v>
      </c>
      <c r="C6788">
        <v>21.91</v>
      </c>
      <c r="D6788" t="str">
        <f t="shared" si="233"/>
        <v>270</v>
      </c>
    </row>
    <row r="6789" spans="1:4" x14ac:dyDescent="0.25">
      <c r="A6789" t="str">
        <f>"838944187"</f>
        <v>838944187</v>
      </c>
      <c r="B6789" t="s">
        <v>6168</v>
      </c>
      <c r="C6789">
        <v>21.91</v>
      </c>
      <c r="D6789" t="str">
        <f t="shared" si="233"/>
        <v>270</v>
      </c>
    </row>
    <row r="6790" spans="1:4" x14ac:dyDescent="0.25">
      <c r="A6790" t="str">
        <f>"838944188"</f>
        <v>838944188</v>
      </c>
      <c r="B6790" t="s">
        <v>6169</v>
      </c>
      <c r="C6790">
        <v>22.22</v>
      </c>
      <c r="D6790" t="str">
        <f t="shared" si="233"/>
        <v>270</v>
      </c>
    </row>
    <row r="6791" spans="1:4" x14ac:dyDescent="0.25">
      <c r="A6791" t="str">
        <f>"838944189"</f>
        <v>838944189</v>
      </c>
      <c r="B6791" t="s">
        <v>6169</v>
      </c>
      <c r="C6791">
        <v>22.22</v>
      </c>
      <c r="D6791" t="str">
        <f t="shared" si="233"/>
        <v>270</v>
      </c>
    </row>
    <row r="6792" spans="1:4" x14ac:dyDescent="0.25">
      <c r="A6792" t="str">
        <f>"838944190"</f>
        <v>838944190</v>
      </c>
      <c r="B6792" t="s">
        <v>6169</v>
      </c>
      <c r="C6792">
        <v>22.22</v>
      </c>
      <c r="D6792" t="str">
        <f t="shared" si="233"/>
        <v>270</v>
      </c>
    </row>
    <row r="6793" spans="1:4" x14ac:dyDescent="0.25">
      <c r="A6793" t="str">
        <f>"838944191"</f>
        <v>838944191</v>
      </c>
      <c r="B6793" t="s">
        <v>6169</v>
      </c>
      <c r="C6793">
        <v>22.22</v>
      </c>
      <c r="D6793" t="str">
        <f t="shared" si="233"/>
        <v>270</v>
      </c>
    </row>
    <row r="6794" spans="1:4" x14ac:dyDescent="0.25">
      <c r="A6794" t="str">
        <f>"838944192"</f>
        <v>838944192</v>
      </c>
      <c r="B6794" t="s">
        <v>6170</v>
      </c>
      <c r="C6794">
        <v>21.95</v>
      </c>
      <c r="D6794" t="str">
        <f t="shared" si="233"/>
        <v>270</v>
      </c>
    </row>
    <row r="6795" spans="1:4" x14ac:dyDescent="0.25">
      <c r="A6795" t="str">
        <f>"838944193"</f>
        <v>838944193</v>
      </c>
      <c r="B6795" t="s">
        <v>6170</v>
      </c>
      <c r="C6795">
        <v>21.95</v>
      </c>
      <c r="D6795" t="str">
        <f t="shared" si="233"/>
        <v>270</v>
      </c>
    </row>
    <row r="6796" spans="1:4" x14ac:dyDescent="0.25">
      <c r="A6796" t="str">
        <f>"838944194"</f>
        <v>838944194</v>
      </c>
      <c r="B6796" t="s">
        <v>6170</v>
      </c>
      <c r="C6796">
        <v>21.95</v>
      </c>
      <c r="D6796" t="str">
        <f t="shared" si="233"/>
        <v>270</v>
      </c>
    </row>
    <row r="6797" spans="1:4" x14ac:dyDescent="0.25">
      <c r="A6797" t="str">
        <f>"838944195"</f>
        <v>838944195</v>
      </c>
      <c r="B6797" t="s">
        <v>6170</v>
      </c>
      <c r="C6797">
        <v>21.95</v>
      </c>
      <c r="D6797" t="str">
        <f t="shared" si="233"/>
        <v>270</v>
      </c>
    </row>
    <row r="6798" spans="1:4" x14ac:dyDescent="0.25">
      <c r="A6798" t="str">
        <f>"838944196"</f>
        <v>838944196</v>
      </c>
      <c r="B6798" t="s">
        <v>6171</v>
      </c>
      <c r="C6798">
        <v>21.74</v>
      </c>
      <c r="D6798" t="str">
        <f t="shared" si="233"/>
        <v>270</v>
      </c>
    </row>
    <row r="6799" spans="1:4" x14ac:dyDescent="0.25">
      <c r="A6799" t="str">
        <f>"838944197"</f>
        <v>838944197</v>
      </c>
      <c r="B6799" t="s">
        <v>6171</v>
      </c>
      <c r="C6799">
        <v>21.74</v>
      </c>
      <c r="D6799" t="str">
        <f t="shared" si="233"/>
        <v>270</v>
      </c>
    </row>
    <row r="6800" spans="1:4" x14ac:dyDescent="0.25">
      <c r="A6800" t="str">
        <f>"838944198"</f>
        <v>838944198</v>
      </c>
      <c r="B6800" t="s">
        <v>6171</v>
      </c>
      <c r="C6800">
        <v>21.74</v>
      </c>
      <c r="D6800" t="str">
        <f t="shared" si="233"/>
        <v>270</v>
      </c>
    </row>
    <row r="6801" spans="1:4" x14ac:dyDescent="0.25">
      <c r="A6801" t="str">
        <f>"838944199"</f>
        <v>838944199</v>
      </c>
      <c r="B6801" t="s">
        <v>6171</v>
      </c>
      <c r="C6801">
        <v>21.74</v>
      </c>
      <c r="D6801" t="str">
        <f t="shared" si="233"/>
        <v>270</v>
      </c>
    </row>
    <row r="6802" spans="1:4" x14ac:dyDescent="0.25">
      <c r="A6802" t="str">
        <f>"838944200"</f>
        <v>838944200</v>
      </c>
      <c r="B6802" t="s">
        <v>6172</v>
      </c>
      <c r="C6802">
        <v>20</v>
      </c>
      <c r="D6802" t="str">
        <f t="shared" si="233"/>
        <v>270</v>
      </c>
    </row>
    <row r="6803" spans="1:4" x14ac:dyDescent="0.25">
      <c r="A6803" t="str">
        <f>"838944201"</f>
        <v>838944201</v>
      </c>
      <c r="B6803" t="s">
        <v>6172</v>
      </c>
      <c r="C6803">
        <v>20</v>
      </c>
      <c r="D6803" t="str">
        <f t="shared" si="233"/>
        <v>270</v>
      </c>
    </row>
    <row r="6804" spans="1:4" x14ac:dyDescent="0.25">
      <c r="A6804" t="str">
        <f>"838944202"</f>
        <v>838944202</v>
      </c>
      <c r="B6804" t="s">
        <v>6172</v>
      </c>
      <c r="C6804">
        <v>20</v>
      </c>
      <c r="D6804" t="str">
        <f t="shared" si="233"/>
        <v>270</v>
      </c>
    </row>
    <row r="6805" spans="1:4" x14ac:dyDescent="0.25">
      <c r="A6805" t="str">
        <f>"838944203"</f>
        <v>838944203</v>
      </c>
      <c r="B6805" t="s">
        <v>6172</v>
      </c>
      <c r="C6805">
        <v>20</v>
      </c>
      <c r="D6805" t="str">
        <f t="shared" si="233"/>
        <v>270</v>
      </c>
    </row>
    <row r="6806" spans="1:4" x14ac:dyDescent="0.25">
      <c r="A6806" t="str">
        <f>"838944204"</f>
        <v>838944204</v>
      </c>
      <c r="B6806" t="s">
        <v>6173</v>
      </c>
      <c r="C6806">
        <v>19.79</v>
      </c>
      <c r="D6806" t="str">
        <f t="shared" si="233"/>
        <v>270</v>
      </c>
    </row>
    <row r="6807" spans="1:4" x14ac:dyDescent="0.25">
      <c r="A6807" t="str">
        <f>"838944205"</f>
        <v>838944205</v>
      </c>
      <c r="B6807" t="s">
        <v>6173</v>
      </c>
      <c r="C6807">
        <v>19.79</v>
      </c>
      <c r="D6807" t="str">
        <f t="shared" si="233"/>
        <v>270</v>
      </c>
    </row>
    <row r="6808" spans="1:4" x14ac:dyDescent="0.25">
      <c r="A6808" t="str">
        <f>"838944206"</f>
        <v>838944206</v>
      </c>
      <c r="B6808" t="s">
        <v>6173</v>
      </c>
      <c r="C6808">
        <v>19.79</v>
      </c>
      <c r="D6808" t="str">
        <f t="shared" si="233"/>
        <v>270</v>
      </c>
    </row>
    <row r="6809" spans="1:4" x14ac:dyDescent="0.25">
      <c r="A6809" t="str">
        <f>"838944207"</f>
        <v>838944207</v>
      </c>
      <c r="B6809" t="s">
        <v>6173</v>
      </c>
      <c r="C6809">
        <v>19.79</v>
      </c>
      <c r="D6809" t="str">
        <f t="shared" si="233"/>
        <v>270</v>
      </c>
    </row>
    <row r="6810" spans="1:4" x14ac:dyDescent="0.25">
      <c r="A6810" t="str">
        <f>"838944208"</f>
        <v>838944208</v>
      </c>
      <c r="B6810" t="s">
        <v>6174</v>
      </c>
      <c r="C6810">
        <v>19.66</v>
      </c>
      <c r="D6810" t="str">
        <f t="shared" si="233"/>
        <v>270</v>
      </c>
    </row>
    <row r="6811" spans="1:4" x14ac:dyDescent="0.25">
      <c r="A6811" t="str">
        <f>"838944209"</f>
        <v>838944209</v>
      </c>
      <c r="B6811" t="s">
        <v>6174</v>
      </c>
      <c r="C6811">
        <v>19.66</v>
      </c>
      <c r="D6811" t="str">
        <f t="shared" si="233"/>
        <v>270</v>
      </c>
    </row>
    <row r="6812" spans="1:4" x14ac:dyDescent="0.25">
      <c r="A6812" t="str">
        <f>"838944210"</f>
        <v>838944210</v>
      </c>
      <c r="B6812" t="s">
        <v>6174</v>
      </c>
      <c r="C6812">
        <v>19.66</v>
      </c>
      <c r="D6812" t="str">
        <f t="shared" si="233"/>
        <v>270</v>
      </c>
    </row>
    <row r="6813" spans="1:4" x14ac:dyDescent="0.25">
      <c r="A6813" t="str">
        <f>"838944211"</f>
        <v>838944211</v>
      </c>
      <c r="B6813" t="s">
        <v>6174</v>
      </c>
      <c r="C6813">
        <v>19.66</v>
      </c>
      <c r="D6813" t="str">
        <f t="shared" si="233"/>
        <v>270</v>
      </c>
    </row>
    <row r="6814" spans="1:4" x14ac:dyDescent="0.25">
      <c r="A6814" t="str">
        <f>"838944212"</f>
        <v>838944212</v>
      </c>
      <c r="B6814" t="s">
        <v>6175</v>
      </c>
      <c r="C6814">
        <v>20.27</v>
      </c>
      <c r="D6814" t="str">
        <f t="shared" si="233"/>
        <v>270</v>
      </c>
    </row>
    <row r="6815" spans="1:4" x14ac:dyDescent="0.25">
      <c r="A6815" t="str">
        <f>"838944213"</f>
        <v>838944213</v>
      </c>
      <c r="B6815" t="s">
        <v>6175</v>
      </c>
      <c r="C6815">
        <v>20.27</v>
      </c>
      <c r="D6815" t="str">
        <f t="shared" si="233"/>
        <v>270</v>
      </c>
    </row>
    <row r="6816" spans="1:4" x14ac:dyDescent="0.25">
      <c r="A6816" t="str">
        <f>"838944214"</f>
        <v>838944214</v>
      </c>
      <c r="B6816" t="s">
        <v>6172</v>
      </c>
      <c r="C6816">
        <v>20</v>
      </c>
      <c r="D6816" t="str">
        <f t="shared" si="233"/>
        <v>270</v>
      </c>
    </row>
    <row r="6817" spans="1:4" x14ac:dyDescent="0.25">
      <c r="A6817" t="str">
        <f>"838944215"</f>
        <v>838944215</v>
      </c>
      <c r="B6817" t="s">
        <v>6172</v>
      </c>
      <c r="C6817">
        <v>20</v>
      </c>
      <c r="D6817" t="str">
        <f t="shared" si="233"/>
        <v>270</v>
      </c>
    </row>
    <row r="6818" spans="1:4" x14ac:dyDescent="0.25">
      <c r="A6818" t="str">
        <f>"838944216"</f>
        <v>838944216</v>
      </c>
      <c r="B6818" t="s">
        <v>6172</v>
      </c>
      <c r="C6818">
        <v>20</v>
      </c>
      <c r="D6818" t="str">
        <f t="shared" si="233"/>
        <v>270</v>
      </c>
    </row>
    <row r="6819" spans="1:4" x14ac:dyDescent="0.25">
      <c r="A6819" t="str">
        <f>"838944217"</f>
        <v>838944217</v>
      </c>
      <c r="B6819" t="s">
        <v>6172</v>
      </c>
      <c r="C6819">
        <v>20</v>
      </c>
      <c r="D6819" t="str">
        <f t="shared" si="233"/>
        <v>270</v>
      </c>
    </row>
    <row r="6820" spans="1:4" x14ac:dyDescent="0.25">
      <c r="A6820" t="str">
        <f>"838944218"</f>
        <v>838944218</v>
      </c>
      <c r="B6820" t="s">
        <v>6176</v>
      </c>
      <c r="C6820">
        <v>22.89</v>
      </c>
      <c r="D6820" t="str">
        <f t="shared" si="233"/>
        <v>270</v>
      </c>
    </row>
    <row r="6821" spans="1:4" x14ac:dyDescent="0.25">
      <c r="A6821" t="str">
        <f>"838944219"</f>
        <v>838944219</v>
      </c>
      <c r="B6821" t="s">
        <v>6176</v>
      </c>
      <c r="C6821">
        <v>22.89</v>
      </c>
      <c r="D6821" t="str">
        <f t="shared" si="233"/>
        <v>270</v>
      </c>
    </row>
    <row r="6822" spans="1:4" x14ac:dyDescent="0.25">
      <c r="A6822" t="str">
        <f>"838944220"</f>
        <v>838944220</v>
      </c>
      <c r="B6822" t="s">
        <v>6177</v>
      </c>
      <c r="C6822">
        <v>25.83</v>
      </c>
      <c r="D6822" t="str">
        <f t="shared" si="233"/>
        <v>270</v>
      </c>
    </row>
    <row r="6823" spans="1:4" x14ac:dyDescent="0.25">
      <c r="A6823" t="str">
        <f>"838944221"</f>
        <v>838944221</v>
      </c>
      <c r="B6823" t="s">
        <v>6178</v>
      </c>
      <c r="C6823">
        <v>25.83</v>
      </c>
      <c r="D6823" t="str">
        <f t="shared" si="233"/>
        <v>270</v>
      </c>
    </row>
    <row r="6824" spans="1:4" x14ac:dyDescent="0.25">
      <c r="A6824" t="str">
        <f>"838944222"</f>
        <v>838944222</v>
      </c>
      <c r="B6824" t="s">
        <v>6179</v>
      </c>
      <c r="C6824">
        <v>25.63</v>
      </c>
      <c r="D6824" t="str">
        <f t="shared" si="233"/>
        <v>270</v>
      </c>
    </row>
    <row r="6825" spans="1:4" x14ac:dyDescent="0.25">
      <c r="A6825" t="str">
        <f>"838944223"</f>
        <v>838944223</v>
      </c>
      <c r="B6825" t="s">
        <v>6179</v>
      </c>
      <c r="C6825">
        <v>25.63</v>
      </c>
      <c r="D6825" t="str">
        <f t="shared" si="233"/>
        <v>270</v>
      </c>
    </row>
    <row r="6826" spans="1:4" x14ac:dyDescent="0.25">
      <c r="A6826" t="str">
        <f>"838944224"</f>
        <v>838944224</v>
      </c>
      <c r="B6826" t="s">
        <v>6180</v>
      </c>
      <c r="C6826">
        <v>20</v>
      </c>
      <c r="D6826" t="str">
        <f t="shared" si="233"/>
        <v>270</v>
      </c>
    </row>
    <row r="6827" spans="1:4" x14ac:dyDescent="0.25">
      <c r="A6827" t="str">
        <f>"838944225"</f>
        <v>838944225</v>
      </c>
      <c r="B6827" t="s">
        <v>6181</v>
      </c>
      <c r="C6827">
        <v>20</v>
      </c>
      <c r="D6827" t="str">
        <f t="shared" si="233"/>
        <v>270</v>
      </c>
    </row>
    <row r="6828" spans="1:4" x14ac:dyDescent="0.25">
      <c r="A6828" t="str">
        <f>"838944226"</f>
        <v>838944226</v>
      </c>
      <c r="B6828" t="s">
        <v>6182</v>
      </c>
      <c r="C6828">
        <v>19.79</v>
      </c>
      <c r="D6828" t="str">
        <f t="shared" si="233"/>
        <v>270</v>
      </c>
    </row>
    <row r="6829" spans="1:4" x14ac:dyDescent="0.25">
      <c r="A6829" t="str">
        <f>"838944227"</f>
        <v>838944227</v>
      </c>
      <c r="B6829" t="s">
        <v>6182</v>
      </c>
      <c r="C6829">
        <v>19.79</v>
      </c>
      <c r="D6829" t="str">
        <f t="shared" si="233"/>
        <v>270</v>
      </c>
    </row>
    <row r="6830" spans="1:4" x14ac:dyDescent="0.25">
      <c r="A6830" t="str">
        <f>"838944228"</f>
        <v>838944228</v>
      </c>
      <c r="B6830" t="s">
        <v>6183</v>
      </c>
      <c r="C6830">
        <v>24.16</v>
      </c>
      <c r="D6830" t="str">
        <f t="shared" si="233"/>
        <v>270</v>
      </c>
    </row>
    <row r="6831" spans="1:4" x14ac:dyDescent="0.25">
      <c r="A6831" t="str">
        <f>"838944229"</f>
        <v>838944229</v>
      </c>
      <c r="B6831" t="s">
        <v>6184</v>
      </c>
      <c r="C6831">
        <v>24.16</v>
      </c>
      <c r="D6831" t="str">
        <f t="shared" si="233"/>
        <v>270</v>
      </c>
    </row>
    <row r="6832" spans="1:4" x14ac:dyDescent="0.25">
      <c r="A6832" t="str">
        <f>"838944230"</f>
        <v>838944230</v>
      </c>
      <c r="B6832" t="s">
        <v>6185</v>
      </c>
      <c r="C6832">
        <v>23.88</v>
      </c>
      <c r="D6832" t="str">
        <f t="shared" si="233"/>
        <v>270</v>
      </c>
    </row>
    <row r="6833" spans="1:4" x14ac:dyDescent="0.25">
      <c r="A6833" t="str">
        <f>"838944231"</f>
        <v>838944231</v>
      </c>
      <c r="B6833" t="s">
        <v>6186</v>
      </c>
      <c r="C6833">
        <v>23.88</v>
      </c>
      <c r="D6833" t="str">
        <f t="shared" si="233"/>
        <v>270</v>
      </c>
    </row>
    <row r="6834" spans="1:4" x14ac:dyDescent="0.25">
      <c r="A6834" t="str">
        <f>"838944232"</f>
        <v>838944232</v>
      </c>
      <c r="B6834" t="s">
        <v>6187</v>
      </c>
      <c r="C6834">
        <v>12.47</v>
      </c>
      <c r="D6834" t="str">
        <f t="shared" si="233"/>
        <v>270</v>
      </c>
    </row>
    <row r="6835" spans="1:4" x14ac:dyDescent="0.25">
      <c r="A6835" t="str">
        <f>"838944233"</f>
        <v>838944233</v>
      </c>
      <c r="B6835" t="s">
        <v>6187</v>
      </c>
      <c r="C6835">
        <v>12.47</v>
      </c>
      <c r="D6835" t="str">
        <f t="shared" si="233"/>
        <v>270</v>
      </c>
    </row>
    <row r="6836" spans="1:4" x14ac:dyDescent="0.25">
      <c r="A6836" t="str">
        <f>"838944234"</f>
        <v>838944234</v>
      </c>
      <c r="B6836" t="s">
        <v>6188</v>
      </c>
      <c r="C6836">
        <v>12.28</v>
      </c>
      <c r="D6836" t="str">
        <f t="shared" si="233"/>
        <v>270</v>
      </c>
    </row>
    <row r="6837" spans="1:4" x14ac:dyDescent="0.25">
      <c r="A6837" t="str">
        <f>"838944235"</f>
        <v>838944235</v>
      </c>
      <c r="B6837" t="s">
        <v>6188</v>
      </c>
      <c r="C6837">
        <v>12.28</v>
      </c>
      <c r="D6837" t="str">
        <f t="shared" si="233"/>
        <v>270</v>
      </c>
    </row>
    <row r="6838" spans="1:4" x14ac:dyDescent="0.25">
      <c r="A6838" t="str">
        <f>"838944236"</f>
        <v>838944236</v>
      </c>
      <c r="B6838" t="s">
        <v>6189</v>
      </c>
      <c r="C6838">
        <v>12.6</v>
      </c>
      <c r="D6838" t="str">
        <f t="shared" si="233"/>
        <v>270</v>
      </c>
    </row>
    <row r="6839" spans="1:4" x14ac:dyDescent="0.25">
      <c r="A6839" t="str">
        <f>"838944237"</f>
        <v>838944237</v>
      </c>
      <c r="B6839" t="s">
        <v>6189</v>
      </c>
      <c r="C6839">
        <v>12.6</v>
      </c>
      <c r="D6839" t="str">
        <f t="shared" si="233"/>
        <v>270</v>
      </c>
    </row>
    <row r="6840" spans="1:4" x14ac:dyDescent="0.25">
      <c r="A6840" t="str">
        <f>"838944238"</f>
        <v>838944238</v>
      </c>
      <c r="B6840" t="s">
        <v>6190</v>
      </c>
      <c r="C6840">
        <v>12.61</v>
      </c>
      <c r="D6840" t="str">
        <f t="shared" si="233"/>
        <v>270</v>
      </c>
    </row>
    <row r="6841" spans="1:4" x14ac:dyDescent="0.25">
      <c r="A6841" t="str">
        <f>"838944239"</f>
        <v>838944239</v>
      </c>
      <c r="B6841" t="s">
        <v>6190</v>
      </c>
      <c r="C6841">
        <v>12.61</v>
      </c>
      <c r="D6841" t="str">
        <f t="shared" si="233"/>
        <v>270</v>
      </c>
    </row>
    <row r="6842" spans="1:4" x14ac:dyDescent="0.25">
      <c r="A6842" t="str">
        <f>"838944240"</f>
        <v>838944240</v>
      </c>
      <c r="B6842" t="s">
        <v>6191</v>
      </c>
      <c r="C6842">
        <v>10.29</v>
      </c>
      <c r="D6842" t="str">
        <f t="shared" si="233"/>
        <v>270</v>
      </c>
    </row>
    <row r="6843" spans="1:4" x14ac:dyDescent="0.25">
      <c r="A6843" t="str">
        <f>"838944241"</f>
        <v>838944241</v>
      </c>
      <c r="B6843" t="s">
        <v>6191</v>
      </c>
      <c r="C6843">
        <v>10.29</v>
      </c>
      <c r="D6843" t="str">
        <f t="shared" ref="D6843:D6906" si="234">"270"</f>
        <v>270</v>
      </c>
    </row>
    <row r="6844" spans="1:4" x14ac:dyDescent="0.25">
      <c r="A6844" t="str">
        <f>"838944242"</f>
        <v>838944242</v>
      </c>
      <c r="B6844" t="s">
        <v>6192</v>
      </c>
      <c r="C6844">
        <v>15.54</v>
      </c>
      <c r="D6844" t="str">
        <f t="shared" si="234"/>
        <v>270</v>
      </c>
    </row>
    <row r="6845" spans="1:4" x14ac:dyDescent="0.25">
      <c r="A6845" t="str">
        <f>"838944243"</f>
        <v>838944243</v>
      </c>
      <c r="B6845" t="s">
        <v>6192</v>
      </c>
      <c r="C6845">
        <v>15.54</v>
      </c>
      <c r="D6845" t="str">
        <f t="shared" si="234"/>
        <v>270</v>
      </c>
    </row>
    <row r="6846" spans="1:4" x14ac:dyDescent="0.25">
      <c r="A6846" t="str">
        <f>"838944244"</f>
        <v>838944244</v>
      </c>
      <c r="B6846" t="s">
        <v>6193</v>
      </c>
      <c r="C6846">
        <v>18.260000000000002</v>
      </c>
      <c r="D6846" t="str">
        <f t="shared" si="234"/>
        <v>270</v>
      </c>
    </row>
    <row r="6847" spans="1:4" x14ac:dyDescent="0.25">
      <c r="A6847" t="str">
        <f>"838944245"</f>
        <v>838944245</v>
      </c>
      <c r="B6847" t="s">
        <v>6193</v>
      </c>
      <c r="C6847">
        <v>18.260000000000002</v>
      </c>
      <c r="D6847" t="str">
        <f t="shared" si="234"/>
        <v>270</v>
      </c>
    </row>
    <row r="6848" spans="1:4" x14ac:dyDescent="0.25">
      <c r="A6848" t="str">
        <f>"838944246"</f>
        <v>838944246</v>
      </c>
      <c r="B6848" t="s">
        <v>6194</v>
      </c>
      <c r="C6848">
        <v>18.02</v>
      </c>
      <c r="D6848" t="str">
        <f t="shared" si="234"/>
        <v>270</v>
      </c>
    </row>
    <row r="6849" spans="1:4" x14ac:dyDescent="0.25">
      <c r="A6849" t="str">
        <f>"838944247"</f>
        <v>838944247</v>
      </c>
      <c r="B6849" t="s">
        <v>6194</v>
      </c>
      <c r="C6849">
        <v>18.02</v>
      </c>
      <c r="D6849" t="str">
        <f t="shared" si="234"/>
        <v>270</v>
      </c>
    </row>
    <row r="6850" spans="1:4" x14ac:dyDescent="0.25">
      <c r="A6850" t="str">
        <f>"838944248"</f>
        <v>838944248</v>
      </c>
      <c r="B6850" t="s">
        <v>6195</v>
      </c>
      <c r="C6850">
        <v>11.97</v>
      </c>
      <c r="D6850" t="str">
        <f t="shared" si="234"/>
        <v>270</v>
      </c>
    </row>
    <row r="6851" spans="1:4" x14ac:dyDescent="0.25">
      <c r="A6851" t="str">
        <f>"838944249"</f>
        <v>838944249</v>
      </c>
      <c r="B6851" t="s">
        <v>6195</v>
      </c>
      <c r="C6851">
        <v>11.97</v>
      </c>
      <c r="D6851" t="str">
        <f t="shared" si="234"/>
        <v>270</v>
      </c>
    </row>
    <row r="6852" spans="1:4" x14ac:dyDescent="0.25">
      <c r="A6852" t="str">
        <f>"838944250"</f>
        <v>838944250</v>
      </c>
      <c r="B6852" t="s">
        <v>6196</v>
      </c>
      <c r="C6852">
        <v>11.84</v>
      </c>
      <c r="D6852" t="str">
        <f t="shared" si="234"/>
        <v>270</v>
      </c>
    </row>
    <row r="6853" spans="1:4" x14ac:dyDescent="0.25">
      <c r="A6853" t="str">
        <f>"838944251"</f>
        <v>838944251</v>
      </c>
      <c r="B6853" t="s">
        <v>6197</v>
      </c>
      <c r="C6853">
        <v>11.84</v>
      </c>
      <c r="D6853" t="str">
        <f t="shared" si="234"/>
        <v>270</v>
      </c>
    </row>
    <row r="6854" spans="1:4" x14ac:dyDescent="0.25">
      <c r="A6854" t="str">
        <f>"838944252"</f>
        <v>838944252</v>
      </c>
      <c r="B6854" t="s">
        <v>6198</v>
      </c>
      <c r="C6854">
        <v>11.96</v>
      </c>
      <c r="D6854" t="str">
        <f t="shared" si="234"/>
        <v>270</v>
      </c>
    </row>
    <row r="6855" spans="1:4" x14ac:dyDescent="0.25">
      <c r="A6855" t="str">
        <f>"838944253"</f>
        <v>838944253</v>
      </c>
      <c r="B6855" t="s">
        <v>6198</v>
      </c>
      <c r="C6855">
        <v>11.96</v>
      </c>
      <c r="D6855" t="str">
        <f t="shared" si="234"/>
        <v>270</v>
      </c>
    </row>
    <row r="6856" spans="1:4" x14ac:dyDescent="0.25">
      <c r="A6856" t="str">
        <f>"838944254"</f>
        <v>838944254</v>
      </c>
      <c r="B6856" t="s">
        <v>6199</v>
      </c>
      <c r="C6856">
        <v>66.510000000000005</v>
      </c>
      <c r="D6856" t="str">
        <f t="shared" si="234"/>
        <v>270</v>
      </c>
    </row>
    <row r="6857" spans="1:4" x14ac:dyDescent="0.25">
      <c r="A6857" t="str">
        <f>"838944255"</f>
        <v>838944255</v>
      </c>
      <c r="B6857" t="s">
        <v>6199</v>
      </c>
      <c r="C6857">
        <v>66.510000000000005</v>
      </c>
      <c r="D6857" t="str">
        <f t="shared" si="234"/>
        <v>270</v>
      </c>
    </row>
    <row r="6858" spans="1:4" x14ac:dyDescent="0.25">
      <c r="A6858" t="str">
        <f>"838944256"</f>
        <v>838944256</v>
      </c>
      <c r="B6858" t="s">
        <v>6200</v>
      </c>
      <c r="C6858">
        <v>67.64</v>
      </c>
      <c r="D6858" t="str">
        <f t="shared" si="234"/>
        <v>270</v>
      </c>
    </row>
    <row r="6859" spans="1:4" x14ac:dyDescent="0.25">
      <c r="A6859" t="str">
        <f>"838944257"</f>
        <v>838944257</v>
      </c>
      <c r="B6859" t="s">
        <v>6200</v>
      </c>
      <c r="C6859">
        <v>67.64</v>
      </c>
      <c r="D6859" t="str">
        <f t="shared" si="234"/>
        <v>270</v>
      </c>
    </row>
    <row r="6860" spans="1:4" x14ac:dyDescent="0.25">
      <c r="A6860" t="str">
        <f>"838944258"</f>
        <v>838944258</v>
      </c>
      <c r="B6860" t="s">
        <v>6201</v>
      </c>
      <c r="C6860">
        <v>72.790000000000006</v>
      </c>
      <c r="D6860" t="str">
        <f t="shared" si="234"/>
        <v>270</v>
      </c>
    </row>
    <row r="6861" spans="1:4" x14ac:dyDescent="0.25">
      <c r="A6861" t="str">
        <f>"838944259"</f>
        <v>838944259</v>
      </c>
      <c r="B6861" t="s">
        <v>6201</v>
      </c>
      <c r="C6861">
        <v>72.790000000000006</v>
      </c>
      <c r="D6861" t="str">
        <f t="shared" si="234"/>
        <v>270</v>
      </c>
    </row>
    <row r="6862" spans="1:4" x14ac:dyDescent="0.25">
      <c r="A6862" t="str">
        <f>"838944260"</f>
        <v>838944260</v>
      </c>
      <c r="B6862" t="s">
        <v>6202</v>
      </c>
      <c r="C6862">
        <v>68.61</v>
      </c>
      <c r="D6862" t="str">
        <f t="shared" si="234"/>
        <v>270</v>
      </c>
    </row>
    <row r="6863" spans="1:4" x14ac:dyDescent="0.25">
      <c r="A6863" t="str">
        <f>"838944261"</f>
        <v>838944261</v>
      </c>
      <c r="B6863" t="s">
        <v>6202</v>
      </c>
      <c r="C6863">
        <v>68.61</v>
      </c>
      <c r="D6863" t="str">
        <f t="shared" si="234"/>
        <v>270</v>
      </c>
    </row>
    <row r="6864" spans="1:4" x14ac:dyDescent="0.25">
      <c r="A6864" t="str">
        <f>"838944262"</f>
        <v>838944262</v>
      </c>
      <c r="B6864" t="s">
        <v>6203</v>
      </c>
      <c r="C6864">
        <v>68.08</v>
      </c>
      <c r="D6864" t="str">
        <f t="shared" si="234"/>
        <v>270</v>
      </c>
    </row>
    <row r="6865" spans="1:4" x14ac:dyDescent="0.25">
      <c r="A6865" t="str">
        <f>"838944263"</f>
        <v>838944263</v>
      </c>
      <c r="B6865" t="s">
        <v>6203</v>
      </c>
      <c r="C6865">
        <v>68.08</v>
      </c>
      <c r="D6865" t="str">
        <f t="shared" si="234"/>
        <v>270</v>
      </c>
    </row>
    <row r="6866" spans="1:4" x14ac:dyDescent="0.25">
      <c r="A6866" t="str">
        <f>"838944264"</f>
        <v>838944264</v>
      </c>
      <c r="B6866" t="s">
        <v>6204</v>
      </c>
      <c r="C6866">
        <v>70.489999999999995</v>
      </c>
      <c r="D6866" t="str">
        <f t="shared" si="234"/>
        <v>270</v>
      </c>
    </row>
    <row r="6867" spans="1:4" x14ac:dyDescent="0.25">
      <c r="A6867" t="str">
        <f>"838944265"</f>
        <v>838944265</v>
      </c>
      <c r="B6867" t="s">
        <v>6205</v>
      </c>
      <c r="C6867">
        <v>70.489999999999995</v>
      </c>
      <c r="D6867" t="str">
        <f t="shared" si="234"/>
        <v>270</v>
      </c>
    </row>
    <row r="6868" spans="1:4" x14ac:dyDescent="0.25">
      <c r="A6868" t="str">
        <f>"838944266"</f>
        <v>838944266</v>
      </c>
      <c r="B6868" t="s">
        <v>6206</v>
      </c>
      <c r="C6868">
        <v>70.900000000000006</v>
      </c>
      <c r="D6868" t="str">
        <f t="shared" si="234"/>
        <v>270</v>
      </c>
    </row>
    <row r="6869" spans="1:4" x14ac:dyDescent="0.25">
      <c r="A6869" t="str">
        <f>"838944267"</f>
        <v>838944267</v>
      </c>
      <c r="B6869" t="s">
        <v>6207</v>
      </c>
      <c r="C6869">
        <v>70.900000000000006</v>
      </c>
      <c r="D6869" t="str">
        <f t="shared" si="234"/>
        <v>270</v>
      </c>
    </row>
    <row r="6870" spans="1:4" x14ac:dyDescent="0.25">
      <c r="A6870" t="str">
        <f>"838944268"</f>
        <v>838944268</v>
      </c>
      <c r="B6870" t="s">
        <v>6208</v>
      </c>
      <c r="C6870">
        <v>70.760000000000005</v>
      </c>
      <c r="D6870" t="str">
        <f t="shared" si="234"/>
        <v>270</v>
      </c>
    </row>
    <row r="6871" spans="1:4" x14ac:dyDescent="0.25">
      <c r="A6871" t="str">
        <f>"838944269"</f>
        <v>838944269</v>
      </c>
      <c r="B6871" t="s">
        <v>6208</v>
      </c>
      <c r="C6871">
        <v>70.760000000000005</v>
      </c>
      <c r="D6871" t="str">
        <f t="shared" si="234"/>
        <v>270</v>
      </c>
    </row>
    <row r="6872" spans="1:4" x14ac:dyDescent="0.25">
      <c r="A6872" t="str">
        <f>"838944270"</f>
        <v>838944270</v>
      </c>
      <c r="B6872" t="s">
        <v>6209</v>
      </c>
      <c r="C6872">
        <v>71.3</v>
      </c>
      <c r="D6872" t="str">
        <f t="shared" si="234"/>
        <v>270</v>
      </c>
    </row>
    <row r="6873" spans="1:4" x14ac:dyDescent="0.25">
      <c r="A6873" t="str">
        <f>"838944271"</f>
        <v>838944271</v>
      </c>
      <c r="B6873" t="s">
        <v>6209</v>
      </c>
      <c r="C6873">
        <v>71.3</v>
      </c>
      <c r="D6873" t="str">
        <f t="shared" si="234"/>
        <v>270</v>
      </c>
    </row>
    <row r="6874" spans="1:4" x14ac:dyDescent="0.25">
      <c r="A6874" t="str">
        <f>"838944272"</f>
        <v>838944272</v>
      </c>
      <c r="B6874" t="s">
        <v>6208</v>
      </c>
      <c r="C6874">
        <v>70.319999999999993</v>
      </c>
      <c r="D6874" t="str">
        <f t="shared" si="234"/>
        <v>270</v>
      </c>
    </row>
    <row r="6875" spans="1:4" x14ac:dyDescent="0.25">
      <c r="A6875" t="str">
        <f>"838944273"</f>
        <v>838944273</v>
      </c>
      <c r="B6875" t="s">
        <v>6208</v>
      </c>
      <c r="C6875">
        <v>70.319999999999993</v>
      </c>
      <c r="D6875" t="str">
        <f t="shared" si="234"/>
        <v>270</v>
      </c>
    </row>
    <row r="6876" spans="1:4" x14ac:dyDescent="0.25">
      <c r="A6876" t="str">
        <f>"838944274"</f>
        <v>838944274</v>
      </c>
      <c r="B6876" t="s">
        <v>6210</v>
      </c>
      <c r="C6876">
        <v>68.33</v>
      </c>
      <c r="D6876" t="str">
        <f t="shared" si="234"/>
        <v>270</v>
      </c>
    </row>
    <row r="6877" spans="1:4" x14ac:dyDescent="0.25">
      <c r="A6877" t="str">
        <f>"838944275"</f>
        <v>838944275</v>
      </c>
      <c r="B6877" t="s">
        <v>6210</v>
      </c>
      <c r="C6877">
        <v>68.33</v>
      </c>
      <c r="D6877" t="str">
        <f t="shared" si="234"/>
        <v>270</v>
      </c>
    </row>
    <row r="6878" spans="1:4" x14ac:dyDescent="0.25">
      <c r="A6878" t="str">
        <f>"838944276"</f>
        <v>838944276</v>
      </c>
      <c r="B6878" t="s">
        <v>6211</v>
      </c>
      <c r="C6878">
        <v>8.4</v>
      </c>
      <c r="D6878" t="str">
        <f t="shared" si="234"/>
        <v>270</v>
      </c>
    </row>
    <row r="6879" spans="1:4" x14ac:dyDescent="0.25">
      <c r="A6879" t="str">
        <f>"838944277"</f>
        <v>838944277</v>
      </c>
      <c r="B6879" t="s">
        <v>6212</v>
      </c>
      <c r="C6879">
        <v>8.4</v>
      </c>
      <c r="D6879" t="str">
        <f t="shared" si="234"/>
        <v>270</v>
      </c>
    </row>
    <row r="6880" spans="1:4" x14ac:dyDescent="0.25">
      <c r="A6880" t="str">
        <f>"838944278"</f>
        <v>838944278</v>
      </c>
      <c r="B6880" t="s">
        <v>6213</v>
      </c>
      <c r="C6880">
        <v>8.42</v>
      </c>
      <c r="D6880" t="str">
        <f t="shared" si="234"/>
        <v>270</v>
      </c>
    </row>
    <row r="6881" spans="1:4" x14ac:dyDescent="0.25">
      <c r="A6881" t="str">
        <f>"838944279"</f>
        <v>838944279</v>
      </c>
      <c r="B6881" t="s">
        <v>6214</v>
      </c>
      <c r="C6881">
        <v>8.42</v>
      </c>
      <c r="D6881" t="str">
        <f t="shared" si="234"/>
        <v>270</v>
      </c>
    </row>
    <row r="6882" spans="1:4" x14ac:dyDescent="0.25">
      <c r="A6882" t="str">
        <f>"838944280"</f>
        <v>838944280</v>
      </c>
      <c r="B6882" t="s">
        <v>6215</v>
      </c>
      <c r="C6882">
        <v>70.930000000000007</v>
      </c>
      <c r="D6882" t="str">
        <f t="shared" si="234"/>
        <v>270</v>
      </c>
    </row>
    <row r="6883" spans="1:4" x14ac:dyDescent="0.25">
      <c r="A6883" t="str">
        <f>"838944281"</f>
        <v>838944281</v>
      </c>
      <c r="B6883" t="s">
        <v>6215</v>
      </c>
      <c r="C6883">
        <v>70.930000000000007</v>
      </c>
      <c r="D6883" t="str">
        <f t="shared" si="234"/>
        <v>270</v>
      </c>
    </row>
    <row r="6884" spans="1:4" x14ac:dyDescent="0.25">
      <c r="A6884" t="str">
        <f>"838944282"</f>
        <v>838944282</v>
      </c>
      <c r="B6884" t="s">
        <v>6216</v>
      </c>
      <c r="C6884">
        <v>70.41</v>
      </c>
      <c r="D6884" t="str">
        <f t="shared" si="234"/>
        <v>270</v>
      </c>
    </row>
    <row r="6885" spans="1:4" x14ac:dyDescent="0.25">
      <c r="A6885" t="str">
        <f>"838944283"</f>
        <v>838944283</v>
      </c>
      <c r="B6885" t="s">
        <v>6216</v>
      </c>
      <c r="C6885">
        <v>70.41</v>
      </c>
      <c r="D6885" t="str">
        <f t="shared" si="234"/>
        <v>270</v>
      </c>
    </row>
    <row r="6886" spans="1:4" x14ac:dyDescent="0.25">
      <c r="A6886" t="str">
        <f>"838944284"</f>
        <v>838944284</v>
      </c>
      <c r="B6886" t="s">
        <v>6217</v>
      </c>
      <c r="C6886">
        <v>72.09</v>
      </c>
      <c r="D6886" t="str">
        <f t="shared" si="234"/>
        <v>270</v>
      </c>
    </row>
    <row r="6887" spans="1:4" x14ac:dyDescent="0.25">
      <c r="A6887" t="str">
        <f>"838944285"</f>
        <v>838944285</v>
      </c>
      <c r="B6887" t="s">
        <v>6217</v>
      </c>
      <c r="C6887">
        <v>72.09</v>
      </c>
      <c r="D6887" t="str">
        <f t="shared" si="234"/>
        <v>270</v>
      </c>
    </row>
    <row r="6888" spans="1:4" x14ac:dyDescent="0.25">
      <c r="A6888" t="str">
        <f>"838944286"</f>
        <v>838944286</v>
      </c>
      <c r="B6888" t="s">
        <v>6210</v>
      </c>
      <c r="C6888">
        <v>67.239999999999995</v>
      </c>
      <c r="D6888" t="str">
        <f t="shared" si="234"/>
        <v>270</v>
      </c>
    </row>
    <row r="6889" spans="1:4" x14ac:dyDescent="0.25">
      <c r="A6889" t="str">
        <f>"838944287"</f>
        <v>838944287</v>
      </c>
      <c r="B6889" t="s">
        <v>6210</v>
      </c>
      <c r="C6889">
        <v>67.239999999999995</v>
      </c>
      <c r="D6889" t="str">
        <f t="shared" si="234"/>
        <v>270</v>
      </c>
    </row>
    <row r="6890" spans="1:4" x14ac:dyDescent="0.25">
      <c r="A6890" t="str">
        <f>"838944288"</f>
        <v>838944288</v>
      </c>
      <c r="B6890" t="s">
        <v>6200</v>
      </c>
      <c r="C6890">
        <v>68.290000000000006</v>
      </c>
      <c r="D6890" t="str">
        <f t="shared" si="234"/>
        <v>270</v>
      </c>
    </row>
    <row r="6891" spans="1:4" x14ac:dyDescent="0.25">
      <c r="A6891" t="str">
        <f>"838944289"</f>
        <v>838944289</v>
      </c>
      <c r="B6891" t="s">
        <v>6200</v>
      </c>
      <c r="C6891">
        <v>68.290000000000006</v>
      </c>
      <c r="D6891" t="str">
        <f t="shared" si="234"/>
        <v>270</v>
      </c>
    </row>
    <row r="6892" spans="1:4" x14ac:dyDescent="0.25">
      <c r="A6892" t="str">
        <f>"838944290"</f>
        <v>838944290</v>
      </c>
      <c r="B6892" t="s">
        <v>6218</v>
      </c>
      <c r="C6892">
        <v>71.62</v>
      </c>
      <c r="D6892" t="str">
        <f t="shared" si="234"/>
        <v>270</v>
      </c>
    </row>
    <row r="6893" spans="1:4" x14ac:dyDescent="0.25">
      <c r="A6893" t="str">
        <f>"838944291"</f>
        <v>838944291</v>
      </c>
      <c r="B6893" t="s">
        <v>6219</v>
      </c>
      <c r="C6893">
        <v>71.62</v>
      </c>
      <c r="D6893" t="str">
        <f t="shared" si="234"/>
        <v>270</v>
      </c>
    </row>
    <row r="6894" spans="1:4" x14ac:dyDescent="0.25">
      <c r="A6894" t="str">
        <f>"838944292"</f>
        <v>838944292</v>
      </c>
      <c r="B6894" t="s">
        <v>6220</v>
      </c>
      <c r="C6894">
        <v>71.47</v>
      </c>
      <c r="D6894" t="str">
        <f t="shared" si="234"/>
        <v>270</v>
      </c>
    </row>
    <row r="6895" spans="1:4" x14ac:dyDescent="0.25">
      <c r="A6895" t="str">
        <f>"838944293"</f>
        <v>838944293</v>
      </c>
      <c r="B6895" t="s">
        <v>6221</v>
      </c>
      <c r="C6895">
        <v>71.47</v>
      </c>
      <c r="D6895" t="str">
        <f t="shared" si="234"/>
        <v>270</v>
      </c>
    </row>
    <row r="6896" spans="1:4" x14ac:dyDescent="0.25">
      <c r="A6896" t="str">
        <f>"838944294"</f>
        <v>838944294</v>
      </c>
      <c r="B6896" t="s">
        <v>6222</v>
      </c>
      <c r="C6896">
        <v>17.03</v>
      </c>
      <c r="D6896" t="str">
        <f t="shared" si="234"/>
        <v>270</v>
      </c>
    </row>
    <row r="6897" spans="1:4" x14ac:dyDescent="0.25">
      <c r="A6897" t="str">
        <f>"838944295"</f>
        <v>838944295</v>
      </c>
      <c r="B6897" t="s">
        <v>6222</v>
      </c>
      <c r="C6897">
        <v>17.03</v>
      </c>
      <c r="D6897" t="str">
        <f t="shared" si="234"/>
        <v>270</v>
      </c>
    </row>
    <row r="6898" spans="1:4" x14ac:dyDescent="0.25">
      <c r="A6898" t="str">
        <f>"838944296"</f>
        <v>838944296</v>
      </c>
      <c r="B6898" t="s">
        <v>6223</v>
      </c>
      <c r="C6898">
        <v>18.190000000000001</v>
      </c>
      <c r="D6898" t="str">
        <f t="shared" si="234"/>
        <v>270</v>
      </c>
    </row>
    <row r="6899" spans="1:4" x14ac:dyDescent="0.25">
      <c r="A6899" t="str">
        <f>"838944297"</f>
        <v>838944297</v>
      </c>
      <c r="B6899" t="s">
        <v>6224</v>
      </c>
      <c r="C6899">
        <v>18.190000000000001</v>
      </c>
      <c r="D6899" t="str">
        <f t="shared" si="234"/>
        <v>270</v>
      </c>
    </row>
    <row r="6900" spans="1:4" x14ac:dyDescent="0.25">
      <c r="A6900" t="str">
        <f>"838944298"</f>
        <v>838944298</v>
      </c>
      <c r="B6900" t="s">
        <v>6225</v>
      </c>
      <c r="C6900">
        <v>17.03</v>
      </c>
      <c r="D6900" t="str">
        <f t="shared" si="234"/>
        <v>270</v>
      </c>
    </row>
    <row r="6901" spans="1:4" x14ac:dyDescent="0.25">
      <c r="A6901" t="str">
        <f>"838944299"</f>
        <v>838944299</v>
      </c>
      <c r="B6901" t="s">
        <v>6226</v>
      </c>
      <c r="C6901">
        <v>17.03</v>
      </c>
      <c r="D6901" t="str">
        <f t="shared" si="234"/>
        <v>270</v>
      </c>
    </row>
    <row r="6902" spans="1:4" x14ac:dyDescent="0.25">
      <c r="A6902" t="str">
        <f>"838944300"</f>
        <v>838944300</v>
      </c>
      <c r="B6902" t="s">
        <v>6227</v>
      </c>
      <c r="C6902">
        <v>10.59</v>
      </c>
      <c r="D6902" t="str">
        <f t="shared" si="234"/>
        <v>270</v>
      </c>
    </row>
    <row r="6903" spans="1:4" x14ac:dyDescent="0.25">
      <c r="A6903" t="str">
        <f>"838944301"</f>
        <v>838944301</v>
      </c>
      <c r="B6903" t="s">
        <v>6227</v>
      </c>
      <c r="C6903">
        <v>10.59</v>
      </c>
      <c r="D6903" t="str">
        <f t="shared" si="234"/>
        <v>270</v>
      </c>
    </row>
    <row r="6904" spans="1:4" x14ac:dyDescent="0.25">
      <c r="A6904" t="str">
        <f>"838944302"</f>
        <v>838944302</v>
      </c>
      <c r="B6904" t="s">
        <v>6228</v>
      </c>
      <c r="C6904">
        <v>10.54</v>
      </c>
      <c r="D6904" t="str">
        <f t="shared" si="234"/>
        <v>270</v>
      </c>
    </row>
    <row r="6905" spans="1:4" x14ac:dyDescent="0.25">
      <c r="A6905" t="str">
        <f>"838944303"</f>
        <v>838944303</v>
      </c>
      <c r="B6905" t="s">
        <v>6228</v>
      </c>
      <c r="C6905">
        <v>10.54</v>
      </c>
      <c r="D6905" t="str">
        <f t="shared" si="234"/>
        <v>270</v>
      </c>
    </row>
    <row r="6906" spans="1:4" x14ac:dyDescent="0.25">
      <c r="A6906" t="str">
        <f>"838944304"</f>
        <v>838944304</v>
      </c>
      <c r="B6906" t="s">
        <v>6229</v>
      </c>
      <c r="C6906">
        <v>71.62</v>
      </c>
      <c r="D6906" t="str">
        <f t="shared" si="234"/>
        <v>270</v>
      </c>
    </row>
    <row r="6907" spans="1:4" x14ac:dyDescent="0.25">
      <c r="A6907" t="str">
        <f>"838944305"</f>
        <v>838944305</v>
      </c>
      <c r="B6907" t="s">
        <v>6229</v>
      </c>
      <c r="C6907">
        <v>71.62</v>
      </c>
      <c r="D6907" t="str">
        <f t="shared" ref="D6907:D6970" si="235">"270"</f>
        <v>270</v>
      </c>
    </row>
    <row r="6908" spans="1:4" x14ac:dyDescent="0.25">
      <c r="A6908" t="str">
        <f>"838944306"</f>
        <v>838944306</v>
      </c>
      <c r="B6908" t="s">
        <v>6230</v>
      </c>
      <c r="C6908">
        <v>71.47</v>
      </c>
      <c r="D6908" t="str">
        <f t="shared" si="235"/>
        <v>270</v>
      </c>
    </row>
    <row r="6909" spans="1:4" x14ac:dyDescent="0.25">
      <c r="A6909" t="str">
        <f>"838944307"</f>
        <v>838944307</v>
      </c>
      <c r="B6909" t="s">
        <v>6230</v>
      </c>
      <c r="C6909">
        <v>71.47</v>
      </c>
      <c r="D6909" t="str">
        <f t="shared" si="235"/>
        <v>270</v>
      </c>
    </row>
    <row r="6910" spans="1:4" x14ac:dyDescent="0.25">
      <c r="A6910" t="str">
        <f>"838944308"</f>
        <v>838944308</v>
      </c>
      <c r="B6910" t="s">
        <v>6231</v>
      </c>
      <c r="C6910">
        <v>23.88</v>
      </c>
      <c r="D6910" t="str">
        <f t="shared" si="235"/>
        <v>270</v>
      </c>
    </row>
    <row r="6911" spans="1:4" x14ac:dyDescent="0.25">
      <c r="A6911" t="str">
        <f>"838944309"</f>
        <v>838944309</v>
      </c>
      <c r="B6911" t="s">
        <v>6231</v>
      </c>
      <c r="C6911">
        <v>23.88</v>
      </c>
      <c r="D6911" t="str">
        <f t="shared" si="235"/>
        <v>270</v>
      </c>
    </row>
    <row r="6912" spans="1:4" x14ac:dyDescent="0.25">
      <c r="A6912" t="str">
        <f>"838944310"</f>
        <v>838944310</v>
      </c>
      <c r="B6912" t="s">
        <v>6232</v>
      </c>
      <c r="C6912">
        <v>23.68</v>
      </c>
      <c r="D6912" t="str">
        <f t="shared" si="235"/>
        <v>270</v>
      </c>
    </row>
    <row r="6913" spans="1:4" x14ac:dyDescent="0.25">
      <c r="A6913" t="str">
        <f>"838944311"</f>
        <v>838944311</v>
      </c>
      <c r="B6913" t="s">
        <v>6233</v>
      </c>
      <c r="C6913">
        <v>23.68</v>
      </c>
      <c r="D6913" t="str">
        <f t="shared" si="235"/>
        <v>270</v>
      </c>
    </row>
    <row r="6914" spans="1:4" x14ac:dyDescent="0.25">
      <c r="A6914" t="str">
        <f>"838944312"</f>
        <v>838944312</v>
      </c>
      <c r="B6914" t="s">
        <v>6234</v>
      </c>
      <c r="C6914">
        <v>22.84</v>
      </c>
      <c r="D6914" t="str">
        <f t="shared" si="235"/>
        <v>270</v>
      </c>
    </row>
    <row r="6915" spans="1:4" x14ac:dyDescent="0.25">
      <c r="A6915" t="str">
        <f>"838944313"</f>
        <v>838944313</v>
      </c>
      <c r="B6915" t="s">
        <v>6234</v>
      </c>
      <c r="C6915">
        <v>22.84</v>
      </c>
      <c r="D6915" t="str">
        <f t="shared" si="235"/>
        <v>270</v>
      </c>
    </row>
    <row r="6916" spans="1:4" x14ac:dyDescent="0.25">
      <c r="A6916" t="str">
        <f>"838944314"</f>
        <v>838944314</v>
      </c>
      <c r="B6916" t="s">
        <v>6235</v>
      </c>
      <c r="C6916">
        <v>69.650000000000006</v>
      </c>
      <c r="D6916" t="str">
        <f t="shared" si="235"/>
        <v>270</v>
      </c>
    </row>
    <row r="6917" spans="1:4" x14ac:dyDescent="0.25">
      <c r="A6917" t="str">
        <f>"838944315"</f>
        <v>838944315</v>
      </c>
      <c r="B6917" t="s">
        <v>6235</v>
      </c>
      <c r="C6917">
        <v>69.650000000000006</v>
      </c>
      <c r="D6917" t="str">
        <f t="shared" si="235"/>
        <v>270</v>
      </c>
    </row>
    <row r="6918" spans="1:4" x14ac:dyDescent="0.25">
      <c r="A6918" t="str">
        <f>"838944316"</f>
        <v>838944316</v>
      </c>
      <c r="B6918" t="s">
        <v>6236</v>
      </c>
      <c r="C6918">
        <v>9.3699999999999992</v>
      </c>
      <c r="D6918" t="str">
        <f t="shared" si="235"/>
        <v>270</v>
      </c>
    </row>
    <row r="6919" spans="1:4" x14ac:dyDescent="0.25">
      <c r="A6919" t="str">
        <f>"838944317"</f>
        <v>838944317</v>
      </c>
      <c r="B6919" t="s">
        <v>6236</v>
      </c>
      <c r="C6919">
        <v>9.3699999999999992</v>
      </c>
      <c r="D6919" t="str">
        <f t="shared" si="235"/>
        <v>270</v>
      </c>
    </row>
    <row r="6920" spans="1:4" x14ac:dyDescent="0.25">
      <c r="A6920" t="str">
        <f>"838944318"</f>
        <v>838944318</v>
      </c>
      <c r="B6920" t="s">
        <v>6237</v>
      </c>
      <c r="C6920">
        <v>9.24</v>
      </c>
      <c r="D6920" t="str">
        <f t="shared" si="235"/>
        <v>270</v>
      </c>
    </row>
    <row r="6921" spans="1:4" x14ac:dyDescent="0.25">
      <c r="A6921" t="str">
        <f>"838944319"</f>
        <v>838944319</v>
      </c>
      <c r="B6921" t="s">
        <v>6237</v>
      </c>
      <c r="C6921">
        <v>9.24</v>
      </c>
      <c r="D6921" t="str">
        <f t="shared" si="235"/>
        <v>270</v>
      </c>
    </row>
    <row r="6922" spans="1:4" x14ac:dyDescent="0.25">
      <c r="A6922" t="str">
        <f>"838944320"</f>
        <v>838944320</v>
      </c>
      <c r="B6922" t="s">
        <v>6238</v>
      </c>
      <c r="C6922">
        <v>10.9</v>
      </c>
      <c r="D6922" t="str">
        <f t="shared" si="235"/>
        <v>270</v>
      </c>
    </row>
    <row r="6923" spans="1:4" x14ac:dyDescent="0.25">
      <c r="A6923" t="str">
        <f>"838944321"</f>
        <v>838944321</v>
      </c>
      <c r="B6923" t="s">
        <v>6239</v>
      </c>
      <c r="C6923">
        <v>10.9</v>
      </c>
      <c r="D6923" t="str">
        <f t="shared" si="235"/>
        <v>270</v>
      </c>
    </row>
    <row r="6924" spans="1:4" x14ac:dyDescent="0.25">
      <c r="A6924" t="str">
        <f>"838944322"</f>
        <v>838944322</v>
      </c>
      <c r="B6924" t="s">
        <v>6240</v>
      </c>
      <c r="C6924">
        <v>10.9</v>
      </c>
      <c r="D6924" t="str">
        <f t="shared" si="235"/>
        <v>270</v>
      </c>
    </row>
    <row r="6925" spans="1:4" x14ac:dyDescent="0.25">
      <c r="A6925" t="str">
        <f>"838944323"</f>
        <v>838944323</v>
      </c>
      <c r="B6925" t="s">
        <v>6241</v>
      </c>
      <c r="C6925">
        <v>10.9</v>
      </c>
      <c r="D6925" t="str">
        <f t="shared" si="235"/>
        <v>270</v>
      </c>
    </row>
    <row r="6926" spans="1:4" x14ac:dyDescent="0.25">
      <c r="A6926" t="str">
        <f>"838944324"</f>
        <v>838944324</v>
      </c>
      <c r="B6926" t="s">
        <v>6242</v>
      </c>
      <c r="C6926">
        <v>11.11</v>
      </c>
      <c r="D6926" t="str">
        <f t="shared" si="235"/>
        <v>270</v>
      </c>
    </row>
    <row r="6927" spans="1:4" x14ac:dyDescent="0.25">
      <c r="A6927" t="str">
        <f>"838944325"</f>
        <v>838944325</v>
      </c>
      <c r="B6927" t="s">
        <v>6243</v>
      </c>
      <c r="C6927">
        <v>11.11</v>
      </c>
      <c r="D6927" t="str">
        <f t="shared" si="235"/>
        <v>270</v>
      </c>
    </row>
    <row r="6928" spans="1:4" x14ac:dyDescent="0.25">
      <c r="A6928" t="str">
        <f>"838944326"</f>
        <v>838944326</v>
      </c>
      <c r="B6928" t="s">
        <v>6244</v>
      </c>
      <c r="C6928">
        <v>22.84</v>
      </c>
      <c r="D6928" t="str">
        <f t="shared" si="235"/>
        <v>270</v>
      </c>
    </row>
    <row r="6929" spans="1:4" x14ac:dyDescent="0.25">
      <c r="A6929" t="str">
        <f>"838944327"</f>
        <v>838944327</v>
      </c>
      <c r="B6929" t="s">
        <v>6245</v>
      </c>
      <c r="C6929">
        <v>22.84</v>
      </c>
      <c r="D6929" t="str">
        <f t="shared" si="235"/>
        <v>270</v>
      </c>
    </row>
    <row r="6930" spans="1:4" x14ac:dyDescent="0.25">
      <c r="A6930" t="str">
        <f>"838944328"</f>
        <v>838944328</v>
      </c>
      <c r="B6930" t="s">
        <v>6246</v>
      </c>
      <c r="C6930">
        <v>10.84</v>
      </c>
      <c r="D6930" t="str">
        <f t="shared" si="235"/>
        <v>270</v>
      </c>
    </row>
    <row r="6931" spans="1:4" x14ac:dyDescent="0.25">
      <c r="A6931" t="str">
        <f>"838944329"</f>
        <v>838944329</v>
      </c>
      <c r="B6931" t="s">
        <v>6247</v>
      </c>
      <c r="C6931">
        <v>10.84</v>
      </c>
      <c r="D6931" t="str">
        <f t="shared" si="235"/>
        <v>270</v>
      </c>
    </row>
    <row r="6932" spans="1:4" x14ac:dyDescent="0.25">
      <c r="A6932" t="str">
        <f>"838944330"</f>
        <v>838944330</v>
      </c>
      <c r="B6932" t="s">
        <v>6248</v>
      </c>
      <c r="C6932">
        <v>11.1</v>
      </c>
      <c r="D6932" t="str">
        <f t="shared" si="235"/>
        <v>270</v>
      </c>
    </row>
    <row r="6933" spans="1:4" x14ac:dyDescent="0.25">
      <c r="A6933" t="str">
        <f>"838944331"</f>
        <v>838944331</v>
      </c>
      <c r="B6933" t="s">
        <v>6249</v>
      </c>
      <c r="C6933">
        <v>11.1</v>
      </c>
      <c r="D6933" t="str">
        <f t="shared" si="235"/>
        <v>270</v>
      </c>
    </row>
    <row r="6934" spans="1:4" x14ac:dyDescent="0.25">
      <c r="A6934" t="str">
        <f>"838944332"</f>
        <v>838944332</v>
      </c>
      <c r="B6934" t="s">
        <v>6250</v>
      </c>
      <c r="C6934">
        <v>10.9</v>
      </c>
      <c r="D6934" t="str">
        <f t="shared" si="235"/>
        <v>270</v>
      </c>
    </row>
    <row r="6935" spans="1:4" x14ac:dyDescent="0.25">
      <c r="A6935" t="str">
        <f>"838944333"</f>
        <v>838944333</v>
      </c>
      <c r="B6935" t="s">
        <v>6251</v>
      </c>
      <c r="C6935">
        <v>10.9</v>
      </c>
      <c r="D6935" t="str">
        <f t="shared" si="235"/>
        <v>270</v>
      </c>
    </row>
    <row r="6936" spans="1:4" x14ac:dyDescent="0.25">
      <c r="A6936" t="str">
        <f>"838944334"</f>
        <v>838944334</v>
      </c>
      <c r="B6936" t="s">
        <v>6252</v>
      </c>
      <c r="C6936">
        <v>11.11</v>
      </c>
      <c r="D6936" t="str">
        <f t="shared" si="235"/>
        <v>270</v>
      </c>
    </row>
    <row r="6937" spans="1:4" x14ac:dyDescent="0.25">
      <c r="A6937" t="str">
        <f>"838944335"</f>
        <v>838944335</v>
      </c>
      <c r="B6937" t="s">
        <v>6253</v>
      </c>
      <c r="C6937">
        <v>11.11</v>
      </c>
      <c r="D6937" t="str">
        <f t="shared" si="235"/>
        <v>270</v>
      </c>
    </row>
    <row r="6938" spans="1:4" x14ac:dyDescent="0.25">
      <c r="A6938" t="str">
        <f>"838944336"</f>
        <v>838944336</v>
      </c>
      <c r="B6938" t="s">
        <v>6254</v>
      </c>
      <c r="C6938">
        <v>11.42</v>
      </c>
      <c r="D6938" t="str">
        <f t="shared" si="235"/>
        <v>270</v>
      </c>
    </row>
    <row r="6939" spans="1:4" x14ac:dyDescent="0.25">
      <c r="A6939" t="str">
        <f>"838944337"</f>
        <v>838944337</v>
      </c>
      <c r="B6939" t="s">
        <v>6255</v>
      </c>
      <c r="C6939">
        <v>11.42</v>
      </c>
      <c r="D6939" t="str">
        <f t="shared" si="235"/>
        <v>270</v>
      </c>
    </row>
    <row r="6940" spans="1:4" x14ac:dyDescent="0.25">
      <c r="A6940" t="str">
        <f>"838944338"</f>
        <v>838944338</v>
      </c>
      <c r="B6940" t="s">
        <v>6256</v>
      </c>
      <c r="C6940">
        <v>12.19</v>
      </c>
      <c r="D6940" t="str">
        <f t="shared" si="235"/>
        <v>270</v>
      </c>
    </row>
    <row r="6941" spans="1:4" x14ac:dyDescent="0.25">
      <c r="A6941" t="str">
        <f>"838944339"</f>
        <v>838944339</v>
      </c>
      <c r="B6941" t="s">
        <v>6256</v>
      </c>
      <c r="C6941">
        <v>12.19</v>
      </c>
      <c r="D6941" t="str">
        <f t="shared" si="235"/>
        <v>270</v>
      </c>
    </row>
    <row r="6942" spans="1:4" x14ac:dyDescent="0.25">
      <c r="A6942" t="str">
        <f>"838944340"</f>
        <v>838944340</v>
      </c>
      <c r="B6942" t="s">
        <v>6257</v>
      </c>
      <c r="C6942">
        <v>12.19</v>
      </c>
      <c r="D6942" t="str">
        <f t="shared" si="235"/>
        <v>270</v>
      </c>
    </row>
    <row r="6943" spans="1:4" x14ac:dyDescent="0.25">
      <c r="A6943" t="str">
        <f>"838944341"</f>
        <v>838944341</v>
      </c>
      <c r="B6943" t="s">
        <v>6258</v>
      </c>
      <c r="C6943">
        <v>12.19</v>
      </c>
      <c r="D6943" t="str">
        <f t="shared" si="235"/>
        <v>270</v>
      </c>
    </row>
    <row r="6944" spans="1:4" x14ac:dyDescent="0.25">
      <c r="A6944" t="str">
        <f>"838944342"</f>
        <v>838944342</v>
      </c>
      <c r="B6944" t="s">
        <v>6259</v>
      </c>
      <c r="C6944">
        <v>12.19</v>
      </c>
      <c r="D6944" t="str">
        <f t="shared" si="235"/>
        <v>270</v>
      </c>
    </row>
    <row r="6945" spans="1:4" x14ac:dyDescent="0.25">
      <c r="A6945" t="str">
        <f>"838944343"</f>
        <v>838944343</v>
      </c>
      <c r="B6945" t="s">
        <v>6259</v>
      </c>
      <c r="C6945">
        <v>12.19</v>
      </c>
      <c r="D6945" t="str">
        <f t="shared" si="235"/>
        <v>270</v>
      </c>
    </row>
    <row r="6946" spans="1:4" x14ac:dyDescent="0.25">
      <c r="A6946" t="str">
        <f>"838944344"</f>
        <v>838944344</v>
      </c>
      <c r="B6946" t="s">
        <v>6260</v>
      </c>
      <c r="C6946">
        <v>12.19</v>
      </c>
      <c r="D6946" t="str">
        <f t="shared" si="235"/>
        <v>270</v>
      </c>
    </row>
    <row r="6947" spans="1:4" x14ac:dyDescent="0.25">
      <c r="A6947" t="str">
        <f>"838944345"</f>
        <v>838944345</v>
      </c>
      <c r="B6947" t="s">
        <v>6261</v>
      </c>
      <c r="C6947">
        <v>12.19</v>
      </c>
      <c r="D6947" t="str">
        <f t="shared" si="235"/>
        <v>270</v>
      </c>
    </row>
    <row r="6948" spans="1:4" x14ac:dyDescent="0.25">
      <c r="A6948" t="str">
        <f>"838944346"</f>
        <v>838944346</v>
      </c>
      <c r="B6948" t="s">
        <v>6262</v>
      </c>
      <c r="C6948">
        <v>11.78</v>
      </c>
      <c r="D6948" t="str">
        <f t="shared" si="235"/>
        <v>270</v>
      </c>
    </row>
    <row r="6949" spans="1:4" x14ac:dyDescent="0.25">
      <c r="A6949" t="str">
        <f>"838944347"</f>
        <v>838944347</v>
      </c>
      <c r="B6949" t="s">
        <v>6262</v>
      </c>
      <c r="C6949">
        <v>11.78</v>
      </c>
      <c r="D6949" t="str">
        <f t="shared" si="235"/>
        <v>270</v>
      </c>
    </row>
    <row r="6950" spans="1:4" x14ac:dyDescent="0.25">
      <c r="A6950" t="str">
        <f>"838944348"</f>
        <v>838944348</v>
      </c>
      <c r="B6950" t="s">
        <v>6263</v>
      </c>
      <c r="C6950">
        <v>11.78</v>
      </c>
      <c r="D6950" t="str">
        <f t="shared" si="235"/>
        <v>270</v>
      </c>
    </row>
    <row r="6951" spans="1:4" x14ac:dyDescent="0.25">
      <c r="A6951" t="str">
        <f>"838944349"</f>
        <v>838944349</v>
      </c>
      <c r="B6951" t="s">
        <v>6264</v>
      </c>
      <c r="C6951">
        <v>11.78</v>
      </c>
      <c r="D6951" t="str">
        <f t="shared" si="235"/>
        <v>270</v>
      </c>
    </row>
    <row r="6952" spans="1:4" x14ac:dyDescent="0.25">
      <c r="A6952" t="str">
        <f>"838944350"</f>
        <v>838944350</v>
      </c>
      <c r="B6952" t="s">
        <v>6265</v>
      </c>
      <c r="C6952">
        <v>11.78</v>
      </c>
      <c r="D6952" t="str">
        <f t="shared" si="235"/>
        <v>270</v>
      </c>
    </row>
    <row r="6953" spans="1:4" x14ac:dyDescent="0.25">
      <c r="A6953" t="str">
        <f>"838944351"</f>
        <v>838944351</v>
      </c>
      <c r="B6953" t="s">
        <v>6266</v>
      </c>
      <c r="C6953">
        <v>11.78</v>
      </c>
      <c r="D6953" t="str">
        <f t="shared" si="235"/>
        <v>270</v>
      </c>
    </row>
    <row r="6954" spans="1:4" x14ac:dyDescent="0.25">
      <c r="A6954" t="str">
        <f>"838944352"</f>
        <v>838944352</v>
      </c>
      <c r="B6954" t="s">
        <v>6267</v>
      </c>
      <c r="C6954">
        <v>11.78</v>
      </c>
      <c r="D6954" t="str">
        <f t="shared" si="235"/>
        <v>270</v>
      </c>
    </row>
    <row r="6955" spans="1:4" x14ac:dyDescent="0.25">
      <c r="A6955" t="str">
        <f>"838944353"</f>
        <v>838944353</v>
      </c>
      <c r="B6955" t="s">
        <v>6268</v>
      </c>
      <c r="C6955">
        <v>11.78</v>
      </c>
      <c r="D6955" t="str">
        <f t="shared" si="235"/>
        <v>270</v>
      </c>
    </row>
    <row r="6956" spans="1:4" x14ac:dyDescent="0.25">
      <c r="A6956" t="str">
        <f>"838944354"</f>
        <v>838944354</v>
      </c>
      <c r="B6956" t="s">
        <v>6269</v>
      </c>
      <c r="C6956">
        <v>70.900000000000006</v>
      </c>
      <c r="D6956" t="str">
        <f t="shared" si="235"/>
        <v>270</v>
      </c>
    </row>
    <row r="6957" spans="1:4" x14ac:dyDescent="0.25">
      <c r="A6957" t="str">
        <f>"838944355"</f>
        <v>838944355</v>
      </c>
      <c r="B6957" t="s">
        <v>6269</v>
      </c>
      <c r="C6957">
        <v>70.900000000000006</v>
      </c>
      <c r="D6957" t="str">
        <f t="shared" si="235"/>
        <v>270</v>
      </c>
    </row>
    <row r="6958" spans="1:4" x14ac:dyDescent="0.25">
      <c r="A6958" t="str">
        <f>"838944356"</f>
        <v>838944356</v>
      </c>
      <c r="B6958" t="s">
        <v>6270</v>
      </c>
      <c r="C6958">
        <v>70.28</v>
      </c>
      <c r="D6958" t="str">
        <f t="shared" si="235"/>
        <v>270</v>
      </c>
    </row>
    <row r="6959" spans="1:4" x14ac:dyDescent="0.25">
      <c r="A6959" t="str">
        <f>"838944357"</f>
        <v>838944357</v>
      </c>
      <c r="B6959" t="s">
        <v>6270</v>
      </c>
      <c r="C6959">
        <v>70.28</v>
      </c>
      <c r="D6959" t="str">
        <f t="shared" si="235"/>
        <v>270</v>
      </c>
    </row>
    <row r="6960" spans="1:4" x14ac:dyDescent="0.25">
      <c r="A6960" t="str">
        <f>"838944358"</f>
        <v>838944358</v>
      </c>
      <c r="B6960" t="s">
        <v>6271</v>
      </c>
      <c r="C6960">
        <v>23.68</v>
      </c>
      <c r="D6960" t="str">
        <f t="shared" si="235"/>
        <v>270</v>
      </c>
    </row>
    <row r="6961" spans="1:4" x14ac:dyDescent="0.25">
      <c r="A6961" t="str">
        <f>"838944359"</f>
        <v>838944359</v>
      </c>
      <c r="B6961" t="s">
        <v>6271</v>
      </c>
      <c r="C6961">
        <v>23.68</v>
      </c>
      <c r="D6961" t="str">
        <f t="shared" si="235"/>
        <v>270</v>
      </c>
    </row>
    <row r="6962" spans="1:4" x14ac:dyDescent="0.25">
      <c r="A6962" t="str">
        <f>"838944360"</f>
        <v>838944360</v>
      </c>
      <c r="B6962" t="s">
        <v>6272</v>
      </c>
      <c r="C6962">
        <v>23.54</v>
      </c>
      <c r="D6962" t="str">
        <f t="shared" si="235"/>
        <v>270</v>
      </c>
    </row>
    <row r="6963" spans="1:4" x14ac:dyDescent="0.25">
      <c r="A6963" t="str">
        <f>"838944361"</f>
        <v>838944361</v>
      </c>
      <c r="B6963" t="s">
        <v>6273</v>
      </c>
      <c r="C6963">
        <v>23.54</v>
      </c>
      <c r="D6963" t="str">
        <f t="shared" si="235"/>
        <v>270</v>
      </c>
    </row>
    <row r="6964" spans="1:4" x14ac:dyDescent="0.25">
      <c r="A6964" t="str">
        <f>"838944362"</f>
        <v>838944362</v>
      </c>
      <c r="B6964" t="s">
        <v>6274</v>
      </c>
      <c r="C6964">
        <v>10.43</v>
      </c>
      <c r="D6964" t="str">
        <f t="shared" si="235"/>
        <v>270</v>
      </c>
    </row>
    <row r="6965" spans="1:4" x14ac:dyDescent="0.25">
      <c r="A6965" t="str">
        <f>"838944363"</f>
        <v>838944363</v>
      </c>
      <c r="B6965" t="s">
        <v>6274</v>
      </c>
      <c r="C6965">
        <v>10.43</v>
      </c>
      <c r="D6965" t="str">
        <f t="shared" si="235"/>
        <v>270</v>
      </c>
    </row>
    <row r="6966" spans="1:4" x14ac:dyDescent="0.25">
      <c r="A6966" t="str">
        <f>"838944364"</f>
        <v>838944364</v>
      </c>
      <c r="B6966" t="s">
        <v>6275</v>
      </c>
      <c r="C6966">
        <v>10.29</v>
      </c>
      <c r="D6966" t="str">
        <f t="shared" si="235"/>
        <v>270</v>
      </c>
    </row>
    <row r="6967" spans="1:4" x14ac:dyDescent="0.25">
      <c r="A6967" t="str">
        <f>"838944365"</f>
        <v>838944365</v>
      </c>
      <c r="B6967" t="s">
        <v>6276</v>
      </c>
      <c r="C6967">
        <v>10.29</v>
      </c>
      <c r="D6967" t="str">
        <f t="shared" si="235"/>
        <v>270</v>
      </c>
    </row>
    <row r="6968" spans="1:4" x14ac:dyDescent="0.25">
      <c r="A6968" t="str">
        <f>"838944366"</f>
        <v>838944366</v>
      </c>
      <c r="B6968" t="s">
        <v>6277</v>
      </c>
      <c r="C6968">
        <v>70.599999999999994</v>
      </c>
      <c r="D6968" t="str">
        <f t="shared" si="235"/>
        <v>270</v>
      </c>
    </row>
    <row r="6969" spans="1:4" x14ac:dyDescent="0.25">
      <c r="A6969" t="str">
        <f>"838944367"</f>
        <v>838944367</v>
      </c>
      <c r="B6969" t="s">
        <v>6277</v>
      </c>
      <c r="C6969">
        <v>70.599999999999994</v>
      </c>
      <c r="D6969" t="str">
        <f t="shared" si="235"/>
        <v>270</v>
      </c>
    </row>
    <row r="6970" spans="1:4" x14ac:dyDescent="0.25">
      <c r="A6970" t="str">
        <f>"838944368"</f>
        <v>838944368</v>
      </c>
      <c r="B6970" t="s">
        <v>6278</v>
      </c>
      <c r="C6970">
        <v>69.930000000000007</v>
      </c>
      <c r="D6970" t="str">
        <f t="shared" si="235"/>
        <v>270</v>
      </c>
    </row>
    <row r="6971" spans="1:4" x14ac:dyDescent="0.25">
      <c r="A6971" t="str">
        <f>"838944369"</f>
        <v>838944369</v>
      </c>
      <c r="B6971" t="s">
        <v>6279</v>
      </c>
      <c r="C6971">
        <v>69.930000000000007</v>
      </c>
      <c r="D6971" t="str">
        <f t="shared" ref="D6971:D7034" si="236">"270"</f>
        <v>270</v>
      </c>
    </row>
    <row r="6972" spans="1:4" x14ac:dyDescent="0.25">
      <c r="A6972" t="str">
        <f>"838944370"</f>
        <v>838944370</v>
      </c>
      <c r="B6972" t="s">
        <v>6280</v>
      </c>
      <c r="C6972">
        <v>21.74</v>
      </c>
      <c r="D6972" t="str">
        <f t="shared" si="236"/>
        <v>270</v>
      </c>
    </row>
    <row r="6973" spans="1:4" x14ac:dyDescent="0.25">
      <c r="A6973" t="str">
        <f>"838944371"</f>
        <v>838944371</v>
      </c>
      <c r="B6973" t="s">
        <v>6281</v>
      </c>
      <c r="C6973">
        <v>21.74</v>
      </c>
      <c r="D6973" t="str">
        <f t="shared" si="236"/>
        <v>270</v>
      </c>
    </row>
    <row r="6974" spans="1:4" x14ac:dyDescent="0.25">
      <c r="A6974" t="str">
        <f>"838944372"</f>
        <v>838944372</v>
      </c>
      <c r="B6974" t="s">
        <v>6282</v>
      </c>
      <c r="C6974">
        <v>21.74</v>
      </c>
      <c r="D6974" t="str">
        <f t="shared" si="236"/>
        <v>270</v>
      </c>
    </row>
    <row r="6975" spans="1:4" x14ac:dyDescent="0.25">
      <c r="A6975" t="str">
        <f>"838944373"</f>
        <v>838944373</v>
      </c>
      <c r="B6975" t="s">
        <v>6282</v>
      </c>
      <c r="C6975">
        <v>21.74</v>
      </c>
      <c r="D6975" t="str">
        <f t="shared" si="236"/>
        <v>270</v>
      </c>
    </row>
    <row r="6976" spans="1:4" x14ac:dyDescent="0.25">
      <c r="A6976" t="str">
        <f>"838944374"</f>
        <v>838944374</v>
      </c>
      <c r="B6976" t="s">
        <v>6283</v>
      </c>
      <c r="C6976">
        <v>21.6</v>
      </c>
      <c r="D6976" t="str">
        <f t="shared" si="236"/>
        <v>270</v>
      </c>
    </row>
    <row r="6977" spans="1:4" x14ac:dyDescent="0.25">
      <c r="A6977" t="str">
        <f>"838944375"</f>
        <v>838944375</v>
      </c>
      <c r="B6977" t="s">
        <v>6284</v>
      </c>
      <c r="C6977">
        <v>21.6</v>
      </c>
      <c r="D6977" t="str">
        <f t="shared" si="236"/>
        <v>270</v>
      </c>
    </row>
    <row r="6978" spans="1:4" x14ac:dyDescent="0.25">
      <c r="A6978" t="str">
        <f>"838944376"</f>
        <v>838944376</v>
      </c>
      <c r="B6978" t="s">
        <v>6284</v>
      </c>
      <c r="C6978">
        <v>21.6</v>
      </c>
      <c r="D6978" t="str">
        <f t="shared" si="236"/>
        <v>270</v>
      </c>
    </row>
    <row r="6979" spans="1:4" x14ac:dyDescent="0.25">
      <c r="A6979" t="str">
        <f>"838944377"</f>
        <v>838944377</v>
      </c>
      <c r="B6979" t="s">
        <v>6284</v>
      </c>
      <c r="C6979">
        <v>21.6</v>
      </c>
      <c r="D6979" t="str">
        <f t="shared" si="236"/>
        <v>270</v>
      </c>
    </row>
    <row r="6980" spans="1:4" x14ac:dyDescent="0.25">
      <c r="A6980" t="str">
        <f>"838944378"</f>
        <v>838944378</v>
      </c>
      <c r="B6980" t="s">
        <v>6285</v>
      </c>
      <c r="C6980">
        <v>12.42</v>
      </c>
      <c r="D6980" t="str">
        <f t="shared" si="236"/>
        <v>270</v>
      </c>
    </row>
    <row r="6981" spans="1:4" x14ac:dyDescent="0.25">
      <c r="A6981" t="str">
        <f>"838944379"</f>
        <v>838944379</v>
      </c>
      <c r="B6981" t="s">
        <v>6285</v>
      </c>
      <c r="C6981">
        <v>12.42</v>
      </c>
      <c r="D6981" t="str">
        <f t="shared" si="236"/>
        <v>270</v>
      </c>
    </row>
    <row r="6982" spans="1:4" x14ac:dyDescent="0.25">
      <c r="A6982" t="str">
        <f>"838944380"</f>
        <v>838944380</v>
      </c>
      <c r="B6982" t="s">
        <v>6286</v>
      </c>
      <c r="C6982">
        <v>12.9</v>
      </c>
      <c r="D6982" t="str">
        <f t="shared" si="236"/>
        <v>270</v>
      </c>
    </row>
    <row r="6983" spans="1:4" x14ac:dyDescent="0.25">
      <c r="A6983" t="str">
        <f>"838944381"</f>
        <v>838944381</v>
      </c>
      <c r="B6983" t="s">
        <v>6287</v>
      </c>
      <c r="C6983">
        <v>12.9</v>
      </c>
      <c r="D6983" t="str">
        <f t="shared" si="236"/>
        <v>270</v>
      </c>
    </row>
    <row r="6984" spans="1:4" x14ac:dyDescent="0.25">
      <c r="A6984" t="str">
        <f>"838944382"</f>
        <v>838944382</v>
      </c>
      <c r="B6984" t="s">
        <v>6288</v>
      </c>
      <c r="C6984">
        <v>12.45</v>
      </c>
      <c r="D6984" t="str">
        <f t="shared" si="236"/>
        <v>270</v>
      </c>
    </row>
    <row r="6985" spans="1:4" x14ac:dyDescent="0.25">
      <c r="A6985" t="str">
        <f>"838944383"</f>
        <v>838944383</v>
      </c>
      <c r="B6985" t="s">
        <v>6289</v>
      </c>
      <c r="C6985">
        <v>12.45</v>
      </c>
      <c r="D6985" t="str">
        <f t="shared" si="236"/>
        <v>270</v>
      </c>
    </row>
    <row r="6986" spans="1:4" x14ac:dyDescent="0.25">
      <c r="A6986" t="str">
        <f>"838944384"</f>
        <v>838944384</v>
      </c>
      <c r="B6986" t="s">
        <v>6290</v>
      </c>
      <c r="C6986">
        <v>11.84</v>
      </c>
      <c r="D6986" t="str">
        <f t="shared" si="236"/>
        <v>270</v>
      </c>
    </row>
    <row r="6987" spans="1:4" x14ac:dyDescent="0.25">
      <c r="A6987" t="str">
        <f>"838944385"</f>
        <v>838944385</v>
      </c>
      <c r="B6987" t="s">
        <v>6291</v>
      </c>
      <c r="C6987">
        <v>11.84</v>
      </c>
      <c r="D6987" t="str">
        <f t="shared" si="236"/>
        <v>270</v>
      </c>
    </row>
    <row r="6988" spans="1:4" x14ac:dyDescent="0.25">
      <c r="A6988" t="str">
        <f>"838944386"</f>
        <v>838944386</v>
      </c>
      <c r="B6988" t="s">
        <v>6292</v>
      </c>
      <c r="C6988">
        <v>11.96</v>
      </c>
      <c r="D6988" t="str">
        <f t="shared" si="236"/>
        <v>270</v>
      </c>
    </row>
    <row r="6989" spans="1:4" x14ac:dyDescent="0.25">
      <c r="A6989" t="str">
        <f>"838944387"</f>
        <v>838944387</v>
      </c>
      <c r="B6989" t="s">
        <v>6293</v>
      </c>
      <c r="C6989">
        <v>11.96</v>
      </c>
      <c r="D6989" t="str">
        <f t="shared" si="236"/>
        <v>270</v>
      </c>
    </row>
    <row r="6990" spans="1:4" x14ac:dyDescent="0.25">
      <c r="A6990" t="str">
        <f>"838944388"</f>
        <v>838944388</v>
      </c>
      <c r="B6990" t="s">
        <v>6294</v>
      </c>
      <c r="C6990">
        <v>74.05</v>
      </c>
      <c r="D6990" t="str">
        <f t="shared" si="236"/>
        <v>270</v>
      </c>
    </row>
    <row r="6991" spans="1:4" x14ac:dyDescent="0.25">
      <c r="A6991" t="str">
        <f>"838944389"</f>
        <v>838944389</v>
      </c>
      <c r="B6991" t="s">
        <v>6295</v>
      </c>
      <c r="C6991">
        <v>74.05</v>
      </c>
      <c r="D6991" t="str">
        <f t="shared" si="236"/>
        <v>270</v>
      </c>
    </row>
    <row r="6992" spans="1:4" x14ac:dyDescent="0.25">
      <c r="A6992" t="str">
        <f>"838944390"</f>
        <v>838944390</v>
      </c>
      <c r="B6992" t="s">
        <v>6296</v>
      </c>
      <c r="C6992">
        <v>74.05</v>
      </c>
      <c r="D6992" t="str">
        <f t="shared" si="236"/>
        <v>270</v>
      </c>
    </row>
    <row r="6993" spans="1:4" x14ac:dyDescent="0.25">
      <c r="A6993" t="str">
        <f>"838944391"</f>
        <v>838944391</v>
      </c>
      <c r="B6993" t="s">
        <v>6297</v>
      </c>
      <c r="C6993">
        <v>74.05</v>
      </c>
      <c r="D6993" t="str">
        <f t="shared" si="236"/>
        <v>270</v>
      </c>
    </row>
    <row r="6994" spans="1:4" x14ac:dyDescent="0.25">
      <c r="A6994" t="str">
        <f>"838944392"</f>
        <v>838944392</v>
      </c>
      <c r="B6994" t="s">
        <v>6298</v>
      </c>
      <c r="C6994">
        <v>74.16</v>
      </c>
      <c r="D6994" t="str">
        <f t="shared" si="236"/>
        <v>270</v>
      </c>
    </row>
    <row r="6995" spans="1:4" x14ac:dyDescent="0.25">
      <c r="A6995" t="str">
        <f>"838944393"</f>
        <v>838944393</v>
      </c>
      <c r="B6995" t="s">
        <v>6299</v>
      </c>
      <c r="C6995">
        <v>74.16</v>
      </c>
      <c r="D6995" t="str">
        <f t="shared" si="236"/>
        <v>270</v>
      </c>
    </row>
    <row r="6996" spans="1:4" x14ac:dyDescent="0.25">
      <c r="A6996" t="str">
        <f>"838944394"</f>
        <v>838944394</v>
      </c>
      <c r="B6996" t="s">
        <v>6300</v>
      </c>
      <c r="C6996">
        <v>32.51</v>
      </c>
      <c r="D6996" t="str">
        <f t="shared" si="236"/>
        <v>270</v>
      </c>
    </row>
    <row r="6997" spans="1:4" x14ac:dyDescent="0.25">
      <c r="A6997" t="str">
        <f>"838944395"</f>
        <v>838944395</v>
      </c>
      <c r="B6997" t="s">
        <v>6301</v>
      </c>
      <c r="C6997">
        <v>32.51</v>
      </c>
      <c r="D6997" t="str">
        <f t="shared" si="236"/>
        <v>270</v>
      </c>
    </row>
    <row r="6998" spans="1:4" x14ac:dyDescent="0.25">
      <c r="A6998" t="str">
        <f>"838944396"</f>
        <v>838944396</v>
      </c>
      <c r="B6998" t="s">
        <v>6302</v>
      </c>
      <c r="C6998">
        <v>33.880000000000003</v>
      </c>
      <c r="D6998" t="str">
        <f t="shared" si="236"/>
        <v>270</v>
      </c>
    </row>
    <row r="6999" spans="1:4" x14ac:dyDescent="0.25">
      <c r="A6999" t="str">
        <f>"838944397"</f>
        <v>838944397</v>
      </c>
      <c r="B6999" t="s">
        <v>6303</v>
      </c>
      <c r="C6999">
        <v>33.880000000000003</v>
      </c>
      <c r="D6999" t="str">
        <f t="shared" si="236"/>
        <v>270</v>
      </c>
    </row>
    <row r="7000" spans="1:4" x14ac:dyDescent="0.25">
      <c r="A7000" t="str">
        <f>"838944398"</f>
        <v>838944398</v>
      </c>
      <c r="B7000" t="s">
        <v>6304</v>
      </c>
      <c r="C7000">
        <v>32.450000000000003</v>
      </c>
      <c r="D7000" t="str">
        <f t="shared" si="236"/>
        <v>270</v>
      </c>
    </row>
    <row r="7001" spans="1:4" x14ac:dyDescent="0.25">
      <c r="A7001" t="str">
        <f>"838944399"</f>
        <v>838944399</v>
      </c>
      <c r="B7001" t="s">
        <v>6305</v>
      </c>
      <c r="C7001">
        <v>32.450000000000003</v>
      </c>
      <c r="D7001" t="str">
        <f t="shared" si="236"/>
        <v>270</v>
      </c>
    </row>
    <row r="7002" spans="1:4" x14ac:dyDescent="0.25">
      <c r="A7002" t="str">
        <f>"838944400"</f>
        <v>838944400</v>
      </c>
      <c r="B7002" t="s">
        <v>6306</v>
      </c>
      <c r="C7002">
        <v>32.51</v>
      </c>
      <c r="D7002" t="str">
        <f t="shared" si="236"/>
        <v>270</v>
      </c>
    </row>
    <row r="7003" spans="1:4" x14ac:dyDescent="0.25">
      <c r="A7003" t="str">
        <f>"838944401"</f>
        <v>838944401</v>
      </c>
      <c r="B7003" t="s">
        <v>6307</v>
      </c>
      <c r="C7003">
        <v>32.51</v>
      </c>
      <c r="D7003" t="str">
        <f t="shared" si="236"/>
        <v>270</v>
      </c>
    </row>
    <row r="7004" spans="1:4" x14ac:dyDescent="0.25">
      <c r="A7004" t="str">
        <f>"838944402"</f>
        <v>838944402</v>
      </c>
      <c r="B7004" t="s">
        <v>6308</v>
      </c>
      <c r="C7004">
        <v>56.85</v>
      </c>
      <c r="D7004" t="str">
        <f t="shared" si="236"/>
        <v>270</v>
      </c>
    </row>
    <row r="7005" spans="1:4" x14ac:dyDescent="0.25">
      <c r="A7005" t="str">
        <f>"838944403"</f>
        <v>838944403</v>
      </c>
      <c r="B7005" t="s">
        <v>6309</v>
      </c>
      <c r="C7005">
        <v>56.85</v>
      </c>
      <c r="D7005" t="str">
        <f t="shared" si="236"/>
        <v>270</v>
      </c>
    </row>
    <row r="7006" spans="1:4" x14ac:dyDescent="0.25">
      <c r="A7006" t="str">
        <f>"838944404"</f>
        <v>838944404</v>
      </c>
      <c r="B7006" t="s">
        <v>6310</v>
      </c>
      <c r="C7006">
        <v>65.52</v>
      </c>
      <c r="D7006" t="str">
        <f t="shared" si="236"/>
        <v>270</v>
      </c>
    </row>
    <row r="7007" spans="1:4" x14ac:dyDescent="0.25">
      <c r="A7007" t="str">
        <f>"838944405"</f>
        <v>838944405</v>
      </c>
      <c r="B7007" t="s">
        <v>6311</v>
      </c>
      <c r="C7007">
        <v>65.52</v>
      </c>
      <c r="D7007" t="str">
        <f t="shared" si="236"/>
        <v>270</v>
      </c>
    </row>
    <row r="7008" spans="1:4" x14ac:dyDescent="0.25">
      <c r="A7008" t="str">
        <f>"838944406"</f>
        <v>838944406</v>
      </c>
      <c r="B7008" t="s">
        <v>6312</v>
      </c>
      <c r="C7008">
        <v>32.450000000000003</v>
      </c>
      <c r="D7008" t="str">
        <f t="shared" si="236"/>
        <v>270</v>
      </c>
    </row>
    <row r="7009" spans="1:4" x14ac:dyDescent="0.25">
      <c r="A7009" t="str">
        <f>"838944407"</f>
        <v>838944407</v>
      </c>
      <c r="B7009" t="s">
        <v>6313</v>
      </c>
      <c r="C7009">
        <v>32.450000000000003</v>
      </c>
      <c r="D7009" t="str">
        <f t="shared" si="236"/>
        <v>270</v>
      </c>
    </row>
    <row r="7010" spans="1:4" x14ac:dyDescent="0.25">
      <c r="A7010" t="str">
        <f>"838944408"</f>
        <v>838944408</v>
      </c>
      <c r="B7010" t="s">
        <v>6314</v>
      </c>
      <c r="C7010">
        <v>32.51</v>
      </c>
      <c r="D7010" t="str">
        <f t="shared" si="236"/>
        <v>270</v>
      </c>
    </row>
    <row r="7011" spans="1:4" x14ac:dyDescent="0.25">
      <c r="A7011" t="str">
        <f>"838944409"</f>
        <v>838944409</v>
      </c>
      <c r="B7011" t="s">
        <v>6315</v>
      </c>
      <c r="C7011">
        <v>32.51</v>
      </c>
      <c r="D7011" t="str">
        <f t="shared" si="236"/>
        <v>270</v>
      </c>
    </row>
    <row r="7012" spans="1:4" x14ac:dyDescent="0.25">
      <c r="A7012" t="str">
        <f>"838944410"</f>
        <v>838944410</v>
      </c>
      <c r="B7012" t="s">
        <v>6316</v>
      </c>
      <c r="C7012">
        <v>33.33</v>
      </c>
      <c r="D7012" t="str">
        <f t="shared" si="236"/>
        <v>270</v>
      </c>
    </row>
    <row r="7013" spans="1:4" x14ac:dyDescent="0.25">
      <c r="A7013" t="str">
        <f>"838944411"</f>
        <v>838944411</v>
      </c>
      <c r="B7013" t="s">
        <v>6317</v>
      </c>
      <c r="C7013">
        <v>33.33</v>
      </c>
      <c r="D7013" t="str">
        <f t="shared" si="236"/>
        <v>270</v>
      </c>
    </row>
    <row r="7014" spans="1:4" x14ac:dyDescent="0.25">
      <c r="A7014" t="str">
        <f>"838944412"</f>
        <v>838944412</v>
      </c>
      <c r="B7014" t="s">
        <v>6318</v>
      </c>
      <c r="C7014">
        <v>35.369999999999997</v>
      </c>
      <c r="D7014" t="str">
        <f t="shared" si="236"/>
        <v>270</v>
      </c>
    </row>
    <row r="7015" spans="1:4" x14ac:dyDescent="0.25">
      <c r="A7015" t="str">
        <f>"838944413"</f>
        <v>838944413</v>
      </c>
      <c r="B7015" t="s">
        <v>6319</v>
      </c>
      <c r="C7015">
        <v>35.369999999999997</v>
      </c>
      <c r="D7015" t="str">
        <f t="shared" si="236"/>
        <v>270</v>
      </c>
    </row>
    <row r="7016" spans="1:4" x14ac:dyDescent="0.25">
      <c r="A7016" t="str">
        <f>"838944414"</f>
        <v>838944414</v>
      </c>
      <c r="B7016" t="s">
        <v>6320</v>
      </c>
      <c r="C7016">
        <v>55.48</v>
      </c>
      <c r="D7016" t="str">
        <f t="shared" si="236"/>
        <v>270</v>
      </c>
    </row>
    <row r="7017" spans="1:4" x14ac:dyDescent="0.25">
      <c r="A7017" t="str">
        <f>"838944415"</f>
        <v>838944415</v>
      </c>
      <c r="B7017" t="s">
        <v>6321</v>
      </c>
      <c r="C7017">
        <v>55.48</v>
      </c>
      <c r="D7017" t="str">
        <f t="shared" si="236"/>
        <v>270</v>
      </c>
    </row>
    <row r="7018" spans="1:4" x14ac:dyDescent="0.25">
      <c r="A7018" t="str">
        <f>"838944416"</f>
        <v>838944416</v>
      </c>
      <c r="B7018" t="s">
        <v>6322</v>
      </c>
      <c r="C7018">
        <v>56.2</v>
      </c>
      <c r="D7018" t="str">
        <f t="shared" si="236"/>
        <v>270</v>
      </c>
    </row>
    <row r="7019" spans="1:4" x14ac:dyDescent="0.25">
      <c r="A7019" t="str">
        <f>"838944417"</f>
        <v>838944417</v>
      </c>
      <c r="B7019" t="s">
        <v>6323</v>
      </c>
      <c r="C7019">
        <v>56.2</v>
      </c>
      <c r="D7019" t="str">
        <f t="shared" si="236"/>
        <v>270</v>
      </c>
    </row>
    <row r="7020" spans="1:4" x14ac:dyDescent="0.25">
      <c r="A7020" t="str">
        <f>"838944418"</f>
        <v>838944418</v>
      </c>
      <c r="B7020" t="s">
        <v>6324</v>
      </c>
      <c r="C7020">
        <v>54.77</v>
      </c>
      <c r="D7020" t="str">
        <f t="shared" si="236"/>
        <v>270</v>
      </c>
    </row>
    <row r="7021" spans="1:4" x14ac:dyDescent="0.25">
      <c r="A7021" t="str">
        <f>"838944419"</f>
        <v>838944419</v>
      </c>
      <c r="B7021" t="s">
        <v>6325</v>
      </c>
      <c r="C7021">
        <v>54.77</v>
      </c>
      <c r="D7021" t="str">
        <f t="shared" si="236"/>
        <v>270</v>
      </c>
    </row>
    <row r="7022" spans="1:4" x14ac:dyDescent="0.25">
      <c r="A7022" t="str">
        <f>"838944420"</f>
        <v>838944420</v>
      </c>
      <c r="B7022" t="s">
        <v>6326</v>
      </c>
      <c r="C7022">
        <v>56.33</v>
      </c>
      <c r="D7022" t="str">
        <f t="shared" si="236"/>
        <v>270</v>
      </c>
    </row>
    <row r="7023" spans="1:4" x14ac:dyDescent="0.25">
      <c r="A7023" t="str">
        <f>"838944421"</f>
        <v>838944421</v>
      </c>
      <c r="B7023" t="s">
        <v>6327</v>
      </c>
      <c r="C7023">
        <v>56.33</v>
      </c>
      <c r="D7023" t="str">
        <f t="shared" si="236"/>
        <v>270</v>
      </c>
    </row>
    <row r="7024" spans="1:4" x14ac:dyDescent="0.25">
      <c r="A7024" t="str">
        <f>"838944422"</f>
        <v>838944422</v>
      </c>
      <c r="B7024" t="s">
        <v>6328</v>
      </c>
      <c r="C7024">
        <v>56.17</v>
      </c>
      <c r="D7024" t="str">
        <f t="shared" si="236"/>
        <v>270</v>
      </c>
    </row>
    <row r="7025" spans="1:4" x14ac:dyDescent="0.25">
      <c r="A7025" t="str">
        <f>"838944423"</f>
        <v>838944423</v>
      </c>
      <c r="B7025" t="s">
        <v>6329</v>
      </c>
      <c r="C7025">
        <v>56.17</v>
      </c>
      <c r="D7025" t="str">
        <f t="shared" si="236"/>
        <v>270</v>
      </c>
    </row>
    <row r="7026" spans="1:4" x14ac:dyDescent="0.25">
      <c r="A7026" t="str">
        <f>"838944424"</f>
        <v>838944424</v>
      </c>
      <c r="B7026" t="s">
        <v>6330</v>
      </c>
      <c r="C7026">
        <v>56.27</v>
      </c>
      <c r="D7026" t="str">
        <f t="shared" si="236"/>
        <v>270</v>
      </c>
    </row>
    <row r="7027" spans="1:4" x14ac:dyDescent="0.25">
      <c r="A7027" t="str">
        <f>"838944425"</f>
        <v>838944425</v>
      </c>
      <c r="B7027" t="s">
        <v>6331</v>
      </c>
      <c r="C7027">
        <v>56.27</v>
      </c>
      <c r="D7027" t="str">
        <f t="shared" si="236"/>
        <v>270</v>
      </c>
    </row>
    <row r="7028" spans="1:4" x14ac:dyDescent="0.25">
      <c r="A7028" t="str">
        <f>"838944426"</f>
        <v>838944426</v>
      </c>
      <c r="B7028" t="s">
        <v>6332</v>
      </c>
      <c r="C7028">
        <v>56.46</v>
      </c>
      <c r="D7028" t="str">
        <f t="shared" si="236"/>
        <v>270</v>
      </c>
    </row>
    <row r="7029" spans="1:4" x14ac:dyDescent="0.25">
      <c r="A7029" t="str">
        <f>"838944427"</f>
        <v>838944427</v>
      </c>
      <c r="B7029" t="s">
        <v>6333</v>
      </c>
      <c r="C7029">
        <v>56.46</v>
      </c>
      <c r="D7029" t="str">
        <f t="shared" si="236"/>
        <v>270</v>
      </c>
    </row>
    <row r="7030" spans="1:4" x14ac:dyDescent="0.25">
      <c r="A7030" t="str">
        <f>"838944428"</f>
        <v>838944428</v>
      </c>
      <c r="B7030" t="s">
        <v>6334</v>
      </c>
      <c r="C7030">
        <v>58.44</v>
      </c>
      <c r="D7030" t="str">
        <f t="shared" si="236"/>
        <v>270</v>
      </c>
    </row>
    <row r="7031" spans="1:4" x14ac:dyDescent="0.25">
      <c r="A7031" t="str">
        <f>"838944429"</f>
        <v>838944429</v>
      </c>
      <c r="B7031" t="s">
        <v>6335</v>
      </c>
      <c r="C7031">
        <v>58.44</v>
      </c>
      <c r="D7031" t="str">
        <f t="shared" si="236"/>
        <v>270</v>
      </c>
    </row>
    <row r="7032" spans="1:4" x14ac:dyDescent="0.25">
      <c r="A7032" t="str">
        <f>"838944430"</f>
        <v>838944430</v>
      </c>
      <c r="B7032" t="s">
        <v>6336</v>
      </c>
      <c r="C7032">
        <v>77.62</v>
      </c>
      <c r="D7032" t="str">
        <f t="shared" si="236"/>
        <v>270</v>
      </c>
    </row>
    <row r="7033" spans="1:4" x14ac:dyDescent="0.25">
      <c r="A7033" t="str">
        <f>"838944431"</f>
        <v>838944431</v>
      </c>
      <c r="B7033" t="s">
        <v>6337</v>
      </c>
      <c r="C7033">
        <v>77.62</v>
      </c>
      <c r="D7033" t="str">
        <f t="shared" si="236"/>
        <v>270</v>
      </c>
    </row>
    <row r="7034" spans="1:4" x14ac:dyDescent="0.25">
      <c r="A7034" t="str">
        <f>"838944432"</f>
        <v>838944432</v>
      </c>
      <c r="B7034" t="s">
        <v>6338</v>
      </c>
      <c r="C7034">
        <v>33.17</v>
      </c>
      <c r="D7034" t="str">
        <f t="shared" si="236"/>
        <v>270</v>
      </c>
    </row>
    <row r="7035" spans="1:4" x14ac:dyDescent="0.25">
      <c r="A7035" t="str">
        <f>"838944433"</f>
        <v>838944433</v>
      </c>
      <c r="B7035" t="s">
        <v>6339</v>
      </c>
      <c r="C7035">
        <v>33.17</v>
      </c>
      <c r="D7035" t="str">
        <f t="shared" ref="D7035:D7098" si="237">"270"</f>
        <v>270</v>
      </c>
    </row>
    <row r="7036" spans="1:4" x14ac:dyDescent="0.25">
      <c r="A7036" t="str">
        <f>"838944434"</f>
        <v>838944434</v>
      </c>
      <c r="B7036" t="s">
        <v>6340</v>
      </c>
      <c r="C7036">
        <v>33.770000000000003</v>
      </c>
      <c r="D7036" t="str">
        <f t="shared" si="237"/>
        <v>270</v>
      </c>
    </row>
    <row r="7037" spans="1:4" x14ac:dyDescent="0.25">
      <c r="A7037" t="str">
        <f>"838944435"</f>
        <v>838944435</v>
      </c>
      <c r="B7037" t="s">
        <v>6341</v>
      </c>
      <c r="C7037">
        <v>33.770000000000003</v>
      </c>
      <c r="D7037" t="str">
        <f t="shared" si="237"/>
        <v>270</v>
      </c>
    </row>
    <row r="7038" spans="1:4" x14ac:dyDescent="0.25">
      <c r="A7038" t="str">
        <f>"838944436"</f>
        <v>838944436</v>
      </c>
      <c r="B7038" t="s">
        <v>6342</v>
      </c>
      <c r="C7038">
        <v>32.450000000000003</v>
      </c>
      <c r="D7038" t="str">
        <f t="shared" si="237"/>
        <v>270</v>
      </c>
    </row>
    <row r="7039" spans="1:4" x14ac:dyDescent="0.25">
      <c r="A7039" t="str">
        <f>"838944437"</f>
        <v>838944437</v>
      </c>
      <c r="B7039" t="s">
        <v>6343</v>
      </c>
      <c r="C7039">
        <v>32.450000000000003</v>
      </c>
      <c r="D7039" t="str">
        <f t="shared" si="237"/>
        <v>270</v>
      </c>
    </row>
    <row r="7040" spans="1:4" x14ac:dyDescent="0.25">
      <c r="A7040" t="str">
        <f>"838944438"</f>
        <v>838944438</v>
      </c>
      <c r="B7040" t="s">
        <v>6344</v>
      </c>
      <c r="C7040">
        <v>55.94</v>
      </c>
      <c r="D7040" t="str">
        <f t="shared" si="237"/>
        <v>270</v>
      </c>
    </row>
    <row r="7041" spans="1:4" x14ac:dyDescent="0.25">
      <c r="A7041" t="str">
        <f>"838944439"</f>
        <v>838944439</v>
      </c>
      <c r="B7041" t="s">
        <v>6345</v>
      </c>
      <c r="C7041">
        <v>55.94</v>
      </c>
      <c r="D7041" t="str">
        <f t="shared" si="237"/>
        <v>270</v>
      </c>
    </row>
    <row r="7042" spans="1:4" x14ac:dyDescent="0.25">
      <c r="A7042" t="str">
        <f>"838944440"</f>
        <v>838944440</v>
      </c>
      <c r="B7042" t="s">
        <v>6346</v>
      </c>
      <c r="C7042">
        <v>55.94</v>
      </c>
      <c r="D7042" t="str">
        <f t="shared" si="237"/>
        <v>270</v>
      </c>
    </row>
    <row r="7043" spans="1:4" x14ac:dyDescent="0.25">
      <c r="A7043" t="str">
        <f>"838944441"</f>
        <v>838944441</v>
      </c>
      <c r="B7043" t="s">
        <v>6347</v>
      </c>
      <c r="C7043">
        <v>55.94</v>
      </c>
      <c r="D7043" t="str">
        <f t="shared" si="237"/>
        <v>270</v>
      </c>
    </row>
    <row r="7044" spans="1:4" x14ac:dyDescent="0.25">
      <c r="A7044" t="str">
        <f>"838944442"</f>
        <v>838944442</v>
      </c>
      <c r="B7044" t="s">
        <v>6348</v>
      </c>
      <c r="C7044">
        <v>55.94</v>
      </c>
      <c r="D7044" t="str">
        <f t="shared" si="237"/>
        <v>270</v>
      </c>
    </row>
    <row r="7045" spans="1:4" x14ac:dyDescent="0.25">
      <c r="A7045" t="str">
        <f>"838944443"</f>
        <v>838944443</v>
      </c>
      <c r="B7045" t="s">
        <v>6349</v>
      </c>
      <c r="C7045">
        <v>55.94</v>
      </c>
      <c r="D7045" t="str">
        <f t="shared" si="237"/>
        <v>270</v>
      </c>
    </row>
    <row r="7046" spans="1:4" x14ac:dyDescent="0.25">
      <c r="A7046" t="str">
        <f>"838944444"</f>
        <v>838944444</v>
      </c>
      <c r="B7046" t="s">
        <v>6350</v>
      </c>
      <c r="C7046">
        <v>32.51</v>
      </c>
      <c r="D7046" t="str">
        <f t="shared" si="237"/>
        <v>270</v>
      </c>
    </row>
    <row r="7047" spans="1:4" x14ac:dyDescent="0.25">
      <c r="A7047" t="str">
        <f>"838944445"</f>
        <v>838944445</v>
      </c>
      <c r="B7047" t="s">
        <v>6351</v>
      </c>
      <c r="C7047">
        <v>32.51</v>
      </c>
      <c r="D7047" t="str">
        <f t="shared" si="237"/>
        <v>270</v>
      </c>
    </row>
    <row r="7048" spans="1:4" x14ac:dyDescent="0.25">
      <c r="A7048" t="str">
        <f>"838944446"</f>
        <v>838944446</v>
      </c>
      <c r="B7048" t="s">
        <v>6352</v>
      </c>
      <c r="C7048">
        <v>32.51</v>
      </c>
      <c r="D7048" t="str">
        <f t="shared" si="237"/>
        <v>270</v>
      </c>
    </row>
    <row r="7049" spans="1:4" x14ac:dyDescent="0.25">
      <c r="A7049" t="str">
        <f>"838944447"</f>
        <v>838944447</v>
      </c>
      <c r="B7049" t="s">
        <v>6353</v>
      </c>
      <c r="C7049">
        <v>32.51</v>
      </c>
      <c r="D7049" t="str">
        <f t="shared" si="237"/>
        <v>270</v>
      </c>
    </row>
    <row r="7050" spans="1:4" x14ac:dyDescent="0.25">
      <c r="A7050" t="str">
        <f>"838944448"</f>
        <v>838944448</v>
      </c>
      <c r="B7050" t="s">
        <v>6354</v>
      </c>
      <c r="C7050">
        <v>33.33</v>
      </c>
      <c r="D7050" t="str">
        <f t="shared" si="237"/>
        <v>270</v>
      </c>
    </row>
    <row r="7051" spans="1:4" x14ac:dyDescent="0.25">
      <c r="A7051" t="str">
        <f>"838944449"</f>
        <v>838944449</v>
      </c>
      <c r="B7051" t="s">
        <v>6355</v>
      </c>
      <c r="C7051">
        <v>33.33</v>
      </c>
      <c r="D7051" t="str">
        <f t="shared" si="237"/>
        <v>270</v>
      </c>
    </row>
    <row r="7052" spans="1:4" x14ac:dyDescent="0.25">
      <c r="A7052" t="str">
        <f>"838944450"</f>
        <v>838944450</v>
      </c>
      <c r="B7052" t="s">
        <v>6356</v>
      </c>
      <c r="C7052">
        <v>70.959999999999994</v>
      </c>
      <c r="D7052" t="str">
        <f t="shared" si="237"/>
        <v>270</v>
      </c>
    </row>
    <row r="7053" spans="1:4" x14ac:dyDescent="0.25">
      <c r="A7053" t="str">
        <f>"838944451"</f>
        <v>838944451</v>
      </c>
      <c r="B7053" t="s">
        <v>6357</v>
      </c>
      <c r="C7053">
        <v>70.959999999999994</v>
      </c>
      <c r="D7053" t="str">
        <f t="shared" si="237"/>
        <v>270</v>
      </c>
    </row>
    <row r="7054" spans="1:4" x14ac:dyDescent="0.25">
      <c r="A7054" t="str">
        <f>"838944452"</f>
        <v>838944452</v>
      </c>
      <c r="B7054" t="s">
        <v>6358</v>
      </c>
      <c r="C7054">
        <v>69.3</v>
      </c>
      <c r="D7054" t="str">
        <f t="shared" si="237"/>
        <v>270</v>
      </c>
    </row>
    <row r="7055" spans="1:4" x14ac:dyDescent="0.25">
      <c r="A7055" t="str">
        <f>"838944453"</f>
        <v>838944453</v>
      </c>
      <c r="B7055" t="s">
        <v>6359</v>
      </c>
      <c r="C7055">
        <v>69.3</v>
      </c>
      <c r="D7055" t="str">
        <f t="shared" si="237"/>
        <v>270</v>
      </c>
    </row>
    <row r="7056" spans="1:4" x14ac:dyDescent="0.25">
      <c r="A7056" t="str">
        <f>"838944454"</f>
        <v>838944454</v>
      </c>
      <c r="B7056" t="s">
        <v>6360</v>
      </c>
      <c r="C7056">
        <v>56.2</v>
      </c>
      <c r="D7056" t="str">
        <f t="shared" si="237"/>
        <v>270</v>
      </c>
    </row>
    <row r="7057" spans="1:4" x14ac:dyDescent="0.25">
      <c r="A7057" t="str">
        <f>"838944455"</f>
        <v>838944455</v>
      </c>
      <c r="B7057" t="s">
        <v>6361</v>
      </c>
      <c r="C7057">
        <v>56.2</v>
      </c>
      <c r="D7057" t="str">
        <f t="shared" si="237"/>
        <v>270</v>
      </c>
    </row>
    <row r="7058" spans="1:4" x14ac:dyDescent="0.25">
      <c r="A7058" t="str">
        <f>"838944456"</f>
        <v>838944456</v>
      </c>
      <c r="B7058" t="s">
        <v>6362</v>
      </c>
      <c r="C7058">
        <v>56.2</v>
      </c>
      <c r="D7058" t="str">
        <f t="shared" si="237"/>
        <v>270</v>
      </c>
    </row>
    <row r="7059" spans="1:4" x14ac:dyDescent="0.25">
      <c r="A7059" t="str">
        <f>"838944457"</f>
        <v>838944457</v>
      </c>
      <c r="B7059" t="s">
        <v>6363</v>
      </c>
      <c r="C7059">
        <v>56.2</v>
      </c>
      <c r="D7059" t="str">
        <f t="shared" si="237"/>
        <v>270</v>
      </c>
    </row>
    <row r="7060" spans="1:4" x14ac:dyDescent="0.25">
      <c r="A7060" t="str">
        <f>"838944458"</f>
        <v>838944458</v>
      </c>
      <c r="B7060" t="s">
        <v>6364</v>
      </c>
      <c r="C7060">
        <v>56.21</v>
      </c>
      <c r="D7060" t="str">
        <f t="shared" si="237"/>
        <v>270</v>
      </c>
    </row>
    <row r="7061" spans="1:4" x14ac:dyDescent="0.25">
      <c r="A7061" t="str">
        <f>"838944459"</f>
        <v>838944459</v>
      </c>
      <c r="B7061" t="s">
        <v>6365</v>
      </c>
      <c r="C7061">
        <v>56.21</v>
      </c>
      <c r="D7061" t="str">
        <f t="shared" si="237"/>
        <v>270</v>
      </c>
    </row>
    <row r="7062" spans="1:4" x14ac:dyDescent="0.25">
      <c r="A7062" t="str">
        <f>"838944460"</f>
        <v>838944460</v>
      </c>
      <c r="B7062" t="s">
        <v>6366</v>
      </c>
      <c r="C7062">
        <v>56.17</v>
      </c>
      <c r="D7062" t="str">
        <f t="shared" si="237"/>
        <v>270</v>
      </c>
    </row>
    <row r="7063" spans="1:4" x14ac:dyDescent="0.25">
      <c r="A7063" t="str">
        <f>"838944461"</f>
        <v>838944461</v>
      </c>
      <c r="B7063" t="s">
        <v>6367</v>
      </c>
      <c r="C7063">
        <v>56.17</v>
      </c>
      <c r="D7063" t="str">
        <f t="shared" si="237"/>
        <v>270</v>
      </c>
    </row>
    <row r="7064" spans="1:4" x14ac:dyDescent="0.25">
      <c r="A7064" t="str">
        <f>"838944462"</f>
        <v>838944462</v>
      </c>
      <c r="B7064" t="s">
        <v>6368</v>
      </c>
      <c r="C7064">
        <v>56.17</v>
      </c>
      <c r="D7064" t="str">
        <f t="shared" si="237"/>
        <v>270</v>
      </c>
    </row>
    <row r="7065" spans="1:4" x14ac:dyDescent="0.25">
      <c r="A7065" t="str">
        <f>"838944463"</f>
        <v>838944463</v>
      </c>
      <c r="B7065" t="s">
        <v>6369</v>
      </c>
      <c r="C7065">
        <v>56.17</v>
      </c>
      <c r="D7065" t="str">
        <f t="shared" si="237"/>
        <v>270</v>
      </c>
    </row>
    <row r="7066" spans="1:4" x14ac:dyDescent="0.25">
      <c r="A7066" t="str">
        <f>"838944464"</f>
        <v>838944464</v>
      </c>
      <c r="B7066" t="s">
        <v>6370</v>
      </c>
      <c r="C7066">
        <v>55.5</v>
      </c>
      <c r="D7066" t="str">
        <f t="shared" si="237"/>
        <v>270</v>
      </c>
    </row>
    <row r="7067" spans="1:4" x14ac:dyDescent="0.25">
      <c r="A7067" t="str">
        <f>"838944465"</f>
        <v>838944465</v>
      </c>
      <c r="B7067" t="s">
        <v>6371</v>
      </c>
      <c r="C7067">
        <v>55.5</v>
      </c>
      <c r="D7067" t="str">
        <f t="shared" si="237"/>
        <v>270</v>
      </c>
    </row>
    <row r="7068" spans="1:4" x14ac:dyDescent="0.25">
      <c r="A7068" t="str">
        <f>"838944466"</f>
        <v>838944466</v>
      </c>
      <c r="B7068" t="s">
        <v>6372</v>
      </c>
      <c r="C7068">
        <v>54.32</v>
      </c>
      <c r="D7068" t="str">
        <f t="shared" si="237"/>
        <v>270</v>
      </c>
    </row>
    <row r="7069" spans="1:4" x14ac:dyDescent="0.25">
      <c r="A7069" t="str">
        <f>"838944467"</f>
        <v>838944467</v>
      </c>
      <c r="B7069" t="s">
        <v>6373</v>
      </c>
      <c r="C7069">
        <v>54.32</v>
      </c>
      <c r="D7069" t="str">
        <f t="shared" si="237"/>
        <v>270</v>
      </c>
    </row>
    <row r="7070" spans="1:4" x14ac:dyDescent="0.25">
      <c r="A7070" t="str">
        <f>"838944468"</f>
        <v>838944468</v>
      </c>
      <c r="B7070" t="s">
        <v>6374</v>
      </c>
      <c r="C7070">
        <v>55.79</v>
      </c>
      <c r="D7070" t="str">
        <f t="shared" si="237"/>
        <v>270</v>
      </c>
    </row>
    <row r="7071" spans="1:4" x14ac:dyDescent="0.25">
      <c r="A7071" t="str">
        <f>"838944469"</f>
        <v>838944469</v>
      </c>
      <c r="B7071" t="s">
        <v>6375</v>
      </c>
      <c r="C7071">
        <v>55.79</v>
      </c>
      <c r="D7071" t="str">
        <f t="shared" si="237"/>
        <v>270</v>
      </c>
    </row>
    <row r="7072" spans="1:4" x14ac:dyDescent="0.25">
      <c r="A7072" t="str">
        <f>"838944470"</f>
        <v>838944470</v>
      </c>
      <c r="B7072" t="s">
        <v>6376</v>
      </c>
      <c r="C7072">
        <v>55.88</v>
      </c>
      <c r="D7072" t="str">
        <f t="shared" si="237"/>
        <v>270</v>
      </c>
    </row>
    <row r="7073" spans="1:4" x14ac:dyDescent="0.25">
      <c r="A7073" t="str">
        <f>"838944471"</f>
        <v>838944471</v>
      </c>
      <c r="B7073" t="s">
        <v>6377</v>
      </c>
      <c r="C7073">
        <v>55.88</v>
      </c>
      <c r="D7073" t="str">
        <f t="shared" si="237"/>
        <v>270</v>
      </c>
    </row>
    <row r="7074" spans="1:4" x14ac:dyDescent="0.25">
      <c r="A7074" t="str">
        <f>"838944472"</f>
        <v>838944472</v>
      </c>
      <c r="B7074" t="s">
        <v>6378</v>
      </c>
      <c r="C7074">
        <v>56.51</v>
      </c>
      <c r="D7074" t="str">
        <f t="shared" si="237"/>
        <v>270</v>
      </c>
    </row>
    <row r="7075" spans="1:4" x14ac:dyDescent="0.25">
      <c r="A7075" t="str">
        <f>"838944473"</f>
        <v>838944473</v>
      </c>
      <c r="B7075" t="s">
        <v>6379</v>
      </c>
      <c r="C7075">
        <v>56.51</v>
      </c>
      <c r="D7075" t="str">
        <f t="shared" si="237"/>
        <v>270</v>
      </c>
    </row>
    <row r="7076" spans="1:4" x14ac:dyDescent="0.25">
      <c r="A7076" t="str">
        <f>"838944474"</f>
        <v>838944474</v>
      </c>
      <c r="B7076" t="s">
        <v>6380</v>
      </c>
      <c r="C7076">
        <v>82.47</v>
      </c>
      <c r="D7076" t="str">
        <f t="shared" si="237"/>
        <v>270</v>
      </c>
    </row>
    <row r="7077" spans="1:4" x14ac:dyDescent="0.25">
      <c r="A7077" t="str">
        <f>"838944475"</f>
        <v>838944475</v>
      </c>
      <c r="B7077" t="s">
        <v>6381</v>
      </c>
      <c r="C7077">
        <v>82.47</v>
      </c>
      <c r="D7077" t="str">
        <f t="shared" si="237"/>
        <v>270</v>
      </c>
    </row>
    <row r="7078" spans="1:4" x14ac:dyDescent="0.25">
      <c r="A7078" t="str">
        <f>"838944476"</f>
        <v>838944476</v>
      </c>
      <c r="B7078" t="s">
        <v>6382</v>
      </c>
      <c r="C7078">
        <v>84.27</v>
      </c>
      <c r="D7078" t="str">
        <f t="shared" si="237"/>
        <v>270</v>
      </c>
    </row>
    <row r="7079" spans="1:4" x14ac:dyDescent="0.25">
      <c r="A7079" t="str">
        <f>"838944477"</f>
        <v>838944477</v>
      </c>
      <c r="B7079" t="s">
        <v>6383</v>
      </c>
      <c r="C7079">
        <v>84.27</v>
      </c>
      <c r="D7079" t="str">
        <f t="shared" si="237"/>
        <v>270</v>
      </c>
    </row>
    <row r="7080" spans="1:4" x14ac:dyDescent="0.25">
      <c r="A7080" t="str">
        <f>"838944478"</f>
        <v>838944478</v>
      </c>
      <c r="B7080" t="s">
        <v>6384</v>
      </c>
      <c r="C7080">
        <v>82.31</v>
      </c>
      <c r="D7080" t="str">
        <f t="shared" si="237"/>
        <v>270</v>
      </c>
    </row>
    <row r="7081" spans="1:4" x14ac:dyDescent="0.25">
      <c r="A7081" t="str">
        <f>"838944479"</f>
        <v>838944479</v>
      </c>
      <c r="B7081" t="s">
        <v>6385</v>
      </c>
      <c r="C7081">
        <v>82.31</v>
      </c>
      <c r="D7081" t="str">
        <f t="shared" si="237"/>
        <v>270</v>
      </c>
    </row>
    <row r="7082" spans="1:4" x14ac:dyDescent="0.25">
      <c r="A7082" t="str">
        <f>"838944480"</f>
        <v>838944480</v>
      </c>
      <c r="B7082" t="s">
        <v>6386</v>
      </c>
      <c r="C7082">
        <v>76.45</v>
      </c>
      <c r="D7082" t="str">
        <f t="shared" si="237"/>
        <v>270</v>
      </c>
    </row>
    <row r="7083" spans="1:4" x14ac:dyDescent="0.25">
      <c r="A7083" t="str">
        <f>"838944481"</f>
        <v>838944481</v>
      </c>
      <c r="B7083" t="s">
        <v>6387</v>
      </c>
      <c r="C7083">
        <v>76.45</v>
      </c>
      <c r="D7083" t="str">
        <f t="shared" si="237"/>
        <v>270</v>
      </c>
    </row>
    <row r="7084" spans="1:4" x14ac:dyDescent="0.25">
      <c r="A7084" t="str">
        <f>"838944482"</f>
        <v>838944482</v>
      </c>
      <c r="B7084" t="s">
        <v>6388</v>
      </c>
      <c r="C7084">
        <v>12.87</v>
      </c>
      <c r="D7084" t="str">
        <f t="shared" si="237"/>
        <v>270</v>
      </c>
    </row>
    <row r="7085" spans="1:4" x14ac:dyDescent="0.25">
      <c r="A7085" t="str">
        <f>"838944483"</f>
        <v>838944483</v>
      </c>
      <c r="B7085" t="s">
        <v>6389</v>
      </c>
      <c r="C7085">
        <v>12.87</v>
      </c>
      <c r="D7085" t="str">
        <f t="shared" si="237"/>
        <v>270</v>
      </c>
    </row>
    <row r="7086" spans="1:4" x14ac:dyDescent="0.25">
      <c r="A7086" t="str">
        <f>"838944484"</f>
        <v>838944484</v>
      </c>
      <c r="B7086" t="s">
        <v>6390</v>
      </c>
      <c r="C7086">
        <v>23.88</v>
      </c>
      <c r="D7086" t="str">
        <f t="shared" si="237"/>
        <v>270</v>
      </c>
    </row>
    <row r="7087" spans="1:4" x14ac:dyDescent="0.25">
      <c r="A7087" t="str">
        <f>"838944485"</f>
        <v>838944485</v>
      </c>
      <c r="B7087" t="s">
        <v>6391</v>
      </c>
      <c r="C7087">
        <v>23.88</v>
      </c>
      <c r="D7087" t="str">
        <f t="shared" si="237"/>
        <v>270</v>
      </c>
    </row>
    <row r="7088" spans="1:4" x14ac:dyDescent="0.25">
      <c r="A7088" t="str">
        <f>"838944486"</f>
        <v>838944486</v>
      </c>
      <c r="B7088" t="s">
        <v>6392</v>
      </c>
      <c r="C7088">
        <v>21.95</v>
      </c>
      <c r="D7088" t="str">
        <f t="shared" si="237"/>
        <v>270</v>
      </c>
    </row>
    <row r="7089" spans="1:4" x14ac:dyDescent="0.25">
      <c r="A7089" t="str">
        <f>"838944487"</f>
        <v>838944487</v>
      </c>
      <c r="B7089" t="s">
        <v>6393</v>
      </c>
      <c r="C7089">
        <v>21.95</v>
      </c>
      <c r="D7089" t="str">
        <f t="shared" si="237"/>
        <v>270</v>
      </c>
    </row>
    <row r="7090" spans="1:4" x14ac:dyDescent="0.25">
      <c r="A7090" t="str">
        <f>"838944488"</f>
        <v>838944488</v>
      </c>
      <c r="B7090" t="s">
        <v>6394</v>
      </c>
      <c r="C7090">
        <v>21.74</v>
      </c>
      <c r="D7090" t="str">
        <f t="shared" si="237"/>
        <v>270</v>
      </c>
    </row>
    <row r="7091" spans="1:4" x14ac:dyDescent="0.25">
      <c r="A7091" t="str">
        <f>"838944489"</f>
        <v>838944489</v>
      </c>
      <c r="B7091" t="s">
        <v>6395</v>
      </c>
      <c r="C7091">
        <v>21.74</v>
      </c>
      <c r="D7091" t="str">
        <f t="shared" si="237"/>
        <v>270</v>
      </c>
    </row>
    <row r="7092" spans="1:4" x14ac:dyDescent="0.25">
      <c r="A7092" t="str">
        <f>"838944490"</f>
        <v>838944490</v>
      </c>
      <c r="B7092" t="s">
        <v>6396</v>
      </c>
      <c r="C7092">
        <v>21.74</v>
      </c>
      <c r="D7092" t="str">
        <f t="shared" si="237"/>
        <v>270</v>
      </c>
    </row>
    <row r="7093" spans="1:4" x14ac:dyDescent="0.25">
      <c r="A7093" t="str">
        <f>"838944491"</f>
        <v>838944491</v>
      </c>
      <c r="B7093" t="s">
        <v>6397</v>
      </c>
      <c r="C7093">
        <v>21.74</v>
      </c>
      <c r="D7093" t="str">
        <f t="shared" si="237"/>
        <v>270</v>
      </c>
    </row>
    <row r="7094" spans="1:4" x14ac:dyDescent="0.25">
      <c r="A7094" t="str">
        <f>"838944492"</f>
        <v>838944492</v>
      </c>
      <c r="B7094" t="s">
        <v>6398</v>
      </c>
      <c r="C7094">
        <v>21.6</v>
      </c>
      <c r="D7094" t="str">
        <f t="shared" si="237"/>
        <v>270</v>
      </c>
    </row>
    <row r="7095" spans="1:4" x14ac:dyDescent="0.25">
      <c r="A7095" t="str">
        <f>"838944493"</f>
        <v>838944493</v>
      </c>
      <c r="B7095" t="s">
        <v>6399</v>
      </c>
      <c r="C7095">
        <v>21.6</v>
      </c>
      <c r="D7095" t="str">
        <f t="shared" si="237"/>
        <v>270</v>
      </c>
    </row>
    <row r="7096" spans="1:4" x14ac:dyDescent="0.25">
      <c r="A7096" t="str">
        <f>"838944494"</f>
        <v>838944494</v>
      </c>
      <c r="B7096" t="s">
        <v>6400</v>
      </c>
      <c r="C7096">
        <v>22.22</v>
      </c>
      <c r="D7096" t="str">
        <f t="shared" si="237"/>
        <v>270</v>
      </c>
    </row>
    <row r="7097" spans="1:4" x14ac:dyDescent="0.25">
      <c r="A7097" t="str">
        <f>"838944495"</f>
        <v>838944495</v>
      </c>
      <c r="B7097" t="s">
        <v>6401</v>
      </c>
      <c r="C7097">
        <v>22.22</v>
      </c>
      <c r="D7097" t="str">
        <f t="shared" si="237"/>
        <v>270</v>
      </c>
    </row>
    <row r="7098" spans="1:4" x14ac:dyDescent="0.25">
      <c r="A7098" t="str">
        <f>"838944496"</f>
        <v>838944496</v>
      </c>
      <c r="B7098" t="s">
        <v>6402</v>
      </c>
      <c r="C7098">
        <v>21.95</v>
      </c>
      <c r="D7098" t="str">
        <f t="shared" si="237"/>
        <v>270</v>
      </c>
    </row>
    <row r="7099" spans="1:4" x14ac:dyDescent="0.25">
      <c r="A7099" t="str">
        <f>"838944497"</f>
        <v>838944497</v>
      </c>
      <c r="B7099" t="s">
        <v>6403</v>
      </c>
      <c r="C7099">
        <v>21.95</v>
      </c>
      <c r="D7099" t="str">
        <f t="shared" ref="D7099:D7162" si="238">"270"</f>
        <v>270</v>
      </c>
    </row>
    <row r="7100" spans="1:4" x14ac:dyDescent="0.25">
      <c r="A7100" t="str">
        <f>"838944498"</f>
        <v>838944498</v>
      </c>
      <c r="B7100" t="s">
        <v>6404</v>
      </c>
      <c r="C7100">
        <v>21.74</v>
      </c>
      <c r="D7100" t="str">
        <f t="shared" si="238"/>
        <v>270</v>
      </c>
    </row>
    <row r="7101" spans="1:4" x14ac:dyDescent="0.25">
      <c r="A7101" t="str">
        <f>"838944499"</f>
        <v>838944499</v>
      </c>
      <c r="B7101" t="s">
        <v>6405</v>
      </c>
      <c r="C7101">
        <v>21.74</v>
      </c>
      <c r="D7101" t="str">
        <f t="shared" si="238"/>
        <v>270</v>
      </c>
    </row>
    <row r="7102" spans="1:4" x14ac:dyDescent="0.25">
      <c r="A7102" t="str">
        <f>"838944500"</f>
        <v>838944500</v>
      </c>
      <c r="B7102" t="s">
        <v>6406</v>
      </c>
      <c r="C7102">
        <v>56.17</v>
      </c>
      <c r="D7102" t="str">
        <f t="shared" si="238"/>
        <v>270</v>
      </c>
    </row>
    <row r="7103" spans="1:4" x14ac:dyDescent="0.25">
      <c r="A7103" t="str">
        <f>"838944501"</f>
        <v>838944501</v>
      </c>
      <c r="B7103" t="s">
        <v>6407</v>
      </c>
      <c r="C7103">
        <v>56.17</v>
      </c>
      <c r="D7103" t="str">
        <f t="shared" si="238"/>
        <v>270</v>
      </c>
    </row>
    <row r="7104" spans="1:4" x14ac:dyDescent="0.25">
      <c r="A7104" t="str">
        <f>"838944502"</f>
        <v>838944502</v>
      </c>
      <c r="B7104" t="s">
        <v>6408</v>
      </c>
      <c r="C7104">
        <v>55.08</v>
      </c>
      <c r="D7104" t="str">
        <f t="shared" si="238"/>
        <v>270</v>
      </c>
    </row>
    <row r="7105" spans="1:4" x14ac:dyDescent="0.25">
      <c r="A7105" t="str">
        <f>"838944503"</f>
        <v>838944503</v>
      </c>
      <c r="B7105" t="s">
        <v>6409</v>
      </c>
      <c r="C7105">
        <v>55.08</v>
      </c>
      <c r="D7105" t="str">
        <f t="shared" si="238"/>
        <v>270</v>
      </c>
    </row>
    <row r="7106" spans="1:4" x14ac:dyDescent="0.25">
      <c r="A7106" t="str">
        <f>"838944504"</f>
        <v>838944504</v>
      </c>
      <c r="B7106" t="s">
        <v>6410</v>
      </c>
      <c r="C7106">
        <v>56.57</v>
      </c>
      <c r="D7106" t="str">
        <f t="shared" si="238"/>
        <v>270</v>
      </c>
    </row>
    <row r="7107" spans="1:4" x14ac:dyDescent="0.25">
      <c r="A7107" t="str">
        <f>"838944505"</f>
        <v>838944505</v>
      </c>
      <c r="B7107" t="s">
        <v>6411</v>
      </c>
      <c r="C7107">
        <v>56.57</v>
      </c>
      <c r="D7107" t="str">
        <f t="shared" si="238"/>
        <v>270</v>
      </c>
    </row>
    <row r="7108" spans="1:4" x14ac:dyDescent="0.25">
      <c r="A7108" t="str">
        <f>"838944506"</f>
        <v>838944506</v>
      </c>
      <c r="B7108" t="s">
        <v>6412</v>
      </c>
      <c r="C7108">
        <v>56.14</v>
      </c>
      <c r="D7108" t="str">
        <f t="shared" si="238"/>
        <v>270</v>
      </c>
    </row>
    <row r="7109" spans="1:4" x14ac:dyDescent="0.25">
      <c r="A7109" t="str">
        <f>"838944507"</f>
        <v>838944507</v>
      </c>
      <c r="B7109" t="s">
        <v>6413</v>
      </c>
      <c r="C7109">
        <v>56.14</v>
      </c>
      <c r="D7109" t="str">
        <f t="shared" si="238"/>
        <v>270</v>
      </c>
    </row>
    <row r="7110" spans="1:4" x14ac:dyDescent="0.25">
      <c r="A7110" t="str">
        <f>"838944508"</f>
        <v>838944508</v>
      </c>
      <c r="B7110" t="s">
        <v>6414</v>
      </c>
      <c r="C7110">
        <v>22.22</v>
      </c>
      <c r="D7110" t="str">
        <f t="shared" si="238"/>
        <v>270</v>
      </c>
    </row>
    <row r="7111" spans="1:4" x14ac:dyDescent="0.25">
      <c r="A7111" t="str">
        <f>"838944509"</f>
        <v>838944509</v>
      </c>
      <c r="B7111" t="s">
        <v>6415</v>
      </c>
      <c r="C7111">
        <v>22.22</v>
      </c>
      <c r="D7111" t="str">
        <f t="shared" si="238"/>
        <v>270</v>
      </c>
    </row>
    <row r="7112" spans="1:4" x14ac:dyDescent="0.25">
      <c r="A7112" t="str">
        <f>"838944510"</f>
        <v>838944510</v>
      </c>
      <c r="B7112" t="s">
        <v>6416</v>
      </c>
      <c r="C7112">
        <v>21.95</v>
      </c>
      <c r="D7112" t="str">
        <f t="shared" si="238"/>
        <v>270</v>
      </c>
    </row>
    <row r="7113" spans="1:4" x14ac:dyDescent="0.25">
      <c r="A7113" t="str">
        <f>"838944511"</f>
        <v>838944511</v>
      </c>
      <c r="B7113" t="s">
        <v>6417</v>
      </c>
      <c r="C7113">
        <v>21.95</v>
      </c>
      <c r="D7113" t="str">
        <f t="shared" si="238"/>
        <v>270</v>
      </c>
    </row>
    <row r="7114" spans="1:4" x14ac:dyDescent="0.25">
      <c r="A7114" t="str">
        <f>"838944512"</f>
        <v>838944512</v>
      </c>
      <c r="B7114" t="s">
        <v>6418</v>
      </c>
      <c r="C7114">
        <v>21.74</v>
      </c>
      <c r="D7114" t="str">
        <f t="shared" si="238"/>
        <v>270</v>
      </c>
    </row>
    <row r="7115" spans="1:4" x14ac:dyDescent="0.25">
      <c r="A7115" t="str">
        <f>"838944513"</f>
        <v>838944513</v>
      </c>
      <c r="B7115" t="s">
        <v>6419</v>
      </c>
      <c r="C7115">
        <v>21.74</v>
      </c>
      <c r="D7115" t="str">
        <f t="shared" si="238"/>
        <v>270</v>
      </c>
    </row>
    <row r="7116" spans="1:4" x14ac:dyDescent="0.25">
      <c r="A7116" t="str">
        <f>"838944514"</f>
        <v>838944514</v>
      </c>
      <c r="B7116" t="s">
        <v>6420</v>
      </c>
      <c r="C7116">
        <v>35.56</v>
      </c>
      <c r="D7116" t="str">
        <f t="shared" si="238"/>
        <v>270</v>
      </c>
    </row>
    <row r="7117" spans="1:4" x14ac:dyDescent="0.25">
      <c r="A7117" t="str">
        <f>"838944515"</f>
        <v>838944515</v>
      </c>
      <c r="B7117" t="s">
        <v>6421</v>
      </c>
      <c r="C7117">
        <v>35.56</v>
      </c>
      <c r="D7117" t="str">
        <f t="shared" si="238"/>
        <v>270</v>
      </c>
    </row>
    <row r="7118" spans="1:4" x14ac:dyDescent="0.25">
      <c r="A7118" t="str">
        <f>"838944516"</f>
        <v>838944516</v>
      </c>
      <c r="B7118" t="s">
        <v>6422</v>
      </c>
      <c r="C7118">
        <v>56.71</v>
      </c>
      <c r="D7118" t="str">
        <f t="shared" si="238"/>
        <v>270</v>
      </c>
    </row>
    <row r="7119" spans="1:4" x14ac:dyDescent="0.25">
      <c r="A7119" t="str">
        <f>"838944517"</f>
        <v>838944517</v>
      </c>
      <c r="B7119" t="s">
        <v>6423</v>
      </c>
      <c r="C7119">
        <v>56.71</v>
      </c>
      <c r="D7119" t="str">
        <f t="shared" si="238"/>
        <v>270</v>
      </c>
    </row>
    <row r="7120" spans="1:4" x14ac:dyDescent="0.25">
      <c r="A7120" t="str">
        <f>"838944518"</f>
        <v>838944518</v>
      </c>
      <c r="B7120" t="s">
        <v>6424</v>
      </c>
      <c r="C7120">
        <v>8.1199999999999992</v>
      </c>
      <c r="D7120" t="str">
        <f t="shared" si="238"/>
        <v>270</v>
      </c>
    </row>
    <row r="7121" spans="1:4" x14ac:dyDescent="0.25">
      <c r="A7121" t="str">
        <f>"838944519"</f>
        <v>838944519</v>
      </c>
      <c r="B7121" t="s">
        <v>6425</v>
      </c>
      <c r="C7121">
        <v>8.1199999999999992</v>
      </c>
      <c r="D7121" t="str">
        <f t="shared" si="238"/>
        <v>270</v>
      </c>
    </row>
    <row r="7122" spans="1:4" x14ac:dyDescent="0.25">
      <c r="A7122" t="str">
        <f>"838944520"</f>
        <v>838944520</v>
      </c>
      <c r="B7122" t="s">
        <v>6426</v>
      </c>
      <c r="C7122">
        <v>8.2200000000000006</v>
      </c>
      <c r="D7122" t="str">
        <f t="shared" si="238"/>
        <v>270</v>
      </c>
    </row>
    <row r="7123" spans="1:4" x14ac:dyDescent="0.25">
      <c r="A7123" t="str">
        <f>"838944521"</f>
        <v>838944521</v>
      </c>
      <c r="B7123" t="s">
        <v>6427</v>
      </c>
      <c r="C7123">
        <v>8.2200000000000006</v>
      </c>
      <c r="D7123" t="str">
        <f t="shared" si="238"/>
        <v>270</v>
      </c>
    </row>
    <row r="7124" spans="1:4" x14ac:dyDescent="0.25">
      <c r="A7124" t="str">
        <f>"838944522"</f>
        <v>838944522</v>
      </c>
      <c r="B7124" t="s">
        <v>6428</v>
      </c>
      <c r="C7124">
        <v>8.26</v>
      </c>
      <c r="D7124" t="str">
        <f t="shared" si="238"/>
        <v>270</v>
      </c>
    </row>
    <row r="7125" spans="1:4" x14ac:dyDescent="0.25">
      <c r="A7125" t="str">
        <f>"838944523"</f>
        <v>838944523</v>
      </c>
      <c r="B7125" t="s">
        <v>6429</v>
      </c>
      <c r="C7125">
        <v>8.26</v>
      </c>
      <c r="D7125" t="str">
        <f t="shared" si="238"/>
        <v>270</v>
      </c>
    </row>
    <row r="7126" spans="1:4" x14ac:dyDescent="0.25">
      <c r="A7126" t="str">
        <f>"838944524"</f>
        <v>838944524</v>
      </c>
      <c r="B7126" t="s">
        <v>6430</v>
      </c>
      <c r="C7126">
        <v>8.36</v>
      </c>
      <c r="D7126" t="str">
        <f t="shared" si="238"/>
        <v>270</v>
      </c>
    </row>
    <row r="7127" spans="1:4" x14ac:dyDescent="0.25">
      <c r="A7127" t="str">
        <f>"838944525"</f>
        <v>838944525</v>
      </c>
      <c r="B7127" t="s">
        <v>6431</v>
      </c>
      <c r="C7127">
        <v>8.36</v>
      </c>
      <c r="D7127" t="str">
        <f t="shared" si="238"/>
        <v>270</v>
      </c>
    </row>
    <row r="7128" spans="1:4" x14ac:dyDescent="0.25">
      <c r="A7128" t="str">
        <f>"838944526"</f>
        <v>838944526</v>
      </c>
      <c r="B7128" t="s">
        <v>6432</v>
      </c>
      <c r="C7128">
        <v>14.4</v>
      </c>
      <c r="D7128" t="str">
        <f t="shared" si="238"/>
        <v>270</v>
      </c>
    </row>
    <row r="7129" spans="1:4" x14ac:dyDescent="0.25">
      <c r="A7129" t="str">
        <f>"838944527"</f>
        <v>838944527</v>
      </c>
      <c r="B7129" t="s">
        <v>6433</v>
      </c>
      <c r="C7129">
        <v>14.4</v>
      </c>
      <c r="D7129" t="str">
        <f t="shared" si="238"/>
        <v>270</v>
      </c>
    </row>
    <row r="7130" spans="1:4" x14ac:dyDescent="0.25">
      <c r="A7130" t="str">
        <f>"838944528"</f>
        <v>838944528</v>
      </c>
      <c r="B7130" t="s">
        <v>6434</v>
      </c>
      <c r="C7130">
        <v>21.62</v>
      </c>
      <c r="D7130" t="str">
        <f t="shared" si="238"/>
        <v>270</v>
      </c>
    </row>
    <row r="7131" spans="1:4" x14ac:dyDescent="0.25">
      <c r="A7131" t="str">
        <f>"838944529"</f>
        <v>838944529</v>
      </c>
      <c r="B7131" t="s">
        <v>6435</v>
      </c>
      <c r="C7131">
        <v>21.62</v>
      </c>
      <c r="D7131" t="str">
        <f t="shared" si="238"/>
        <v>270</v>
      </c>
    </row>
    <row r="7132" spans="1:4" x14ac:dyDescent="0.25">
      <c r="A7132" t="str">
        <f>"838944530"</f>
        <v>838944530</v>
      </c>
      <c r="B7132" t="s">
        <v>6436</v>
      </c>
      <c r="C7132">
        <v>38.020000000000003</v>
      </c>
      <c r="D7132" t="str">
        <f t="shared" si="238"/>
        <v>270</v>
      </c>
    </row>
    <row r="7133" spans="1:4" x14ac:dyDescent="0.25">
      <c r="A7133" t="str">
        <f>"838944531"</f>
        <v>838944531</v>
      </c>
      <c r="B7133" t="s">
        <v>6437</v>
      </c>
      <c r="C7133">
        <v>38.020000000000003</v>
      </c>
      <c r="D7133" t="str">
        <f t="shared" si="238"/>
        <v>270</v>
      </c>
    </row>
    <row r="7134" spans="1:4" x14ac:dyDescent="0.25">
      <c r="A7134" t="str">
        <f>"838944532"</f>
        <v>838944532</v>
      </c>
      <c r="B7134" t="s">
        <v>6438</v>
      </c>
      <c r="C7134">
        <v>37.979999999999997</v>
      </c>
      <c r="D7134" t="str">
        <f t="shared" si="238"/>
        <v>270</v>
      </c>
    </row>
    <row r="7135" spans="1:4" x14ac:dyDescent="0.25">
      <c r="A7135" t="str">
        <f>"838944533"</f>
        <v>838944533</v>
      </c>
      <c r="B7135" t="s">
        <v>6439</v>
      </c>
      <c r="C7135">
        <v>37.979999999999997</v>
      </c>
      <c r="D7135" t="str">
        <f t="shared" si="238"/>
        <v>270</v>
      </c>
    </row>
    <row r="7136" spans="1:4" x14ac:dyDescent="0.25">
      <c r="A7136" t="str">
        <f>"838944534"</f>
        <v>838944534</v>
      </c>
      <c r="B7136" t="s">
        <v>6440</v>
      </c>
      <c r="C7136">
        <v>39.049999999999997</v>
      </c>
      <c r="D7136" t="str">
        <f t="shared" si="238"/>
        <v>270</v>
      </c>
    </row>
    <row r="7137" spans="1:4" x14ac:dyDescent="0.25">
      <c r="A7137" t="str">
        <f>"838944535"</f>
        <v>838944535</v>
      </c>
      <c r="B7137" t="s">
        <v>6441</v>
      </c>
      <c r="C7137">
        <v>39.049999999999997</v>
      </c>
      <c r="D7137" t="str">
        <f t="shared" si="238"/>
        <v>270</v>
      </c>
    </row>
    <row r="7138" spans="1:4" x14ac:dyDescent="0.25">
      <c r="A7138" t="str">
        <f>"838944536"</f>
        <v>838944536</v>
      </c>
      <c r="B7138" t="s">
        <v>6442</v>
      </c>
      <c r="C7138">
        <v>40.68</v>
      </c>
      <c r="D7138" t="str">
        <f t="shared" si="238"/>
        <v>270</v>
      </c>
    </row>
    <row r="7139" spans="1:4" x14ac:dyDescent="0.25">
      <c r="A7139" t="str">
        <f>"838944537"</f>
        <v>838944537</v>
      </c>
      <c r="B7139" t="s">
        <v>6443</v>
      </c>
      <c r="C7139">
        <v>40.68</v>
      </c>
      <c r="D7139" t="str">
        <f t="shared" si="238"/>
        <v>270</v>
      </c>
    </row>
    <row r="7140" spans="1:4" x14ac:dyDescent="0.25">
      <c r="A7140" t="str">
        <f>"838944538"</f>
        <v>838944538</v>
      </c>
      <c r="B7140" t="s">
        <v>6444</v>
      </c>
      <c r="C7140">
        <v>38.020000000000003</v>
      </c>
      <c r="D7140" t="str">
        <f t="shared" si="238"/>
        <v>270</v>
      </c>
    </row>
    <row r="7141" spans="1:4" x14ac:dyDescent="0.25">
      <c r="A7141" t="str">
        <f>"838944539"</f>
        <v>838944539</v>
      </c>
      <c r="B7141" t="s">
        <v>6445</v>
      </c>
      <c r="C7141">
        <v>38.020000000000003</v>
      </c>
      <c r="D7141" t="str">
        <f t="shared" si="238"/>
        <v>270</v>
      </c>
    </row>
    <row r="7142" spans="1:4" x14ac:dyDescent="0.25">
      <c r="A7142" t="str">
        <f>"838944540"</f>
        <v>838944540</v>
      </c>
      <c r="B7142" t="s">
        <v>6446</v>
      </c>
      <c r="C7142">
        <v>38.619999999999997</v>
      </c>
      <c r="D7142" t="str">
        <f t="shared" si="238"/>
        <v>270</v>
      </c>
    </row>
    <row r="7143" spans="1:4" x14ac:dyDescent="0.25">
      <c r="A7143" t="str">
        <f>"838944541"</f>
        <v>838944541</v>
      </c>
      <c r="B7143" t="s">
        <v>6447</v>
      </c>
      <c r="C7143">
        <v>38.619999999999997</v>
      </c>
      <c r="D7143" t="str">
        <f t="shared" si="238"/>
        <v>270</v>
      </c>
    </row>
    <row r="7144" spans="1:4" x14ac:dyDescent="0.25">
      <c r="A7144" t="str">
        <f>"838944542"</f>
        <v>838944542</v>
      </c>
      <c r="B7144" t="s">
        <v>6448</v>
      </c>
      <c r="C7144">
        <v>39.380000000000003</v>
      </c>
      <c r="D7144" t="str">
        <f t="shared" si="238"/>
        <v>270</v>
      </c>
    </row>
    <row r="7145" spans="1:4" x14ac:dyDescent="0.25">
      <c r="A7145" t="str">
        <f>"838944543"</f>
        <v>838944543</v>
      </c>
      <c r="B7145" t="s">
        <v>6449</v>
      </c>
      <c r="C7145">
        <v>39.380000000000003</v>
      </c>
      <c r="D7145" t="str">
        <f t="shared" si="238"/>
        <v>270</v>
      </c>
    </row>
    <row r="7146" spans="1:4" x14ac:dyDescent="0.25">
      <c r="A7146" t="str">
        <f>"838944544"</f>
        <v>838944544</v>
      </c>
      <c r="B7146" t="s">
        <v>6450</v>
      </c>
      <c r="C7146">
        <v>40.68</v>
      </c>
      <c r="D7146" t="str">
        <f t="shared" si="238"/>
        <v>270</v>
      </c>
    </row>
    <row r="7147" spans="1:4" x14ac:dyDescent="0.25">
      <c r="A7147" t="str">
        <f>"838944545"</f>
        <v>838944545</v>
      </c>
      <c r="B7147" t="s">
        <v>6451</v>
      </c>
      <c r="C7147">
        <v>40.68</v>
      </c>
      <c r="D7147" t="str">
        <f t="shared" si="238"/>
        <v>270</v>
      </c>
    </row>
    <row r="7148" spans="1:4" x14ac:dyDescent="0.25">
      <c r="A7148" t="str">
        <f>"838944546"</f>
        <v>838944546</v>
      </c>
      <c r="B7148" t="s">
        <v>6452</v>
      </c>
      <c r="C7148">
        <v>12.47</v>
      </c>
      <c r="D7148" t="str">
        <f t="shared" si="238"/>
        <v>270</v>
      </c>
    </row>
    <row r="7149" spans="1:4" x14ac:dyDescent="0.25">
      <c r="A7149" t="str">
        <f>"838944547"</f>
        <v>838944547</v>
      </c>
      <c r="B7149" t="s">
        <v>6453</v>
      </c>
      <c r="C7149">
        <v>12.47</v>
      </c>
      <c r="D7149" t="str">
        <f t="shared" si="238"/>
        <v>270</v>
      </c>
    </row>
    <row r="7150" spans="1:4" x14ac:dyDescent="0.25">
      <c r="A7150" t="str">
        <f>"838944548"</f>
        <v>838944548</v>
      </c>
      <c r="B7150" t="s">
        <v>6454</v>
      </c>
      <c r="C7150">
        <v>12.6</v>
      </c>
      <c r="D7150" t="str">
        <f t="shared" si="238"/>
        <v>270</v>
      </c>
    </row>
    <row r="7151" spans="1:4" x14ac:dyDescent="0.25">
      <c r="A7151" t="str">
        <f>"838944549"</f>
        <v>838944549</v>
      </c>
      <c r="B7151" t="s">
        <v>6455</v>
      </c>
      <c r="C7151">
        <v>12.6</v>
      </c>
      <c r="D7151" t="str">
        <f t="shared" si="238"/>
        <v>270</v>
      </c>
    </row>
    <row r="7152" spans="1:4" x14ac:dyDescent="0.25">
      <c r="A7152" t="str">
        <f>"838944550"</f>
        <v>838944550</v>
      </c>
      <c r="B7152" t="s">
        <v>6456</v>
      </c>
      <c r="C7152">
        <v>22.1</v>
      </c>
      <c r="D7152" t="str">
        <f t="shared" si="238"/>
        <v>270</v>
      </c>
    </row>
    <row r="7153" spans="1:4" x14ac:dyDescent="0.25">
      <c r="A7153" t="str">
        <f>"838944551"</f>
        <v>838944551</v>
      </c>
      <c r="B7153" t="s">
        <v>6457</v>
      </c>
      <c r="C7153">
        <v>22.1</v>
      </c>
      <c r="D7153" t="str">
        <f t="shared" si="238"/>
        <v>270</v>
      </c>
    </row>
    <row r="7154" spans="1:4" x14ac:dyDescent="0.25">
      <c r="A7154" t="str">
        <f>"838944552"</f>
        <v>838944552</v>
      </c>
      <c r="B7154" t="s">
        <v>6458</v>
      </c>
      <c r="C7154">
        <v>21.96</v>
      </c>
      <c r="D7154" t="str">
        <f t="shared" si="238"/>
        <v>270</v>
      </c>
    </row>
    <row r="7155" spans="1:4" x14ac:dyDescent="0.25">
      <c r="A7155" t="str">
        <f>"838944553"</f>
        <v>838944553</v>
      </c>
      <c r="B7155" t="s">
        <v>6459</v>
      </c>
      <c r="C7155">
        <v>21.96</v>
      </c>
      <c r="D7155" t="str">
        <f t="shared" si="238"/>
        <v>270</v>
      </c>
    </row>
    <row r="7156" spans="1:4" x14ac:dyDescent="0.25">
      <c r="A7156" t="str">
        <f>"838944554"</f>
        <v>838944554</v>
      </c>
      <c r="B7156" t="s">
        <v>6460</v>
      </c>
      <c r="C7156">
        <v>17.36</v>
      </c>
      <c r="D7156" t="str">
        <f t="shared" si="238"/>
        <v>270</v>
      </c>
    </row>
    <row r="7157" spans="1:4" x14ac:dyDescent="0.25">
      <c r="A7157" t="str">
        <f>"838944555"</f>
        <v>838944555</v>
      </c>
      <c r="B7157" t="s">
        <v>6461</v>
      </c>
      <c r="C7157">
        <v>17.36</v>
      </c>
      <c r="D7157" t="str">
        <f t="shared" si="238"/>
        <v>270</v>
      </c>
    </row>
    <row r="7158" spans="1:4" x14ac:dyDescent="0.25">
      <c r="A7158" t="str">
        <f>"838944556"</f>
        <v>838944556</v>
      </c>
      <c r="B7158" t="s">
        <v>6462</v>
      </c>
      <c r="C7158">
        <v>8.01</v>
      </c>
      <c r="D7158" t="str">
        <f t="shared" si="238"/>
        <v>270</v>
      </c>
    </row>
    <row r="7159" spans="1:4" x14ac:dyDescent="0.25">
      <c r="A7159" t="str">
        <f>"838944557"</f>
        <v>838944557</v>
      </c>
      <c r="B7159" t="s">
        <v>6463</v>
      </c>
      <c r="C7159">
        <v>8.01</v>
      </c>
      <c r="D7159" t="str">
        <f t="shared" si="238"/>
        <v>270</v>
      </c>
    </row>
    <row r="7160" spans="1:4" x14ac:dyDescent="0.25">
      <c r="A7160" t="str">
        <f>"838944558"</f>
        <v>838944558</v>
      </c>
      <c r="B7160" t="s">
        <v>6464</v>
      </c>
      <c r="C7160">
        <v>8.0399999999999991</v>
      </c>
      <c r="D7160" t="str">
        <f t="shared" si="238"/>
        <v>270</v>
      </c>
    </row>
    <row r="7161" spans="1:4" x14ac:dyDescent="0.25">
      <c r="A7161" t="str">
        <f>"838944559"</f>
        <v>838944559</v>
      </c>
      <c r="B7161" t="s">
        <v>6465</v>
      </c>
      <c r="C7161">
        <v>8.0399999999999991</v>
      </c>
      <c r="D7161" t="str">
        <f t="shared" si="238"/>
        <v>270</v>
      </c>
    </row>
    <row r="7162" spans="1:4" x14ac:dyDescent="0.25">
      <c r="A7162" t="str">
        <f>"838944560"</f>
        <v>838944560</v>
      </c>
      <c r="B7162" t="s">
        <v>6466</v>
      </c>
      <c r="C7162">
        <v>7.9</v>
      </c>
      <c r="D7162" t="str">
        <f t="shared" si="238"/>
        <v>270</v>
      </c>
    </row>
    <row r="7163" spans="1:4" x14ac:dyDescent="0.25">
      <c r="A7163" t="str">
        <f>"838944561"</f>
        <v>838944561</v>
      </c>
      <c r="B7163" t="s">
        <v>6467</v>
      </c>
      <c r="C7163">
        <v>7.9</v>
      </c>
      <c r="D7163" t="str">
        <f t="shared" ref="D7163:D7226" si="239">"270"</f>
        <v>270</v>
      </c>
    </row>
    <row r="7164" spans="1:4" x14ac:dyDescent="0.25">
      <c r="A7164" t="str">
        <f>"838944562"</f>
        <v>838944562</v>
      </c>
      <c r="B7164" t="s">
        <v>6468</v>
      </c>
      <c r="C7164">
        <v>8.23</v>
      </c>
      <c r="D7164" t="str">
        <f t="shared" si="239"/>
        <v>270</v>
      </c>
    </row>
    <row r="7165" spans="1:4" x14ac:dyDescent="0.25">
      <c r="A7165" t="str">
        <f>"838944563"</f>
        <v>838944563</v>
      </c>
      <c r="B7165" t="s">
        <v>6469</v>
      </c>
      <c r="C7165">
        <v>8.23</v>
      </c>
      <c r="D7165" t="str">
        <f t="shared" si="239"/>
        <v>270</v>
      </c>
    </row>
    <row r="7166" spans="1:4" x14ac:dyDescent="0.25">
      <c r="A7166" t="str">
        <f>"838944564"</f>
        <v>838944564</v>
      </c>
      <c r="B7166" t="s">
        <v>6470</v>
      </c>
      <c r="C7166">
        <v>8.06</v>
      </c>
      <c r="D7166" t="str">
        <f t="shared" si="239"/>
        <v>270</v>
      </c>
    </row>
    <row r="7167" spans="1:4" x14ac:dyDescent="0.25">
      <c r="A7167" t="str">
        <f>"838944565"</f>
        <v>838944565</v>
      </c>
      <c r="B7167" t="s">
        <v>6471</v>
      </c>
      <c r="C7167">
        <v>8.06</v>
      </c>
      <c r="D7167" t="str">
        <f t="shared" si="239"/>
        <v>270</v>
      </c>
    </row>
    <row r="7168" spans="1:4" x14ac:dyDescent="0.25">
      <c r="A7168" t="str">
        <f>"838944566"</f>
        <v>838944566</v>
      </c>
      <c r="B7168" t="s">
        <v>6472</v>
      </c>
      <c r="C7168">
        <v>8.1999999999999993</v>
      </c>
      <c r="D7168" t="str">
        <f t="shared" si="239"/>
        <v>270</v>
      </c>
    </row>
    <row r="7169" spans="1:4" x14ac:dyDescent="0.25">
      <c r="A7169" t="str">
        <f>"838944567"</f>
        <v>838944567</v>
      </c>
      <c r="B7169" t="s">
        <v>6473</v>
      </c>
      <c r="C7169">
        <v>8.1999999999999993</v>
      </c>
      <c r="D7169" t="str">
        <f t="shared" si="239"/>
        <v>270</v>
      </c>
    </row>
    <row r="7170" spans="1:4" x14ac:dyDescent="0.25">
      <c r="A7170" t="str">
        <f>"838944568"</f>
        <v>838944568</v>
      </c>
      <c r="B7170" t="s">
        <v>6474</v>
      </c>
      <c r="C7170">
        <v>8.15</v>
      </c>
      <c r="D7170" t="str">
        <f t="shared" si="239"/>
        <v>270</v>
      </c>
    </row>
    <row r="7171" spans="1:4" x14ac:dyDescent="0.25">
      <c r="A7171" t="str">
        <f>"838944569"</f>
        <v>838944569</v>
      </c>
      <c r="B7171" t="s">
        <v>6475</v>
      </c>
      <c r="C7171">
        <v>8.15</v>
      </c>
      <c r="D7171" t="str">
        <f t="shared" si="239"/>
        <v>270</v>
      </c>
    </row>
    <row r="7172" spans="1:4" x14ac:dyDescent="0.25">
      <c r="A7172" t="str">
        <f>"838944570"</f>
        <v>838944570</v>
      </c>
      <c r="B7172" t="s">
        <v>6476</v>
      </c>
      <c r="C7172">
        <v>8.26</v>
      </c>
      <c r="D7172" t="str">
        <f t="shared" si="239"/>
        <v>270</v>
      </c>
    </row>
    <row r="7173" spans="1:4" x14ac:dyDescent="0.25">
      <c r="A7173" t="str">
        <f>"838944571"</f>
        <v>838944571</v>
      </c>
      <c r="B7173" t="s">
        <v>6477</v>
      </c>
      <c r="C7173">
        <v>8.26</v>
      </c>
      <c r="D7173" t="str">
        <f t="shared" si="239"/>
        <v>270</v>
      </c>
    </row>
    <row r="7174" spans="1:4" x14ac:dyDescent="0.25">
      <c r="A7174" t="str">
        <f>"838944572"</f>
        <v>838944572</v>
      </c>
      <c r="B7174" t="s">
        <v>6478</v>
      </c>
      <c r="C7174">
        <v>87.98</v>
      </c>
      <c r="D7174" t="str">
        <f t="shared" si="239"/>
        <v>270</v>
      </c>
    </row>
    <row r="7175" spans="1:4" x14ac:dyDescent="0.25">
      <c r="A7175" t="str">
        <f>"838944573"</f>
        <v>838944573</v>
      </c>
      <c r="B7175" t="s">
        <v>6479</v>
      </c>
      <c r="C7175">
        <v>87.98</v>
      </c>
      <c r="D7175" t="str">
        <f t="shared" si="239"/>
        <v>270</v>
      </c>
    </row>
    <row r="7176" spans="1:4" x14ac:dyDescent="0.25">
      <c r="A7176" t="str">
        <f>"838944574"</f>
        <v>838944574</v>
      </c>
      <c r="B7176" t="s">
        <v>6480</v>
      </c>
      <c r="C7176">
        <v>89.69</v>
      </c>
      <c r="D7176" t="str">
        <f t="shared" si="239"/>
        <v>270</v>
      </c>
    </row>
    <row r="7177" spans="1:4" x14ac:dyDescent="0.25">
      <c r="A7177" t="str">
        <f>"838944575"</f>
        <v>838944575</v>
      </c>
      <c r="B7177" t="s">
        <v>6481</v>
      </c>
      <c r="C7177">
        <v>89.69</v>
      </c>
      <c r="D7177" t="str">
        <f t="shared" si="239"/>
        <v>270</v>
      </c>
    </row>
    <row r="7178" spans="1:4" x14ac:dyDescent="0.25">
      <c r="A7178" t="str">
        <f>"838944576"</f>
        <v>838944576</v>
      </c>
      <c r="B7178" t="s">
        <v>6482</v>
      </c>
      <c r="C7178">
        <v>8.34</v>
      </c>
      <c r="D7178" t="str">
        <f t="shared" si="239"/>
        <v>270</v>
      </c>
    </row>
    <row r="7179" spans="1:4" x14ac:dyDescent="0.25">
      <c r="A7179" t="str">
        <f>"838944577"</f>
        <v>838944577</v>
      </c>
      <c r="B7179" t="s">
        <v>6483</v>
      </c>
      <c r="C7179">
        <v>8.34</v>
      </c>
      <c r="D7179" t="str">
        <f t="shared" si="239"/>
        <v>270</v>
      </c>
    </row>
    <row r="7180" spans="1:4" x14ac:dyDescent="0.25">
      <c r="A7180" t="str">
        <f>"838944578"</f>
        <v>838944578</v>
      </c>
      <c r="B7180" t="s">
        <v>6484</v>
      </c>
      <c r="C7180">
        <v>8.31</v>
      </c>
      <c r="D7180" t="str">
        <f t="shared" si="239"/>
        <v>270</v>
      </c>
    </row>
    <row r="7181" spans="1:4" x14ac:dyDescent="0.25">
      <c r="A7181" t="str">
        <f>"838944579"</f>
        <v>838944579</v>
      </c>
      <c r="B7181" t="s">
        <v>6485</v>
      </c>
      <c r="C7181">
        <v>8.31</v>
      </c>
      <c r="D7181" t="str">
        <f t="shared" si="239"/>
        <v>270</v>
      </c>
    </row>
    <row r="7182" spans="1:4" x14ac:dyDescent="0.25">
      <c r="A7182" t="str">
        <f>"838944580"</f>
        <v>838944580</v>
      </c>
      <c r="B7182" t="s">
        <v>6486</v>
      </c>
      <c r="C7182">
        <v>8.1300000000000008</v>
      </c>
      <c r="D7182" t="str">
        <f t="shared" si="239"/>
        <v>270</v>
      </c>
    </row>
    <row r="7183" spans="1:4" x14ac:dyDescent="0.25">
      <c r="A7183" t="str">
        <f>"838944581"</f>
        <v>838944581</v>
      </c>
      <c r="B7183" t="s">
        <v>6487</v>
      </c>
      <c r="C7183">
        <v>8.1300000000000008</v>
      </c>
      <c r="D7183" t="str">
        <f t="shared" si="239"/>
        <v>270</v>
      </c>
    </row>
    <row r="7184" spans="1:4" x14ac:dyDescent="0.25">
      <c r="A7184" t="str">
        <f>"838944582"</f>
        <v>838944582</v>
      </c>
      <c r="B7184" t="s">
        <v>6488</v>
      </c>
      <c r="C7184">
        <v>8.17</v>
      </c>
      <c r="D7184" t="str">
        <f t="shared" si="239"/>
        <v>270</v>
      </c>
    </row>
    <row r="7185" spans="1:4" x14ac:dyDescent="0.25">
      <c r="A7185" t="str">
        <f>"838944583"</f>
        <v>838944583</v>
      </c>
      <c r="B7185" t="s">
        <v>6488</v>
      </c>
      <c r="C7185">
        <v>8.17</v>
      </c>
      <c r="D7185" t="str">
        <f t="shared" si="239"/>
        <v>270</v>
      </c>
    </row>
    <row r="7186" spans="1:4" x14ac:dyDescent="0.25">
      <c r="A7186" t="str">
        <f>"838944584"</f>
        <v>838944584</v>
      </c>
      <c r="B7186" t="s">
        <v>6489</v>
      </c>
      <c r="C7186">
        <v>9.35</v>
      </c>
      <c r="D7186" t="str">
        <f t="shared" si="239"/>
        <v>270</v>
      </c>
    </row>
    <row r="7187" spans="1:4" x14ac:dyDescent="0.25">
      <c r="A7187" t="str">
        <f>"838944585"</f>
        <v>838944585</v>
      </c>
      <c r="B7187" t="s">
        <v>6490</v>
      </c>
      <c r="C7187">
        <v>9.35</v>
      </c>
      <c r="D7187" t="str">
        <f t="shared" si="239"/>
        <v>270</v>
      </c>
    </row>
    <row r="7188" spans="1:4" x14ac:dyDescent="0.25">
      <c r="A7188" t="str">
        <f>"838944586"</f>
        <v>838944586</v>
      </c>
      <c r="B7188" t="s">
        <v>6491</v>
      </c>
      <c r="C7188">
        <v>9.3800000000000008</v>
      </c>
      <c r="D7188" t="str">
        <f t="shared" si="239"/>
        <v>270</v>
      </c>
    </row>
    <row r="7189" spans="1:4" x14ac:dyDescent="0.25">
      <c r="A7189" t="str">
        <f>"838944587"</f>
        <v>838944587</v>
      </c>
      <c r="B7189" t="s">
        <v>6491</v>
      </c>
      <c r="C7189">
        <v>9.3800000000000008</v>
      </c>
      <c r="D7189" t="str">
        <f t="shared" si="239"/>
        <v>270</v>
      </c>
    </row>
    <row r="7190" spans="1:4" x14ac:dyDescent="0.25">
      <c r="A7190" t="str">
        <f>"838944588"</f>
        <v>838944588</v>
      </c>
      <c r="B7190" t="s">
        <v>6492</v>
      </c>
      <c r="C7190">
        <v>9.4700000000000006</v>
      </c>
      <c r="D7190" t="str">
        <f t="shared" si="239"/>
        <v>270</v>
      </c>
    </row>
    <row r="7191" spans="1:4" x14ac:dyDescent="0.25">
      <c r="A7191" t="str">
        <f>"838944589"</f>
        <v>838944589</v>
      </c>
      <c r="B7191" t="s">
        <v>6493</v>
      </c>
      <c r="C7191">
        <v>9.4700000000000006</v>
      </c>
      <c r="D7191" t="str">
        <f t="shared" si="239"/>
        <v>270</v>
      </c>
    </row>
    <row r="7192" spans="1:4" x14ac:dyDescent="0.25">
      <c r="A7192" t="str">
        <f>"838944590"</f>
        <v>838944590</v>
      </c>
      <c r="B7192" t="s">
        <v>6494</v>
      </c>
      <c r="C7192">
        <v>9.74</v>
      </c>
      <c r="D7192" t="str">
        <f t="shared" si="239"/>
        <v>270</v>
      </c>
    </row>
    <row r="7193" spans="1:4" x14ac:dyDescent="0.25">
      <c r="A7193" t="str">
        <f>"838944591"</f>
        <v>838944591</v>
      </c>
      <c r="B7193" t="s">
        <v>6495</v>
      </c>
      <c r="C7193">
        <v>9.74</v>
      </c>
      <c r="D7193" t="str">
        <f t="shared" si="239"/>
        <v>270</v>
      </c>
    </row>
    <row r="7194" spans="1:4" x14ac:dyDescent="0.25">
      <c r="A7194" t="str">
        <f>"838944592"</f>
        <v>838944592</v>
      </c>
      <c r="B7194" t="s">
        <v>6496</v>
      </c>
      <c r="C7194">
        <v>70.25</v>
      </c>
      <c r="D7194" t="str">
        <f t="shared" si="239"/>
        <v>270</v>
      </c>
    </row>
    <row r="7195" spans="1:4" x14ac:dyDescent="0.25">
      <c r="A7195" t="str">
        <f>"838944593"</f>
        <v>838944593</v>
      </c>
      <c r="B7195" t="s">
        <v>6497</v>
      </c>
      <c r="C7195">
        <v>70.25</v>
      </c>
      <c r="D7195" t="str">
        <f t="shared" si="239"/>
        <v>270</v>
      </c>
    </row>
    <row r="7196" spans="1:4" x14ac:dyDescent="0.25">
      <c r="A7196" t="str">
        <f>"838944594"</f>
        <v>838944594</v>
      </c>
      <c r="B7196" t="s">
        <v>6498</v>
      </c>
      <c r="C7196">
        <v>70.25</v>
      </c>
      <c r="D7196" t="str">
        <f t="shared" si="239"/>
        <v>270</v>
      </c>
    </row>
    <row r="7197" spans="1:4" x14ac:dyDescent="0.25">
      <c r="A7197" t="str">
        <f>"838944595"</f>
        <v>838944595</v>
      </c>
      <c r="B7197" t="s">
        <v>6499</v>
      </c>
      <c r="C7197">
        <v>70.25</v>
      </c>
      <c r="D7197" t="str">
        <f t="shared" si="239"/>
        <v>270</v>
      </c>
    </row>
    <row r="7198" spans="1:4" x14ac:dyDescent="0.25">
      <c r="A7198" t="str">
        <f>"838944596"</f>
        <v>838944596</v>
      </c>
      <c r="B7198" t="s">
        <v>6500</v>
      </c>
      <c r="C7198">
        <v>68.849999999999994</v>
      </c>
      <c r="D7198" t="str">
        <f t="shared" si="239"/>
        <v>270</v>
      </c>
    </row>
    <row r="7199" spans="1:4" x14ac:dyDescent="0.25">
      <c r="A7199" t="str">
        <f>"838944597"</f>
        <v>838944597</v>
      </c>
      <c r="B7199" t="s">
        <v>6501</v>
      </c>
      <c r="C7199">
        <v>68.849999999999994</v>
      </c>
      <c r="D7199" t="str">
        <f t="shared" si="239"/>
        <v>270</v>
      </c>
    </row>
    <row r="7200" spans="1:4" x14ac:dyDescent="0.25">
      <c r="A7200" t="str">
        <f>"838944598"</f>
        <v>838944598</v>
      </c>
      <c r="B7200" t="s">
        <v>6502</v>
      </c>
      <c r="C7200">
        <v>70.72</v>
      </c>
      <c r="D7200" t="str">
        <f t="shared" si="239"/>
        <v>270</v>
      </c>
    </row>
    <row r="7201" spans="1:4" x14ac:dyDescent="0.25">
      <c r="A7201" t="str">
        <f>"838944599"</f>
        <v>838944599</v>
      </c>
      <c r="B7201" t="s">
        <v>6503</v>
      </c>
      <c r="C7201">
        <v>70.72</v>
      </c>
      <c r="D7201" t="str">
        <f t="shared" si="239"/>
        <v>270</v>
      </c>
    </row>
    <row r="7202" spans="1:4" x14ac:dyDescent="0.25">
      <c r="A7202" t="str">
        <f>"838944600"</f>
        <v>838944600</v>
      </c>
      <c r="B7202" t="s">
        <v>6504</v>
      </c>
      <c r="C7202">
        <v>70.180000000000007</v>
      </c>
      <c r="D7202" t="str">
        <f t="shared" si="239"/>
        <v>270</v>
      </c>
    </row>
    <row r="7203" spans="1:4" x14ac:dyDescent="0.25">
      <c r="A7203" t="str">
        <f>"838944601"</f>
        <v>838944601</v>
      </c>
      <c r="B7203" t="s">
        <v>6505</v>
      </c>
      <c r="C7203">
        <v>70.180000000000007</v>
      </c>
      <c r="D7203" t="str">
        <f t="shared" si="239"/>
        <v>270</v>
      </c>
    </row>
    <row r="7204" spans="1:4" x14ac:dyDescent="0.25">
      <c r="A7204" t="str">
        <f>"838944602"</f>
        <v>838944602</v>
      </c>
      <c r="B7204" t="s">
        <v>6506</v>
      </c>
      <c r="C7204">
        <v>70.87</v>
      </c>
      <c r="D7204" t="str">
        <f t="shared" si="239"/>
        <v>270</v>
      </c>
    </row>
    <row r="7205" spans="1:4" x14ac:dyDescent="0.25">
      <c r="A7205" t="str">
        <f>"838944603"</f>
        <v>838944603</v>
      </c>
      <c r="B7205" t="s">
        <v>6507</v>
      </c>
      <c r="C7205">
        <v>70.87</v>
      </c>
      <c r="D7205" t="str">
        <f t="shared" si="239"/>
        <v>270</v>
      </c>
    </row>
    <row r="7206" spans="1:4" x14ac:dyDescent="0.25">
      <c r="A7206" t="str">
        <f>"838944604"</f>
        <v>838944604</v>
      </c>
      <c r="B7206" t="s">
        <v>6508</v>
      </c>
      <c r="C7206">
        <v>10.02</v>
      </c>
      <c r="D7206" t="str">
        <f t="shared" si="239"/>
        <v>270</v>
      </c>
    </row>
    <row r="7207" spans="1:4" x14ac:dyDescent="0.25">
      <c r="A7207" t="str">
        <f>"838944605"</f>
        <v>838944605</v>
      </c>
      <c r="B7207" t="s">
        <v>6509</v>
      </c>
      <c r="C7207">
        <v>10.02</v>
      </c>
      <c r="D7207" t="str">
        <f t="shared" si="239"/>
        <v>270</v>
      </c>
    </row>
    <row r="7208" spans="1:4" x14ac:dyDescent="0.25">
      <c r="A7208" t="str">
        <f>"838944606"</f>
        <v>838944606</v>
      </c>
      <c r="B7208" t="s">
        <v>6510</v>
      </c>
      <c r="C7208">
        <v>10.039999999999999</v>
      </c>
      <c r="D7208" t="str">
        <f t="shared" si="239"/>
        <v>270</v>
      </c>
    </row>
    <row r="7209" spans="1:4" x14ac:dyDescent="0.25">
      <c r="A7209" t="str">
        <f>"838944607"</f>
        <v>838944607</v>
      </c>
      <c r="B7209" t="s">
        <v>6511</v>
      </c>
      <c r="C7209">
        <v>10.039999999999999</v>
      </c>
      <c r="D7209" t="str">
        <f t="shared" si="239"/>
        <v>270</v>
      </c>
    </row>
    <row r="7210" spans="1:4" x14ac:dyDescent="0.25">
      <c r="A7210" t="str">
        <f>"838944608"</f>
        <v>838944608</v>
      </c>
      <c r="B7210" t="s">
        <v>6512</v>
      </c>
      <c r="C7210">
        <v>9.8800000000000008</v>
      </c>
      <c r="D7210" t="str">
        <f t="shared" si="239"/>
        <v>270</v>
      </c>
    </row>
    <row r="7211" spans="1:4" x14ac:dyDescent="0.25">
      <c r="A7211" t="str">
        <f>"838944609"</f>
        <v>838944609</v>
      </c>
      <c r="B7211" t="s">
        <v>6513</v>
      </c>
      <c r="C7211">
        <v>9.8800000000000008</v>
      </c>
      <c r="D7211" t="str">
        <f t="shared" si="239"/>
        <v>270</v>
      </c>
    </row>
    <row r="7212" spans="1:4" x14ac:dyDescent="0.25">
      <c r="A7212" t="str">
        <f>"838944610"</f>
        <v>838944610</v>
      </c>
      <c r="B7212" t="s">
        <v>6514</v>
      </c>
      <c r="C7212">
        <v>10.29</v>
      </c>
      <c r="D7212" t="str">
        <f t="shared" si="239"/>
        <v>270</v>
      </c>
    </row>
    <row r="7213" spans="1:4" x14ac:dyDescent="0.25">
      <c r="A7213" t="str">
        <f>"838944611"</f>
        <v>838944611</v>
      </c>
      <c r="B7213" t="s">
        <v>6515</v>
      </c>
      <c r="C7213">
        <v>10.29</v>
      </c>
      <c r="D7213" t="str">
        <f t="shared" si="239"/>
        <v>270</v>
      </c>
    </row>
    <row r="7214" spans="1:4" x14ac:dyDescent="0.25">
      <c r="A7214" t="str">
        <f>"838944612"</f>
        <v>838944612</v>
      </c>
      <c r="B7214" t="s">
        <v>6516</v>
      </c>
      <c r="C7214">
        <v>123.42</v>
      </c>
      <c r="D7214" t="str">
        <f t="shared" si="239"/>
        <v>270</v>
      </c>
    </row>
    <row r="7215" spans="1:4" x14ac:dyDescent="0.25">
      <c r="A7215" t="str">
        <f>"838944613"</f>
        <v>838944613</v>
      </c>
      <c r="B7215" t="s">
        <v>6516</v>
      </c>
      <c r="C7215">
        <v>123.42</v>
      </c>
      <c r="D7215" t="str">
        <f t="shared" si="239"/>
        <v>270</v>
      </c>
    </row>
    <row r="7216" spans="1:4" x14ac:dyDescent="0.25">
      <c r="A7216" t="str">
        <f>"838944614"</f>
        <v>838944614</v>
      </c>
      <c r="B7216" t="s">
        <v>6517</v>
      </c>
      <c r="C7216">
        <v>10.42</v>
      </c>
      <c r="D7216" t="str">
        <f t="shared" si="239"/>
        <v>270</v>
      </c>
    </row>
    <row r="7217" spans="1:4" x14ac:dyDescent="0.25">
      <c r="A7217" t="str">
        <f>"838944615"</f>
        <v>838944615</v>
      </c>
      <c r="B7217" t="s">
        <v>6518</v>
      </c>
      <c r="C7217">
        <v>10.42</v>
      </c>
      <c r="D7217" t="str">
        <f t="shared" si="239"/>
        <v>270</v>
      </c>
    </row>
    <row r="7218" spans="1:4" x14ac:dyDescent="0.25">
      <c r="A7218" t="str">
        <f>"838944616"</f>
        <v>838944616</v>
      </c>
      <c r="B7218" t="s">
        <v>6519</v>
      </c>
      <c r="C7218">
        <v>124.96</v>
      </c>
      <c r="D7218" t="str">
        <f t="shared" si="239"/>
        <v>270</v>
      </c>
    </row>
    <row r="7219" spans="1:4" x14ac:dyDescent="0.25">
      <c r="A7219" t="str">
        <f>"838944617"</f>
        <v>838944617</v>
      </c>
      <c r="B7219" t="s">
        <v>6519</v>
      </c>
      <c r="C7219">
        <v>124.96</v>
      </c>
      <c r="D7219" t="str">
        <f t="shared" si="239"/>
        <v>270</v>
      </c>
    </row>
    <row r="7220" spans="1:4" x14ac:dyDescent="0.25">
      <c r="A7220" t="str">
        <f>"838944618"</f>
        <v>838944618</v>
      </c>
      <c r="B7220" t="s">
        <v>6520</v>
      </c>
      <c r="C7220">
        <v>10.38</v>
      </c>
      <c r="D7220" t="str">
        <f t="shared" si="239"/>
        <v>270</v>
      </c>
    </row>
    <row r="7221" spans="1:4" x14ac:dyDescent="0.25">
      <c r="A7221" t="str">
        <f>"838944619"</f>
        <v>838944619</v>
      </c>
      <c r="B7221" t="s">
        <v>6520</v>
      </c>
      <c r="C7221">
        <v>10.38</v>
      </c>
      <c r="D7221" t="str">
        <f t="shared" si="239"/>
        <v>270</v>
      </c>
    </row>
    <row r="7222" spans="1:4" x14ac:dyDescent="0.25">
      <c r="A7222" t="str">
        <f>"838944620"</f>
        <v>838944620</v>
      </c>
      <c r="B7222" t="s">
        <v>6521</v>
      </c>
      <c r="C7222">
        <v>55.72</v>
      </c>
      <c r="D7222" t="str">
        <f t="shared" si="239"/>
        <v>270</v>
      </c>
    </row>
    <row r="7223" spans="1:4" x14ac:dyDescent="0.25">
      <c r="A7223" t="str">
        <f>"838944621"</f>
        <v>838944621</v>
      </c>
      <c r="B7223" t="s">
        <v>6522</v>
      </c>
      <c r="C7223">
        <v>55.72</v>
      </c>
      <c r="D7223" t="str">
        <f t="shared" si="239"/>
        <v>270</v>
      </c>
    </row>
    <row r="7224" spans="1:4" x14ac:dyDescent="0.25">
      <c r="A7224" t="str">
        <f>"838944622"</f>
        <v>838944622</v>
      </c>
      <c r="B7224" t="s">
        <v>6523</v>
      </c>
      <c r="C7224">
        <v>58.01</v>
      </c>
      <c r="D7224" t="str">
        <f t="shared" si="239"/>
        <v>270</v>
      </c>
    </row>
    <row r="7225" spans="1:4" x14ac:dyDescent="0.25">
      <c r="A7225" t="str">
        <f>"838944623"</f>
        <v>838944623</v>
      </c>
      <c r="B7225" t="s">
        <v>6524</v>
      </c>
      <c r="C7225">
        <v>58.01</v>
      </c>
      <c r="D7225" t="str">
        <f t="shared" si="239"/>
        <v>270</v>
      </c>
    </row>
    <row r="7226" spans="1:4" x14ac:dyDescent="0.25">
      <c r="A7226" t="str">
        <f>"838944624"</f>
        <v>838944624</v>
      </c>
      <c r="B7226" t="s">
        <v>6525</v>
      </c>
      <c r="C7226">
        <v>58.01</v>
      </c>
      <c r="D7226" t="str">
        <f t="shared" si="239"/>
        <v>270</v>
      </c>
    </row>
    <row r="7227" spans="1:4" x14ac:dyDescent="0.25">
      <c r="A7227" t="str">
        <f>"838944625"</f>
        <v>838944625</v>
      </c>
      <c r="B7227" t="s">
        <v>6526</v>
      </c>
      <c r="C7227">
        <v>58.01</v>
      </c>
      <c r="D7227" t="str">
        <f t="shared" ref="D7227:D7290" si="240">"270"</f>
        <v>270</v>
      </c>
    </row>
    <row r="7228" spans="1:4" x14ac:dyDescent="0.25">
      <c r="A7228" t="str">
        <f>"838944626"</f>
        <v>838944626</v>
      </c>
      <c r="B7228" t="s">
        <v>6527</v>
      </c>
      <c r="C7228">
        <v>53.68</v>
      </c>
      <c r="D7228" t="str">
        <f t="shared" si="240"/>
        <v>270</v>
      </c>
    </row>
    <row r="7229" spans="1:4" x14ac:dyDescent="0.25">
      <c r="A7229" t="str">
        <f>"838944627"</f>
        <v>838944627</v>
      </c>
      <c r="B7229" t="s">
        <v>6528</v>
      </c>
      <c r="C7229">
        <v>53.68</v>
      </c>
      <c r="D7229" t="str">
        <f t="shared" si="240"/>
        <v>270</v>
      </c>
    </row>
    <row r="7230" spans="1:4" x14ac:dyDescent="0.25">
      <c r="A7230" t="str">
        <f>"838944628"</f>
        <v>838944628</v>
      </c>
      <c r="B7230" t="s">
        <v>6529</v>
      </c>
      <c r="C7230">
        <v>81.790000000000006</v>
      </c>
      <c r="D7230" t="str">
        <f t="shared" si="240"/>
        <v>270</v>
      </c>
    </row>
    <row r="7231" spans="1:4" x14ac:dyDescent="0.25">
      <c r="A7231" t="str">
        <f>"838944629"</f>
        <v>838944629</v>
      </c>
      <c r="B7231" t="s">
        <v>6530</v>
      </c>
      <c r="C7231">
        <v>81.790000000000006</v>
      </c>
      <c r="D7231" t="str">
        <f t="shared" si="240"/>
        <v>270</v>
      </c>
    </row>
    <row r="7232" spans="1:4" x14ac:dyDescent="0.25">
      <c r="A7232" t="str">
        <f>"838944630"</f>
        <v>838944630</v>
      </c>
      <c r="B7232" t="s">
        <v>6531</v>
      </c>
      <c r="C7232">
        <v>81.86</v>
      </c>
      <c r="D7232" t="str">
        <f t="shared" si="240"/>
        <v>270</v>
      </c>
    </row>
    <row r="7233" spans="1:4" x14ac:dyDescent="0.25">
      <c r="A7233" t="str">
        <f>"838944631"</f>
        <v>838944631</v>
      </c>
      <c r="B7233" t="s">
        <v>6532</v>
      </c>
      <c r="C7233">
        <v>81.86</v>
      </c>
      <c r="D7233" t="str">
        <f t="shared" si="240"/>
        <v>270</v>
      </c>
    </row>
    <row r="7234" spans="1:4" x14ac:dyDescent="0.25">
      <c r="A7234" t="str">
        <f>"838944632"</f>
        <v>838944632</v>
      </c>
      <c r="B7234" t="s">
        <v>6533</v>
      </c>
      <c r="C7234">
        <v>17.97</v>
      </c>
      <c r="D7234" t="str">
        <f t="shared" si="240"/>
        <v>270</v>
      </c>
    </row>
    <row r="7235" spans="1:4" x14ac:dyDescent="0.25">
      <c r="A7235" t="str">
        <f>"838944633"</f>
        <v>838944633</v>
      </c>
      <c r="B7235" t="s">
        <v>6534</v>
      </c>
      <c r="C7235">
        <v>17.97</v>
      </c>
      <c r="D7235" t="str">
        <f t="shared" si="240"/>
        <v>270</v>
      </c>
    </row>
    <row r="7236" spans="1:4" x14ac:dyDescent="0.25">
      <c r="A7236" t="str">
        <f>"838944634"</f>
        <v>838944634</v>
      </c>
      <c r="B7236" t="s">
        <v>6535</v>
      </c>
      <c r="C7236">
        <v>18.190000000000001</v>
      </c>
      <c r="D7236" t="str">
        <f t="shared" si="240"/>
        <v>270</v>
      </c>
    </row>
    <row r="7237" spans="1:4" x14ac:dyDescent="0.25">
      <c r="A7237" t="str">
        <f>"838944635"</f>
        <v>838944635</v>
      </c>
      <c r="B7237" t="s">
        <v>6536</v>
      </c>
      <c r="C7237">
        <v>18.190000000000001</v>
      </c>
      <c r="D7237" t="str">
        <f t="shared" si="240"/>
        <v>270</v>
      </c>
    </row>
    <row r="7238" spans="1:4" x14ac:dyDescent="0.25">
      <c r="A7238" t="str">
        <f>"838944636"</f>
        <v>838944636</v>
      </c>
      <c r="B7238" t="s">
        <v>6537</v>
      </c>
      <c r="C7238">
        <v>18.38</v>
      </c>
      <c r="D7238" t="str">
        <f t="shared" si="240"/>
        <v>270</v>
      </c>
    </row>
    <row r="7239" spans="1:4" x14ac:dyDescent="0.25">
      <c r="A7239" t="str">
        <f>"838944637"</f>
        <v>838944637</v>
      </c>
      <c r="B7239" t="s">
        <v>6538</v>
      </c>
      <c r="C7239">
        <v>18.38</v>
      </c>
      <c r="D7239" t="str">
        <f t="shared" si="240"/>
        <v>270</v>
      </c>
    </row>
    <row r="7240" spans="1:4" x14ac:dyDescent="0.25">
      <c r="A7240" t="str">
        <f>"838944638"</f>
        <v>838944638</v>
      </c>
      <c r="B7240" t="s">
        <v>6539</v>
      </c>
      <c r="C7240">
        <v>18.170000000000002</v>
      </c>
      <c r="D7240" t="str">
        <f t="shared" si="240"/>
        <v>270</v>
      </c>
    </row>
    <row r="7241" spans="1:4" x14ac:dyDescent="0.25">
      <c r="A7241" t="str">
        <f>"838944639"</f>
        <v>838944639</v>
      </c>
      <c r="B7241" t="s">
        <v>6540</v>
      </c>
      <c r="C7241">
        <v>18.170000000000002</v>
      </c>
      <c r="D7241" t="str">
        <f t="shared" si="240"/>
        <v>270</v>
      </c>
    </row>
    <row r="7242" spans="1:4" x14ac:dyDescent="0.25">
      <c r="A7242" t="str">
        <f>"838944640"</f>
        <v>838944640</v>
      </c>
      <c r="B7242" t="s">
        <v>6541</v>
      </c>
      <c r="C7242">
        <v>18.14</v>
      </c>
      <c r="D7242" t="str">
        <f t="shared" si="240"/>
        <v>270</v>
      </c>
    </row>
    <row r="7243" spans="1:4" x14ac:dyDescent="0.25">
      <c r="A7243" t="str">
        <f>"838944641"</f>
        <v>838944641</v>
      </c>
      <c r="B7243" t="s">
        <v>6542</v>
      </c>
      <c r="C7243">
        <v>18.14</v>
      </c>
      <c r="D7243" t="str">
        <f t="shared" si="240"/>
        <v>270</v>
      </c>
    </row>
    <row r="7244" spans="1:4" x14ac:dyDescent="0.25">
      <c r="A7244" t="str">
        <f>"838944642"</f>
        <v>838944642</v>
      </c>
      <c r="B7244" t="s">
        <v>6543</v>
      </c>
      <c r="C7244">
        <v>21.4</v>
      </c>
      <c r="D7244" t="str">
        <f t="shared" si="240"/>
        <v>270</v>
      </c>
    </row>
    <row r="7245" spans="1:4" x14ac:dyDescent="0.25">
      <c r="A7245" t="str">
        <f>"838944643"</f>
        <v>838944643</v>
      </c>
      <c r="B7245" t="s">
        <v>6544</v>
      </c>
      <c r="C7245">
        <v>21.4</v>
      </c>
      <c r="D7245" t="str">
        <f t="shared" si="240"/>
        <v>270</v>
      </c>
    </row>
    <row r="7246" spans="1:4" x14ac:dyDescent="0.25">
      <c r="A7246" t="str">
        <f>"838944644"</f>
        <v>838944644</v>
      </c>
      <c r="B7246" t="s">
        <v>6545</v>
      </c>
      <c r="C7246">
        <v>20.49</v>
      </c>
      <c r="D7246" t="str">
        <f t="shared" si="240"/>
        <v>270</v>
      </c>
    </row>
    <row r="7247" spans="1:4" x14ac:dyDescent="0.25">
      <c r="A7247" t="str">
        <f>"838944645"</f>
        <v>838944645</v>
      </c>
      <c r="B7247" t="s">
        <v>6546</v>
      </c>
      <c r="C7247">
        <v>20.49</v>
      </c>
      <c r="D7247" t="str">
        <f t="shared" si="240"/>
        <v>270</v>
      </c>
    </row>
    <row r="7248" spans="1:4" x14ac:dyDescent="0.25">
      <c r="A7248" t="str">
        <f>"838944646"</f>
        <v>838944646</v>
      </c>
      <c r="B7248" t="s">
        <v>6547</v>
      </c>
      <c r="C7248">
        <v>61.09</v>
      </c>
      <c r="D7248" t="str">
        <f t="shared" si="240"/>
        <v>270</v>
      </c>
    </row>
    <row r="7249" spans="1:4" x14ac:dyDescent="0.25">
      <c r="A7249" t="str">
        <f>"838944647"</f>
        <v>838944647</v>
      </c>
      <c r="B7249" t="s">
        <v>6548</v>
      </c>
      <c r="C7249">
        <v>61.09</v>
      </c>
      <c r="D7249" t="str">
        <f t="shared" si="240"/>
        <v>270</v>
      </c>
    </row>
    <row r="7250" spans="1:4" x14ac:dyDescent="0.25">
      <c r="A7250" t="str">
        <f>"838944648"</f>
        <v>838944648</v>
      </c>
      <c r="B7250" t="s">
        <v>6549</v>
      </c>
      <c r="C7250">
        <v>28.68</v>
      </c>
      <c r="D7250" t="str">
        <f t="shared" si="240"/>
        <v>270</v>
      </c>
    </row>
    <row r="7251" spans="1:4" x14ac:dyDescent="0.25">
      <c r="A7251" t="str">
        <f>"838944649"</f>
        <v>838944649</v>
      </c>
      <c r="B7251" t="s">
        <v>6550</v>
      </c>
      <c r="C7251">
        <v>28.68</v>
      </c>
      <c r="D7251" t="str">
        <f t="shared" si="240"/>
        <v>270</v>
      </c>
    </row>
    <row r="7252" spans="1:4" x14ac:dyDescent="0.25">
      <c r="A7252" t="str">
        <f>"838944650"</f>
        <v>838944650</v>
      </c>
      <c r="B7252" t="s">
        <v>6551</v>
      </c>
      <c r="C7252">
        <v>62.06</v>
      </c>
      <c r="D7252" t="str">
        <f t="shared" si="240"/>
        <v>270</v>
      </c>
    </row>
    <row r="7253" spans="1:4" x14ac:dyDescent="0.25">
      <c r="A7253" t="str">
        <f>"838944651"</f>
        <v>838944651</v>
      </c>
      <c r="B7253" t="s">
        <v>6552</v>
      </c>
      <c r="C7253">
        <v>62.06</v>
      </c>
      <c r="D7253" t="str">
        <f t="shared" si="240"/>
        <v>270</v>
      </c>
    </row>
    <row r="7254" spans="1:4" x14ac:dyDescent="0.25">
      <c r="A7254" t="str">
        <f>"838944652"</f>
        <v>838944652</v>
      </c>
      <c r="B7254" t="s">
        <v>6553</v>
      </c>
      <c r="C7254">
        <v>6.45</v>
      </c>
      <c r="D7254" t="str">
        <f t="shared" si="240"/>
        <v>270</v>
      </c>
    </row>
    <row r="7255" spans="1:4" x14ac:dyDescent="0.25">
      <c r="A7255" t="str">
        <f>"838944653"</f>
        <v>838944653</v>
      </c>
      <c r="B7255" t="s">
        <v>6554</v>
      </c>
      <c r="C7255">
        <v>6.45</v>
      </c>
      <c r="D7255" t="str">
        <f t="shared" si="240"/>
        <v>270</v>
      </c>
    </row>
    <row r="7256" spans="1:4" x14ac:dyDescent="0.25">
      <c r="A7256" t="str">
        <f>"838944654"</f>
        <v>838944654</v>
      </c>
      <c r="B7256" t="s">
        <v>6555</v>
      </c>
      <c r="C7256">
        <v>6.33</v>
      </c>
      <c r="D7256" t="str">
        <f t="shared" si="240"/>
        <v>270</v>
      </c>
    </row>
    <row r="7257" spans="1:4" x14ac:dyDescent="0.25">
      <c r="A7257" t="str">
        <f>"838944655"</f>
        <v>838944655</v>
      </c>
      <c r="B7257" t="s">
        <v>6556</v>
      </c>
      <c r="C7257">
        <v>6.33</v>
      </c>
      <c r="D7257" t="str">
        <f t="shared" si="240"/>
        <v>270</v>
      </c>
    </row>
    <row r="7258" spans="1:4" x14ac:dyDescent="0.25">
      <c r="A7258" t="str">
        <f>"838944656"</f>
        <v>838944656</v>
      </c>
      <c r="B7258" t="s">
        <v>6557</v>
      </c>
      <c r="C7258">
        <v>6.31</v>
      </c>
      <c r="D7258" t="str">
        <f t="shared" si="240"/>
        <v>270</v>
      </c>
    </row>
    <row r="7259" spans="1:4" x14ac:dyDescent="0.25">
      <c r="A7259" t="str">
        <f>"838944657"</f>
        <v>838944657</v>
      </c>
      <c r="B7259" t="s">
        <v>6558</v>
      </c>
      <c r="C7259">
        <v>6.31</v>
      </c>
      <c r="D7259" t="str">
        <f t="shared" si="240"/>
        <v>270</v>
      </c>
    </row>
    <row r="7260" spans="1:4" x14ac:dyDescent="0.25">
      <c r="A7260" t="str">
        <f>"838944658"</f>
        <v>838944658</v>
      </c>
      <c r="B7260" t="s">
        <v>6559</v>
      </c>
      <c r="C7260">
        <v>6.44</v>
      </c>
      <c r="D7260" t="str">
        <f t="shared" si="240"/>
        <v>270</v>
      </c>
    </row>
    <row r="7261" spans="1:4" x14ac:dyDescent="0.25">
      <c r="A7261" t="str">
        <f>"838944659"</f>
        <v>838944659</v>
      </c>
      <c r="B7261" t="s">
        <v>6560</v>
      </c>
      <c r="C7261">
        <v>6.44</v>
      </c>
      <c r="D7261" t="str">
        <f t="shared" si="240"/>
        <v>270</v>
      </c>
    </row>
    <row r="7262" spans="1:4" x14ac:dyDescent="0.25">
      <c r="A7262" t="str">
        <f>"838944660"</f>
        <v>838944660</v>
      </c>
      <c r="B7262" t="s">
        <v>6561</v>
      </c>
      <c r="C7262">
        <v>8.39</v>
      </c>
      <c r="D7262" t="str">
        <f t="shared" si="240"/>
        <v>270</v>
      </c>
    </row>
    <row r="7263" spans="1:4" x14ac:dyDescent="0.25">
      <c r="A7263" t="str">
        <f>"838944661"</f>
        <v>838944661</v>
      </c>
      <c r="B7263" t="s">
        <v>6562</v>
      </c>
      <c r="C7263">
        <v>8.39</v>
      </c>
      <c r="D7263" t="str">
        <f t="shared" si="240"/>
        <v>270</v>
      </c>
    </row>
    <row r="7264" spans="1:4" x14ac:dyDescent="0.25">
      <c r="A7264" t="str">
        <f>"838944662"</f>
        <v>838944662</v>
      </c>
      <c r="B7264" t="s">
        <v>6563</v>
      </c>
      <c r="C7264">
        <v>7.12</v>
      </c>
      <c r="D7264" t="str">
        <f t="shared" si="240"/>
        <v>270</v>
      </c>
    </row>
    <row r="7265" spans="1:4" x14ac:dyDescent="0.25">
      <c r="A7265" t="str">
        <f>"838944663"</f>
        <v>838944663</v>
      </c>
      <c r="B7265" t="s">
        <v>6564</v>
      </c>
      <c r="C7265">
        <v>7.12</v>
      </c>
      <c r="D7265" t="str">
        <f t="shared" si="240"/>
        <v>270</v>
      </c>
    </row>
    <row r="7266" spans="1:4" x14ac:dyDescent="0.25">
      <c r="A7266" t="str">
        <f>"838944664"</f>
        <v>838944664</v>
      </c>
      <c r="B7266" t="s">
        <v>6565</v>
      </c>
      <c r="C7266">
        <v>6.47</v>
      </c>
      <c r="D7266" t="str">
        <f t="shared" si="240"/>
        <v>270</v>
      </c>
    </row>
    <row r="7267" spans="1:4" x14ac:dyDescent="0.25">
      <c r="A7267" t="str">
        <f>"838944665"</f>
        <v>838944665</v>
      </c>
      <c r="B7267" t="s">
        <v>6566</v>
      </c>
      <c r="C7267">
        <v>6.47</v>
      </c>
      <c r="D7267" t="str">
        <f t="shared" si="240"/>
        <v>270</v>
      </c>
    </row>
    <row r="7268" spans="1:4" x14ac:dyDescent="0.25">
      <c r="A7268" t="str">
        <f>"838944666"</f>
        <v>838944666</v>
      </c>
      <c r="B7268" t="s">
        <v>6567</v>
      </c>
      <c r="C7268">
        <v>8.94</v>
      </c>
      <c r="D7268" t="str">
        <f t="shared" si="240"/>
        <v>270</v>
      </c>
    </row>
    <row r="7269" spans="1:4" x14ac:dyDescent="0.25">
      <c r="A7269" t="str">
        <f>"838944667"</f>
        <v>838944667</v>
      </c>
      <c r="B7269" t="s">
        <v>6568</v>
      </c>
      <c r="C7269">
        <v>8.94</v>
      </c>
      <c r="D7269" t="str">
        <f t="shared" si="240"/>
        <v>270</v>
      </c>
    </row>
    <row r="7270" spans="1:4" x14ac:dyDescent="0.25">
      <c r="A7270" t="str">
        <f>"838944668"</f>
        <v>838944668</v>
      </c>
      <c r="B7270" t="s">
        <v>6569</v>
      </c>
      <c r="C7270">
        <v>10.23</v>
      </c>
      <c r="D7270" t="str">
        <f t="shared" si="240"/>
        <v>270</v>
      </c>
    </row>
    <row r="7271" spans="1:4" x14ac:dyDescent="0.25">
      <c r="A7271" t="str">
        <f>"838944669"</f>
        <v>838944669</v>
      </c>
      <c r="B7271" t="s">
        <v>6570</v>
      </c>
      <c r="C7271">
        <v>10.23</v>
      </c>
      <c r="D7271" t="str">
        <f t="shared" si="240"/>
        <v>270</v>
      </c>
    </row>
    <row r="7272" spans="1:4" x14ac:dyDescent="0.25">
      <c r="A7272" t="str">
        <f>"838944670"</f>
        <v>838944670</v>
      </c>
      <c r="B7272" t="s">
        <v>6571</v>
      </c>
      <c r="C7272">
        <v>7.33</v>
      </c>
      <c r="D7272" t="str">
        <f t="shared" si="240"/>
        <v>270</v>
      </c>
    </row>
    <row r="7273" spans="1:4" x14ac:dyDescent="0.25">
      <c r="A7273" t="str">
        <f>"838944671"</f>
        <v>838944671</v>
      </c>
      <c r="B7273" t="s">
        <v>6572</v>
      </c>
      <c r="C7273">
        <v>7.33</v>
      </c>
      <c r="D7273" t="str">
        <f t="shared" si="240"/>
        <v>270</v>
      </c>
    </row>
    <row r="7274" spans="1:4" x14ac:dyDescent="0.25">
      <c r="A7274" t="str">
        <f>"838944672"</f>
        <v>838944672</v>
      </c>
      <c r="B7274" t="s">
        <v>6573</v>
      </c>
      <c r="C7274">
        <v>8.4499999999999993</v>
      </c>
      <c r="D7274" t="str">
        <f t="shared" si="240"/>
        <v>270</v>
      </c>
    </row>
    <row r="7275" spans="1:4" x14ac:dyDescent="0.25">
      <c r="A7275" t="str">
        <f>"838944673"</f>
        <v>838944673</v>
      </c>
      <c r="B7275" t="s">
        <v>6574</v>
      </c>
      <c r="C7275">
        <v>8.4499999999999993</v>
      </c>
      <c r="D7275" t="str">
        <f t="shared" si="240"/>
        <v>270</v>
      </c>
    </row>
    <row r="7276" spans="1:4" x14ac:dyDescent="0.25">
      <c r="A7276" t="str">
        <f>"838944674"</f>
        <v>838944674</v>
      </c>
      <c r="B7276" t="s">
        <v>6575</v>
      </c>
      <c r="C7276">
        <v>8.36</v>
      </c>
      <c r="D7276" t="str">
        <f t="shared" si="240"/>
        <v>270</v>
      </c>
    </row>
    <row r="7277" spans="1:4" x14ac:dyDescent="0.25">
      <c r="A7277" t="str">
        <f>"838944675"</f>
        <v>838944675</v>
      </c>
      <c r="B7277" t="s">
        <v>6576</v>
      </c>
      <c r="C7277">
        <v>8.36</v>
      </c>
      <c r="D7277" t="str">
        <f t="shared" si="240"/>
        <v>270</v>
      </c>
    </row>
    <row r="7278" spans="1:4" x14ac:dyDescent="0.25">
      <c r="A7278" t="str">
        <f>"838944676"</f>
        <v>838944676</v>
      </c>
      <c r="B7278" t="s">
        <v>6577</v>
      </c>
      <c r="C7278">
        <v>8.26</v>
      </c>
      <c r="D7278" t="str">
        <f t="shared" si="240"/>
        <v>270</v>
      </c>
    </row>
    <row r="7279" spans="1:4" x14ac:dyDescent="0.25">
      <c r="A7279" t="str">
        <f>"838944677"</f>
        <v>838944677</v>
      </c>
      <c r="B7279" t="s">
        <v>6578</v>
      </c>
      <c r="C7279">
        <v>8.26</v>
      </c>
      <c r="D7279" t="str">
        <f t="shared" si="240"/>
        <v>270</v>
      </c>
    </row>
    <row r="7280" spans="1:4" x14ac:dyDescent="0.25">
      <c r="A7280" t="str">
        <f>"838944678"</f>
        <v>838944678</v>
      </c>
      <c r="B7280" t="s">
        <v>6579</v>
      </c>
      <c r="C7280">
        <v>8.3699999999999992</v>
      </c>
      <c r="D7280" t="str">
        <f t="shared" si="240"/>
        <v>270</v>
      </c>
    </row>
    <row r="7281" spans="1:4" x14ac:dyDescent="0.25">
      <c r="A7281" t="str">
        <f>"838944679"</f>
        <v>838944679</v>
      </c>
      <c r="B7281" t="s">
        <v>6580</v>
      </c>
      <c r="C7281">
        <v>8.3699999999999992</v>
      </c>
      <c r="D7281" t="str">
        <f t="shared" si="240"/>
        <v>270</v>
      </c>
    </row>
    <row r="7282" spans="1:4" x14ac:dyDescent="0.25">
      <c r="A7282" t="str">
        <f>"838944680"</f>
        <v>838944680</v>
      </c>
      <c r="B7282" t="s">
        <v>6581</v>
      </c>
      <c r="C7282">
        <v>9.7899999999999991</v>
      </c>
      <c r="D7282" t="str">
        <f t="shared" si="240"/>
        <v>270</v>
      </c>
    </row>
    <row r="7283" spans="1:4" x14ac:dyDescent="0.25">
      <c r="A7283" t="str">
        <f>"838944681"</f>
        <v>838944681</v>
      </c>
      <c r="B7283" t="s">
        <v>6582</v>
      </c>
      <c r="C7283">
        <v>9.7899999999999991</v>
      </c>
      <c r="D7283" t="str">
        <f t="shared" si="240"/>
        <v>270</v>
      </c>
    </row>
    <row r="7284" spans="1:4" x14ac:dyDescent="0.25">
      <c r="A7284" t="str">
        <f>"838944682"</f>
        <v>838944682</v>
      </c>
      <c r="B7284" t="s">
        <v>6583</v>
      </c>
      <c r="C7284">
        <v>10.95</v>
      </c>
      <c r="D7284" t="str">
        <f t="shared" si="240"/>
        <v>270</v>
      </c>
    </row>
    <row r="7285" spans="1:4" x14ac:dyDescent="0.25">
      <c r="A7285" t="str">
        <f>"838944683"</f>
        <v>838944683</v>
      </c>
      <c r="B7285" t="s">
        <v>6584</v>
      </c>
      <c r="C7285">
        <v>10.95</v>
      </c>
      <c r="D7285" t="str">
        <f t="shared" si="240"/>
        <v>270</v>
      </c>
    </row>
    <row r="7286" spans="1:4" x14ac:dyDescent="0.25">
      <c r="A7286" t="str">
        <f>"838944684"</f>
        <v>838944684</v>
      </c>
      <c r="B7286" t="s">
        <v>6585</v>
      </c>
      <c r="C7286">
        <v>10.45</v>
      </c>
      <c r="D7286" t="str">
        <f t="shared" si="240"/>
        <v>270</v>
      </c>
    </row>
    <row r="7287" spans="1:4" x14ac:dyDescent="0.25">
      <c r="A7287" t="str">
        <f>"838944685"</f>
        <v>838944685</v>
      </c>
      <c r="B7287" t="s">
        <v>6586</v>
      </c>
      <c r="C7287">
        <v>10.45</v>
      </c>
      <c r="D7287" t="str">
        <f t="shared" si="240"/>
        <v>270</v>
      </c>
    </row>
    <row r="7288" spans="1:4" x14ac:dyDescent="0.25">
      <c r="A7288" t="str">
        <f>"838944686"</f>
        <v>838944686</v>
      </c>
      <c r="B7288" t="s">
        <v>6587</v>
      </c>
      <c r="C7288">
        <v>10.59</v>
      </c>
      <c r="D7288" t="str">
        <f t="shared" si="240"/>
        <v>270</v>
      </c>
    </row>
    <row r="7289" spans="1:4" x14ac:dyDescent="0.25">
      <c r="A7289" t="str">
        <f>"838944687"</f>
        <v>838944687</v>
      </c>
      <c r="B7289" t="s">
        <v>6588</v>
      </c>
      <c r="C7289">
        <v>10.59</v>
      </c>
      <c r="D7289" t="str">
        <f t="shared" si="240"/>
        <v>270</v>
      </c>
    </row>
    <row r="7290" spans="1:4" x14ac:dyDescent="0.25">
      <c r="A7290" t="str">
        <f>"838944688"</f>
        <v>838944688</v>
      </c>
      <c r="B7290" t="s">
        <v>6589</v>
      </c>
      <c r="C7290">
        <v>23.87</v>
      </c>
      <c r="D7290" t="str">
        <f t="shared" si="240"/>
        <v>270</v>
      </c>
    </row>
    <row r="7291" spans="1:4" x14ac:dyDescent="0.25">
      <c r="A7291" t="str">
        <f>"838944689"</f>
        <v>838944689</v>
      </c>
      <c r="B7291" t="s">
        <v>6590</v>
      </c>
      <c r="C7291">
        <v>23.87</v>
      </c>
      <c r="D7291" t="str">
        <f t="shared" ref="D7291:D7354" si="241">"270"</f>
        <v>270</v>
      </c>
    </row>
    <row r="7292" spans="1:4" x14ac:dyDescent="0.25">
      <c r="A7292" t="str">
        <f>"838944690"</f>
        <v>838944690</v>
      </c>
      <c r="B7292" t="s">
        <v>6591</v>
      </c>
      <c r="C7292">
        <v>23.13</v>
      </c>
      <c r="D7292" t="str">
        <f t="shared" si="241"/>
        <v>270</v>
      </c>
    </row>
    <row r="7293" spans="1:4" x14ac:dyDescent="0.25">
      <c r="A7293" t="str">
        <f>"838944691"</f>
        <v>838944691</v>
      </c>
      <c r="B7293" t="s">
        <v>6592</v>
      </c>
      <c r="C7293">
        <v>23.13</v>
      </c>
      <c r="D7293" t="str">
        <f t="shared" si="241"/>
        <v>270</v>
      </c>
    </row>
    <row r="7294" spans="1:4" x14ac:dyDescent="0.25">
      <c r="A7294" t="str">
        <f>"838944692"</f>
        <v>838944692</v>
      </c>
      <c r="B7294" t="s">
        <v>6593</v>
      </c>
      <c r="C7294">
        <v>23.32</v>
      </c>
      <c r="D7294" t="str">
        <f t="shared" si="241"/>
        <v>270</v>
      </c>
    </row>
    <row r="7295" spans="1:4" x14ac:dyDescent="0.25">
      <c r="A7295" t="str">
        <f>"838944693"</f>
        <v>838944693</v>
      </c>
      <c r="B7295" t="s">
        <v>6594</v>
      </c>
      <c r="C7295">
        <v>23.32</v>
      </c>
      <c r="D7295" t="str">
        <f t="shared" si="241"/>
        <v>270</v>
      </c>
    </row>
    <row r="7296" spans="1:4" x14ac:dyDescent="0.25">
      <c r="A7296" t="str">
        <f>"838944694"</f>
        <v>838944694</v>
      </c>
      <c r="B7296" t="s">
        <v>6595</v>
      </c>
      <c r="C7296">
        <v>34.74</v>
      </c>
      <c r="D7296" t="str">
        <f t="shared" si="241"/>
        <v>270</v>
      </c>
    </row>
    <row r="7297" spans="1:4" x14ac:dyDescent="0.25">
      <c r="A7297" t="str">
        <f>"838944695"</f>
        <v>838944695</v>
      </c>
      <c r="B7297" t="s">
        <v>6595</v>
      </c>
      <c r="C7297">
        <v>34.74</v>
      </c>
      <c r="D7297" t="str">
        <f t="shared" si="241"/>
        <v>270</v>
      </c>
    </row>
    <row r="7298" spans="1:4" x14ac:dyDescent="0.25">
      <c r="A7298" t="str">
        <f>"838944696"</f>
        <v>838944696</v>
      </c>
      <c r="B7298" t="s">
        <v>6596</v>
      </c>
      <c r="C7298">
        <v>24.37</v>
      </c>
      <c r="D7298" t="str">
        <f t="shared" si="241"/>
        <v>270</v>
      </c>
    </row>
    <row r="7299" spans="1:4" x14ac:dyDescent="0.25">
      <c r="A7299" t="str">
        <f>"838944697"</f>
        <v>838944697</v>
      </c>
      <c r="B7299" t="s">
        <v>6597</v>
      </c>
      <c r="C7299">
        <v>8.8000000000000007</v>
      </c>
      <c r="D7299" t="str">
        <f t="shared" si="241"/>
        <v>270</v>
      </c>
    </row>
    <row r="7300" spans="1:4" x14ac:dyDescent="0.25">
      <c r="A7300" t="str">
        <f>"838944698"</f>
        <v>838944698</v>
      </c>
      <c r="B7300" t="s">
        <v>6598</v>
      </c>
      <c r="C7300">
        <v>56.27</v>
      </c>
      <c r="D7300" t="str">
        <f t="shared" si="241"/>
        <v>270</v>
      </c>
    </row>
    <row r="7301" spans="1:4" x14ac:dyDescent="0.25">
      <c r="A7301" t="str">
        <f>"838944699"</f>
        <v>838944699</v>
      </c>
      <c r="B7301" t="s">
        <v>6599</v>
      </c>
      <c r="C7301">
        <v>26.07</v>
      </c>
      <c r="D7301" t="str">
        <f t="shared" si="241"/>
        <v>270</v>
      </c>
    </row>
    <row r="7302" spans="1:4" x14ac:dyDescent="0.25">
      <c r="A7302" t="str">
        <f>"838944700"</f>
        <v>838944700</v>
      </c>
      <c r="B7302" t="s">
        <v>6600</v>
      </c>
      <c r="C7302">
        <v>43.23</v>
      </c>
      <c r="D7302" t="str">
        <f t="shared" si="241"/>
        <v>270</v>
      </c>
    </row>
    <row r="7303" spans="1:4" x14ac:dyDescent="0.25">
      <c r="A7303" t="str">
        <f>"838944701"</f>
        <v>838944701</v>
      </c>
      <c r="B7303" t="s">
        <v>6601</v>
      </c>
      <c r="C7303">
        <v>45.38</v>
      </c>
      <c r="D7303" t="str">
        <f t="shared" si="241"/>
        <v>270</v>
      </c>
    </row>
    <row r="7304" spans="1:4" x14ac:dyDescent="0.25">
      <c r="A7304" t="str">
        <f>"838944702"</f>
        <v>838944702</v>
      </c>
      <c r="B7304" t="s">
        <v>6602</v>
      </c>
      <c r="C7304">
        <v>35.42</v>
      </c>
      <c r="D7304" t="str">
        <f t="shared" si="241"/>
        <v>270</v>
      </c>
    </row>
    <row r="7305" spans="1:4" x14ac:dyDescent="0.25">
      <c r="A7305" t="str">
        <f>"838944703"</f>
        <v>838944703</v>
      </c>
      <c r="B7305" t="s">
        <v>6603</v>
      </c>
      <c r="C7305">
        <v>66</v>
      </c>
      <c r="D7305" t="str">
        <f t="shared" si="241"/>
        <v>270</v>
      </c>
    </row>
    <row r="7306" spans="1:4" x14ac:dyDescent="0.25">
      <c r="A7306" t="str">
        <f>"838944704"</f>
        <v>838944704</v>
      </c>
      <c r="B7306" t="s">
        <v>6604</v>
      </c>
      <c r="C7306">
        <v>69.58</v>
      </c>
      <c r="D7306" t="str">
        <f t="shared" si="241"/>
        <v>270</v>
      </c>
    </row>
    <row r="7307" spans="1:4" x14ac:dyDescent="0.25">
      <c r="A7307" t="str">
        <f>"838944705"</f>
        <v>838944705</v>
      </c>
      <c r="B7307" t="s">
        <v>6600</v>
      </c>
      <c r="C7307">
        <v>17.71</v>
      </c>
      <c r="D7307" t="str">
        <f t="shared" si="241"/>
        <v>270</v>
      </c>
    </row>
    <row r="7308" spans="1:4" x14ac:dyDescent="0.25">
      <c r="A7308" t="str">
        <f>"838944706"</f>
        <v>838944706</v>
      </c>
      <c r="B7308" t="s">
        <v>6601</v>
      </c>
      <c r="C7308">
        <v>14.74</v>
      </c>
      <c r="D7308" t="str">
        <f t="shared" si="241"/>
        <v>270</v>
      </c>
    </row>
    <row r="7309" spans="1:4" x14ac:dyDescent="0.25">
      <c r="A7309" t="str">
        <f>"838944707"</f>
        <v>838944707</v>
      </c>
      <c r="B7309" t="s">
        <v>6605</v>
      </c>
      <c r="C7309">
        <v>129.80000000000001</v>
      </c>
      <c r="D7309" t="str">
        <f t="shared" si="241"/>
        <v>270</v>
      </c>
    </row>
    <row r="7310" spans="1:4" x14ac:dyDescent="0.25">
      <c r="A7310" t="str">
        <f>"838944708"</f>
        <v>838944708</v>
      </c>
      <c r="B7310" t="s">
        <v>6606</v>
      </c>
      <c r="C7310">
        <v>6.6</v>
      </c>
      <c r="D7310" t="str">
        <f t="shared" si="241"/>
        <v>270</v>
      </c>
    </row>
    <row r="7311" spans="1:4" x14ac:dyDescent="0.25">
      <c r="A7311" t="str">
        <f>"838944709"</f>
        <v>838944709</v>
      </c>
      <c r="B7311" t="s">
        <v>6607</v>
      </c>
      <c r="C7311">
        <v>17.600000000000001</v>
      </c>
      <c r="D7311" t="str">
        <f t="shared" si="241"/>
        <v>270</v>
      </c>
    </row>
    <row r="7312" spans="1:4" x14ac:dyDescent="0.25">
      <c r="A7312" t="str">
        <f>"838944710"</f>
        <v>838944710</v>
      </c>
      <c r="B7312" t="s">
        <v>6608</v>
      </c>
      <c r="C7312">
        <v>54.18</v>
      </c>
      <c r="D7312" t="str">
        <f t="shared" si="241"/>
        <v>270</v>
      </c>
    </row>
    <row r="7313" spans="1:4" x14ac:dyDescent="0.25">
      <c r="A7313" t="str">
        <f>"838944711"</f>
        <v>838944711</v>
      </c>
      <c r="B7313" t="s">
        <v>6609</v>
      </c>
      <c r="C7313">
        <v>44</v>
      </c>
      <c r="D7313" t="str">
        <f t="shared" si="241"/>
        <v>270</v>
      </c>
    </row>
    <row r="7314" spans="1:4" x14ac:dyDescent="0.25">
      <c r="A7314" t="str">
        <f>"838944712"</f>
        <v>838944712</v>
      </c>
      <c r="B7314" t="s">
        <v>6610</v>
      </c>
      <c r="C7314">
        <v>72</v>
      </c>
      <c r="D7314" t="str">
        <f t="shared" si="241"/>
        <v>270</v>
      </c>
    </row>
    <row r="7315" spans="1:4" x14ac:dyDescent="0.25">
      <c r="A7315" t="str">
        <f>"838944713"</f>
        <v>838944713</v>
      </c>
      <c r="B7315" t="s">
        <v>6611</v>
      </c>
      <c r="C7315">
        <v>7.98</v>
      </c>
      <c r="D7315" t="str">
        <f t="shared" si="241"/>
        <v>270</v>
      </c>
    </row>
    <row r="7316" spans="1:4" x14ac:dyDescent="0.25">
      <c r="A7316" t="str">
        <f>"838944714"</f>
        <v>838944714</v>
      </c>
      <c r="B7316" t="s">
        <v>6612</v>
      </c>
      <c r="C7316">
        <v>107.47</v>
      </c>
      <c r="D7316" t="str">
        <f t="shared" si="241"/>
        <v>270</v>
      </c>
    </row>
    <row r="7317" spans="1:4" x14ac:dyDescent="0.25">
      <c r="A7317" t="str">
        <f>"838944715"</f>
        <v>838944715</v>
      </c>
      <c r="B7317" t="s">
        <v>6613</v>
      </c>
      <c r="C7317">
        <v>46.26</v>
      </c>
      <c r="D7317" t="str">
        <f t="shared" si="241"/>
        <v>270</v>
      </c>
    </row>
    <row r="7318" spans="1:4" x14ac:dyDescent="0.25">
      <c r="A7318" t="str">
        <f>"838944716"</f>
        <v>838944716</v>
      </c>
      <c r="B7318" t="s">
        <v>6614</v>
      </c>
      <c r="C7318">
        <v>196.96</v>
      </c>
      <c r="D7318" t="str">
        <f t="shared" si="241"/>
        <v>270</v>
      </c>
    </row>
    <row r="7319" spans="1:4" x14ac:dyDescent="0.25">
      <c r="A7319" t="str">
        <f>"838944717"</f>
        <v>838944717</v>
      </c>
      <c r="B7319" t="s">
        <v>6615</v>
      </c>
      <c r="C7319">
        <v>11</v>
      </c>
      <c r="D7319" t="str">
        <f t="shared" si="241"/>
        <v>270</v>
      </c>
    </row>
    <row r="7320" spans="1:4" x14ac:dyDescent="0.25">
      <c r="A7320" t="str">
        <f>"838944718"</f>
        <v>838944718</v>
      </c>
      <c r="B7320" t="s">
        <v>6616</v>
      </c>
      <c r="C7320">
        <v>22</v>
      </c>
      <c r="D7320" t="str">
        <f t="shared" si="241"/>
        <v>270</v>
      </c>
    </row>
    <row r="7321" spans="1:4" x14ac:dyDescent="0.25">
      <c r="A7321" t="str">
        <f>"838944719"</f>
        <v>838944719</v>
      </c>
      <c r="B7321" t="s">
        <v>6617</v>
      </c>
      <c r="C7321">
        <v>44</v>
      </c>
      <c r="D7321" t="str">
        <f t="shared" si="241"/>
        <v>270</v>
      </c>
    </row>
    <row r="7322" spans="1:4" x14ac:dyDescent="0.25">
      <c r="A7322" t="str">
        <f>"838944720"</f>
        <v>838944720</v>
      </c>
      <c r="B7322" t="s">
        <v>6618</v>
      </c>
      <c r="C7322">
        <v>62.32</v>
      </c>
      <c r="D7322" t="str">
        <f t="shared" si="241"/>
        <v>270</v>
      </c>
    </row>
    <row r="7323" spans="1:4" x14ac:dyDescent="0.25">
      <c r="A7323" t="str">
        <f>"838944721"</f>
        <v>838944721</v>
      </c>
      <c r="B7323" t="s">
        <v>6619</v>
      </c>
      <c r="C7323">
        <v>176</v>
      </c>
      <c r="D7323" t="str">
        <f t="shared" si="241"/>
        <v>270</v>
      </c>
    </row>
    <row r="7324" spans="1:4" x14ac:dyDescent="0.25">
      <c r="A7324" t="str">
        <f>"838944722"</f>
        <v>838944722</v>
      </c>
      <c r="B7324" t="s">
        <v>6620</v>
      </c>
      <c r="C7324">
        <v>17.600000000000001</v>
      </c>
      <c r="D7324" t="str">
        <f t="shared" si="241"/>
        <v>270</v>
      </c>
    </row>
    <row r="7325" spans="1:4" x14ac:dyDescent="0.25">
      <c r="A7325" t="str">
        <f>"838944723"</f>
        <v>838944723</v>
      </c>
      <c r="B7325" t="s">
        <v>6621</v>
      </c>
      <c r="C7325">
        <v>8.8000000000000007</v>
      </c>
      <c r="D7325" t="str">
        <f t="shared" si="241"/>
        <v>270</v>
      </c>
    </row>
    <row r="7326" spans="1:4" x14ac:dyDescent="0.25">
      <c r="A7326" t="str">
        <f>"838944724"</f>
        <v>838944724</v>
      </c>
      <c r="B7326" t="s">
        <v>6622</v>
      </c>
      <c r="C7326">
        <v>17.600000000000001</v>
      </c>
      <c r="D7326" t="str">
        <f t="shared" si="241"/>
        <v>270</v>
      </c>
    </row>
    <row r="7327" spans="1:4" x14ac:dyDescent="0.25">
      <c r="A7327" t="str">
        <f>"838944725"</f>
        <v>838944725</v>
      </c>
      <c r="B7327" t="s">
        <v>6623</v>
      </c>
      <c r="C7327">
        <v>10.73</v>
      </c>
      <c r="D7327" t="str">
        <f t="shared" si="241"/>
        <v>270</v>
      </c>
    </row>
    <row r="7328" spans="1:4" x14ac:dyDescent="0.25">
      <c r="A7328" t="str">
        <f>"838944726"</f>
        <v>838944726</v>
      </c>
      <c r="B7328" t="s">
        <v>6624</v>
      </c>
      <c r="C7328">
        <v>29.7</v>
      </c>
      <c r="D7328" t="str">
        <f t="shared" si="241"/>
        <v>270</v>
      </c>
    </row>
    <row r="7329" spans="1:4" x14ac:dyDescent="0.25">
      <c r="A7329" t="str">
        <f>"838944727"</f>
        <v>838944727</v>
      </c>
      <c r="B7329" t="s">
        <v>6625</v>
      </c>
      <c r="C7329">
        <v>3.85</v>
      </c>
      <c r="D7329" t="str">
        <f t="shared" si="241"/>
        <v>270</v>
      </c>
    </row>
    <row r="7330" spans="1:4" x14ac:dyDescent="0.25">
      <c r="A7330" t="str">
        <f>"838944728"</f>
        <v>838944728</v>
      </c>
      <c r="B7330" t="s">
        <v>6626</v>
      </c>
      <c r="C7330">
        <v>0.77</v>
      </c>
      <c r="D7330" t="str">
        <f t="shared" si="241"/>
        <v>270</v>
      </c>
    </row>
    <row r="7331" spans="1:4" x14ac:dyDescent="0.25">
      <c r="A7331" t="str">
        <f>"838944729"</f>
        <v>838944729</v>
      </c>
      <c r="B7331" t="s">
        <v>6627</v>
      </c>
      <c r="C7331">
        <v>8.8000000000000007</v>
      </c>
      <c r="D7331" t="str">
        <f t="shared" si="241"/>
        <v>270</v>
      </c>
    </row>
    <row r="7332" spans="1:4" x14ac:dyDescent="0.25">
      <c r="A7332" t="str">
        <f>"838944730"</f>
        <v>838944730</v>
      </c>
      <c r="B7332" t="s">
        <v>6628</v>
      </c>
      <c r="C7332">
        <v>17.600000000000001</v>
      </c>
      <c r="D7332" t="str">
        <f t="shared" si="241"/>
        <v>270</v>
      </c>
    </row>
    <row r="7333" spans="1:4" x14ac:dyDescent="0.25">
      <c r="A7333" t="str">
        <f>"838944731"</f>
        <v>838944731</v>
      </c>
      <c r="B7333" t="s">
        <v>6629</v>
      </c>
      <c r="C7333">
        <v>17.600000000000001</v>
      </c>
      <c r="D7333" t="str">
        <f t="shared" si="241"/>
        <v>270</v>
      </c>
    </row>
    <row r="7334" spans="1:4" x14ac:dyDescent="0.25">
      <c r="A7334" t="str">
        <f>"838944732"</f>
        <v>838944732</v>
      </c>
      <c r="B7334" t="s">
        <v>6630</v>
      </c>
      <c r="C7334">
        <v>17.600000000000001</v>
      </c>
      <c r="D7334" t="str">
        <f t="shared" si="241"/>
        <v>270</v>
      </c>
    </row>
    <row r="7335" spans="1:4" x14ac:dyDescent="0.25">
      <c r="A7335" t="str">
        <f>"838944733"</f>
        <v>838944733</v>
      </c>
      <c r="B7335" t="s">
        <v>6631</v>
      </c>
      <c r="C7335">
        <v>8.8000000000000007</v>
      </c>
      <c r="D7335" t="str">
        <f t="shared" si="241"/>
        <v>270</v>
      </c>
    </row>
    <row r="7336" spans="1:4" x14ac:dyDescent="0.25">
      <c r="A7336" t="str">
        <f>"838944734"</f>
        <v>838944734</v>
      </c>
      <c r="B7336" t="s">
        <v>6632</v>
      </c>
      <c r="C7336">
        <v>21.62</v>
      </c>
      <c r="D7336" t="str">
        <f t="shared" si="241"/>
        <v>270</v>
      </c>
    </row>
    <row r="7337" spans="1:4" x14ac:dyDescent="0.25">
      <c r="A7337" t="str">
        <f>"838944735"</f>
        <v>838944735</v>
      </c>
      <c r="B7337" t="s">
        <v>6633</v>
      </c>
      <c r="C7337">
        <v>2.31</v>
      </c>
      <c r="D7337" t="str">
        <f t="shared" si="241"/>
        <v>270</v>
      </c>
    </row>
    <row r="7338" spans="1:4" x14ac:dyDescent="0.25">
      <c r="A7338" t="str">
        <f>"838944736"</f>
        <v>838944736</v>
      </c>
      <c r="B7338" t="s">
        <v>6634</v>
      </c>
      <c r="C7338">
        <v>0.77</v>
      </c>
      <c r="D7338" t="str">
        <f t="shared" si="241"/>
        <v>270</v>
      </c>
    </row>
    <row r="7339" spans="1:4" x14ac:dyDescent="0.25">
      <c r="A7339" t="str">
        <f>"838944737"</f>
        <v>838944737</v>
      </c>
      <c r="B7339" t="s">
        <v>6635</v>
      </c>
      <c r="C7339">
        <v>35.86</v>
      </c>
      <c r="D7339" t="str">
        <f t="shared" si="241"/>
        <v>270</v>
      </c>
    </row>
    <row r="7340" spans="1:4" x14ac:dyDescent="0.25">
      <c r="A7340" t="str">
        <f>"838944738"</f>
        <v>838944738</v>
      </c>
      <c r="B7340" t="s">
        <v>6636</v>
      </c>
      <c r="C7340">
        <v>67.489999999999995</v>
      </c>
      <c r="D7340" t="str">
        <f t="shared" si="241"/>
        <v>270</v>
      </c>
    </row>
    <row r="7341" spans="1:4" x14ac:dyDescent="0.25">
      <c r="A7341" t="str">
        <f>"838944739"</f>
        <v>838944739</v>
      </c>
      <c r="B7341" t="s">
        <v>6637</v>
      </c>
      <c r="C7341">
        <v>18.87</v>
      </c>
      <c r="D7341" t="str">
        <f t="shared" si="241"/>
        <v>270</v>
      </c>
    </row>
    <row r="7342" spans="1:4" x14ac:dyDescent="0.25">
      <c r="A7342" t="str">
        <f>"838944740"</f>
        <v>838944740</v>
      </c>
      <c r="B7342" t="s">
        <v>6638</v>
      </c>
      <c r="C7342">
        <v>40.479999999999997</v>
      </c>
      <c r="D7342" t="str">
        <f t="shared" si="241"/>
        <v>270</v>
      </c>
    </row>
    <row r="7343" spans="1:4" x14ac:dyDescent="0.25">
      <c r="A7343" t="str">
        <f>"838944741"</f>
        <v>838944741</v>
      </c>
      <c r="B7343" t="s">
        <v>6639</v>
      </c>
      <c r="C7343">
        <v>40.590000000000003</v>
      </c>
      <c r="D7343" t="str">
        <f t="shared" si="241"/>
        <v>270</v>
      </c>
    </row>
    <row r="7344" spans="1:4" x14ac:dyDescent="0.25">
      <c r="A7344" t="str">
        <f>"838944742"</f>
        <v>838944742</v>
      </c>
      <c r="B7344" t="s">
        <v>6640</v>
      </c>
      <c r="C7344">
        <v>33.11</v>
      </c>
      <c r="D7344" t="str">
        <f t="shared" si="241"/>
        <v>270</v>
      </c>
    </row>
    <row r="7345" spans="1:4" x14ac:dyDescent="0.25">
      <c r="A7345" t="str">
        <f>"838944743"</f>
        <v>838944743</v>
      </c>
      <c r="B7345" t="s">
        <v>6641</v>
      </c>
      <c r="C7345">
        <v>57.92</v>
      </c>
      <c r="D7345" t="str">
        <f t="shared" si="241"/>
        <v>270</v>
      </c>
    </row>
    <row r="7346" spans="1:4" x14ac:dyDescent="0.25">
      <c r="A7346" t="str">
        <f>"838944744"</f>
        <v>838944744</v>
      </c>
      <c r="B7346" t="s">
        <v>6642</v>
      </c>
      <c r="C7346">
        <v>24.86</v>
      </c>
      <c r="D7346" t="str">
        <f t="shared" si="241"/>
        <v>270</v>
      </c>
    </row>
    <row r="7347" spans="1:4" x14ac:dyDescent="0.25">
      <c r="A7347" t="str">
        <f>"838944745"</f>
        <v>838944745</v>
      </c>
      <c r="B7347" t="s">
        <v>6643</v>
      </c>
      <c r="C7347">
        <v>112.48</v>
      </c>
      <c r="D7347" t="str">
        <f t="shared" si="241"/>
        <v>270</v>
      </c>
    </row>
    <row r="7348" spans="1:4" x14ac:dyDescent="0.25">
      <c r="A7348" t="str">
        <f>"838944746"</f>
        <v>838944746</v>
      </c>
      <c r="B7348" t="s">
        <v>6644</v>
      </c>
      <c r="C7348">
        <v>112.48</v>
      </c>
      <c r="D7348" t="str">
        <f t="shared" si="241"/>
        <v>270</v>
      </c>
    </row>
    <row r="7349" spans="1:4" x14ac:dyDescent="0.25">
      <c r="A7349" t="str">
        <f>"838944747"</f>
        <v>838944747</v>
      </c>
      <c r="B7349" t="s">
        <v>6645</v>
      </c>
      <c r="C7349">
        <v>338.8</v>
      </c>
      <c r="D7349" t="str">
        <f t="shared" si="241"/>
        <v>270</v>
      </c>
    </row>
    <row r="7350" spans="1:4" x14ac:dyDescent="0.25">
      <c r="A7350" t="str">
        <f>"838944748"</f>
        <v>838944748</v>
      </c>
      <c r="B7350" t="s">
        <v>6646</v>
      </c>
      <c r="C7350">
        <v>121</v>
      </c>
      <c r="D7350" t="str">
        <f t="shared" si="241"/>
        <v>270</v>
      </c>
    </row>
    <row r="7351" spans="1:4" x14ac:dyDescent="0.25">
      <c r="A7351" t="str">
        <f>"838944749"</f>
        <v>838944749</v>
      </c>
      <c r="B7351" t="s">
        <v>6647</v>
      </c>
      <c r="C7351">
        <v>71.89</v>
      </c>
      <c r="D7351" t="str">
        <f t="shared" si="241"/>
        <v>270</v>
      </c>
    </row>
    <row r="7352" spans="1:4" x14ac:dyDescent="0.25">
      <c r="A7352" t="str">
        <f>"838944750"</f>
        <v>838944750</v>
      </c>
      <c r="B7352" t="s">
        <v>6648</v>
      </c>
      <c r="C7352">
        <v>13.81</v>
      </c>
      <c r="D7352" t="str">
        <f t="shared" si="241"/>
        <v>270</v>
      </c>
    </row>
    <row r="7353" spans="1:4" x14ac:dyDescent="0.25">
      <c r="A7353" t="str">
        <f>"838944751"</f>
        <v>838944751</v>
      </c>
      <c r="B7353" t="s">
        <v>6649</v>
      </c>
      <c r="C7353">
        <v>572.77</v>
      </c>
      <c r="D7353" t="str">
        <f t="shared" si="241"/>
        <v>270</v>
      </c>
    </row>
    <row r="7354" spans="1:4" x14ac:dyDescent="0.25">
      <c r="A7354" t="str">
        <f>"838944752"</f>
        <v>838944752</v>
      </c>
      <c r="B7354" t="s">
        <v>6650</v>
      </c>
      <c r="C7354">
        <v>14.74</v>
      </c>
      <c r="D7354" t="str">
        <f t="shared" si="241"/>
        <v>270</v>
      </c>
    </row>
    <row r="7355" spans="1:4" x14ac:dyDescent="0.25">
      <c r="A7355" t="str">
        <f>"838944753"</f>
        <v>838944753</v>
      </c>
      <c r="B7355" t="s">
        <v>6651</v>
      </c>
      <c r="C7355">
        <v>32.29</v>
      </c>
      <c r="D7355" t="str">
        <f t="shared" ref="D7355:D7418" si="242">"270"</f>
        <v>270</v>
      </c>
    </row>
    <row r="7356" spans="1:4" x14ac:dyDescent="0.25">
      <c r="A7356" t="str">
        <f>"838944754"</f>
        <v>838944754</v>
      </c>
      <c r="B7356" t="s">
        <v>6652</v>
      </c>
      <c r="C7356">
        <v>405.68</v>
      </c>
      <c r="D7356" t="str">
        <f t="shared" si="242"/>
        <v>270</v>
      </c>
    </row>
    <row r="7357" spans="1:4" x14ac:dyDescent="0.25">
      <c r="A7357" t="str">
        <f>"838944755"</f>
        <v>838944755</v>
      </c>
      <c r="B7357" t="s">
        <v>6652</v>
      </c>
      <c r="C7357">
        <v>405.68</v>
      </c>
      <c r="D7357" t="str">
        <f t="shared" si="242"/>
        <v>270</v>
      </c>
    </row>
    <row r="7358" spans="1:4" x14ac:dyDescent="0.25">
      <c r="A7358" t="str">
        <f>"838944756"</f>
        <v>838944756</v>
      </c>
      <c r="B7358" t="s">
        <v>6653</v>
      </c>
      <c r="C7358">
        <v>26.07</v>
      </c>
      <c r="D7358" t="str">
        <f t="shared" si="242"/>
        <v>270</v>
      </c>
    </row>
    <row r="7359" spans="1:4" x14ac:dyDescent="0.25">
      <c r="A7359" t="str">
        <f>"838944757"</f>
        <v>838944757</v>
      </c>
      <c r="B7359" t="s">
        <v>6654</v>
      </c>
      <c r="C7359">
        <v>3.3</v>
      </c>
      <c r="D7359" t="str">
        <f t="shared" si="242"/>
        <v>270</v>
      </c>
    </row>
    <row r="7360" spans="1:4" x14ac:dyDescent="0.25">
      <c r="A7360" t="str">
        <f>"838944758"</f>
        <v>838944758</v>
      </c>
      <c r="B7360" t="s">
        <v>6655</v>
      </c>
      <c r="C7360">
        <v>105.99</v>
      </c>
      <c r="D7360" t="str">
        <f t="shared" si="242"/>
        <v>270</v>
      </c>
    </row>
    <row r="7361" spans="1:4" x14ac:dyDescent="0.25">
      <c r="A7361" t="str">
        <f>"838944759"</f>
        <v>838944759</v>
      </c>
      <c r="B7361" t="s">
        <v>6656</v>
      </c>
      <c r="C7361">
        <v>87.84</v>
      </c>
      <c r="D7361" t="str">
        <f t="shared" si="242"/>
        <v>270</v>
      </c>
    </row>
    <row r="7362" spans="1:4" x14ac:dyDescent="0.25">
      <c r="A7362" t="str">
        <f>"838944760"</f>
        <v>838944760</v>
      </c>
      <c r="B7362" t="s">
        <v>6657</v>
      </c>
      <c r="C7362">
        <v>818.9</v>
      </c>
      <c r="D7362" t="str">
        <f t="shared" si="242"/>
        <v>270</v>
      </c>
    </row>
    <row r="7363" spans="1:4" x14ac:dyDescent="0.25">
      <c r="A7363" t="str">
        <f>"838944761"</f>
        <v>838944761</v>
      </c>
      <c r="B7363" t="s">
        <v>6658</v>
      </c>
      <c r="C7363">
        <v>98.4</v>
      </c>
      <c r="D7363" t="str">
        <f t="shared" si="242"/>
        <v>270</v>
      </c>
    </row>
    <row r="7364" spans="1:4" x14ac:dyDescent="0.25">
      <c r="A7364" t="str">
        <f>"838944762"</f>
        <v>838944762</v>
      </c>
      <c r="B7364" t="s">
        <v>6659</v>
      </c>
      <c r="C7364">
        <v>275</v>
      </c>
      <c r="D7364" t="str">
        <f t="shared" si="242"/>
        <v>270</v>
      </c>
    </row>
    <row r="7365" spans="1:4" x14ac:dyDescent="0.25">
      <c r="A7365" t="str">
        <f>"838944763"</f>
        <v>838944763</v>
      </c>
      <c r="B7365" t="s">
        <v>6660</v>
      </c>
      <c r="C7365">
        <v>275</v>
      </c>
      <c r="D7365" t="str">
        <f t="shared" si="242"/>
        <v>270</v>
      </c>
    </row>
    <row r="7366" spans="1:4" x14ac:dyDescent="0.25">
      <c r="A7366" t="str">
        <f>"838944764"</f>
        <v>838944764</v>
      </c>
      <c r="B7366" t="s">
        <v>6661</v>
      </c>
      <c r="C7366">
        <v>253</v>
      </c>
      <c r="D7366" t="str">
        <f t="shared" si="242"/>
        <v>270</v>
      </c>
    </row>
    <row r="7367" spans="1:4" x14ac:dyDescent="0.25">
      <c r="A7367" t="str">
        <f>"838944765"</f>
        <v>838944765</v>
      </c>
      <c r="B7367" t="s">
        <v>6662</v>
      </c>
      <c r="C7367">
        <v>275</v>
      </c>
      <c r="D7367" t="str">
        <f t="shared" si="242"/>
        <v>270</v>
      </c>
    </row>
    <row r="7368" spans="1:4" x14ac:dyDescent="0.25">
      <c r="A7368" t="str">
        <f>"838944766"</f>
        <v>838944766</v>
      </c>
      <c r="B7368" t="s">
        <v>6663</v>
      </c>
      <c r="C7368" s="1">
        <v>1100</v>
      </c>
      <c r="D7368" t="str">
        <f t="shared" si="242"/>
        <v>270</v>
      </c>
    </row>
    <row r="7369" spans="1:4" x14ac:dyDescent="0.25">
      <c r="A7369" t="str">
        <f>"838944767"</f>
        <v>838944767</v>
      </c>
      <c r="B7369" t="s">
        <v>6664</v>
      </c>
      <c r="C7369">
        <v>2.2000000000000002</v>
      </c>
      <c r="D7369" t="str">
        <f t="shared" si="242"/>
        <v>270</v>
      </c>
    </row>
    <row r="7370" spans="1:4" x14ac:dyDescent="0.25">
      <c r="A7370" t="str">
        <f>"838944768"</f>
        <v>838944768</v>
      </c>
      <c r="B7370" t="s">
        <v>6665</v>
      </c>
      <c r="C7370" s="1">
        <v>1039.5</v>
      </c>
      <c r="D7370" t="str">
        <f t="shared" si="242"/>
        <v>270</v>
      </c>
    </row>
    <row r="7371" spans="1:4" x14ac:dyDescent="0.25">
      <c r="A7371" t="str">
        <f>"838944769"</f>
        <v>838944769</v>
      </c>
      <c r="B7371" t="s">
        <v>6666</v>
      </c>
      <c r="C7371">
        <v>166.82</v>
      </c>
      <c r="D7371" t="str">
        <f t="shared" si="242"/>
        <v>270</v>
      </c>
    </row>
    <row r="7372" spans="1:4" x14ac:dyDescent="0.25">
      <c r="A7372" t="str">
        <f>"838944770"</f>
        <v>838944770</v>
      </c>
      <c r="B7372" t="s">
        <v>6667</v>
      </c>
      <c r="C7372">
        <v>166.82</v>
      </c>
      <c r="D7372" t="str">
        <f t="shared" si="242"/>
        <v>270</v>
      </c>
    </row>
    <row r="7373" spans="1:4" x14ac:dyDescent="0.25">
      <c r="A7373" t="str">
        <f>"838944771"</f>
        <v>838944771</v>
      </c>
      <c r="B7373" t="s">
        <v>6668</v>
      </c>
      <c r="C7373">
        <v>264</v>
      </c>
      <c r="D7373" t="str">
        <f t="shared" si="242"/>
        <v>270</v>
      </c>
    </row>
    <row r="7374" spans="1:4" x14ac:dyDescent="0.25">
      <c r="A7374" t="str">
        <f>"838944772"</f>
        <v>838944772</v>
      </c>
      <c r="B7374" t="s">
        <v>6669</v>
      </c>
      <c r="C7374">
        <v>296.01</v>
      </c>
      <c r="D7374" t="str">
        <f t="shared" si="242"/>
        <v>270</v>
      </c>
    </row>
    <row r="7375" spans="1:4" x14ac:dyDescent="0.25">
      <c r="A7375" t="str">
        <f>"838944773"</f>
        <v>838944773</v>
      </c>
      <c r="B7375" t="s">
        <v>6670</v>
      </c>
      <c r="C7375">
        <v>296.01</v>
      </c>
      <c r="D7375" t="str">
        <f t="shared" si="242"/>
        <v>270</v>
      </c>
    </row>
    <row r="7376" spans="1:4" x14ac:dyDescent="0.25">
      <c r="A7376" t="str">
        <f>"838944774"</f>
        <v>838944774</v>
      </c>
      <c r="B7376" t="s">
        <v>6671</v>
      </c>
      <c r="C7376">
        <v>296.01</v>
      </c>
      <c r="D7376" t="str">
        <f t="shared" si="242"/>
        <v>270</v>
      </c>
    </row>
    <row r="7377" spans="1:4" x14ac:dyDescent="0.25">
      <c r="A7377" t="str">
        <f>"838944775"</f>
        <v>838944775</v>
      </c>
      <c r="B7377" t="s">
        <v>6672</v>
      </c>
      <c r="C7377">
        <v>282.58999999999997</v>
      </c>
      <c r="D7377" t="str">
        <f t="shared" si="242"/>
        <v>270</v>
      </c>
    </row>
    <row r="7378" spans="1:4" x14ac:dyDescent="0.25">
      <c r="A7378" t="str">
        <f>"838944776"</f>
        <v>838944776</v>
      </c>
      <c r="B7378" t="s">
        <v>6673</v>
      </c>
      <c r="C7378">
        <v>282.58999999999997</v>
      </c>
      <c r="D7378" t="str">
        <f t="shared" si="242"/>
        <v>270</v>
      </c>
    </row>
    <row r="7379" spans="1:4" x14ac:dyDescent="0.25">
      <c r="A7379" t="str">
        <f>"838944777"</f>
        <v>838944777</v>
      </c>
      <c r="B7379" t="s">
        <v>6674</v>
      </c>
      <c r="C7379">
        <v>8.8000000000000007</v>
      </c>
      <c r="D7379" t="str">
        <f t="shared" si="242"/>
        <v>270</v>
      </c>
    </row>
    <row r="7380" spans="1:4" x14ac:dyDescent="0.25">
      <c r="A7380" t="str">
        <f>"838944778"</f>
        <v>838944778</v>
      </c>
      <c r="B7380" t="s">
        <v>6675</v>
      </c>
      <c r="C7380">
        <v>26.4</v>
      </c>
      <c r="D7380" t="str">
        <f t="shared" si="242"/>
        <v>270</v>
      </c>
    </row>
    <row r="7381" spans="1:4" x14ac:dyDescent="0.25">
      <c r="A7381" t="str">
        <f>"838944779"</f>
        <v>838944779</v>
      </c>
      <c r="B7381" t="s">
        <v>6676</v>
      </c>
      <c r="C7381">
        <v>11</v>
      </c>
      <c r="D7381" t="str">
        <f t="shared" si="242"/>
        <v>270</v>
      </c>
    </row>
    <row r="7382" spans="1:4" x14ac:dyDescent="0.25">
      <c r="A7382" t="str">
        <f>"838944780"</f>
        <v>838944780</v>
      </c>
      <c r="B7382" t="s">
        <v>6677</v>
      </c>
      <c r="C7382">
        <v>2.37</v>
      </c>
      <c r="D7382" t="str">
        <f t="shared" si="242"/>
        <v>270</v>
      </c>
    </row>
    <row r="7383" spans="1:4" x14ac:dyDescent="0.25">
      <c r="A7383" t="str">
        <f>"838944781"</f>
        <v>838944781</v>
      </c>
      <c r="B7383" t="s">
        <v>6678</v>
      </c>
      <c r="C7383">
        <v>17.600000000000001</v>
      </c>
      <c r="D7383" t="str">
        <f t="shared" si="242"/>
        <v>270</v>
      </c>
    </row>
    <row r="7384" spans="1:4" x14ac:dyDescent="0.25">
      <c r="A7384" t="str">
        <f>"838944782"</f>
        <v>838944782</v>
      </c>
      <c r="B7384" t="s">
        <v>6679</v>
      </c>
      <c r="C7384">
        <v>51.7</v>
      </c>
      <c r="D7384" t="str">
        <f t="shared" si="242"/>
        <v>270</v>
      </c>
    </row>
    <row r="7385" spans="1:4" x14ac:dyDescent="0.25">
      <c r="A7385" t="str">
        <f>"838944783"</f>
        <v>838944783</v>
      </c>
      <c r="B7385" t="s">
        <v>6680</v>
      </c>
      <c r="C7385">
        <v>24.92</v>
      </c>
      <c r="D7385" t="str">
        <f t="shared" si="242"/>
        <v>270</v>
      </c>
    </row>
    <row r="7386" spans="1:4" x14ac:dyDescent="0.25">
      <c r="A7386" t="str">
        <f>"838944784"</f>
        <v>838944784</v>
      </c>
      <c r="B7386" t="s">
        <v>6681</v>
      </c>
      <c r="C7386">
        <v>73.150000000000006</v>
      </c>
      <c r="D7386" t="str">
        <f t="shared" si="242"/>
        <v>270</v>
      </c>
    </row>
    <row r="7387" spans="1:4" x14ac:dyDescent="0.25">
      <c r="A7387" t="str">
        <f>"838944785"</f>
        <v>838944785</v>
      </c>
      <c r="B7387" t="s">
        <v>6682</v>
      </c>
      <c r="C7387">
        <v>5.83</v>
      </c>
      <c r="D7387" t="str">
        <f t="shared" si="242"/>
        <v>270</v>
      </c>
    </row>
    <row r="7388" spans="1:4" x14ac:dyDescent="0.25">
      <c r="A7388" t="str">
        <f>"838944786"</f>
        <v>838944786</v>
      </c>
      <c r="B7388" t="s">
        <v>6683</v>
      </c>
      <c r="C7388">
        <v>5.83</v>
      </c>
      <c r="D7388" t="str">
        <f t="shared" si="242"/>
        <v>270</v>
      </c>
    </row>
    <row r="7389" spans="1:4" x14ac:dyDescent="0.25">
      <c r="A7389" t="str">
        <f>"838944787"</f>
        <v>838944787</v>
      </c>
      <c r="B7389" t="s">
        <v>6684</v>
      </c>
      <c r="C7389">
        <v>136.79</v>
      </c>
      <c r="D7389" t="str">
        <f t="shared" si="242"/>
        <v>270</v>
      </c>
    </row>
    <row r="7390" spans="1:4" x14ac:dyDescent="0.25">
      <c r="A7390" t="str">
        <f>"838944788"</f>
        <v>838944788</v>
      </c>
      <c r="B7390" t="s">
        <v>6685</v>
      </c>
      <c r="C7390">
        <v>413.93</v>
      </c>
      <c r="D7390" t="str">
        <f t="shared" si="242"/>
        <v>270</v>
      </c>
    </row>
    <row r="7391" spans="1:4" x14ac:dyDescent="0.25">
      <c r="A7391" t="str">
        <f>"838944789"</f>
        <v>838944789</v>
      </c>
      <c r="B7391" t="s">
        <v>6686</v>
      </c>
      <c r="C7391">
        <v>19.09</v>
      </c>
      <c r="D7391" t="str">
        <f t="shared" si="242"/>
        <v>270</v>
      </c>
    </row>
    <row r="7392" spans="1:4" x14ac:dyDescent="0.25">
      <c r="A7392" t="str">
        <f>"838944790"</f>
        <v>838944790</v>
      </c>
      <c r="B7392" t="s">
        <v>6687</v>
      </c>
      <c r="C7392">
        <v>18.7</v>
      </c>
      <c r="D7392" t="str">
        <f t="shared" si="242"/>
        <v>270</v>
      </c>
    </row>
    <row r="7393" spans="1:4" x14ac:dyDescent="0.25">
      <c r="A7393" t="str">
        <f>"838944791"</f>
        <v>838944791</v>
      </c>
      <c r="B7393" t="s">
        <v>6688</v>
      </c>
      <c r="C7393">
        <v>1.21</v>
      </c>
      <c r="D7393" t="str">
        <f t="shared" si="242"/>
        <v>270</v>
      </c>
    </row>
    <row r="7394" spans="1:4" x14ac:dyDescent="0.25">
      <c r="A7394" t="str">
        <f>"838944792"</f>
        <v>838944792</v>
      </c>
      <c r="B7394" t="s">
        <v>6689</v>
      </c>
      <c r="C7394">
        <v>28.93</v>
      </c>
      <c r="D7394" t="str">
        <f t="shared" si="242"/>
        <v>270</v>
      </c>
    </row>
    <row r="7395" spans="1:4" x14ac:dyDescent="0.25">
      <c r="A7395" t="str">
        <f>"838944793"</f>
        <v>838944793</v>
      </c>
      <c r="B7395" t="s">
        <v>6690</v>
      </c>
      <c r="C7395">
        <v>99.11</v>
      </c>
      <c r="D7395" t="str">
        <f t="shared" si="242"/>
        <v>270</v>
      </c>
    </row>
    <row r="7396" spans="1:4" x14ac:dyDescent="0.25">
      <c r="A7396" t="str">
        <f>"838944794"</f>
        <v>838944794</v>
      </c>
      <c r="B7396" t="s">
        <v>6691</v>
      </c>
      <c r="C7396">
        <v>10.29</v>
      </c>
      <c r="D7396" t="str">
        <f t="shared" si="242"/>
        <v>270</v>
      </c>
    </row>
    <row r="7397" spans="1:4" x14ac:dyDescent="0.25">
      <c r="A7397" t="str">
        <f>"838944795"</f>
        <v>838944795</v>
      </c>
      <c r="B7397" t="s">
        <v>6692</v>
      </c>
      <c r="C7397">
        <v>10.29</v>
      </c>
      <c r="D7397" t="str">
        <f t="shared" si="242"/>
        <v>270</v>
      </c>
    </row>
    <row r="7398" spans="1:4" x14ac:dyDescent="0.25">
      <c r="A7398" t="str">
        <f>"838944796"</f>
        <v>838944796</v>
      </c>
      <c r="B7398" t="s">
        <v>6693</v>
      </c>
      <c r="C7398">
        <v>126.23</v>
      </c>
      <c r="D7398" t="str">
        <f t="shared" si="242"/>
        <v>270</v>
      </c>
    </row>
    <row r="7399" spans="1:4" x14ac:dyDescent="0.25">
      <c r="A7399" t="str">
        <f>"838944797"</f>
        <v>838944797</v>
      </c>
      <c r="B7399" t="s">
        <v>6694</v>
      </c>
      <c r="C7399">
        <v>16.23</v>
      </c>
      <c r="D7399" t="str">
        <f t="shared" si="242"/>
        <v>270</v>
      </c>
    </row>
    <row r="7400" spans="1:4" x14ac:dyDescent="0.25">
      <c r="A7400" t="str">
        <f>"838944798"</f>
        <v>838944798</v>
      </c>
      <c r="B7400" t="s">
        <v>6695</v>
      </c>
      <c r="C7400">
        <v>16.23</v>
      </c>
      <c r="D7400" t="str">
        <f t="shared" si="242"/>
        <v>270</v>
      </c>
    </row>
    <row r="7401" spans="1:4" x14ac:dyDescent="0.25">
      <c r="A7401" t="str">
        <f>"838944799"</f>
        <v>838944799</v>
      </c>
      <c r="B7401" t="s">
        <v>6696</v>
      </c>
      <c r="C7401">
        <v>10.07</v>
      </c>
      <c r="D7401" t="str">
        <f t="shared" si="242"/>
        <v>270</v>
      </c>
    </row>
    <row r="7402" spans="1:4" x14ac:dyDescent="0.25">
      <c r="A7402" t="str">
        <f>"838944800"</f>
        <v>838944800</v>
      </c>
      <c r="B7402" t="s">
        <v>6697</v>
      </c>
      <c r="C7402">
        <v>26.57</v>
      </c>
      <c r="D7402" t="str">
        <f t="shared" si="242"/>
        <v>270</v>
      </c>
    </row>
    <row r="7403" spans="1:4" x14ac:dyDescent="0.25">
      <c r="A7403" t="str">
        <f>"838944801"</f>
        <v>838944801</v>
      </c>
      <c r="B7403" t="s">
        <v>6698</v>
      </c>
      <c r="C7403">
        <v>642.4</v>
      </c>
      <c r="D7403" t="str">
        <f t="shared" si="242"/>
        <v>270</v>
      </c>
    </row>
    <row r="7404" spans="1:4" x14ac:dyDescent="0.25">
      <c r="A7404" t="str">
        <f>"838944802"</f>
        <v>838944802</v>
      </c>
      <c r="B7404" t="s">
        <v>6699</v>
      </c>
      <c r="C7404">
        <v>440</v>
      </c>
      <c r="D7404" t="str">
        <f t="shared" si="242"/>
        <v>270</v>
      </c>
    </row>
    <row r="7405" spans="1:4" x14ac:dyDescent="0.25">
      <c r="A7405" t="str">
        <f>"838944803"</f>
        <v>838944803</v>
      </c>
      <c r="B7405" t="s">
        <v>6700</v>
      </c>
      <c r="C7405">
        <v>5.61</v>
      </c>
      <c r="D7405" t="str">
        <f t="shared" si="242"/>
        <v>270</v>
      </c>
    </row>
    <row r="7406" spans="1:4" x14ac:dyDescent="0.25">
      <c r="A7406" t="str">
        <f>"838944804"</f>
        <v>838944804</v>
      </c>
      <c r="B7406" t="s">
        <v>6701</v>
      </c>
      <c r="C7406">
        <v>31.52</v>
      </c>
      <c r="D7406" t="str">
        <f t="shared" si="242"/>
        <v>270</v>
      </c>
    </row>
    <row r="7407" spans="1:4" x14ac:dyDescent="0.25">
      <c r="A7407" t="str">
        <f>"838944805"</f>
        <v>838944805</v>
      </c>
      <c r="B7407" t="s">
        <v>6702</v>
      </c>
      <c r="C7407">
        <v>649</v>
      </c>
      <c r="D7407" t="str">
        <f t="shared" si="242"/>
        <v>270</v>
      </c>
    </row>
    <row r="7408" spans="1:4" x14ac:dyDescent="0.25">
      <c r="A7408" t="str">
        <f>"838944806"</f>
        <v>838944806</v>
      </c>
      <c r="B7408" t="s">
        <v>6703</v>
      </c>
      <c r="C7408">
        <v>59.18</v>
      </c>
      <c r="D7408" t="str">
        <f t="shared" si="242"/>
        <v>270</v>
      </c>
    </row>
    <row r="7409" spans="1:4" x14ac:dyDescent="0.25">
      <c r="A7409" t="str">
        <f>"838944807"</f>
        <v>838944807</v>
      </c>
      <c r="B7409" t="s">
        <v>6704</v>
      </c>
      <c r="C7409">
        <v>14.41</v>
      </c>
      <c r="D7409" t="str">
        <f t="shared" si="242"/>
        <v>270</v>
      </c>
    </row>
    <row r="7410" spans="1:4" x14ac:dyDescent="0.25">
      <c r="A7410" t="str">
        <f>"838944808"</f>
        <v>838944808</v>
      </c>
      <c r="B7410" t="s">
        <v>6705</v>
      </c>
      <c r="C7410">
        <v>22</v>
      </c>
      <c r="D7410" t="str">
        <f t="shared" si="242"/>
        <v>270</v>
      </c>
    </row>
    <row r="7411" spans="1:4" x14ac:dyDescent="0.25">
      <c r="A7411" t="str">
        <f>"838944809"</f>
        <v>838944809</v>
      </c>
      <c r="B7411" t="s">
        <v>6706</v>
      </c>
      <c r="C7411">
        <v>7.37</v>
      </c>
      <c r="D7411" t="str">
        <f t="shared" si="242"/>
        <v>270</v>
      </c>
    </row>
    <row r="7412" spans="1:4" x14ac:dyDescent="0.25">
      <c r="A7412" t="str">
        <f>"838944810"</f>
        <v>838944810</v>
      </c>
      <c r="B7412" t="s">
        <v>6707</v>
      </c>
      <c r="C7412">
        <v>7.37</v>
      </c>
      <c r="D7412" t="str">
        <f t="shared" si="242"/>
        <v>270</v>
      </c>
    </row>
    <row r="7413" spans="1:4" x14ac:dyDescent="0.25">
      <c r="A7413" t="str">
        <f>"838944811"</f>
        <v>838944811</v>
      </c>
      <c r="B7413" t="s">
        <v>6708</v>
      </c>
      <c r="C7413">
        <v>25.03</v>
      </c>
      <c r="D7413" t="str">
        <f t="shared" si="242"/>
        <v>270</v>
      </c>
    </row>
    <row r="7414" spans="1:4" x14ac:dyDescent="0.25">
      <c r="A7414" t="str">
        <f>"838944812"</f>
        <v>838944812</v>
      </c>
      <c r="B7414" t="s">
        <v>6709</v>
      </c>
      <c r="C7414">
        <v>25.03</v>
      </c>
      <c r="D7414" t="str">
        <f t="shared" si="242"/>
        <v>270</v>
      </c>
    </row>
    <row r="7415" spans="1:4" x14ac:dyDescent="0.25">
      <c r="A7415" t="str">
        <f>"838944813"</f>
        <v>838944813</v>
      </c>
      <c r="B7415" t="s">
        <v>6710</v>
      </c>
      <c r="C7415">
        <v>3.91</v>
      </c>
      <c r="D7415" t="str">
        <f t="shared" si="242"/>
        <v>270</v>
      </c>
    </row>
    <row r="7416" spans="1:4" x14ac:dyDescent="0.25">
      <c r="A7416" t="str">
        <f>"838944814"</f>
        <v>838944814</v>
      </c>
      <c r="B7416" t="s">
        <v>6710</v>
      </c>
      <c r="C7416">
        <v>3.91</v>
      </c>
      <c r="D7416" t="str">
        <f t="shared" si="242"/>
        <v>270</v>
      </c>
    </row>
    <row r="7417" spans="1:4" x14ac:dyDescent="0.25">
      <c r="A7417" t="str">
        <f>"838944815"</f>
        <v>838944815</v>
      </c>
      <c r="B7417" t="s">
        <v>6710</v>
      </c>
      <c r="C7417">
        <v>3.91</v>
      </c>
      <c r="D7417" t="str">
        <f t="shared" si="242"/>
        <v>270</v>
      </c>
    </row>
    <row r="7418" spans="1:4" x14ac:dyDescent="0.25">
      <c r="A7418" t="str">
        <f>"838944816"</f>
        <v>838944816</v>
      </c>
      <c r="B7418" t="s">
        <v>6711</v>
      </c>
      <c r="C7418">
        <v>8.36</v>
      </c>
      <c r="D7418" t="str">
        <f t="shared" si="242"/>
        <v>270</v>
      </c>
    </row>
    <row r="7419" spans="1:4" x14ac:dyDescent="0.25">
      <c r="A7419" t="str">
        <f>"838944817"</f>
        <v>838944817</v>
      </c>
      <c r="B7419" t="s">
        <v>6712</v>
      </c>
      <c r="C7419">
        <v>8.36</v>
      </c>
      <c r="D7419" t="str">
        <f t="shared" ref="D7419:D7482" si="243">"270"</f>
        <v>270</v>
      </c>
    </row>
    <row r="7420" spans="1:4" x14ac:dyDescent="0.25">
      <c r="A7420" t="str">
        <f>"838944818"</f>
        <v>838944818</v>
      </c>
      <c r="B7420" t="s">
        <v>6713</v>
      </c>
      <c r="C7420">
        <v>38.67</v>
      </c>
      <c r="D7420" t="str">
        <f t="shared" si="243"/>
        <v>270</v>
      </c>
    </row>
    <row r="7421" spans="1:4" x14ac:dyDescent="0.25">
      <c r="A7421" t="str">
        <f>"838944819"</f>
        <v>838944819</v>
      </c>
      <c r="B7421" t="s">
        <v>6714</v>
      </c>
      <c r="C7421">
        <v>78.540000000000006</v>
      </c>
      <c r="D7421" t="str">
        <f t="shared" si="243"/>
        <v>270</v>
      </c>
    </row>
    <row r="7422" spans="1:4" x14ac:dyDescent="0.25">
      <c r="A7422" t="str">
        <f>"838944820"</f>
        <v>838944820</v>
      </c>
      <c r="B7422" t="s">
        <v>6715</v>
      </c>
      <c r="C7422">
        <v>22.88</v>
      </c>
      <c r="D7422" t="str">
        <f t="shared" si="243"/>
        <v>270</v>
      </c>
    </row>
    <row r="7423" spans="1:4" x14ac:dyDescent="0.25">
      <c r="A7423" t="str">
        <f>"838944821"</f>
        <v>838944821</v>
      </c>
      <c r="B7423" t="s">
        <v>6690</v>
      </c>
      <c r="C7423">
        <v>105.22</v>
      </c>
      <c r="D7423" t="str">
        <f t="shared" si="243"/>
        <v>270</v>
      </c>
    </row>
    <row r="7424" spans="1:4" x14ac:dyDescent="0.25">
      <c r="A7424" t="str">
        <f>"838944822"</f>
        <v>838944822</v>
      </c>
      <c r="B7424" t="s">
        <v>6690</v>
      </c>
      <c r="C7424">
        <v>105.22</v>
      </c>
      <c r="D7424" t="str">
        <f t="shared" si="243"/>
        <v>270</v>
      </c>
    </row>
    <row r="7425" spans="1:4" x14ac:dyDescent="0.25">
      <c r="A7425" t="str">
        <f>"838944823"</f>
        <v>838944823</v>
      </c>
      <c r="B7425" t="s">
        <v>6716</v>
      </c>
      <c r="C7425">
        <v>1.1000000000000001</v>
      </c>
      <c r="D7425" t="str">
        <f t="shared" si="243"/>
        <v>270</v>
      </c>
    </row>
    <row r="7426" spans="1:4" x14ac:dyDescent="0.25">
      <c r="A7426" t="str">
        <f>"838944824"</f>
        <v>838944824</v>
      </c>
      <c r="B7426" t="s">
        <v>6717</v>
      </c>
      <c r="C7426">
        <v>1.1000000000000001</v>
      </c>
      <c r="D7426" t="str">
        <f t="shared" si="243"/>
        <v>270</v>
      </c>
    </row>
    <row r="7427" spans="1:4" x14ac:dyDescent="0.25">
      <c r="A7427" t="str">
        <f>"838944825"</f>
        <v>838944825</v>
      </c>
      <c r="B7427" t="s">
        <v>6718</v>
      </c>
      <c r="C7427">
        <v>132</v>
      </c>
      <c r="D7427" t="str">
        <f t="shared" si="243"/>
        <v>270</v>
      </c>
    </row>
    <row r="7428" spans="1:4" x14ac:dyDescent="0.25">
      <c r="A7428" t="str">
        <f>"838944826"</f>
        <v>838944826</v>
      </c>
      <c r="B7428" t="s">
        <v>6719</v>
      </c>
      <c r="C7428">
        <v>12.49</v>
      </c>
      <c r="D7428" t="str">
        <f t="shared" si="243"/>
        <v>270</v>
      </c>
    </row>
    <row r="7429" spans="1:4" x14ac:dyDescent="0.25">
      <c r="A7429" t="str">
        <f>"838944827"</f>
        <v>838944827</v>
      </c>
      <c r="B7429" t="s">
        <v>6719</v>
      </c>
      <c r="C7429">
        <v>12.49</v>
      </c>
      <c r="D7429" t="str">
        <f t="shared" si="243"/>
        <v>270</v>
      </c>
    </row>
    <row r="7430" spans="1:4" x14ac:dyDescent="0.25">
      <c r="A7430" t="str">
        <f>"838944828"</f>
        <v>838944828</v>
      </c>
      <c r="B7430" t="s">
        <v>6719</v>
      </c>
      <c r="C7430">
        <v>12.49</v>
      </c>
      <c r="D7430" t="str">
        <f t="shared" si="243"/>
        <v>270</v>
      </c>
    </row>
    <row r="7431" spans="1:4" x14ac:dyDescent="0.25">
      <c r="A7431" t="str">
        <f>"838944829"</f>
        <v>838944829</v>
      </c>
      <c r="B7431" t="s">
        <v>6719</v>
      </c>
      <c r="C7431">
        <v>12.49</v>
      </c>
      <c r="D7431" t="str">
        <f t="shared" si="243"/>
        <v>270</v>
      </c>
    </row>
    <row r="7432" spans="1:4" x14ac:dyDescent="0.25">
      <c r="A7432" t="str">
        <f>"838944830"</f>
        <v>838944830</v>
      </c>
      <c r="B7432" t="s">
        <v>6720</v>
      </c>
      <c r="C7432">
        <v>55</v>
      </c>
      <c r="D7432" t="str">
        <f t="shared" si="243"/>
        <v>270</v>
      </c>
    </row>
    <row r="7433" spans="1:4" x14ac:dyDescent="0.25">
      <c r="A7433" t="str">
        <f>"838944831"</f>
        <v>838944831</v>
      </c>
      <c r="B7433" t="s">
        <v>6721</v>
      </c>
      <c r="C7433">
        <v>38.5</v>
      </c>
      <c r="D7433" t="str">
        <f t="shared" si="243"/>
        <v>270</v>
      </c>
    </row>
    <row r="7434" spans="1:4" x14ac:dyDescent="0.25">
      <c r="A7434" t="str">
        <f>"838944832"</f>
        <v>838944832</v>
      </c>
      <c r="B7434" t="s">
        <v>6722</v>
      </c>
      <c r="C7434">
        <v>108.85</v>
      </c>
      <c r="D7434" t="str">
        <f t="shared" si="243"/>
        <v>270</v>
      </c>
    </row>
    <row r="7435" spans="1:4" x14ac:dyDescent="0.25">
      <c r="A7435" t="str">
        <f>"838944833"</f>
        <v>838944833</v>
      </c>
      <c r="B7435" t="s">
        <v>6723</v>
      </c>
      <c r="C7435">
        <v>364.1</v>
      </c>
      <c r="D7435" t="str">
        <f t="shared" si="243"/>
        <v>270</v>
      </c>
    </row>
    <row r="7436" spans="1:4" x14ac:dyDescent="0.25">
      <c r="A7436" t="str">
        <f>"838944834"</f>
        <v>838944834</v>
      </c>
      <c r="B7436" t="s">
        <v>6724</v>
      </c>
      <c r="C7436">
        <v>354.64</v>
      </c>
      <c r="D7436" t="str">
        <f t="shared" si="243"/>
        <v>270</v>
      </c>
    </row>
    <row r="7437" spans="1:4" x14ac:dyDescent="0.25">
      <c r="A7437" t="str">
        <f>"838944835"</f>
        <v>838944835</v>
      </c>
      <c r="B7437" t="s">
        <v>6725</v>
      </c>
      <c r="C7437">
        <v>354.64</v>
      </c>
      <c r="D7437" t="str">
        <f t="shared" si="243"/>
        <v>270</v>
      </c>
    </row>
    <row r="7438" spans="1:4" x14ac:dyDescent="0.25">
      <c r="A7438" t="str">
        <f>"838944836"</f>
        <v>838944836</v>
      </c>
      <c r="B7438" t="s">
        <v>6725</v>
      </c>
      <c r="C7438">
        <v>354.64</v>
      </c>
      <c r="D7438" t="str">
        <f t="shared" si="243"/>
        <v>270</v>
      </c>
    </row>
    <row r="7439" spans="1:4" x14ac:dyDescent="0.25">
      <c r="A7439" t="str">
        <f>"838944837"</f>
        <v>838944837</v>
      </c>
      <c r="B7439" t="s">
        <v>6725</v>
      </c>
      <c r="C7439">
        <v>354.64</v>
      </c>
      <c r="D7439" t="str">
        <f t="shared" si="243"/>
        <v>270</v>
      </c>
    </row>
    <row r="7440" spans="1:4" x14ac:dyDescent="0.25">
      <c r="A7440" t="str">
        <f>"838944838"</f>
        <v>838944838</v>
      </c>
      <c r="B7440" t="s">
        <v>6725</v>
      </c>
      <c r="C7440">
        <v>354.64</v>
      </c>
      <c r="D7440" t="str">
        <f t="shared" si="243"/>
        <v>270</v>
      </c>
    </row>
    <row r="7441" spans="1:4" x14ac:dyDescent="0.25">
      <c r="A7441" t="str">
        <f>"838944839"</f>
        <v>838944839</v>
      </c>
      <c r="B7441" t="s">
        <v>6726</v>
      </c>
      <c r="C7441">
        <v>75.790000000000006</v>
      </c>
      <c r="D7441" t="str">
        <f t="shared" si="243"/>
        <v>270</v>
      </c>
    </row>
    <row r="7442" spans="1:4" x14ac:dyDescent="0.25">
      <c r="A7442" t="str">
        <f>"838944840"</f>
        <v>838944840</v>
      </c>
      <c r="B7442" t="s">
        <v>6727</v>
      </c>
      <c r="C7442">
        <v>1.1000000000000001</v>
      </c>
      <c r="D7442" t="str">
        <f t="shared" si="243"/>
        <v>270</v>
      </c>
    </row>
    <row r="7443" spans="1:4" x14ac:dyDescent="0.25">
      <c r="A7443" t="str">
        <f>"838944841"</f>
        <v>838944841</v>
      </c>
      <c r="B7443" t="s">
        <v>6728</v>
      </c>
      <c r="C7443">
        <v>1.1000000000000001</v>
      </c>
      <c r="D7443" t="str">
        <f t="shared" si="243"/>
        <v>270</v>
      </c>
    </row>
    <row r="7444" spans="1:4" x14ac:dyDescent="0.25">
      <c r="A7444" t="str">
        <f>"838944842"</f>
        <v>838944842</v>
      </c>
      <c r="B7444" t="s">
        <v>6729</v>
      </c>
      <c r="C7444">
        <v>5.28</v>
      </c>
      <c r="D7444" t="str">
        <f t="shared" si="243"/>
        <v>270</v>
      </c>
    </row>
    <row r="7445" spans="1:4" x14ac:dyDescent="0.25">
      <c r="A7445" t="str">
        <f>"838944843"</f>
        <v>838944843</v>
      </c>
      <c r="B7445" t="s">
        <v>6730</v>
      </c>
      <c r="C7445">
        <v>5.28</v>
      </c>
      <c r="D7445" t="str">
        <f t="shared" si="243"/>
        <v>270</v>
      </c>
    </row>
    <row r="7446" spans="1:4" x14ac:dyDescent="0.25">
      <c r="A7446" t="str">
        <f>"838944844"</f>
        <v>838944844</v>
      </c>
      <c r="B7446" t="s">
        <v>6731</v>
      </c>
      <c r="C7446">
        <v>23.54</v>
      </c>
      <c r="D7446" t="str">
        <f t="shared" si="243"/>
        <v>270</v>
      </c>
    </row>
    <row r="7447" spans="1:4" x14ac:dyDescent="0.25">
      <c r="A7447" t="str">
        <f>"838944845"</f>
        <v>838944845</v>
      </c>
      <c r="B7447" t="s">
        <v>6732</v>
      </c>
      <c r="C7447">
        <v>23.54</v>
      </c>
      <c r="D7447" t="str">
        <f t="shared" si="243"/>
        <v>270</v>
      </c>
    </row>
    <row r="7448" spans="1:4" x14ac:dyDescent="0.25">
      <c r="A7448" t="str">
        <f>"838944846"</f>
        <v>838944846</v>
      </c>
      <c r="B7448" t="s">
        <v>6733</v>
      </c>
      <c r="C7448">
        <v>76.34</v>
      </c>
      <c r="D7448" t="str">
        <f t="shared" si="243"/>
        <v>270</v>
      </c>
    </row>
    <row r="7449" spans="1:4" x14ac:dyDescent="0.25">
      <c r="A7449" t="str">
        <f>"838944847"</f>
        <v>838944847</v>
      </c>
      <c r="B7449" t="s">
        <v>6734</v>
      </c>
      <c r="C7449">
        <v>86.3</v>
      </c>
      <c r="D7449" t="str">
        <f t="shared" si="243"/>
        <v>270</v>
      </c>
    </row>
    <row r="7450" spans="1:4" x14ac:dyDescent="0.25">
      <c r="A7450" t="str">
        <f>"838944848"</f>
        <v>838944848</v>
      </c>
      <c r="B7450" t="s">
        <v>6735</v>
      </c>
      <c r="C7450">
        <v>3.14</v>
      </c>
      <c r="D7450" t="str">
        <f t="shared" si="243"/>
        <v>270</v>
      </c>
    </row>
    <row r="7451" spans="1:4" x14ac:dyDescent="0.25">
      <c r="A7451" t="str">
        <f>"838944849"</f>
        <v>838944849</v>
      </c>
      <c r="B7451" t="s">
        <v>6736</v>
      </c>
      <c r="C7451">
        <v>8.5299999999999994</v>
      </c>
      <c r="D7451" t="str">
        <f t="shared" si="243"/>
        <v>270</v>
      </c>
    </row>
    <row r="7452" spans="1:4" x14ac:dyDescent="0.25">
      <c r="A7452" t="str">
        <f>"838944850"</f>
        <v>838944850</v>
      </c>
      <c r="B7452" t="s">
        <v>6737</v>
      </c>
      <c r="C7452">
        <v>44</v>
      </c>
      <c r="D7452" t="str">
        <f t="shared" si="243"/>
        <v>270</v>
      </c>
    </row>
    <row r="7453" spans="1:4" x14ac:dyDescent="0.25">
      <c r="A7453" t="str">
        <f>"838944851"</f>
        <v>838944851</v>
      </c>
      <c r="B7453" t="s">
        <v>6738</v>
      </c>
      <c r="C7453">
        <v>20.350000000000001</v>
      </c>
      <c r="D7453" t="str">
        <f t="shared" si="243"/>
        <v>270</v>
      </c>
    </row>
    <row r="7454" spans="1:4" x14ac:dyDescent="0.25">
      <c r="A7454" t="str">
        <f>"838944852"</f>
        <v>838944852</v>
      </c>
      <c r="B7454" t="s">
        <v>6739</v>
      </c>
      <c r="C7454">
        <v>10.89</v>
      </c>
      <c r="D7454" t="str">
        <f t="shared" si="243"/>
        <v>270</v>
      </c>
    </row>
    <row r="7455" spans="1:4" x14ac:dyDescent="0.25">
      <c r="A7455" t="str">
        <f>"838944853"</f>
        <v>838944853</v>
      </c>
      <c r="B7455" t="s">
        <v>6740</v>
      </c>
      <c r="C7455">
        <v>330.99</v>
      </c>
      <c r="D7455" t="str">
        <f t="shared" si="243"/>
        <v>270</v>
      </c>
    </row>
    <row r="7456" spans="1:4" x14ac:dyDescent="0.25">
      <c r="A7456" t="str">
        <f>"838944854"</f>
        <v>838944854</v>
      </c>
      <c r="B7456" t="s">
        <v>6741</v>
      </c>
      <c r="C7456">
        <v>267.47000000000003</v>
      </c>
      <c r="D7456" t="str">
        <f t="shared" si="243"/>
        <v>270</v>
      </c>
    </row>
    <row r="7457" spans="1:4" x14ac:dyDescent="0.25">
      <c r="A7457" t="str">
        <f>"838944855"</f>
        <v>838944855</v>
      </c>
      <c r="B7457" t="s">
        <v>6742</v>
      </c>
      <c r="C7457">
        <v>385</v>
      </c>
      <c r="D7457" t="str">
        <f t="shared" si="243"/>
        <v>270</v>
      </c>
    </row>
    <row r="7458" spans="1:4" x14ac:dyDescent="0.25">
      <c r="A7458" t="str">
        <f>"838944856"</f>
        <v>838944856</v>
      </c>
      <c r="B7458" t="s">
        <v>6743</v>
      </c>
      <c r="C7458">
        <v>376.92</v>
      </c>
      <c r="D7458" t="str">
        <f t="shared" si="243"/>
        <v>270</v>
      </c>
    </row>
    <row r="7459" spans="1:4" x14ac:dyDescent="0.25">
      <c r="A7459" t="str">
        <f>"838944857"</f>
        <v>838944857</v>
      </c>
      <c r="B7459" t="s">
        <v>6744</v>
      </c>
      <c r="C7459">
        <v>376.92</v>
      </c>
      <c r="D7459" t="str">
        <f t="shared" si="243"/>
        <v>270</v>
      </c>
    </row>
    <row r="7460" spans="1:4" x14ac:dyDescent="0.25">
      <c r="A7460" t="str">
        <f>"838944858"</f>
        <v>838944858</v>
      </c>
      <c r="B7460" t="s">
        <v>6745</v>
      </c>
      <c r="C7460">
        <v>220.39</v>
      </c>
      <c r="D7460" t="str">
        <f t="shared" si="243"/>
        <v>270</v>
      </c>
    </row>
    <row r="7461" spans="1:4" x14ac:dyDescent="0.25">
      <c r="A7461" t="str">
        <f>"838944859"</f>
        <v>838944859</v>
      </c>
      <c r="B7461" t="s">
        <v>6746</v>
      </c>
      <c r="C7461">
        <v>376.09</v>
      </c>
      <c r="D7461" t="str">
        <f t="shared" si="243"/>
        <v>270</v>
      </c>
    </row>
    <row r="7462" spans="1:4" x14ac:dyDescent="0.25">
      <c r="A7462" t="str">
        <f>"838944860"</f>
        <v>838944860</v>
      </c>
      <c r="B7462" t="s">
        <v>6747</v>
      </c>
      <c r="C7462">
        <v>376.09</v>
      </c>
      <c r="D7462" t="str">
        <f t="shared" si="243"/>
        <v>270</v>
      </c>
    </row>
    <row r="7463" spans="1:4" x14ac:dyDescent="0.25">
      <c r="A7463" t="str">
        <f>"838944861"</f>
        <v>838944861</v>
      </c>
      <c r="B7463" t="s">
        <v>6748</v>
      </c>
      <c r="C7463">
        <v>279.29000000000002</v>
      </c>
      <c r="D7463" t="str">
        <f t="shared" si="243"/>
        <v>270</v>
      </c>
    </row>
    <row r="7464" spans="1:4" x14ac:dyDescent="0.25">
      <c r="A7464" t="str">
        <f>"838944862"</f>
        <v>838944862</v>
      </c>
      <c r="B7464" t="s">
        <v>6749</v>
      </c>
      <c r="C7464">
        <v>203.12</v>
      </c>
      <c r="D7464" t="str">
        <f t="shared" si="243"/>
        <v>270</v>
      </c>
    </row>
    <row r="7465" spans="1:4" x14ac:dyDescent="0.25">
      <c r="A7465" t="str">
        <f>"838944863"</f>
        <v>838944863</v>
      </c>
      <c r="B7465" t="s">
        <v>6750</v>
      </c>
      <c r="C7465">
        <v>58.91</v>
      </c>
      <c r="D7465" t="str">
        <f t="shared" si="243"/>
        <v>270</v>
      </c>
    </row>
    <row r="7466" spans="1:4" x14ac:dyDescent="0.25">
      <c r="A7466" t="str">
        <f>"838944864"</f>
        <v>838944864</v>
      </c>
      <c r="B7466" t="s">
        <v>6750</v>
      </c>
      <c r="C7466">
        <v>58.91</v>
      </c>
      <c r="D7466" t="str">
        <f t="shared" si="243"/>
        <v>270</v>
      </c>
    </row>
    <row r="7467" spans="1:4" x14ac:dyDescent="0.25">
      <c r="A7467" t="str">
        <f>"838944865"</f>
        <v>838944865</v>
      </c>
      <c r="B7467" t="s">
        <v>6751</v>
      </c>
      <c r="C7467">
        <v>353.87</v>
      </c>
      <c r="D7467" t="str">
        <f t="shared" si="243"/>
        <v>270</v>
      </c>
    </row>
    <row r="7468" spans="1:4" x14ac:dyDescent="0.25">
      <c r="A7468" t="str">
        <f>"838944866"</f>
        <v>838944866</v>
      </c>
      <c r="B7468" t="s">
        <v>6752</v>
      </c>
      <c r="C7468">
        <v>176.94</v>
      </c>
      <c r="D7468" t="str">
        <f t="shared" si="243"/>
        <v>270</v>
      </c>
    </row>
    <row r="7469" spans="1:4" x14ac:dyDescent="0.25">
      <c r="A7469" t="str">
        <f>"838944867"</f>
        <v>838944867</v>
      </c>
      <c r="B7469" t="s">
        <v>6753</v>
      </c>
      <c r="C7469">
        <v>176.94</v>
      </c>
      <c r="D7469" t="str">
        <f t="shared" si="243"/>
        <v>270</v>
      </c>
    </row>
    <row r="7470" spans="1:4" x14ac:dyDescent="0.25">
      <c r="A7470" t="str">
        <f>"838944868"</f>
        <v>838944868</v>
      </c>
      <c r="B7470" t="s">
        <v>6754</v>
      </c>
      <c r="C7470">
        <v>176.94</v>
      </c>
      <c r="D7470" t="str">
        <f t="shared" si="243"/>
        <v>270</v>
      </c>
    </row>
    <row r="7471" spans="1:4" x14ac:dyDescent="0.25">
      <c r="A7471" t="str">
        <f>"838944869"</f>
        <v>838944869</v>
      </c>
      <c r="B7471" t="s">
        <v>6755</v>
      </c>
      <c r="C7471">
        <v>20.79</v>
      </c>
      <c r="D7471" t="str">
        <f t="shared" si="243"/>
        <v>270</v>
      </c>
    </row>
    <row r="7472" spans="1:4" x14ac:dyDescent="0.25">
      <c r="A7472" t="str">
        <f>"838944870"</f>
        <v>838944870</v>
      </c>
      <c r="B7472" t="s">
        <v>6756</v>
      </c>
      <c r="C7472">
        <v>7.21</v>
      </c>
      <c r="D7472" t="str">
        <f t="shared" si="243"/>
        <v>270</v>
      </c>
    </row>
    <row r="7473" spans="1:4" x14ac:dyDescent="0.25">
      <c r="A7473" t="str">
        <f>"838944871"</f>
        <v>838944871</v>
      </c>
      <c r="B7473" t="s">
        <v>6757</v>
      </c>
      <c r="C7473">
        <v>23.1</v>
      </c>
      <c r="D7473" t="str">
        <f t="shared" si="243"/>
        <v>270</v>
      </c>
    </row>
    <row r="7474" spans="1:4" x14ac:dyDescent="0.25">
      <c r="A7474" t="str">
        <f>"838944872"</f>
        <v>838944872</v>
      </c>
      <c r="B7474" t="s">
        <v>6758</v>
      </c>
      <c r="C7474">
        <v>44</v>
      </c>
      <c r="D7474" t="str">
        <f t="shared" si="243"/>
        <v>270</v>
      </c>
    </row>
    <row r="7475" spans="1:4" x14ac:dyDescent="0.25">
      <c r="A7475" t="str">
        <f>"838944873"</f>
        <v>838944873</v>
      </c>
      <c r="B7475" t="s">
        <v>6759</v>
      </c>
      <c r="C7475">
        <v>20.9</v>
      </c>
      <c r="D7475" t="str">
        <f t="shared" si="243"/>
        <v>270</v>
      </c>
    </row>
    <row r="7476" spans="1:4" x14ac:dyDescent="0.25">
      <c r="A7476" t="str">
        <f>"838944874"</f>
        <v>838944874</v>
      </c>
      <c r="B7476" t="s">
        <v>6760</v>
      </c>
      <c r="C7476">
        <v>55.11</v>
      </c>
      <c r="D7476" t="str">
        <f t="shared" si="243"/>
        <v>270</v>
      </c>
    </row>
    <row r="7477" spans="1:4" x14ac:dyDescent="0.25">
      <c r="A7477" t="str">
        <f>"838944875"</f>
        <v>838944875</v>
      </c>
      <c r="B7477" t="s">
        <v>6761</v>
      </c>
      <c r="C7477">
        <v>68.31</v>
      </c>
      <c r="D7477" t="str">
        <f t="shared" si="243"/>
        <v>270</v>
      </c>
    </row>
    <row r="7478" spans="1:4" x14ac:dyDescent="0.25">
      <c r="A7478" t="str">
        <f>"838944876"</f>
        <v>838944876</v>
      </c>
      <c r="B7478" t="s">
        <v>6762</v>
      </c>
      <c r="C7478">
        <v>194.54</v>
      </c>
      <c r="D7478" t="str">
        <f t="shared" si="243"/>
        <v>270</v>
      </c>
    </row>
    <row r="7479" spans="1:4" x14ac:dyDescent="0.25">
      <c r="A7479" t="str">
        <f>"838944877"</f>
        <v>838944877</v>
      </c>
      <c r="B7479" t="s">
        <v>6614</v>
      </c>
      <c r="C7479">
        <v>196.96</v>
      </c>
      <c r="D7479" t="str">
        <f t="shared" si="243"/>
        <v>270</v>
      </c>
    </row>
    <row r="7480" spans="1:4" x14ac:dyDescent="0.25">
      <c r="A7480" t="str">
        <f>"838944878"</f>
        <v>838944878</v>
      </c>
      <c r="B7480" t="s">
        <v>6763</v>
      </c>
      <c r="C7480">
        <v>107.47</v>
      </c>
      <c r="D7480" t="str">
        <f t="shared" si="243"/>
        <v>270</v>
      </c>
    </row>
    <row r="7481" spans="1:4" x14ac:dyDescent="0.25">
      <c r="A7481" t="str">
        <f>"838944879"</f>
        <v>838944879</v>
      </c>
      <c r="B7481" t="s">
        <v>6614</v>
      </c>
      <c r="C7481">
        <v>196.96</v>
      </c>
      <c r="D7481" t="str">
        <f t="shared" si="243"/>
        <v>270</v>
      </c>
    </row>
    <row r="7482" spans="1:4" x14ac:dyDescent="0.25">
      <c r="A7482" t="str">
        <f>"838944880"</f>
        <v>838944880</v>
      </c>
      <c r="B7482" t="s">
        <v>6764</v>
      </c>
      <c r="C7482">
        <v>67.489999999999995</v>
      </c>
      <c r="D7482" t="str">
        <f t="shared" si="243"/>
        <v>270</v>
      </c>
    </row>
    <row r="7483" spans="1:4" x14ac:dyDescent="0.25">
      <c r="A7483" t="str">
        <f>"838944881"</f>
        <v>838944881</v>
      </c>
      <c r="B7483" t="s">
        <v>6765</v>
      </c>
      <c r="C7483">
        <v>62.15</v>
      </c>
      <c r="D7483" t="str">
        <f t="shared" ref="D7483:D7546" si="244">"270"</f>
        <v>270</v>
      </c>
    </row>
    <row r="7484" spans="1:4" x14ac:dyDescent="0.25">
      <c r="A7484" t="str">
        <f>"838944882"</f>
        <v>838944882</v>
      </c>
      <c r="B7484" t="s">
        <v>6766</v>
      </c>
      <c r="C7484">
        <v>77</v>
      </c>
      <c r="D7484" t="str">
        <f t="shared" si="244"/>
        <v>270</v>
      </c>
    </row>
    <row r="7485" spans="1:4" x14ac:dyDescent="0.25">
      <c r="A7485" t="str">
        <f>"838944883"</f>
        <v>838944883</v>
      </c>
      <c r="B7485" t="s">
        <v>6767</v>
      </c>
      <c r="C7485">
        <v>330</v>
      </c>
      <c r="D7485" t="str">
        <f t="shared" si="244"/>
        <v>270</v>
      </c>
    </row>
    <row r="7486" spans="1:4" x14ac:dyDescent="0.25">
      <c r="A7486" t="str">
        <f>"838944884"</f>
        <v>838944884</v>
      </c>
      <c r="B7486" t="s">
        <v>6768</v>
      </c>
      <c r="C7486">
        <v>389.9</v>
      </c>
      <c r="D7486" t="str">
        <f t="shared" si="244"/>
        <v>270</v>
      </c>
    </row>
    <row r="7487" spans="1:4" x14ac:dyDescent="0.25">
      <c r="A7487" t="str">
        <f>"838944885"</f>
        <v>838944885</v>
      </c>
      <c r="B7487" t="s">
        <v>6769</v>
      </c>
      <c r="C7487">
        <v>34.93</v>
      </c>
      <c r="D7487" t="str">
        <f t="shared" si="244"/>
        <v>270</v>
      </c>
    </row>
    <row r="7488" spans="1:4" x14ac:dyDescent="0.25">
      <c r="A7488" t="str">
        <f>"838944886"</f>
        <v>838944886</v>
      </c>
      <c r="B7488" t="s">
        <v>6770</v>
      </c>
      <c r="C7488">
        <v>24.97</v>
      </c>
      <c r="D7488" t="str">
        <f t="shared" si="244"/>
        <v>270</v>
      </c>
    </row>
    <row r="7489" spans="1:4" x14ac:dyDescent="0.25">
      <c r="A7489" t="str">
        <f>"838944887"</f>
        <v>838944887</v>
      </c>
      <c r="B7489" t="s">
        <v>6771</v>
      </c>
      <c r="C7489">
        <v>47.91</v>
      </c>
      <c r="D7489" t="str">
        <f t="shared" si="244"/>
        <v>270</v>
      </c>
    </row>
    <row r="7490" spans="1:4" x14ac:dyDescent="0.25">
      <c r="A7490" t="str">
        <f>"838944888"</f>
        <v>838944888</v>
      </c>
      <c r="B7490" t="s">
        <v>6772</v>
      </c>
      <c r="C7490">
        <v>60.72</v>
      </c>
      <c r="D7490" t="str">
        <f t="shared" si="244"/>
        <v>270</v>
      </c>
    </row>
    <row r="7491" spans="1:4" x14ac:dyDescent="0.25">
      <c r="A7491" t="str">
        <f>"838944889"</f>
        <v>838944889</v>
      </c>
      <c r="B7491" t="s">
        <v>6773</v>
      </c>
      <c r="C7491">
        <v>80.14</v>
      </c>
      <c r="D7491" t="str">
        <f t="shared" si="244"/>
        <v>270</v>
      </c>
    </row>
    <row r="7492" spans="1:4" x14ac:dyDescent="0.25">
      <c r="A7492" t="str">
        <f>"838944890"</f>
        <v>838944890</v>
      </c>
      <c r="B7492" t="s">
        <v>6774</v>
      </c>
      <c r="C7492">
        <v>5.78</v>
      </c>
      <c r="D7492" t="str">
        <f t="shared" si="244"/>
        <v>270</v>
      </c>
    </row>
    <row r="7493" spans="1:4" x14ac:dyDescent="0.25">
      <c r="A7493" t="str">
        <f>"838944891"</f>
        <v>838944891</v>
      </c>
      <c r="B7493" t="s">
        <v>6775</v>
      </c>
      <c r="C7493">
        <v>165</v>
      </c>
      <c r="D7493" t="str">
        <f t="shared" si="244"/>
        <v>270</v>
      </c>
    </row>
    <row r="7494" spans="1:4" x14ac:dyDescent="0.25">
      <c r="A7494" t="str">
        <f>"838944892"</f>
        <v>838944892</v>
      </c>
      <c r="B7494" t="s">
        <v>6776</v>
      </c>
      <c r="C7494">
        <v>187</v>
      </c>
      <c r="D7494" t="str">
        <f t="shared" si="244"/>
        <v>270</v>
      </c>
    </row>
    <row r="7495" spans="1:4" x14ac:dyDescent="0.25">
      <c r="A7495" t="str">
        <f>"838944893"</f>
        <v>838944893</v>
      </c>
      <c r="B7495" t="s">
        <v>6777</v>
      </c>
      <c r="C7495">
        <v>118.91</v>
      </c>
      <c r="D7495" t="str">
        <f t="shared" si="244"/>
        <v>270</v>
      </c>
    </row>
    <row r="7496" spans="1:4" x14ac:dyDescent="0.25">
      <c r="A7496" t="str">
        <f>"838944894"</f>
        <v>838944894</v>
      </c>
      <c r="B7496" t="s">
        <v>6778</v>
      </c>
      <c r="C7496">
        <v>32.840000000000003</v>
      </c>
      <c r="D7496" t="str">
        <f t="shared" si="244"/>
        <v>270</v>
      </c>
    </row>
    <row r="7497" spans="1:4" x14ac:dyDescent="0.25">
      <c r="A7497" t="str">
        <f>"838944895"</f>
        <v>838944895</v>
      </c>
      <c r="B7497" t="s">
        <v>6779</v>
      </c>
      <c r="C7497">
        <v>100.21</v>
      </c>
      <c r="D7497" t="str">
        <f t="shared" si="244"/>
        <v>270</v>
      </c>
    </row>
    <row r="7498" spans="1:4" x14ac:dyDescent="0.25">
      <c r="A7498" t="str">
        <f>"838944896"</f>
        <v>838944896</v>
      </c>
      <c r="B7498" t="s">
        <v>6780</v>
      </c>
      <c r="C7498">
        <v>165</v>
      </c>
      <c r="D7498" t="str">
        <f t="shared" si="244"/>
        <v>270</v>
      </c>
    </row>
    <row r="7499" spans="1:4" x14ac:dyDescent="0.25">
      <c r="A7499" t="str">
        <f>"838944897"</f>
        <v>838944897</v>
      </c>
      <c r="B7499" t="s">
        <v>6781</v>
      </c>
      <c r="C7499">
        <v>21.62</v>
      </c>
      <c r="D7499" t="str">
        <f t="shared" si="244"/>
        <v>270</v>
      </c>
    </row>
    <row r="7500" spans="1:4" x14ac:dyDescent="0.25">
      <c r="A7500" t="str">
        <f>"838944898"</f>
        <v>838944898</v>
      </c>
      <c r="B7500" t="s">
        <v>2643</v>
      </c>
      <c r="C7500">
        <v>61.16</v>
      </c>
      <c r="D7500" t="str">
        <f t="shared" si="244"/>
        <v>270</v>
      </c>
    </row>
    <row r="7501" spans="1:4" x14ac:dyDescent="0.25">
      <c r="A7501" t="str">
        <f>"838944899"</f>
        <v>838944899</v>
      </c>
      <c r="B7501" t="s">
        <v>6782</v>
      </c>
      <c r="C7501">
        <v>36.96</v>
      </c>
      <c r="D7501" t="str">
        <f t="shared" si="244"/>
        <v>270</v>
      </c>
    </row>
    <row r="7502" spans="1:4" x14ac:dyDescent="0.25">
      <c r="A7502" t="str">
        <f>"838944900"</f>
        <v>838944900</v>
      </c>
      <c r="B7502" t="s">
        <v>6783</v>
      </c>
      <c r="C7502">
        <v>73.099999999999994</v>
      </c>
      <c r="D7502" t="str">
        <f t="shared" si="244"/>
        <v>270</v>
      </c>
    </row>
    <row r="7503" spans="1:4" x14ac:dyDescent="0.25">
      <c r="A7503" t="str">
        <f>"838944901"</f>
        <v>838944901</v>
      </c>
      <c r="B7503" t="s">
        <v>6784</v>
      </c>
      <c r="C7503">
        <v>33</v>
      </c>
      <c r="D7503" t="str">
        <f t="shared" si="244"/>
        <v>270</v>
      </c>
    </row>
    <row r="7504" spans="1:4" x14ac:dyDescent="0.25">
      <c r="A7504" t="str">
        <f>"838944902"</f>
        <v>838944902</v>
      </c>
      <c r="B7504" t="s">
        <v>6785</v>
      </c>
      <c r="C7504">
        <v>47.91</v>
      </c>
      <c r="D7504" t="str">
        <f t="shared" si="244"/>
        <v>270</v>
      </c>
    </row>
    <row r="7505" spans="1:4" x14ac:dyDescent="0.25">
      <c r="A7505" t="str">
        <f>"838944903"</f>
        <v>838944903</v>
      </c>
      <c r="B7505" t="s">
        <v>6786</v>
      </c>
      <c r="C7505">
        <v>98.12</v>
      </c>
      <c r="D7505" t="str">
        <f t="shared" si="244"/>
        <v>270</v>
      </c>
    </row>
    <row r="7506" spans="1:4" x14ac:dyDescent="0.25">
      <c r="A7506" t="str">
        <f>"838944904"</f>
        <v>838944904</v>
      </c>
      <c r="B7506" t="s">
        <v>6787</v>
      </c>
      <c r="C7506">
        <v>43.78</v>
      </c>
      <c r="D7506" t="str">
        <f t="shared" si="244"/>
        <v>270</v>
      </c>
    </row>
    <row r="7507" spans="1:4" x14ac:dyDescent="0.25">
      <c r="A7507" t="str">
        <f>"838944905"</f>
        <v>838944905</v>
      </c>
      <c r="B7507" t="s">
        <v>6788</v>
      </c>
      <c r="C7507">
        <v>43.78</v>
      </c>
      <c r="D7507" t="str">
        <f t="shared" si="244"/>
        <v>270</v>
      </c>
    </row>
    <row r="7508" spans="1:4" x14ac:dyDescent="0.25">
      <c r="A7508" t="str">
        <f>"838944906"</f>
        <v>838944906</v>
      </c>
      <c r="B7508" t="s">
        <v>6789</v>
      </c>
      <c r="C7508">
        <v>14.91</v>
      </c>
      <c r="D7508" t="str">
        <f t="shared" si="244"/>
        <v>270</v>
      </c>
    </row>
    <row r="7509" spans="1:4" x14ac:dyDescent="0.25">
      <c r="A7509" t="str">
        <f>"838944907"</f>
        <v>838944907</v>
      </c>
      <c r="B7509" t="s">
        <v>6790</v>
      </c>
      <c r="C7509">
        <v>23.87</v>
      </c>
      <c r="D7509" t="str">
        <f t="shared" si="244"/>
        <v>270</v>
      </c>
    </row>
    <row r="7510" spans="1:4" x14ac:dyDescent="0.25">
      <c r="A7510" t="str">
        <f>"838944908"</f>
        <v>838944908</v>
      </c>
      <c r="B7510" t="s">
        <v>6791</v>
      </c>
      <c r="C7510">
        <v>79.64</v>
      </c>
      <c r="D7510" t="str">
        <f t="shared" si="244"/>
        <v>270</v>
      </c>
    </row>
    <row r="7511" spans="1:4" x14ac:dyDescent="0.25">
      <c r="A7511" t="str">
        <f>"838944909"</f>
        <v>838944909</v>
      </c>
      <c r="B7511" t="s">
        <v>6792</v>
      </c>
      <c r="C7511">
        <v>50.99</v>
      </c>
      <c r="D7511" t="str">
        <f t="shared" si="244"/>
        <v>270</v>
      </c>
    </row>
    <row r="7512" spans="1:4" x14ac:dyDescent="0.25">
      <c r="A7512" t="str">
        <f>"838944910"</f>
        <v>838944910</v>
      </c>
      <c r="B7512" t="s">
        <v>6793</v>
      </c>
      <c r="C7512">
        <v>165.55</v>
      </c>
      <c r="D7512" t="str">
        <f t="shared" si="244"/>
        <v>270</v>
      </c>
    </row>
    <row r="7513" spans="1:4" x14ac:dyDescent="0.25">
      <c r="A7513" t="str">
        <f>"838944911"</f>
        <v>838944911</v>
      </c>
      <c r="B7513" t="s">
        <v>6794</v>
      </c>
      <c r="C7513">
        <v>34.93</v>
      </c>
      <c r="D7513" t="str">
        <f t="shared" si="244"/>
        <v>270</v>
      </c>
    </row>
    <row r="7514" spans="1:4" x14ac:dyDescent="0.25">
      <c r="A7514" t="str">
        <f>"838944912"</f>
        <v>838944912</v>
      </c>
      <c r="B7514" t="s">
        <v>6794</v>
      </c>
      <c r="C7514">
        <v>34.1</v>
      </c>
      <c r="D7514" t="str">
        <f t="shared" si="244"/>
        <v>270</v>
      </c>
    </row>
    <row r="7515" spans="1:4" x14ac:dyDescent="0.25">
      <c r="A7515" t="str">
        <f>"838944913"</f>
        <v>838944913</v>
      </c>
      <c r="B7515" t="s">
        <v>6795</v>
      </c>
      <c r="C7515">
        <v>34.1</v>
      </c>
      <c r="D7515" t="str">
        <f t="shared" si="244"/>
        <v>270</v>
      </c>
    </row>
    <row r="7516" spans="1:4" x14ac:dyDescent="0.25">
      <c r="A7516" t="str">
        <f>"838944914"</f>
        <v>838944914</v>
      </c>
      <c r="B7516" t="s">
        <v>6796</v>
      </c>
      <c r="C7516">
        <v>5.17</v>
      </c>
      <c r="D7516" t="str">
        <f t="shared" si="244"/>
        <v>270</v>
      </c>
    </row>
    <row r="7517" spans="1:4" x14ac:dyDescent="0.25">
      <c r="A7517" t="str">
        <f>"838944915"</f>
        <v>838944915</v>
      </c>
      <c r="B7517" t="s">
        <v>6796</v>
      </c>
      <c r="C7517">
        <v>5.17</v>
      </c>
      <c r="D7517" t="str">
        <f t="shared" si="244"/>
        <v>270</v>
      </c>
    </row>
    <row r="7518" spans="1:4" x14ac:dyDescent="0.25">
      <c r="A7518" t="str">
        <f>"838944916"</f>
        <v>838944916</v>
      </c>
      <c r="B7518" t="s">
        <v>6796</v>
      </c>
      <c r="C7518">
        <v>5.17</v>
      </c>
      <c r="D7518" t="str">
        <f t="shared" si="244"/>
        <v>270</v>
      </c>
    </row>
    <row r="7519" spans="1:4" x14ac:dyDescent="0.25">
      <c r="A7519" t="str">
        <f>"838944917"</f>
        <v>838944917</v>
      </c>
      <c r="B7519" t="s">
        <v>6797</v>
      </c>
      <c r="C7519">
        <v>22.55</v>
      </c>
      <c r="D7519" t="str">
        <f t="shared" si="244"/>
        <v>270</v>
      </c>
    </row>
    <row r="7520" spans="1:4" x14ac:dyDescent="0.25">
      <c r="A7520" t="str">
        <f>"838944918"</f>
        <v>838944918</v>
      </c>
      <c r="B7520" t="s">
        <v>6798</v>
      </c>
      <c r="C7520">
        <v>23.65</v>
      </c>
      <c r="D7520" t="str">
        <f t="shared" si="244"/>
        <v>270</v>
      </c>
    </row>
    <row r="7521" spans="1:4" x14ac:dyDescent="0.25">
      <c r="A7521" t="str">
        <f>"838944919"</f>
        <v>838944919</v>
      </c>
      <c r="B7521" t="s">
        <v>6799</v>
      </c>
      <c r="C7521">
        <v>12.82</v>
      </c>
      <c r="D7521" t="str">
        <f t="shared" si="244"/>
        <v>270</v>
      </c>
    </row>
    <row r="7522" spans="1:4" x14ac:dyDescent="0.25">
      <c r="A7522" t="str">
        <f>"838944920"</f>
        <v>838944920</v>
      </c>
      <c r="B7522" t="s">
        <v>6800</v>
      </c>
      <c r="C7522">
        <v>44</v>
      </c>
      <c r="D7522" t="str">
        <f t="shared" si="244"/>
        <v>270</v>
      </c>
    </row>
    <row r="7523" spans="1:4" x14ac:dyDescent="0.25">
      <c r="A7523" t="str">
        <f>"838944921"</f>
        <v>838944921</v>
      </c>
      <c r="B7523" t="s">
        <v>6801</v>
      </c>
      <c r="C7523">
        <v>78.430000000000007</v>
      </c>
      <c r="D7523" t="str">
        <f t="shared" si="244"/>
        <v>270</v>
      </c>
    </row>
    <row r="7524" spans="1:4" x14ac:dyDescent="0.25">
      <c r="A7524" t="str">
        <f>"838944922"</f>
        <v>838944922</v>
      </c>
      <c r="B7524" t="s">
        <v>6802</v>
      </c>
      <c r="C7524">
        <v>92.84</v>
      </c>
      <c r="D7524" t="str">
        <f t="shared" si="244"/>
        <v>270</v>
      </c>
    </row>
    <row r="7525" spans="1:4" x14ac:dyDescent="0.25">
      <c r="A7525" t="str">
        <f>"838944923"</f>
        <v>838944923</v>
      </c>
      <c r="B7525" t="s">
        <v>2180</v>
      </c>
      <c r="C7525">
        <v>107.47</v>
      </c>
      <c r="D7525" t="str">
        <f t="shared" si="244"/>
        <v>270</v>
      </c>
    </row>
    <row r="7526" spans="1:4" x14ac:dyDescent="0.25">
      <c r="A7526" t="str">
        <f>"838944924"</f>
        <v>838944924</v>
      </c>
      <c r="B7526" t="s">
        <v>6803</v>
      </c>
      <c r="C7526">
        <v>100.1</v>
      </c>
      <c r="D7526" t="str">
        <f t="shared" si="244"/>
        <v>270</v>
      </c>
    </row>
    <row r="7527" spans="1:4" x14ac:dyDescent="0.25">
      <c r="A7527" t="str">
        <f>"838944925"</f>
        <v>838944925</v>
      </c>
      <c r="B7527" t="s">
        <v>6804</v>
      </c>
      <c r="C7527">
        <v>39</v>
      </c>
      <c r="D7527" t="str">
        <f t="shared" si="244"/>
        <v>270</v>
      </c>
    </row>
    <row r="7528" spans="1:4" x14ac:dyDescent="0.25">
      <c r="A7528" t="str">
        <f>"838944926"</f>
        <v>838944926</v>
      </c>
      <c r="B7528" t="s">
        <v>6805</v>
      </c>
      <c r="C7528">
        <v>297</v>
      </c>
      <c r="D7528" t="str">
        <f t="shared" si="244"/>
        <v>270</v>
      </c>
    </row>
    <row r="7529" spans="1:4" x14ac:dyDescent="0.25">
      <c r="A7529" t="str">
        <f>"838944927"</f>
        <v>838944927</v>
      </c>
      <c r="B7529" t="s">
        <v>6805</v>
      </c>
      <c r="C7529">
        <v>415.25</v>
      </c>
      <c r="D7529" t="str">
        <f t="shared" si="244"/>
        <v>270</v>
      </c>
    </row>
    <row r="7530" spans="1:4" x14ac:dyDescent="0.25">
      <c r="A7530" t="str">
        <f>"838944928"</f>
        <v>838944928</v>
      </c>
      <c r="B7530" t="s">
        <v>6805</v>
      </c>
      <c r="C7530">
        <v>841.5</v>
      </c>
      <c r="D7530" t="str">
        <f t="shared" si="244"/>
        <v>270</v>
      </c>
    </row>
    <row r="7531" spans="1:4" x14ac:dyDescent="0.25">
      <c r="A7531" t="str">
        <f>"838944929"</f>
        <v>838944929</v>
      </c>
      <c r="B7531" t="s">
        <v>6805</v>
      </c>
      <c r="C7531">
        <v>677.6</v>
      </c>
      <c r="D7531" t="str">
        <f t="shared" si="244"/>
        <v>270</v>
      </c>
    </row>
    <row r="7532" spans="1:4" x14ac:dyDescent="0.25">
      <c r="A7532" t="str">
        <f>"838944930"</f>
        <v>838944930</v>
      </c>
      <c r="B7532" t="s">
        <v>6805</v>
      </c>
      <c r="C7532">
        <v>830.12</v>
      </c>
      <c r="D7532" t="str">
        <f t="shared" si="244"/>
        <v>270</v>
      </c>
    </row>
    <row r="7533" spans="1:4" x14ac:dyDescent="0.25">
      <c r="A7533" t="str">
        <f>"838944931"</f>
        <v>838944931</v>
      </c>
      <c r="B7533" t="s">
        <v>6805</v>
      </c>
      <c r="C7533">
        <v>989.45</v>
      </c>
      <c r="D7533" t="str">
        <f t="shared" si="244"/>
        <v>270</v>
      </c>
    </row>
    <row r="7534" spans="1:4" x14ac:dyDescent="0.25">
      <c r="A7534" t="str">
        <f>"838944932"</f>
        <v>838944932</v>
      </c>
      <c r="B7534" t="s">
        <v>6806</v>
      </c>
      <c r="C7534">
        <v>607.20000000000005</v>
      </c>
      <c r="D7534" t="str">
        <f t="shared" si="244"/>
        <v>270</v>
      </c>
    </row>
    <row r="7535" spans="1:4" x14ac:dyDescent="0.25">
      <c r="A7535" t="str">
        <f>"838944933"</f>
        <v>838944933</v>
      </c>
      <c r="B7535" t="s">
        <v>6807</v>
      </c>
      <c r="C7535">
        <v>607.20000000000005</v>
      </c>
      <c r="D7535" t="str">
        <f t="shared" si="244"/>
        <v>270</v>
      </c>
    </row>
    <row r="7536" spans="1:4" x14ac:dyDescent="0.25">
      <c r="A7536" t="str">
        <f>"838944934"</f>
        <v>838944934</v>
      </c>
      <c r="B7536" t="s">
        <v>6808</v>
      </c>
      <c r="C7536">
        <v>607.37</v>
      </c>
      <c r="D7536" t="str">
        <f t="shared" si="244"/>
        <v>270</v>
      </c>
    </row>
    <row r="7537" spans="1:4" x14ac:dyDescent="0.25">
      <c r="A7537" t="str">
        <f>"838944935"</f>
        <v>838944935</v>
      </c>
      <c r="B7537" t="s">
        <v>6809</v>
      </c>
      <c r="C7537">
        <v>9.02</v>
      </c>
      <c r="D7537" t="str">
        <f t="shared" si="244"/>
        <v>270</v>
      </c>
    </row>
    <row r="7538" spans="1:4" x14ac:dyDescent="0.25">
      <c r="A7538" t="str">
        <f>"838944936"</f>
        <v>838944936</v>
      </c>
      <c r="B7538" t="s">
        <v>6810</v>
      </c>
      <c r="C7538">
        <v>8.25</v>
      </c>
      <c r="D7538" t="str">
        <f t="shared" si="244"/>
        <v>270</v>
      </c>
    </row>
    <row r="7539" spans="1:4" x14ac:dyDescent="0.25">
      <c r="A7539" t="str">
        <f>"838944937"</f>
        <v>838944937</v>
      </c>
      <c r="B7539" t="s">
        <v>6811</v>
      </c>
      <c r="C7539">
        <v>13.2</v>
      </c>
      <c r="D7539" t="str">
        <f t="shared" si="244"/>
        <v>270</v>
      </c>
    </row>
    <row r="7540" spans="1:4" x14ac:dyDescent="0.25">
      <c r="A7540" t="str">
        <f>"838944938"</f>
        <v>838944938</v>
      </c>
      <c r="B7540" t="s">
        <v>6812</v>
      </c>
      <c r="C7540">
        <v>15.07</v>
      </c>
      <c r="D7540" t="str">
        <f t="shared" si="244"/>
        <v>270</v>
      </c>
    </row>
    <row r="7541" spans="1:4" x14ac:dyDescent="0.25">
      <c r="A7541" t="str">
        <f>"838944939"</f>
        <v>838944939</v>
      </c>
      <c r="B7541" t="s">
        <v>6813</v>
      </c>
      <c r="C7541">
        <v>15.13</v>
      </c>
      <c r="D7541" t="str">
        <f t="shared" si="244"/>
        <v>270</v>
      </c>
    </row>
    <row r="7542" spans="1:4" x14ac:dyDescent="0.25">
      <c r="A7542" t="str">
        <f>"838944940"</f>
        <v>838944940</v>
      </c>
      <c r="B7542" t="s">
        <v>6814</v>
      </c>
      <c r="C7542">
        <v>178.7</v>
      </c>
      <c r="D7542" t="str">
        <f t="shared" si="244"/>
        <v>270</v>
      </c>
    </row>
    <row r="7543" spans="1:4" x14ac:dyDescent="0.25">
      <c r="A7543" t="str">
        <f>"838944941"</f>
        <v>838944941</v>
      </c>
      <c r="B7543" t="s">
        <v>6815</v>
      </c>
      <c r="C7543">
        <v>215.05</v>
      </c>
      <c r="D7543" t="str">
        <f t="shared" si="244"/>
        <v>270</v>
      </c>
    </row>
    <row r="7544" spans="1:4" x14ac:dyDescent="0.25">
      <c r="A7544" t="str">
        <f>"838944942"</f>
        <v>838944942</v>
      </c>
      <c r="B7544" t="s">
        <v>6816</v>
      </c>
      <c r="C7544">
        <v>881.27</v>
      </c>
      <c r="D7544" t="str">
        <f t="shared" si="244"/>
        <v>270</v>
      </c>
    </row>
    <row r="7545" spans="1:4" x14ac:dyDescent="0.25">
      <c r="A7545" t="str">
        <f>"838944943"</f>
        <v>838944943</v>
      </c>
      <c r="B7545" t="s">
        <v>6817</v>
      </c>
      <c r="C7545">
        <v>881.27</v>
      </c>
      <c r="D7545" t="str">
        <f t="shared" si="244"/>
        <v>270</v>
      </c>
    </row>
    <row r="7546" spans="1:4" x14ac:dyDescent="0.25">
      <c r="A7546" t="str">
        <f>"838944944"</f>
        <v>838944944</v>
      </c>
      <c r="B7546" t="s">
        <v>6818</v>
      </c>
      <c r="C7546">
        <v>7.87</v>
      </c>
      <c r="D7546" t="str">
        <f t="shared" si="244"/>
        <v>270</v>
      </c>
    </row>
    <row r="7547" spans="1:4" x14ac:dyDescent="0.25">
      <c r="A7547" t="str">
        <f>"838944945"</f>
        <v>838944945</v>
      </c>
      <c r="B7547" t="s">
        <v>6819</v>
      </c>
      <c r="C7547">
        <v>31.9</v>
      </c>
      <c r="D7547" t="str">
        <f t="shared" ref="D7547:D7610" si="245">"270"</f>
        <v>270</v>
      </c>
    </row>
    <row r="7548" spans="1:4" x14ac:dyDescent="0.25">
      <c r="A7548" t="str">
        <f>"838944946"</f>
        <v>838944946</v>
      </c>
      <c r="B7548" t="s">
        <v>6820</v>
      </c>
      <c r="C7548">
        <v>2.42</v>
      </c>
      <c r="D7548" t="str">
        <f t="shared" si="245"/>
        <v>270</v>
      </c>
    </row>
    <row r="7549" spans="1:4" x14ac:dyDescent="0.25">
      <c r="A7549" t="str">
        <f>"838944947"</f>
        <v>838944947</v>
      </c>
      <c r="B7549" t="s">
        <v>6821</v>
      </c>
      <c r="C7549">
        <v>5.5</v>
      </c>
      <c r="D7549" t="str">
        <f t="shared" si="245"/>
        <v>270</v>
      </c>
    </row>
    <row r="7550" spans="1:4" x14ac:dyDescent="0.25">
      <c r="A7550" t="str">
        <f>"838944948"</f>
        <v>838944948</v>
      </c>
      <c r="B7550" t="s">
        <v>6822</v>
      </c>
      <c r="C7550">
        <v>93.5</v>
      </c>
      <c r="D7550" t="str">
        <f t="shared" si="245"/>
        <v>270</v>
      </c>
    </row>
    <row r="7551" spans="1:4" x14ac:dyDescent="0.25">
      <c r="A7551" t="str">
        <f>"838944949"</f>
        <v>838944949</v>
      </c>
      <c r="B7551" t="s">
        <v>6823</v>
      </c>
      <c r="C7551">
        <v>50.6</v>
      </c>
      <c r="D7551" t="str">
        <f t="shared" si="245"/>
        <v>270</v>
      </c>
    </row>
    <row r="7552" spans="1:4" x14ac:dyDescent="0.25">
      <c r="A7552" t="str">
        <f>"838944950"</f>
        <v>838944950</v>
      </c>
      <c r="B7552" t="s">
        <v>6824</v>
      </c>
      <c r="C7552">
        <v>93.5</v>
      </c>
      <c r="D7552" t="str">
        <f t="shared" si="245"/>
        <v>270</v>
      </c>
    </row>
    <row r="7553" spans="1:4" x14ac:dyDescent="0.25">
      <c r="A7553" t="str">
        <f>"838944951"</f>
        <v>838944951</v>
      </c>
      <c r="B7553" t="s">
        <v>6825</v>
      </c>
      <c r="C7553">
        <v>66</v>
      </c>
      <c r="D7553" t="str">
        <f t="shared" si="245"/>
        <v>270</v>
      </c>
    </row>
    <row r="7554" spans="1:4" x14ac:dyDescent="0.25">
      <c r="A7554" t="str">
        <f>"838944952"</f>
        <v>838944952</v>
      </c>
      <c r="B7554" t="s">
        <v>6826</v>
      </c>
      <c r="C7554">
        <v>73.7</v>
      </c>
      <c r="D7554" t="str">
        <f t="shared" si="245"/>
        <v>270</v>
      </c>
    </row>
    <row r="7555" spans="1:4" x14ac:dyDescent="0.25">
      <c r="A7555" t="str">
        <f>"838944953"</f>
        <v>838944953</v>
      </c>
      <c r="B7555" t="s">
        <v>6827</v>
      </c>
      <c r="C7555">
        <v>50.6</v>
      </c>
      <c r="D7555" t="str">
        <f t="shared" si="245"/>
        <v>270</v>
      </c>
    </row>
    <row r="7556" spans="1:4" x14ac:dyDescent="0.25">
      <c r="A7556" t="str">
        <f>"838944954"</f>
        <v>838944954</v>
      </c>
      <c r="B7556" t="s">
        <v>6828</v>
      </c>
      <c r="C7556">
        <v>292.60000000000002</v>
      </c>
      <c r="D7556" t="str">
        <f t="shared" si="245"/>
        <v>270</v>
      </c>
    </row>
    <row r="7557" spans="1:4" x14ac:dyDescent="0.25">
      <c r="A7557" t="str">
        <f>"838944955"</f>
        <v>838944955</v>
      </c>
      <c r="B7557" t="s">
        <v>6829</v>
      </c>
      <c r="C7557">
        <v>292.60000000000002</v>
      </c>
      <c r="D7557" t="str">
        <f t="shared" si="245"/>
        <v>270</v>
      </c>
    </row>
    <row r="7558" spans="1:4" x14ac:dyDescent="0.25">
      <c r="A7558" t="str">
        <f>"838944956"</f>
        <v>838944956</v>
      </c>
      <c r="B7558" t="s">
        <v>6830</v>
      </c>
      <c r="C7558">
        <v>978.45</v>
      </c>
      <c r="D7558" t="str">
        <f t="shared" si="245"/>
        <v>270</v>
      </c>
    </row>
    <row r="7559" spans="1:4" x14ac:dyDescent="0.25">
      <c r="A7559" t="str">
        <f>"838944957"</f>
        <v>838944957</v>
      </c>
      <c r="B7559" t="s">
        <v>6831</v>
      </c>
      <c r="C7559">
        <v>704</v>
      </c>
      <c r="D7559" t="str">
        <f t="shared" si="245"/>
        <v>270</v>
      </c>
    </row>
    <row r="7560" spans="1:4" x14ac:dyDescent="0.25">
      <c r="A7560" t="str">
        <f>"838944958"</f>
        <v>838944958</v>
      </c>
      <c r="B7560" t="s">
        <v>6832</v>
      </c>
      <c r="C7560">
        <v>656.21</v>
      </c>
      <c r="D7560" t="str">
        <f t="shared" si="245"/>
        <v>270</v>
      </c>
    </row>
    <row r="7561" spans="1:4" x14ac:dyDescent="0.25">
      <c r="A7561" t="str">
        <f>"838944959"</f>
        <v>838944959</v>
      </c>
      <c r="B7561" t="s">
        <v>6833</v>
      </c>
      <c r="C7561">
        <v>1.1000000000000001</v>
      </c>
      <c r="D7561" t="str">
        <f t="shared" si="245"/>
        <v>270</v>
      </c>
    </row>
    <row r="7562" spans="1:4" x14ac:dyDescent="0.25">
      <c r="A7562" t="str">
        <f>"838944960"</f>
        <v>838944960</v>
      </c>
      <c r="B7562" t="s">
        <v>6834</v>
      </c>
      <c r="C7562">
        <v>815.1</v>
      </c>
      <c r="D7562" t="str">
        <f t="shared" si="245"/>
        <v>270</v>
      </c>
    </row>
    <row r="7563" spans="1:4" x14ac:dyDescent="0.25">
      <c r="A7563" t="str">
        <f>"838944961"</f>
        <v>838944961</v>
      </c>
      <c r="B7563" t="s">
        <v>6835</v>
      </c>
      <c r="C7563">
        <v>815.1</v>
      </c>
      <c r="D7563" t="str">
        <f t="shared" si="245"/>
        <v>270</v>
      </c>
    </row>
    <row r="7564" spans="1:4" x14ac:dyDescent="0.25">
      <c r="A7564" t="str">
        <f>"838944962"</f>
        <v>838944962</v>
      </c>
      <c r="B7564" t="s">
        <v>6836</v>
      </c>
      <c r="C7564">
        <v>17.600000000000001</v>
      </c>
      <c r="D7564" t="str">
        <f t="shared" si="245"/>
        <v>270</v>
      </c>
    </row>
    <row r="7565" spans="1:4" x14ac:dyDescent="0.25">
      <c r="A7565" t="str">
        <f>"838944963"</f>
        <v>838944963</v>
      </c>
      <c r="B7565" t="s">
        <v>6837</v>
      </c>
      <c r="C7565">
        <v>2.2000000000000002</v>
      </c>
      <c r="D7565" t="str">
        <f t="shared" si="245"/>
        <v>270</v>
      </c>
    </row>
    <row r="7566" spans="1:4" x14ac:dyDescent="0.25">
      <c r="A7566" t="str">
        <f>"838944964"</f>
        <v>838944964</v>
      </c>
      <c r="B7566" t="s">
        <v>6838</v>
      </c>
      <c r="C7566">
        <v>123.75</v>
      </c>
      <c r="D7566" t="str">
        <f t="shared" si="245"/>
        <v>270</v>
      </c>
    </row>
    <row r="7567" spans="1:4" x14ac:dyDescent="0.25">
      <c r="A7567" t="str">
        <f>"838944965"</f>
        <v>838944965</v>
      </c>
      <c r="B7567" t="s">
        <v>6839</v>
      </c>
      <c r="C7567">
        <v>29.7</v>
      </c>
      <c r="D7567" t="str">
        <f t="shared" si="245"/>
        <v>270</v>
      </c>
    </row>
    <row r="7568" spans="1:4" x14ac:dyDescent="0.25">
      <c r="A7568" t="str">
        <f>"838944966"</f>
        <v>838944966</v>
      </c>
      <c r="B7568" t="s">
        <v>6840</v>
      </c>
      <c r="C7568">
        <v>29.7</v>
      </c>
      <c r="D7568" t="str">
        <f t="shared" si="245"/>
        <v>270</v>
      </c>
    </row>
    <row r="7569" spans="1:4" x14ac:dyDescent="0.25">
      <c r="A7569" t="str">
        <f>"838944967"</f>
        <v>838944967</v>
      </c>
      <c r="B7569" t="s">
        <v>6841</v>
      </c>
      <c r="C7569">
        <v>29.7</v>
      </c>
      <c r="D7569" t="str">
        <f t="shared" si="245"/>
        <v>270</v>
      </c>
    </row>
    <row r="7570" spans="1:4" x14ac:dyDescent="0.25">
      <c r="A7570" t="str">
        <f>"838944968"</f>
        <v>838944968</v>
      </c>
      <c r="B7570" t="s">
        <v>6842</v>
      </c>
      <c r="C7570">
        <v>29.7</v>
      </c>
      <c r="D7570" t="str">
        <f t="shared" si="245"/>
        <v>270</v>
      </c>
    </row>
    <row r="7571" spans="1:4" x14ac:dyDescent="0.25">
      <c r="A7571" t="str">
        <f>"838944969"</f>
        <v>838944969</v>
      </c>
      <c r="B7571" t="s">
        <v>6843</v>
      </c>
      <c r="C7571">
        <v>9.9</v>
      </c>
      <c r="D7571" t="str">
        <f t="shared" si="245"/>
        <v>270</v>
      </c>
    </row>
    <row r="7572" spans="1:4" x14ac:dyDescent="0.25">
      <c r="A7572" t="str">
        <f>"838944970"</f>
        <v>838944970</v>
      </c>
      <c r="B7572" t="s">
        <v>6844</v>
      </c>
      <c r="C7572">
        <v>31.3</v>
      </c>
      <c r="D7572" t="str">
        <f t="shared" si="245"/>
        <v>270</v>
      </c>
    </row>
    <row r="7573" spans="1:4" x14ac:dyDescent="0.25">
      <c r="A7573" t="str">
        <f>"838944971"</f>
        <v>838944971</v>
      </c>
      <c r="B7573" t="s">
        <v>6845</v>
      </c>
      <c r="C7573">
        <v>31.3</v>
      </c>
      <c r="D7573" t="str">
        <f t="shared" si="245"/>
        <v>270</v>
      </c>
    </row>
    <row r="7574" spans="1:4" x14ac:dyDescent="0.25">
      <c r="A7574" t="str">
        <f>"838944972"</f>
        <v>838944972</v>
      </c>
      <c r="B7574" t="s">
        <v>6846</v>
      </c>
      <c r="C7574">
        <v>51.81</v>
      </c>
      <c r="D7574" t="str">
        <f t="shared" si="245"/>
        <v>270</v>
      </c>
    </row>
    <row r="7575" spans="1:4" x14ac:dyDescent="0.25">
      <c r="A7575" t="str">
        <f>"838944973"</f>
        <v>838944973</v>
      </c>
      <c r="B7575" t="s">
        <v>6847</v>
      </c>
      <c r="C7575">
        <v>3.08</v>
      </c>
      <c r="D7575" t="str">
        <f t="shared" si="245"/>
        <v>270</v>
      </c>
    </row>
    <row r="7576" spans="1:4" x14ac:dyDescent="0.25">
      <c r="A7576" t="str">
        <f>"838944974"</f>
        <v>838944974</v>
      </c>
      <c r="B7576" t="s">
        <v>6848</v>
      </c>
      <c r="C7576">
        <v>3.47</v>
      </c>
      <c r="D7576" t="str">
        <f t="shared" si="245"/>
        <v>270</v>
      </c>
    </row>
    <row r="7577" spans="1:4" x14ac:dyDescent="0.25">
      <c r="A7577" t="str">
        <f>"838944975"</f>
        <v>838944975</v>
      </c>
      <c r="B7577" t="s">
        <v>6849</v>
      </c>
      <c r="C7577">
        <v>16.89</v>
      </c>
      <c r="D7577" t="str">
        <f t="shared" si="245"/>
        <v>270</v>
      </c>
    </row>
    <row r="7578" spans="1:4" x14ac:dyDescent="0.25">
      <c r="A7578" t="str">
        <f>"838944976"</f>
        <v>838944976</v>
      </c>
      <c r="B7578" t="s">
        <v>6850</v>
      </c>
      <c r="C7578">
        <v>22</v>
      </c>
      <c r="D7578" t="str">
        <f t="shared" si="245"/>
        <v>270</v>
      </c>
    </row>
    <row r="7579" spans="1:4" x14ac:dyDescent="0.25">
      <c r="A7579" t="str">
        <f>"838944977"</f>
        <v>838944977</v>
      </c>
      <c r="B7579" t="s">
        <v>6851</v>
      </c>
      <c r="C7579">
        <v>26.4</v>
      </c>
      <c r="D7579" t="str">
        <f t="shared" si="245"/>
        <v>270</v>
      </c>
    </row>
    <row r="7580" spans="1:4" x14ac:dyDescent="0.25">
      <c r="A7580" t="str">
        <f>"838944978"</f>
        <v>838944978</v>
      </c>
      <c r="B7580" t="s">
        <v>6852</v>
      </c>
      <c r="C7580">
        <v>18.760000000000002</v>
      </c>
      <c r="D7580" t="str">
        <f t="shared" si="245"/>
        <v>270</v>
      </c>
    </row>
    <row r="7581" spans="1:4" x14ac:dyDescent="0.25">
      <c r="A7581" t="str">
        <f>"838944979"</f>
        <v>838944979</v>
      </c>
      <c r="B7581" t="s">
        <v>6853</v>
      </c>
      <c r="C7581">
        <v>13.2</v>
      </c>
      <c r="D7581" t="str">
        <f t="shared" si="245"/>
        <v>270</v>
      </c>
    </row>
    <row r="7582" spans="1:4" x14ac:dyDescent="0.25">
      <c r="A7582" t="str">
        <f>"838944980"</f>
        <v>838944980</v>
      </c>
      <c r="B7582" t="s">
        <v>6854</v>
      </c>
      <c r="C7582">
        <v>8.69</v>
      </c>
      <c r="D7582" t="str">
        <f t="shared" si="245"/>
        <v>270</v>
      </c>
    </row>
    <row r="7583" spans="1:4" x14ac:dyDescent="0.25">
      <c r="A7583" t="str">
        <f>"838944981"</f>
        <v>838944981</v>
      </c>
      <c r="B7583" t="s">
        <v>6855</v>
      </c>
      <c r="C7583">
        <v>27.5</v>
      </c>
      <c r="D7583" t="str">
        <f t="shared" si="245"/>
        <v>270</v>
      </c>
    </row>
    <row r="7584" spans="1:4" x14ac:dyDescent="0.25">
      <c r="A7584" t="str">
        <f>"838944982"</f>
        <v>838944982</v>
      </c>
      <c r="B7584" t="s">
        <v>6856</v>
      </c>
      <c r="C7584">
        <v>14.47</v>
      </c>
      <c r="D7584" t="str">
        <f t="shared" si="245"/>
        <v>270</v>
      </c>
    </row>
    <row r="7585" spans="1:4" x14ac:dyDescent="0.25">
      <c r="A7585" t="str">
        <f>"838944983"</f>
        <v>838944983</v>
      </c>
      <c r="B7585" t="s">
        <v>6857</v>
      </c>
      <c r="C7585">
        <v>53.35</v>
      </c>
      <c r="D7585" t="str">
        <f t="shared" si="245"/>
        <v>270</v>
      </c>
    </row>
    <row r="7586" spans="1:4" x14ac:dyDescent="0.25">
      <c r="A7586" t="str">
        <f>"838944984"</f>
        <v>838944984</v>
      </c>
      <c r="B7586" t="s">
        <v>6858</v>
      </c>
      <c r="C7586">
        <v>38.5</v>
      </c>
      <c r="D7586" t="str">
        <f t="shared" si="245"/>
        <v>270</v>
      </c>
    </row>
    <row r="7587" spans="1:4" x14ac:dyDescent="0.25">
      <c r="A7587" t="str">
        <f>"838944985"</f>
        <v>838944985</v>
      </c>
      <c r="B7587" t="s">
        <v>6859</v>
      </c>
      <c r="C7587">
        <v>8.69</v>
      </c>
      <c r="D7587" t="str">
        <f t="shared" si="245"/>
        <v>270</v>
      </c>
    </row>
    <row r="7588" spans="1:4" x14ac:dyDescent="0.25">
      <c r="A7588" t="str">
        <f>"838944986"</f>
        <v>838944986</v>
      </c>
      <c r="B7588" t="s">
        <v>6860</v>
      </c>
      <c r="C7588">
        <v>42.24</v>
      </c>
      <c r="D7588" t="str">
        <f t="shared" si="245"/>
        <v>270</v>
      </c>
    </row>
    <row r="7589" spans="1:4" x14ac:dyDescent="0.25">
      <c r="A7589" t="str">
        <f>"838944987"</f>
        <v>838944987</v>
      </c>
      <c r="B7589" t="s">
        <v>6861</v>
      </c>
      <c r="C7589">
        <v>26.4</v>
      </c>
      <c r="D7589" t="str">
        <f t="shared" si="245"/>
        <v>270</v>
      </c>
    </row>
    <row r="7590" spans="1:4" x14ac:dyDescent="0.25">
      <c r="A7590" t="str">
        <f>"838944988"</f>
        <v>838944988</v>
      </c>
      <c r="B7590" t="s">
        <v>6862</v>
      </c>
      <c r="C7590">
        <v>33</v>
      </c>
      <c r="D7590" t="str">
        <f t="shared" si="245"/>
        <v>270</v>
      </c>
    </row>
    <row r="7591" spans="1:4" x14ac:dyDescent="0.25">
      <c r="A7591" t="str">
        <f>"838944989"</f>
        <v>838944989</v>
      </c>
      <c r="B7591" t="s">
        <v>6863</v>
      </c>
      <c r="C7591">
        <v>109.12</v>
      </c>
      <c r="D7591" t="str">
        <f t="shared" si="245"/>
        <v>270</v>
      </c>
    </row>
    <row r="7592" spans="1:4" x14ac:dyDescent="0.25">
      <c r="A7592" t="str">
        <f>"838944990"</f>
        <v>838944990</v>
      </c>
      <c r="B7592" t="s">
        <v>6864</v>
      </c>
      <c r="C7592">
        <v>33.92</v>
      </c>
      <c r="D7592" t="str">
        <f t="shared" si="245"/>
        <v>270</v>
      </c>
    </row>
    <row r="7593" spans="1:4" x14ac:dyDescent="0.25">
      <c r="A7593" t="str">
        <f>"838944991"</f>
        <v>838944991</v>
      </c>
      <c r="B7593" t="s">
        <v>6865</v>
      </c>
      <c r="C7593">
        <v>40.43</v>
      </c>
      <c r="D7593" t="str">
        <f t="shared" si="245"/>
        <v>270</v>
      </c>
    </row>
    <row r="7594" spans="1:4" x14ac:dyDescent="0.25">
      <c r="A7594" t="str">
        <f>"838944992"</f>
        <v>838944992</v>
      </c>
      <c r="B7594" t="s">
        <v>6866</v>
      </c>
      <c r="C7594">
        <v>33.5</v>
      </c>
      <c r="D7594" t="str">
        <f t="shared" si="245"/>
        <v>270</v>
      </c>
    </row>
    <row r="7595" spans="1:4" x14ac:dyDescent="0.25">
      <c r="A7595" t="str">
        <f>"838944993"</f>
        <v>838944993</v>
      </c>
      <c r="B7595" t="s">
        <v>6867</v>
      </c>
      <c r="C7595">
        <v>4.4000000000000004</v>
      </c>
      <c r="D7595" t="str">
        <f t="shared" si="245"/>
        <v>270</v>
      </c>
    </row>
    <row r="7596" spans="1:4" x14ac:dyDescent="0.25">
      <c r="A7596" t="str">
        <f>"838944994"</f>
        <v>838944994</v>
      </c>
      <c r="B7596" t="s">
        <v>6868</v>
      </c>
      <c r="C7596">
        <v>6.16</v>
      </c>
      <c r="D7596" t="str">
        <f t="shared" si="245"/>
        <v>270</v>
      </c>
    </row>
    <row r="7597" spans="1:4" x14ac:dyDescent="0.25">
      <c r="A7597" t="str">
        <f>"838944995"</f>
        <v>838944995</v>
      </c>
      <c r="B7597" t="s">
        <v>6869</v>
      </c>
      <c r="C7597">
        <v>30.09</v>
      </c>
      <c r="D7597" t="str">
        <f t="shared" si="245"/>
        <v>270</v>
      </c>
    </row>
    <row r="7598" spans="1:4" x14ac:dyDescent="0.25">
      <c r="A7598" t="str">
        <f>"838944996"</f>
        <v>838944996</v>
      </c>
      <c r="B7598" t="s">
        <v>6870</v>
      </c>
      <c r="C7598">
        <v>16.39</v>
      </c>
      <c r="D7598" t="str">
        <f t="shared" si="245"/>
        <v>270</v>
      </c>
    </row>
    <row r="7599" spans="1:4" x14ac:dyDescent="0.25">
      <c r="A7599" t="str">
        <f>"838944997"</f>
        <v>838944997</v>
      </c>
      <c r="B7599" t="s">
        <v>6870</v>
      </c>
      <c r="C7599">
        <v>20.13</v>
      </c>
      <c r="D7599" t="str">
        <f t="shared" si="245"/>
        <v>270</v>
      </c>
    </row>
    <row r="7600" spans="1:4" x14ac:dyDescent="0.25">
      <c r="A7600" t="str">
        <f>"838944998"</f>
        <v>838944998</v>
      </c>
      <c r="B7600" t="s">
        <v>6871</v>
      </c>
      <c r="C7600">
        <v>27.39</v>
      </c>
      <c r="D7600" t="str">
        <f t="shared" si="245"/>
        <v>270</v>
      </c>
    </row>
    <row r="7601" spans="1:4" x14ac:dyDescent="0.25">
      <c r="A7601" t="str">
        <f>"838944999"</f>
        <v>838944999</v>
      </c>
      <c r="B7601" t="s">
        <v>6872</v>
      </c>
      <c r="C7601">
        <v>79.2</v>
      </c>
      <c r="D7601" t="str">
        <f t="shared" si="245"/>
        <v>270</v>
      </c>
    </row>
    <row r="7602" spans="1:4" x14ac:dyDescent="0.25">
      <c r="A7602" t="str">
        <f>"838945000"</f>
        <v>838945000</v>
      </c>
      <c r="B7602" t="s">
        <v>2739</v>
      </c>
      <c r="C7602">
        <v>60.5</v>
      </c>
      <c r="D7602" t="str">
        <f t="shared" si="245"/>
        <v>270</v>
      </c>
    </row>
    <row r="7603" spans="1:4" x14ac:dyDescent="0.25">
      <c r="A7603" t="str">
        <f>"838945001"</f>
        <v>838945001</v>
      </c>
      <c r="B7603" t="s">
        <v>6873</v>
      </c>
      <c r="C7603">
        <v>165.61</v>
      </c>
      <c r="D7603" t="str">
        <f t="shared" si="245"/>
        <v>270</v>
      </c>
    </row>
    <row r="7604" spans="1:4" x14ac:dyDescent="0.25">
      <c r="A7604" t="str">
        <f>"838945002"</f>
        <v>838945002</v>
      </c>
      <c r="B7604" t="s">
        <v>6874</v>
      </c>
      <c r="C7604">
        <v>13.7</v>
      </c>
      <c r="D7604" t="str">
        <f t="shared" si="245"/>
        <v>270</v>
      </c>
    </row>
    <row r="7605" spans="1:4" x14ac:dyDescent="0.25">
      <c r="A7605" t="str">
        <f>"838945003"</f>
        <v>838945003</v>
      </c>
      <c r="B7605" t="s">
        <v>6875</v>
      </c>
      <c r="C7605">
        <v>44.72</v>
      </c>
      <c r="D7605" t="str">
        <f t="shared" si="245"/>
        <v>270</v>
      </c>
    </row>
    <row r="7606" spans="1:4" x14ac:dyDescent="0.25">
      <c r="A7606" t="str">
        <f>"838945004"</f>
        <v>838945004</v>
      </c>
      <c r="B7606" t="s">
        <v>6876</v>
      </c>
      <c r="C7606">
        <v>86.85</v>
      </c>
      <c r="D7606" t="str">
        <f t="shared" si="245"/>
        <v>270</v>
      </c>
    </row>
    <row r="7607" spans="1:4" x14ac:dyDescent="0.25">
      <c r="A7607" t="str">
        <f>"838945005"</f>
        <v>838945005</v>
      </c>
      <c r="B7607" t="s">
        <v>6877</v>
      </c>
      <c r="C7607">
        <v>1.87</v>
      </c>
      <c r="D7607" t="str">
        <f t="shared" si="245"/>
        <v>270</v>
      </c>
    </row>
    <row r="7608" spans="1:4" x14ac:dyDescent="0.25">
      <c r="A7608" t="str">
        <f>"838945006"</f>
        <v>838945006</v>
      </c>
      <c r="B7608" t="s">
        <v>6878</v>
      </c>
      <c r="C7608">
        <v>2.09</v>
      </c>
      <c r="D7608" t="str">
        <f t="shared" si="245"/>
        <v>270</v>
      </c>
    </row>
    <row r="7609" spans="1:4" x14ac:dyDescent="0.25">
      <c r="A7609" t="str">
        <f>"838945007"</f>
        <v>838945007</v>
      </c>
      <c r="B7609" t="s">
        <v>6879</v>
      </c>
      <c r="C7609">
        <v>2.5299999999999998</v>
      </c>
      <c r="D7609" t="str">
        <f t="shared" si="245"/>
        <v>270</v>
      </c>
    </row>
    <row r="7610" spans="1:4" x14ac:dyDescent="0.25">
      <c r="A7610" t="str">
        <f>"838945008"</f>
        <v>838945008</v>
      </c>
      <c r="B7610" t="s">
        <v>6880</v>
      </c>
      <c r="C7610">
        <v>2.44</v>
      </c>
      <c r="D7610" t="str">
        <f t="shared" si="245"/>
        <v>270</v>
      </c>
    </row>
    <row r="7611" spans="1:4" x14ac:dyDescent="0.25">
      <c r="A7611" t="str">
        <f>"838945009"</f>
        <v>838945009</v>
      </c>
      <c r="B7611" t="s">
        <v>6881</v>
      </c>
      <c r="C7611">
        <v>0.35</v>
      </c>
      <c r="D7611" t="str">
        <f t="shared" ref="D7611:D7651" si="246">"270"</f>
        <v>270</v>
      </c>
    </row>
    <row r="7612" spans="1:4" x14ac:dyDescent="0.25">
      <c r="A7612" t="str">
        <f>"838945010"</f>
        <v>838945010</v>
      </c>
      <c r="B7612" t="s">
        <v>6882</v>
      </c>
      <c r="C7612">
        <v>1.1000000000000001</v>
      </c>
      <c r="D7612" t="str">
        <f t="shared" si="246"/>
        <v>270</v>
      </c>
    </row>
    <row r="7613" spans="1:4" x14ac:dyDescent="0.25">
      <c r="A7613" t="str">
        <f>"838945011"</f>
        <v>838945011</v>
      </c>
      <c r="B7613" t="s">
        <v>6883</v>
      </c>
      <c r="C7613">
        <v>2.2000000000000002</v>
      </c>
      <c r="D7613" t="str">
        <f t="shared" si="246"/>
        <v>270</v>
      </c>
    </row>
    <row r="7614" spans="1:4" x14ac:dyDescent="0.25">
      <c r="A7614" t="str">
        <f>"838945012"</f>
        <v>838945012</v>
      </c>
      <c r="B7614" t="s">
        <v>6884</v>
      </c>
      <c r="C7614">
        <v>60.5</v>
      </c>
      <c r="D7614" t="str">
        <f t="shared" si="246"/>
        <v>270</v>
      </c>
    </row>
    <row r="7615" spans="1:4" x14ac:dyDescent="0.25">
      <c r="A7615" t="str">
        <f>"838945013"</f>
        <v>838945013</v>
      </c>
      <c r="B7615" t="s">
        <v>6885</v>
      </c>
      <c r="C7615">
        <v>63.03</v>
      </c>
      <c r="D7615" t="str">
        <f t="shared" si="246"/>
        <v>270</v>
      </c>
    </row>
    <row r="7616" spans="1:4" x14ac:dyDescent="0.25">
      <c r="A7616" t="str">
        <f>"838945014"</f>
        <v>838945014</v>
      </c>
      <c r="B7616" t="s">
        <v>6886</v>
      </c>
      <c r="C7616">
        <v>77</v>
      </c>
      <c r="D7616" t="str">
        <f t="shared" si="246"/>
        <v>270</v>
      </c>
    </row>
    <row r="7617" spans="1:4" x14ac:dyDescent="0.25">
      <c r="A7617" t="str">
        <f>"838945015"</f>
        <v>838945015</v>
      </c>
      <c r="B7617" t="s">
        <v>6886</v>
      </c>
      <c r="C7617">
        <v>39.380000000000003</v>
      </c>
      <c r="D7617" t="str">
        <f t="shared" si="246"/>
        <v>270</v>
      </c>
    </row>
    <row r="7618" spans="1:4" x14ac:dyDescent="0.25">
      <c r="A7618" t="str">
        <f>"838945016"</f>
        <v>838945016</v>
      </c>
      <c r="B7618" t="s">
        <v>6887</v>
      </c>
      <c r="C7618">
        <v>17.600000000000001</v>
      </c>
      <c r="D7618" t="str">
        <f t="shared" si="246"/>
        <v>270</v>
      </c>
    </row>
    <row r="7619" spans="1:4" x14ac:dyDescent="0.25">
      <c r="A7619" t="str">
        <f>"838945017"</f>
        <v>838945017</v>
      </c>
      <c r="B7619" t="s">
        <v>6888</v>
      </c>
      <c r="C7619">
        <v>15.4</v>
      </c>
      <c r="D7619" t="str">
        <f t="shared" si="246"/>
        <v>270</v>
      </c>
    </row>
    <row r="7620" spans="1:4" x14ac:dyDescent="0.25">
      <c r="A7620" t="str">
        <f>"838945018"</f>
        <v>838945018</v>
      </c>
      <c r="B7620" t="s">
        <v>6889</v>
      </c>
      <c r="C7620">
        <v>26.4</v>
      </c>
      <c r="D7620" t="str">
        <f t="shared" si="246"/>
        <v>270</v>
      </c>
    </row>
    <row r="7621" spans="1:4" x14ac:dyDescent="0.25">
      <c r="A7621" t="str">
        <f>"838945019"</f>
        <v>838945019</v>
      </c>
      <c r="B7621" t="s">
        <v>6890</v>
      </c>
      <c r="C7621">
        <v>9.4600000000000009</v>
      </c>
      <c r="D7621" t="str">
        <f t="shared" si="246"/>
        <v>270</v>
      </c>
    </row>
    <row r="7622" spans="1:4" x14ac:dyDescent="0.25">
      <c r="A7622" t="str">
        <f>"838945020"</f>
        <v>838945020</v>
      </c>
      <c r="B7622" t="s">
        <v>6890</v>
      </c>
      <c r="C7622">
        <v>11.33</v>
      </c>
      <c r="D7622" t="str">
        <f t="shared" si="246"/>
        <v>270</v>
      </c>
    </row>
    <row r="7623" spans="1:4" x14ac:dyDescent="0.25">
      <c r="A7623" t="str">
        <f>"838945021"</f>
        <v>838945021</v>
      </c>
      <c r="B7623" t="s">
        <v>6891</v>
      </c>
      <c r="C7623">
        <v>240.9</v>
      </c>
      <c r="D7623" t="str">
        <f t="shared" si="246"/>
        <v>270</v>
      </c>
    </row>
    <row r="7624" spans="1:4" x14ac:dyDescent="0.25">
      <c r="A7624" t="str">
        <f>"838945022"</f>
        <v>838945022</v>
      </c>
      <c r="B7624" t="s">
        <v>6892</v>
      </c>
      <c r="C7624">
        <v>68.75</v>
      </c>
      <c r="D7624" t="str">
        <f t="shared" si="246"/>
        <v>270</v>
      </c>
    </row>
    <row r="7625" spans="1:4" x14ac:dyDescent="0.25">
      <c r="A7625" t="str">
        <f>"838945023"</f>
        <v>838945023</v>
      </c>
      <c r="B7625" t="s">
        <v>6893</v>
      </c>
      <c r="C7625">
        <v>68.75</v>
      </c>
      <c r="D7625" t="str">
        <f t="shared" si="246"/>
        <v>270</v>
      </c>
    </row>
    <row r="7626" spans="1:4" x14ac:dyDescent="0.25">
      <c r="A7626" t="str">
        <f>"838945024"</f>
        <v>838945024</v>
      </c>
      <c r="B7626" t="s">
        <v>6894</v>
      </c>
      <c r="C7626">
        <v>5.5</v>
      </c>
      <c r="D7626" t="str">
        <f t="shared" si="246"/>
        <v>270</v>
      </c>
    </row>
    <row r="7627" spans="1:4" x14ac:dyDescent="0.25">
      <c r="A7627" t="str">
        <f>"838945025"</f>
        <v>838945025</v>
      </c>
      <c r="B7627" t="s">
        <v>6895</v>
      </c>
      <c r="C7627">
        <v>5.5</v>
      </c>
      <c r="D7627" t="str">
        <f t="shared" si="246"/>
        <v>270</v>
      </c>
    </row>
    <row r="7628" spans="1:4" x14ac:dyDescent="0.25">
      <c r="A7628" t="str">
        <f>"838945026"</f>
        <v>838945026</v>
      </c>
      <c r="B7628" t="s">
        <v>6896</v>
      </c>
      <c r="C7628">
        <v>5.01</v>
      </c>
      <c r="D7628" t="str">
        <f t="shared" si="246"/>
        <v>270</v>
      </c>
    </row>
    <row r="7629" spans="1:4" x14ac:dyDescent="0.25">
      <c r="A7629" t="str">
        <f>"838945027"</f>
        <v>838945027</v>
      </c>
      <c r="B7629" t="s">
        <v>6897</v>
      </c>
      <c r="C7629">
        <v>6.05</v>
      </c>
      <c r="D7629" t="str">
        <f t="shared" si="246"/>
        <v>270</v>
      </c>
    </row>
    <row r="7630" spans="1:4" x14ac:dyDescent="0.25">
      <c r="A7630" t="str">
        <f>"838945028"</f>
        <v>838945028</v>
      </c>
      <c r="B7630" t="s">
        <v>6898</v>
      </c>
      <c r="C7630">
        <v>6.44</v>
      </c>
      <c r="D7630" t="str">
        <f t="shared" si="246"/>
        <v>270</v>
      </c>
    </row>
    <row r="7631" spans="1:4" x14ac:dyDescent="0.25">
      <c r="A7631" t="str">
        <f>"838945029"</f>
        <v>838945029</v>
      </c>
      <c r="B7631" t="s">
        <v>6899</v>
      </c>
      <c r="C7631">
        <v>5.5</v>
      </c>
      <c r="D7631" t="str">
        <f t="shared" si="246"/>
        <v>270</v>
      </c>
    </row>
    <row r="7632" spans="1:4" x14ac:dyDescent="0.25">
      <c r="A7632" t="str">
        <f>"838945030"</f>
        <v>838945030</v>
      </c>
      <c r="B7632" t="s">
        <v>6851</v>
      </c>
      <c r="C7632">
        <v>15.4</v>
      </c>
      <c r="D7632" t="str">
        <f t="shared" si="246"/>
        <v>270</v>
      </c>
    </row>
    <row r="7633" spans="1:4" x14ac:dyDescent="0.25">
      <c r="A7633" t="str">
        <f>"838945031"</f>
        <v>838945031</v>
      </c>
      <c r="B7633" t="s">
        <v>6900</v>
      </c>
      <c r="C7633">
        <v>29.92</v>
      </c>
      <c r="D7633" t="str">
        <f t="shared" si="246"/>
        <v>270</v>
      </c>
    </row>
    <row r="7634" spans="1:4" x14ac:dyDescent="0.25">
      <c r="A7634" t="str">
        <f>"838945032"</f>
        <v>838945032</v>
      </c>
      <c r="B7634" t="s">
        <v>6900</v>
      </c>
      <c r="C7634">
        <v>28.05</v>
      </c>
      <c r="D7634" t="str">
        <f t="shared" si="246"/>
        <v>270</v>
      </c>
    </row>
    <row r="7635" spans="1:4" x14ac:dyDescent="0.25">
      <c r="A7635" t="str">
        <f>"838945033"</f>
        <v>838945033</v>
      </c>
      <c r="B7635" t="s">
        <v>6900</v>
      </c>
      <c r="C7635">
        <v>24.75</v>
      </c>
      <c r="D7635" t="str">
        <f t="shared" si="246"/>
        <v>270</v>
      </c>
    </row>
    <row r="7636" spans="1:4" x14ac:dyDescent="0.25">
      <c r="A7636" t="str">
        <f>"838945034"</f>
        <v>838945034</v>
      </c>
      <c r="B7636" t="s">
        <v>6901</v>
      </c>
      <c r="C7636">
        <v>2.15</v>
      </c>
      <c r="D7636" t="str">
        <f t="shared" si="246"/>
        <v>270</v>
      </c>
    </row>
    <row r="7637" spans="1:4" x14ac:dyDescent="0.25">
      <c r="A7637" t="str">
        <f>"838945035"</f>
        <v>838945035</v>
      </c>
      <c r="B7637" t="s">
        <v>6901</v>
      </c>
      <c r="C7637">
        <v>1.1599999999999999</v>
      </c>
      <c r="D7637" t="str">
        <f t="shared" si="246"/>
        <v>270</v>
      </c>
    </row>
    <row r="7638" spans="1:4" x14ac:dyDescent="0.25">
      <c r="A7638" t="str">
        <f>"838945036"</f>
        <v>838945036</v>
      </c>
      <c r="B7638" t="s">
        <v>6901</v>
      </c>
      <c r="C7638">
        <v>7.81</v>
      </c>
      <c r="D7638" t="str">
        <f t="shared" si="246"/>
        <v>270</v>
      </c>
    </row>
    <row r="7639" spans="1:4" x14ac:dyDescent="0.25">
      <c r="A7639" t="str">
        <f>"838945037"</f>
        <v>838945037</v>
      </c>
      <c r="B7639" t="s">
        <v>6901</v>
      </c>
      <c r="C7639">
        <v>1.54</v>
      </c>
      <c r="D7639" t="str">
        <f t="shared" si="246"/>
        <v>270</v>
      </c>
    </row>
    <row r="7640" spans="1:4" x14ac:dyDescent="0.25">
      <c r="A7640" t="str">
        <f>"838945038"</f>
        <v>838945038</v>
      </c>
      <c r="B7640" t="s">
        <v>6901</v>
      </c>
      <c r="C7640">
        <v>1.54</v>
      </c>
      <c r="D7640" t="str">
        <f t="shared" si="246"/>
        <v>270</v>
      </c>
    </row>
    <row r="7641" spans="1:4" x14ac:dyDescent="0.25">
      <c r="A7641" t="str">
        <f>"838945039"</f>
        <v>838945039</v>
      </c>
      <c r="B7641" t="s">
        <v>6901</v>
      </c>
      <c r="C7641">
        <v>1.98</v>
      </c>
      <c r="D7641" t="str">
        <f t="shared" si="246"/>
        <v>270</v>
      </c>
    </row>
    <row r="7642" spans="1:4" x14ac:dyDescent="0.25">
      <c r="A7642" t="str">
        <f>"838945040"</f>
        <v>838945040</v>
      </c>
      <c r="B7642" t="s">
        <v>6902</v>
      </c>
      <c r="C7642">
        <v>67.87</v>
      </c>
      <c r="D7642" t="str">
        <f t="shared" si="246"/>
        <v>270</v>
      </c>
    </row>
    <row r="7643" spans="1:4" x14ac:dyDescent="0.25">
      <c r="A7643" t="str">
        <f>"838945041"</f>
        <v>838945041</v>
      </c>
      <c r="B7643" t="s">
        <v>6903</v>
      </c>
      <c r="C7643">
        <v>59.4</v>
      </c>
      <c r="D7643" t="str">
        <f t="shared" si="246"/>
        <v>270</v>
      </c>
    </row>
    <row r="7644" spans="1:4" x14ac:dyDescent="0.25">
      <c r="A7644" t="str">
        <f>"838945042"</f>
        <v>838945042</v>
      </c>
      <c r="B7644" t="s">
        <v>6904</v>
      </c>
      <c r="C7644">
        <v>44</v>
      </c>
      <c r="D7644" t="str">
        <f t="shared" si="246"/>
        <v>270</v>
      </c>
    </row>
    <row r="7645" spans="1:4" x14ac:dyDescent="0.25">
      <c r="A7645" t="str">
        <f>"838945043"</f>
        <v>838945043</v>
      </c>
      <c r="B7645" t="s">
        <v>6905</v>
      </c>
      <c r="C7645">
        <v>44</v>
      </c>
      <c r="D7645" t="str">
        <f t="shared" si="246"/>
        <v>270</v>
      </c>
    </row>
    <row r="7646" spans="1:4" x14ac:dyDescent="0.25">
      <c r="A7646" t="str">
        <f>"838945044"</f>
        <v>838945044</v>
      </c>
      <c r="B7646" t="s">
        <v>6906</v>
      </c>
      <c r="C7646">
        <v>55</v>
      </c>
      <c r="D7646" t="str">
        <f t="shared" si="246"/>
        <v>270</v>
      </c>
    </row>
    <row r="7647" spans="1:4" x14ac:dyDescent="0.25">
      <c r="A7647" t="str">
        <f>"838945045"</f>
        <v>838945045</v>
      </c>
      <c r="B7647" t="s">
        <v>6907</v>
      </c>
      <c r="C7647">
        <v>81.400000000000006</v>
      </c>
      <c r="D7647" t="str">
        <f t="shared" si="246"/>
        <v>270</v>
      </c>
    </row>
    <row r="7648" spans="1:4" x14ac:dyDescent="0.25">
      <c r="A7648" t="str">
        <f>"838945046"</f>
        <v>838945046</v>
      </c>
      <c r="B7648" t="s">
        <v>6908</v>
      </c>
      <c r="C7648">
        <v>54.51</v>
      </c>
      <c r="D7648" t="str">
        <f t="shared" si="246"/>
        <v>270</v>
      </c>
    </row>
    <row r="7649" spans="1:4" x14ac:dyDescent="0.25">
      <c r="A7649" t="str">
        <f>"838945047"</f>
        <v>838945047</v>
      </c>
      <c r="B7649" t="s">
        <v>6909</v>
      </c>
      <c r="C7649">
        <v>536.79999999999995</v>
      </c>
      <c r="D7649" t="str">
        <f t="shared" si="246"/>
        <v>270</v>
      </c>
    </row>
    <row r="7650" spans="1:4" x14ac:dyDescent="0.25">
      <c r="A7650" t="str">
        <f>"838945048"</f>
        <v>838945048</v>
      </c>
      <c r="B7650" t="s">
        <v>6910</v>
      </c>
      <c r="C7650">
        <v>550</v>
      </c>
      <c r="D7650" t="str">
        <f t="shared" si="246"/>
        <v>270</v>
      </c>
    </row>
    <row r="7651" spans="1:4" x14ac:dyDescent="0.25">
      <c r="A7651" t="str">
        <f>"838945049"</f>
        <v>838945049</v>
      </c>
      <c r="B7651" t="s">
        <v>6911</v>
      </c>
      <c r="C7651">
        <v>45.1</v>
      </c>
      <c r="D7651" t="str">
        <f t="shared" si="246"/>
        <v>270</v>
      </c>
    </row>
    <row r="7652" spans="1:4" x14ac:dyDescent="0.25">
      <c r="A7652" t="str">
        <f>"838945050"</f>
        <v>838945050</v>
      </c>
      <c r="B7652" t="s">
        <v>6912</v>
      </c>
      <c r="C7652">
        <v>42.9</v>
      </c>
      <c r="D7652" t="str">
        <f>"207"</f>
        <v>207</v>
      </c>
    </row>
    <row r="7653" spans="1:4" x14ac:dyDescent="0.25">
      <c r="A7653" t="str">
        <f>"838945051"</f>
        <v>838945051</v>
      </c>
      <c r="B7653" t="s">
        <v>6913</v>
      </c>
      <c r="C7653">
        <v>1.1000000000000001</v>
      </c>
      <c r="D7653" t="str">
        <f>"270"</f>
        <v>270</v>
      </c>
    </row>
    <row r="7654" spans="1:4" x14ac:dyDescent="0.25">
      <c r="A7654" t="str">
        <f>"838945052"</f>
        <v>838945052</v>
      </c>
      <c r="B7654" t="s">
        <v>6914</v>
      </c>
      <c r="C7654">
        <v>62.7</v>
      </c>
      <c r="D7654" t="str">
        <f>"270"</f>
        <v>270</v>
      </c>
    </row>
    <row r="7655" spans="1:4" x14ac:dyDescent="0.25">
      <c r="A7655" t="str">
        <f>"838945053"</f>
        <v>838945053</v>
      </c>
      <c r="B7655" t="s">
        <v>6915</v>
      </c>
      <c r="C7655">
        <v>12.1</v>
      </c>
      <c r="D7655" t="str">
        <f>"270"</f>
        <v>270</v>
      </c>
    </row>
    <row r="7656" spans="1:4" x14ac:dyDescent="0.25">
      <c r="A7656" t="str">
        <f>"838945054"</f>
        <v>838945054</v>
      </c>
      <c r="B7656" t="s">
        <v>6916</v>
      </c>
      <c r="C7656">
        <v>84.7</v>
      </c>
      <c r="D7656" t="str">
        <f>"270"</f>
        <v>270</v>
      </c>
    </row>
    <row r="7657" spans="1:4" x14ac:dyDescent="0.25">
      <c r="A7657" t="str">
        <f>"838945055"</f>
        <v>838945055</v>
      </c>
      <c r="B7657" t="s">
        <v>6917</v>
      </c>
      <c r="C7657">
        <v>447.7</v>
      </c>
      <c r="D7657" t="str">
        <f>"207"</f>
        <v>207</v>
      </c>
    </row>
    <row r="7658" spans="1:4" x14ac:dyDescent="0.25">
      <c r="A7658" t="str">
        <f>"838945056"</f>
        <v>838945056</v>
      </c>
      <c r="B7658" t="s">
        <v>6918</v>
      </c>
      <c r="C7658">
        <v>46.2</v>
      </c>
      <c r="D7658" t="str">
        <f>"270"</f>
        <v>270</v>
      </c>
    </row>
    <row r="7659" spans="1:4" x14ac:dyDescent="0.25">
      <c r="A7659" t="str">
        <f>"838945057"</f>
        <v>838945057</v>
      </c>
      <c r="B7659" t="s">
        <v>6919</v>
      </c>
      <c r="C7659">
        <v>66</v>
      </c>
      <c r="D7659" t="str">
        <f>"270"</f>
        <v>270</v>
      </c>
    </row>
    <row r="7660" spans="1:4" x14ac:dyDescent="0.25">
      <c r="A7660" t="str">
        <f>"838945058"</f>
        <v>838945058</v>
      </c>
      <c r="B7660" t="s">
        <v>6920</v>
      </c>
      <c r="C7660">
        <v>99</v>
      </c>
      <c r="D7660" t="str">
        <f>"270"</f>
        <v>270</v>
      </c>
    </row>
    <row r="7661" spans="1:4" x14ac:dyDescent="0.25">
      <c r="A7661" t="str">
        <f>"838945059"</f>
        <v>838945059</v>
      </c>
      <c r="B7661" t="s">
        <v>6921</v>
      </c>
      <c r="C7661">
        <v>303.60000000000002</v>
      </c>
      <c r="D7661" t="str">
        <f>"278"</f>
        <v>278</v>
      </c>
    </row>
    <row r="7662" spans="1:4" x14ac:dyDescent="0.25">
      <c r="A7662" t="str">
        <f>"838945060"</f>
        <v>838945060</v>
      </c>
      <c r="B7662" t="s">
        <v>6922</v>
      </c>
      <c r="C7662">
        <v>291.5</v>
      </c>
      <c r="D7662" t="str">
        <f t="shared" ref="D7662:D7680" si="247">"270"</f>
        <v>270</v>
      </c>
    </row>
    <row r="7663" spans="1:4" x14ac:dyDescent="0.25">
      <c r="A7663" t="str">
        <f>"838945061"</f>
        <v>838945061</v>
      </c>
      <c r="B7663" t="s">
        <v>6923</v>
      </c>
      <c r="C7663">
        <v>817.3</v>
      </c>
      <c r="D7663" t="str">
        <f t="shared" si="247"/>
        <v>270</v>
      </c>
    </row>
    <row r="7664" spans="1:4" x14ac:dyDescent="0.25">
      <c r="A7664" t="str">
        <f>"838945062"</f>
        <v>838945062</v>
      </c>
      <c r="B7664" t="s">
        <v>6924</v>
      </c>
      <c r="C7664">
        <v>22</v>
      </c>
      <c r="D7664" t="str">
        <f t="shared" si="247"/>
        <v>270</v>
      </c>
    </row>
    <row r="7665" spans="1:4" x14ac:dyDescent="0.25">
      <c r="A7665" t="str">
        <f>"838945063"</f>
        <v>838945063</v>
      </c>
      <c r="B7665" t="s">
        <v>6925</v>
      </c>
      <c r="C7665">
        <v>990</v>
      </c>
      <c r="D7665" t="str">
        <f t="shared" si="247"/>
        <v>270</v>
      </c>
    </row>
    <row r="7666" spans="1:4" x14ac:dyDescent="0.25">
      <c r="A7666" t="str">
        <f>"838945064"</f>
        <v>838945064</v>
      </c>
      <c r="B7666" t="s">
        <v>6926</v>
      </c>
      <c r="C7666">
        <v>2.2000000000000002</v>
      </c>
      <c r="D7666" t="str">
        <f t="shared" si="247"/>
        <v>270</v>
      </c>
    </row>
    <row r="7667" spans="1:4" x14ac:dyDescent="0.25">
      <c r="A7667" t="str">
        <f>"838945065"</f>
        <v>838945065</v>
      </c>
      <c r="B7667" t="s">
        <v>6927</v>
      </c>
      <c r="C7667">
        <v>7.95</v>
      </c>
      <c r="D7667" t="str">
        <f t="shared" si="247"/>
        <v>270</v>
      </c>
    </row>
    <row r="7668" spans="1:4" x14ac:dyDescent="0.25">
      <c r="A7668" t="str">
        <f>"838945066"</f>
        <v>838945066</v>
      </c>
      <c r="B7668" t="s">
        <v>6928</v>
      </c>
      <c r="C7668">
        <v>248.6</v>
      </c>
      <c r="D7668" t="str">
        <f t="shared" si="247"/>
        <v>270</v>
      </c>
    </row>
    <row r="7669" spans="1:4" x14ac:dyDescent="0.25">
      <c r="A7669" t="str">
        <f>"838945067"</f>
        <v>838945067</v>
      </c>
      <c r="B7669" t="s">
        <v>6929</v>
      </c>
      <c r="C7669">
        <v>502.7</v>
      </c>
      <c r="D7669" t="str">
        <f t="shared" si="247"/>
        <v>270</v>
      </c>
    </row>
    <row r="7670" spans="1:4" x14ac:dyDescent="0.25">
      <c r="A7670" t="str">
        <f>"838945068"</f>
        <v>838945068</v>
      </c>
      <c r="B7670" t="s">
        <v>6930</v>
      </c>
      <c r="C7670">
        <v>33</v>
      </c>
      <c r="D7670" t="str">
        <f t="shared" si="247"/>
        <v>270</v>
      </c>
    </row>
    <row r="7671" spans="1:4" x14ac:dyDescent="0.25">
      <c r="A7671" t="str">
        <f>"838945069"</f>
        <v>838945069</v>
      </c>
      <c r="B7671" t="s">
        <v>6931</v>
      </c>
      <c r="C7671">
        <v>16.5</v>
      </c>
      <c r="D7671" t="str">
        <f t="shared" si="247"/>
        <v>270</v>
      </c>
    </row>
    <row r="7672" spans="1:4" x14ac:dyDescent="0.25">
      <c r="A7672" t="str">
        <f>"838945070"</f>
        <v>838945070</v>
      </c>
      <c r="B7672" t="s">
        <v>6932</v>
      </c>
      <c r="C7672">
        <v>407</v>
      </c>
      <c r="D7672" t="str">
        <f t="shared" si="247"/>
        <v>270</v>
      </c>
    </row>
    <row r="7673" spans="1:4" x14ac:dyDescent="0.25">
      <c r="A7673" t="str">
        <f>"838945071"</f>
        <v>838945071</v>
      </c>
      <c r="B7673" t="s">
        <v>6933</v>
      </c>
      <c r="C7673">
        <v>41.8</v>
      </c>
      <c r="D7673" t="str">
        <f t="shared" si="247"/>
        <v>270</v>
      </c>
    </row>
    <row r="7674" spans="1:4" x14ac:dyDescent="0.25">
      <c r="A7674" t="str">
        <f>"838945072"</f>
        <v>838945072</v>
      </c>
      <c r="B7674" t="s">
        <v>6934</v>
      </c>
      <c r="C7674">
        <v>41.8</v>
      </c>
      <c r="D7674" t="str">
        <f t="shared" si="247"/>
        <v>270</v>
      </c>
    </row>
    <row r="7675" spans="1:4" x14ac:dyDescent="0.25">
      <c r="A7675" t="str">
        <f>"838945073"</f>
        <v>838945073</v>
      </c>
      <c r="B7675" t="s">
        <v>6935</v>
      </c>
      <c r="C7675">
        <v>27.5</v>
      </c>
      <c r="D7675" t="str">
        <f t="shared" si="247"/>
        <v>270</v>
      </c>
    </row>
    <row r="7676" spans="1:4" x14ac:dyDescent="0.25">
      <c r="A7676" t="str">
        <f>"838945074"</f>
        <v>838945074</v>
      </c>
      <c r="B7676" t="s">
        <v>6936</v>
      </c>
      <c r="C7676">
        <v>41.8</v>
      </c>
      <c r="D7676" t="str">
        <f t="shared" si="247"/>
        <v>270</v>
      </c>
    </row>
    <row r="7677" spans="1:4" x14ac:dyDescent="0.25">
      <c r="A7677" t="str">
        <f>"838945075"</f>
        <v>838945075</v>
      </c>
      <c r="B7677" t="s">
        <v>6937</v>
      </c>
      <c r="C7677">
        <v>17.600000000000001</v>
      </c>
      <c r="D7677" t="str">
        <f t="shared" si="247"/>
        <v>270</v>
      </c>
    </row>
    <row r="7678" spans="1:4" x14ac:dyDescent="0.25">
      <c r="A7678" t="str">
        <f>"838945076"</f>
        <v>838945076</v>
      </c>
      <c r="B7678" t="s">
        <v>6938</v>
      </c>
      <c r="C7678">
        <v>29.7</v>
      </c>
      <c r="D7678" t="str">
        <f t="shared" si="247"/>
        <v>270</v>
      </c>
    </row>
    <row r="7679" spans="1:4" x14ac:dyDescent="0.25">
      <c r="A7679" t="str">
        <f>"838945077"</f>
        <v>838945077</v>
      </c>
      <c r="B7679" t="s">
        <v>6939</v>
      </c>
      <c r="C7679" s="1">
        <v>1118.7</v>
      </c>
      <c r="D7679" t="str">
        <f t="shared" si="247"/>
        <v>270</v>
      </c>
    </row>
    <row r="7680" spans="1:4" x14ac:dyDescent="0.25">
      <c r="A7680" t="str">
        <f>"838945078"</f>
        <v>838945078</v>
      </c>
      <c r="B7680" t="s">
        <v>6940</v>
      </c>
      <c r="C7680">
        <v>31.9</v>
      </c>
      <c r="D7680" t="str">
        <f t="shared" si="247"/>
        <v>270</v>
      </c>
    </row>
    <row r="7681" spans="1:4" x14ac:dyDescent="0.25">
      <c r="A7681" t="str">
        <f>"838945079"</f>
        <v>838945079</v>
      </c>
      <c r="B7681" t="s">
        <v>6941</v>
      </c>
      <c r="C7681">
        <v>215.59</v>
      </c>
      <c r="D7681" t="str">
        <f>"274"</f>
        <v>274</v>
      </c>
    </row>
    <row r="7682" spans="1:4" x14ac:dyDescent="0.25">
      <c r="A7682" t="str">
        <f>"838945080"</f>
        <v>838945080</v>
      </c>
      <c r="B7682" t="s">
        <v>6942</v>
      </c>
      <c r="C7682">
        <v>110</v>
      </c>
      <c r="D7682" t="str">
        <f t="shared" ref="D7682:D7688" si="248">"270"</f>
        <v>270</v>
      </c>
    </row>
    <row r="7683" spans="1:4" x14ac:dyDescent="0.25">
      <c r="A7683" t="str">
        <f>"838945081"</f>
        <v>838945081</v>
      </c>
      <c r="B7683" t="s">
        <v>6943</v>
      </c>
      <c r="C7683">
        <v>149.93</v>
      </c>
      <c r="D7683" t="str">
        <f t="shared" si="248"/>
        <v>270</v>
      </c>
    </row>
    <row r="7684" spans="1:4" x14ac:dyDescent="0.25">
      <c r="A7684" t="str">
        <f>"838945082"</f>
        <v>838945082</v>
      </c>
      <c r="B7684" t="s">
        <v>6944</v>
      </c>
      <c r="C7684">
        <v>1.1000000000000001</v>
      </c>
      <c r="D7684" t="str">
        <f t="shared" si="248"/>
        <v>270</v>
      </c>
    </row>
    <row r="7685" spans="1:4" x14ac:dyDescent="0.25">
      <c r="A7685" t="str">
        <f>"838945083"</f>
        <v>838945083</v>
      </c>
      <c r="B7685" t="s">
        <v>6945</v>
      </c>
      <c r="C7685">
        <v>7.7</v>
      </c>
      <c r="D7685" t="str">
        <f t="shared" si="248"/>
        <v>270</v>
      </c>
    </row>
    <row r="7686" spans="1:4" x14ac:dyDescent="0.25">
      <c r="A7686" t="str">
        <f>"838945084"</f>
        <v>838945084</v>
      </c>
      <c r="B7686" t="s">
        <v>6946</v>
      </c>
      <c r="C7686">
        <v>55</v>
      </c>
      <c r="D7686" t="str">
        <f t="shared" si="248"/>
        <v>270</v>
      </c>
    </row>
    <row r="7687" spans="1:4" x14ac:dyDescent="0.25">
      <c r="A7687" t="str">
        <f>"838945085"</f>
        <v>838945085</v>
      </c>
      <c r="B7687" t="s">
        <v>6947</v>
      </c>
      <c r="C7687">
        <v>942.7</v>
      </c>
      <c r="D7687" t="str">
        <f t="shared" si="248"/>
        <v>270</v>
      </c>
    </row>
    <row r="7688" spans="1:4" x14ac:dyDescent="0.25">
      <c r="A7688" t="str">
        <f>"838945086"</f>
        <v>838945086</v>
      </c>
      <c r="B7688" t="s">
        <v>6948</v>
      </c>
      <c r="C7688" s="1">
        <v>18436</v>
      </c>
      <c r="D7688" t="str">
        <f t="shared" si="248"/>
        <v>270</v>
      </c>
    </row>
    <row r="7689" spans="1:4" x14ac:dyDescent="0.25">
      <c r="A7689" t="str">
        <f>"838945087"</f>
        <v>838945087</v>
      </c>
      <c r="B7689" t="s">
        <v>6949</v>
      </c>
      <c r="C7689">
        <v>589.6</v>
      </c>
      <c r="D7689" t="str">
        <f>"278"</f>
        <v>278</v>
      </c>
    </row>
    <row r="7690" spans="1:4" x14ac:dyDescent="0.25">
      <c r="A7690" t="str">
        <f>"838945088"</f>
        <v>838945088</v>
      </c>
      <c r="B7690" t="s">
        <v>6950</v>
      </c>
      <c r="C7690">
        <v>7.7</v>
      </c>
      <c r="D7690" t="str">
        <f>"270"</f>
        <v>270</v>
      </c>
    </row>
    <row r="7691" spans="1:4" x14ac:dyDescent="0.25">
      <c r="A7691" t="str">
        <f>"838945089"</f>
        <v>838945089</v>
      </c>
      <c r="B7691" t="s">
        <v>6951</v>
      </c>
      <c r="C7691">
        <v>20.13</v>
      </c>
      <c r="D7691" t="str">
        <f>"270"</f>
        <v>270</v>
      </c>
    </row>
    <row r="7692" spans="1:4" x14ac:dyDescent="0.25">
      <c r="A7692" t="str">
        <f>"838945090"</f>
        <v>838945090</v>
      </c>
      <c r="B7692" t="s">
        <v>6952</v>
      </c>
      <c r="C7692">
        <v>28.6</v>
      </c>
      <c r="D7692" t="str">
        <f>"270"</f>
        <v>270</v>
      </c>
    </row>
    <row r="7693" spans="1:4" x14ac:dyDescent="0.25">
      <c r="A7693" t="str">
        <f>"838945091"</f>
        <v>838945091</v>
      </c>
      <c r="B7693" t="s">
        <v>6953</v>
      </c>
      <c r="C7693">
        <v>12.1</v>
      </c>
      <c r="D7693" t="str">
        <f>"270"</f>
        <v>270</v>
      </c>
    </row>
    <row r="7694" spans="1:4" x14ac:dyDescent="0.25">
      <c r="A7694" t="str">
        <f>"838945092"</f>
        <v>838945092</v>
      </c>
      <c r="B7694" t="s">
        <v>6954</v>
      </c>
      <c r="C7694">
        <v>260.7</v>
      </c>
      <c r="D7694" t="str">
        <f>"270"</f>
        <v>270</v>
      </c>
    </row>
    <row r="7695" spans="1:4" x14ac:dyDescent="0.25">
      <c r="A7695" t="str">
        <f>"838945093"</f>
        <v>838945093</v>
      </c>
      <c r="B7695" t="s">
        <v>6955</v>
      </c>
      <c r="C7695">
        <v>108.9</v>
      </c>
      <c r="D7695" t="str">
        <f>"272"</f>
        <v>272</v>
      </c>
    </row>
    <row r="7696" spans="1:4" x14ac:dyDescent="0.25">
      <c r="A7696" t="str">
        <f>"838945094"</f>
        <v>838945094</v>
      </c>
      <c r="B7696" t="s">
        <v>6956</v>
      </c>
      <c r="C7696">
        <v>161.69999999999999</v>
      </c>
      <c r="D7696" t="str">
        <f t="shared" ref="D7696:D7701" si="249">"270"</f>
        <v>270</v>
      </c>
    </row>
    <row r="7697" spans="1:4" x14ac:dyDescent="0.25">
      <c r="A7697" t="str">
        <f>"838945095"</f>
        <v>838945095</v>
      </c>
      <c r="B7697" t="s">
        <v>6957</v>
      </c>
      <c r="C7697">
        <v>232.1</v>
      </c>
      <c r="D7697" t="str">
        <f t="shared" si="249"/>
        <v>270</v>
      </c>
    </row>
    <row r="7698" spans="1:4" x14ac:dyDescent="0.25">
      <c r="A7698" t="str">
        <f>"838945096"</f>
        <v>838945096</v>
      </c>
      <c r="B7698" t="s">
        <v>6958</v>
      </c>
      <c r="C7698">
        <v>2.2000000000000002</v>
      </c>
      <c r="D7698" t="str">
        <f t="shared" si="249"/>
        <v>270</v>
      </c>
    </row>
    <row r="7699" spans="1:4" x14ac:dyDescent="0.25">
      <c r="A7699" t="str">
        <f>"838945097"</f>
        <v>838945097</v>
      </c>
      <c r="B7699" t="s">
        <v>6959</v>
      </c>
      <c r="C7699">
        <v>129.80000000000001</v>
      </c>
      <c r="D7699" t="str">
        <f t="shared" si="249"/>
        <v>270</v>
      </c>
    </row>
    <row r="7700" spans="1:4" x14ac:dyDescent="0.25">
      <c r="A7700" t="str">
        <f>"838945098"</f>
        <v>838945098</v>
      </c>
      <c r="B7700" t="s">
        <v>6960</v>
      </c>
      <c r="C7700">
        <v>591.79999999999995</v>
      </c>
      <c r="D7700" t="str">
        <f t="shared" si="249"/>
        <v>270</v>
      </c>
    </row>
    <row r="7701" spans="1:4" x14ac:dyDescent="0.25">
      <c r="A7701" t="str">
        <f>"838945099"</f>
        <v>838945099</v>
      </c>
      <c r="B7701" t="s">
        <v>6961</v>
      </c>
      <c r="C7701">
        <v>16.5</v>
      </c>
      <c r="D7701" t="str">
        <f t="shared" si="249"/>
        <v>270</v>
      </c>
    </row>
    <row r="7702" spans="1:4" x14ac:dyDescent="0.25">
      <c r="A7702" t="str">
        <f>"838945100"</f>
        <v>838945100</v>
      </c>
      <c r="B7702" t="s">
        <v>6962</v>
      </c>
      <c r="C7702">
        <v>55</v>
      </c>
      <c r="D7702" t="str">
        <f>"420"</f>
        <v>420</v>
      </c>
    </row>
    <row r="7703" spans="1:4" x14ac:dyDescent="0.25">
      <c r="A7703" t="str">
        <f>"838945101"</f>
        <v>838945101</v>
      </c>
      <c r="B7703" t="s">
        <v>6963</v>
      </c>
      <c r="C7703">
        <v>471.9</v>
      </c>
      <c r="D7703" t="str">
        <f>"270"</f>
        <v>270</v>
      </c>
    </row>
    <row r="7704" spans="1:4" x14ac:dyDescent="0.25">
      <c r="A7704" t="str">
        <f>"838945102"</f>
        <v>838945102</v>
      </c>
      <c r="B7704" t="s">
        <v>6964</v>
      </c>
      <c r="C7704">
        <v>141.9</v>
      </c>
      <c r="D7704" t="str">
        <f>"270"</f>
        <v>270</v>
      </c>
    </row>
    <row r="7705" spans="1:4" x14ac:dyDescent="0.25">
      <c r="A7705" t="str">
        <f>"838945103"</f>
        <v>838945103</v>
      </c>
      <c r="B7705" t="s">
        <v>6965</v>
      </c>
      <c r="C7705">
        <v>84.7</v>
      </c>
      <c r="D7705" t="str">
        <f>"272"</f>
        <v>272</v>
      </c>
    </row>
    <row r="7706" spans="1:4" x14ac:dyDescent="0.25">
      <c r="A7706" t="str">
        <f>"838945104"</f>
        <v>838945104</v>
      </c>
      <c r="B7706" t="s">
        <v>6966</v>
      </c>
      <c r="C7706">
        <v>84.7</v>
      </c>
      <c r="D7706" t="str">
        <f t="shared" ref="D7706:D7749" si="250">"270"</f>
        <v>270</v>
      </c>
    </row>
    <row r="7707" spans="1:4" x14ac:dyDescent="0.25">
      <c r="A7707" t="str">
        <f>"838945105"</f>
        <v>838945105</v>
      </c>
      <c r="B7707" t="s">
        <v>6967</v>
      </c>
      <c r="C7707">
        <v>74.8</v>
      </c>
      <c r="D7707" t="str">
        <f t="shared" si="250"/>
        <v>270</v>
      </c>
    </row>
    <row r="7708" spans="1:4" x14ac:dyDescent="0.25">
      <c r="A7708" t="str">
        <f>"838945106"</f>
        <v>838945106</v>
      </c>
      <c r="B7708" t="s">
        <v>6968</v>
      </c>
      <c r="C7708">
        <v>71.5</v>
      </c>
      <c r="D7708" t="str">
        <f t="shared" si="250"/>
        <v>270</v>
      </c>
    </row>
    <row r="7709" spans="1:4" x14ac:dyDescent="0.25">
      <c r="A7709" t="str">
        <f>"838945107"</f>
        <v>838945107</v>
      </c>
      <c r="B7709" t="s">
        <v>6969</v>
      </c>
      <c r="C7709">
        <v>74.8</v>
      </c>
      <c r="D7709" t="str">
        <f t="shared" si="250"/>
        <v>270</v>
      </c>
    </row>
    <row r="7710" spans="1:4" x14ac:dyDescent="0.25">
      <c r="A7710" t="str">
        <f>"838945108"</f>
        <v>838945108</v>
      </c>
      <c r="B7710" t="s">
        <v>6970</v>
      </c>
      <c r="C7710">
        <v>49.5</v>
      </c>
      <c r="D7710" t="str">
        <f t="shared" si="250"/>
        <v>270</v>
      </c>
    </row>
    <row r="7711" spans="1:4" x14ac:dyDescent="0.25">
      <c r="A7711" t="str">
        <f>"838945109"</f>
        <v>838945109</v>
      </c>
      <c r="B7711" t="s">
        <v>6971</v>
      </c>
      <c r="C7711">
        <v>74.8</v>
      </c>
      <c r="D7711" t="str">
        <f t="shared" si="250"/>
        <v>270</v>
      </c>
    </row>
    <row r="7712" spans="1:4" x14ac:dyDescent="0.25">
      <c r="A7712" t="str">
        <f>"838945110"</f>
        <v>838945110</v>
      </c>
      <c r="B7712" t="s">
        <v>6972</v>
      </c>
      <c r="C7712">
        <v>74.8</v>
      </c>
      <c r="D7712" t="str">
        <f t="shared" si="250"/>
        <v>270</v>
      </c>
    </row>
    <row r="7713" spans="1:4" x14ac:dyDescent="0.25">
      <c r="A7713" t="str">
        <f>"838945111"</f>
        <v>838945111</v>
      </c>
      <c r="B7713" t="s">
        <v>6973</v>
      </c>
      <c r="C7713">
        <v>9.9</v>
      </c>
      <c r="D7713" t="str">
        <f t="shared" si="250"/>
        <v>270</v>
      </c>
    </row>
    <row r="7714" spans="1:4" x14ac:dyDescent="0.25">
      <c r="A7714" t="str">
        <f>"838945112"</f>
        <v>838945112</v>
      </c>
      <c r="B7714" t="s">
        <v>6974</v>
      </c>
      <c r="C7714">
        <v>50.6</v>
      </c>
      <c r="D7714" t="str">
        <f t="shared" si="250"/>
        <v>270</v>
      </c>
    </row>
    <row r="7715" spans="1:4" x14ac:dyDescent="0.25">
      <c r="A7715" t="str">
        <f>"838945113"</f>
        <v>838945113</v>
      </c>
      <c r="B7715" t="s">
        <v>6975</v>
      </c>
      <c r="C7715">
        <v>46.2</v>
      </c>
      <c r="D7715" t="str">
        <f t="shared" si="250"/>
        <v>270</v>
      </c>
    </row>
    <row r="7716" spans="1:4" x14ac:dyDescent="0.25">
      <c r="A7716" t="str">
        <f>"838945114"</f>
        <v>838945114</v>
      </c>
      <c r="B7716" t="s">
        <v>6976</v>
      </c>
      <c r="C7716">
        <v>493.9</v>
      </c>
      <c r="D7716" t="str">
        <f t="shared" si="250"/>
        <v>270</v>
      </c>
    </row>
    <row r="7717" spans="1:4" x14ac:dyDescent="0.25">
      <c r="A7717" t="str">
        <f>"838945115"</f>
        <v>838945115</v>
      </c>
      <c r="B7717" t="s">
        <v>6977</v>
      </c>
      <c r="C7717" s="1">
        <v>6022.5</v>
      </c>
      <c r="D7717" t="str">
        <f t="shared" si="250"/>
        <v>270</v>
      </c>
    </row>
    <row r="7718" spans="1:4" x14ac:dyDescent="0.25">
      <c r="A7718" t="str">
        <f>"838945116"</f>
        <v>838945116</v>
      </c>
      <c r="B7718" t="s">
        <v>6978</v>
      </c>
      <c r="C7718">
        <v>198</v>
      </c>
      <c r="D7718" t="str">
        <f t="shared" si="250"/>
        <v>270</v>
      </c>
    </row>
    <row r="7719" spans="1:4" x14ac:dyDescent="0.25">
      <c r="A7719" t="str">
        <f>"838945117"</f>
        <v>838945117</v>
      </c>
      <c r="B7719" t="s">
        <v>6979</v>
      </c>
      <c r="C7719">
        <v>123.2</v>
      </c>
      <c r="D7719" t="str">
        <f t="shared" si="250"/>
        <v>270</v>
      </c>
    </row>
    <row r="7720" spans="1:4" x14ac:dyDescent="0.25">
      <c r="A7720" t="str">
        <f>"838945118"</f>
        <v>838945118</v>
      </c>
      <c r="B7720" t="s">
        <v>6980</v>
      </c>
      <c r="C7720">
        <v>160.6</v>
      </c>
      <c r="D7720" t="str">
        <f t="shared" si="250"/>
        <v>270</v>
      </c>
    </row>
    <row r="7721" spans="1:4" x14ac:dyDescent="0.25">
      <c r="A7721" t="str">
        <f>"838945119"</f>
        <v>838945119</v>
      </c>
      <c r="B7721" t="s">
        <v>6981</v>
      </c>
      <c r="C7721">
        <v>110</v>
      </c>
      <c r="D7721" t="str">
        <f t="shared" si="250"/>
        <v>270</v>
      </c>
    </row>
    <row r="7722" spans="1:4" x14ac:dyDescent="0.25">
      <c r="A7722" t="str">
        <f>"838945120"</f>
        <v>838945120</v>
      </c>
      <c r="B7722" t="s">
        <v>6982</v>
      </c>
      <c r="C7722">
        <v>189.2</v>
      </c>
      <c r="D7722" t="str">
        <f t="shared" si="250"/>
        <v>270</v>
      </c>
    </row>
    <row r="7723" spans="1:4" x14ac:dyDescent="0.25">
      <c r="A7723" t="str">
        <f>"838945121"</f>
        <v>838945121</v>
      </c>
      <c r="B7723" t="s">
        <v>6983</v>
      </c>
      <c r="C7723">
        <v>460.9</v>
      </c>
      <c r="D7723" t="str">
        <f t="shared" si="250"/>
        <v>270</v>
      </c>
    </row>
    <row r="7724" spans="1:4" x14ac:dyDescent="0.25">
      <c r="A7724" t="str">
        <f>"838945122"</f>
        <v>838945122</v>
      </c>
      <c r="B7724" t="s">
        <v>6984</v>
      </c>
      <c r="C7724">
        <v>195.8</v>
      </c>
      <c r="D7724" t="str">
        <f t="shared" si="250"/>
        <v>270</v>
      </c>
    </row>
    <row r="7725" spans="1:4" x14ac:dyDescent="0.25">
      <c r="A7725" t="str">
        <f>"838945123"</f>
        <v>838945123</v>
      </c>
      <c r="B7725" t="s">
        <v>6985</v>
      </c>
      <c r="C7725">
        <v>5.5</v>
      </c>
      <c r="D7725" t="str">
        <f t="shared" si="250"/>
        <v>270</v>
      </c>
    </row>
    <row r="7726" spans="1:4" x14ac:dyDescent="0.25">
      <c r="A7726" t="str">
        <f>"838945124"</f>
        <v>838945124</v>
      </c>
      <c r="B7726" t="s">
        <v>6986</v>
      </c>
      <c r="C7726">
        <v>12.1</v>
      </c>
      <c r="D7726" t="str">
        <f t="shared" si="250"/>
        <v>270</v>
      </c>
    </row>
    <row r="7727" spans="1:4" x14ac:dyDescent="0.25">
      <c r="A7727" t="str">
        <f>"838945125"</f>
        <v>838945125</v>
      </c>
      <c r="B7727" t="s">
        <v>6987</v>
      </c>
      <c r="C7727" s="1">
        <v>1016.4</v>
      </c>
      <c r="D7727" t="str">
        <f t="shared" si="250"/>
        <v>270</v>
      </c>
    </row>
    <row r="7728" spans="1:4" x14ac:dyDescent="0.25">
      <c r="A7728" t="str">
        <f>"838945126"</f>
        <v>838945126</v>
      </c>
      <c r="B7728" t="s">
        <v>6988</v>
      </c>
      <c r="C7728">
        <v>28.6</v>
      </c>
      <c r="D7728" t="str">
        <f t="shared" si="250"/>
        <v>270</v>
      </c>
    </row>
    <row r="7729" spans="1:4" x14ac:dyDescent="0.25">
      <c r="A7729" t="str">
        <f>"838945127"</f>
        <v>838945127</v>
      </c>
      <c r="B7729" t="s">
        <v>6989</v>
      </c>
      <c r="C7729">
        <v>13.2</v>
      </c>
      <c r="D7729" t="str">
        <f t="shared" si="250"/>
        <v>270</v>
      </c>
    </row>
    <row r="7730" spans="1:4" x14ac:dyDescent="0.25">
      <c r="A7730" t="str">
        <f>"838945128"</f>
        <v>838945128</v>
      </c>
      <c r="B7730" t="s">
        <v>6990</v>
      </c>
      <c r="C7730">
        <v>581.9</v>
      </c>
      <c r="D7730" t="str">
        <f t="shared" si="250"/>
        <v>270</v>
      </c>
    </row>
    <row r="7731" spans="1:4" x14ac:dyDescent="0.25">
      <c r="A7731" t="str">
        <f>"838945129"</f>
        <v>838945129</v>
      </c>
      <c r="B7731" t="s">
        <v>6991</v>
      </c>
      <c r="C7731" s="1">
        <v>1402.5</v>
      </c>
      <c r="D7731" t="str">
        <f t="shared" si="250"/>
        <v>270</v>
      </c>
    </row>
    <row r="7732" spans="1:4" x14ac:dyDescent="0.25">
      <c r="A7732" t="str">
        <f>"838945130"</f>
        <v>838945130</v>
      </c>
      <c r="B7732" t="s">
        <v>6992</v>
      </c>
      <c r="C7732" s="1">
        <v>1540</v>
      </c>
      <c r="D7732" t="str">
        <f t="shared" si="250"/>
        <v>270</v>
      </c>
    </row>
    <row r="7733" spans="1:4" x14ac:dyDescent="0.25">
      <c r="A7733" t="str">
        <f>"838945131"</f>
        <v>838945131</v>
      </c>
      <c r="B7733" t="s">
        <v>6993</v>
      </c>
      <c r="C7733">
        <v>990</v>
      </c>
      <c r="D7733" t="str">
        <f t="shared" si="250"/>
        <v>270</v>
      </c>
    </row>
    <row r="7734" spans="1:4" x14ac:dyDescent="0.25">
      <c r="A7734" t="str">
        <f>"838945132"</f>
        <v>838945132</v>
      </c>
      <c r="B7734" t="s">
        <v>6994</v>
      </c>
      <c r="C7734">
        <v>514.79999999999995</v>
      </c>
      <c r="D7734" t="str">
        <f t="shared" si="250"/>
        <v>270</v>
      </c>
    </row>
    <row r="7735" spans="1:4" x14ac:dyDescent="0.25">
      <c r="A7735" t="str">
        <f>"838945133"</f>
        <v>838945133</v>
      </c>
      <c r="B7735" t="s">
        <v>6995</v>
      </c>
      <c r="C7735">
        <v>51.7</v>
      </c>
      <c r="D7735" t="str">
        <f t="shared" si="250"/>
        <v>270</v>
      </c>
    </row>
    <row r="7736" spans="1:4" x14ac:dyDescent="0.25">
      <c r="A7736" t="str">
        <f>"838945134"</f>
        <v>838945134</v>
      </c>
      <c r="B7736" t="s">
        <v>6996</v>
      </c>
      <c r="C7736">
        <v>264</v>
      </c>
      <c r="D7736" t="str">
        <f t="shared" si="250"/>
        <v>270</v>
      </c>
    </row>
    <row r="7737" spans="1:4" x14ac:dyDescent="0.25">
      <c r="A7737" t="str">
        <f>"838945135"</f>
        <v>838945135</v>
      </c>
      <c r="B7737" t="s">
        <v>6997</v>
      </c>
      <c r="C7737">
        <v>17.600000000000001</v>
      </c>
      <c r="D7737" t="str">
        <f t="shared" si="250"/>
        <v>270</v>
      </c>
    </row>
    <row r="7738" spans="1:4" x14ac:dyDescent="0.25">
      <c r="A7738" t="str">
        <f>"838945136"</f>
        <v>838945136</v>
      </c>
      <c r="B7738" t="s">
        <v>6998</v>
      </c>
      <c r="C7738">
        <v>8.8000000000000007</v>
      </c>
      <c r="D7738" t="str">
        <f t="shared" si="250"/>
        <v>270</v>
      </c>
    </row>
    <row r="7739" spans="1:4" x14ac:dyDescent="0.25">
      <c r="A7739" t="str">
        <f>"838945137"</f>
        <v>838945137</v>
      </c>
      <c r="B7739" t="s">
        <v>6999</v>
      </c>
      <c r="C7739">
        <v>29.7</v>
      </c>
      <c r="D7739" t="str">
        <f t="shared" si="250"/>
        <v>270</v>
      </c>
    </row>
    <row r="7740" spans="1:4" x14ac:dyDescent="0.25">
      <c r="A7740" t="str">
        <f>"838945138"</f>
        <v>838945138</v>
      </c>
      <c r="B7740" t="s">
        <v>7000</v>
      </c>
      <c r="C7740" s="1">
        <v>1397</v>
      </c>
      <c r="D7740" t="str">
        <f t="shared" si="250"/>
        <v>270</v>
      </c>
    </row>
    <row r="7741" spans="1:4" x14ac:dyDescent="0.25">
      <c r="A7741" t="str">
        <f>"838945139"</f>
        <v>838945139</v>
      </c>
      <c r="B7741" t="s">
        <v>7001</v>
      </c>
      <c r="C7741">
        <v>201.3</v>
      </c>
      <c r="D7741" t="str">
        <f t="shared" si="250"/>
        <v>270</v>
      </c>
    </row>
    <row r="7742" spans="1:4" x14ac:dyDescent="0.25">
      <c r="A7742" t="str">
        <f>"838945140"</f>
        <v>838945140</v>
      </c>
      <c r="B7742" t="s">
        <v>7002</v>
      </c>
      <c r="C7742">
        <v>598.4</v>
      </c>
      <c r="D7742" t="str">
        <f t="shared" si="250"/>
        <v>270</v>
      </c>
    </row>
    <row r="7743" spans="1:4" x14ac:dyDescent="0.25">
      <c r="A7743" t="str">
        <f>"838945141"</f>
        <v>838945141</v>
      </c>
      <c r="B7743" t="s">
        <v>7003</v>
      </c>
      <c r="C7743">
        <v>635.79999999999995</v>
      </c>
      <c r="D7743" t="str">
        <f t="shared" si="250"/>
        <v>270</v>
      </c>
    </row>
    <row r="7744" spans="1:4" x14ac:dyDescent="0.25">
      <c r="A7744" t="str">
        <f>"838945142"</f>
        <v>838945142</v>
      </c>
      <c r="B7744" t="s">
        <v>7004</v>
      </c>
      <c r="C7744">
        <v>39.6</v>
      </c>
      <c r="D7744" t="str">
        <f t="shared" si="250"/>
        <v>270</v>
      </c>
    </row>
    <row r="7745" spans="1:4" x14ac:dyDescent="0.25">
      <c r="A7745" t="str">
        <f>"838945143"</f>
        <v>838945143</v>
      </c>
      <c r="B7745" t="s">
        <v>7005</v>
      </c>
      <c r="C7745">
        <v>297</v>
      </c>
      <c r="D7745" t="str">
        <f t="shared" si="250"/>
        <v>270</v>
      </c>
    </row>
    <row r="7746" spans="1:4" x14ac:dyDescent="0.25">
      <c r="A7746" t="str">
        <f>"838945144"</f>
        <v>838945144</v>
      </c>
      <c r="B7746" t="s">
        <v>7006</v>
      </c>
      <c r="C7746">
        <v>385</v>
      </c>
      <c r="D7746" t="str">
        <f t="shared" si="250"/>
        <v>270</v>
      </c>
    </row>
    <row r="7747" spans="1:4" x14ac:dyDescent="0.25">
      <c r="A7747" t="str">
        <f>"838945145"</f>
        <v>838945145</v>
      </c>
      <c r="B7747" t="s">
        <v>7007</v>
      </c>
      <c r="C7747">
        <v>734.8</v>
      </c>
      <c r="D7747" t="str">
        <f t="shared" si="250"/>
        <v>270</v>
      </c>
    </row>
    <row r="7748" spans="1:4" x14ac:dyDescent="0.25">
      <c r="A7748" t="str">
        <f>"838945146"</f>
        <v>838945146</v>
      </c>
      <c r="B7748" t="s">
        <v>7008</v>
      </c>
      <c r="C7748">
        <v>38.5</v>
      </c>
      <c r="D7748" t="str">
        <f t="shared" si="250"/>
        <v>270</v>
      </c>
    </row>
    <row r="7749" spans="1:4" x14ac:dyDescent="0.25">
      <c r="A7749" t="str">
        <f>"838945147"</f>
        <v>838945147</v>
      </c>
      <c r="B7749" t="s">
        <v>7009</v>
      </c>
      <c r="C7749">
        <v>105.6</v>
      </c>
      <c r="D7749" t="str">
        <f t="shared" si="250"/>
        <v>270</v>
      </c>
    </row>
    <row r="7750" spans="1:4" x14ac:dyDescent="0.25">
      <c r="A7750" t="str">
        <f>"838945148"</f>
        <v>838945148</v>
      </c>
      <c r="B7750" t="s">
        <v>7010</v>
      </c>
      <c r="C7750">
        <v>141.9</v>
      </c>
      <c r="D7750" t="str">
        <f>"271"</f>
        <v>271</v>
      </c>
    </row>
    <row r="7751" spans="1:4" x14ac:dyDescent="0.25">
      <c r="A7751" t="str">
        <f>"838945149"</f>
        <v>838945149</v>
      </c>
      <c r="B7751" t="s">
        <v>7011</v>
      </c>
      <c r="C7751">
        <v>159.5</v>
      </c>
      <c r="D7751" t="str">
        <f t="shared" ref="D7751:D7756" si="251">"270"</f>
        <v>270</v>
      </c>
    </row>
    <row r="7752" spans="1:4" x14ac:dyDescent="0.25">
      <c r="A7752" t="str">
        <f>"838945150"</f>
        <v>838945150</v>
      </c>
      <c r="B7752" t="s">
        <v>7012</v>
      </c>
      <c r="C7752">
        <v>239.8</v>
      </c>
      <c r="D7752" t="str">
        <f t="shared" si="251"/>
        <v>270</v>
      </c>
    </row>
    <row r="7753" spans="1:4" x14ac:dyDescent="0.25">
      <c r="A7753" t="str">
        <f>"838945151"</f>
        <v>838945151</v>
      </c>
      <c r="B7753" t="s">
        <v>7013</v>
      </c>
      <c r="C7753">
        <v>541.20000000000005</v>
      </c>
      <c r="D7753" t="str">
        <f t="shared" si="251"/>
        <v>270</v>
      </c>
    </row>
    <row r="7754" spans="1:4" x14ac:dyDescent="0.25">
      <c r="A7754" t="str">
        <f>"838945152"</f>
        <v>838945152</v>
      </c>
      <c r="B7754" t="s">
        <v>7014</v>
      </c>
      <c r="C7754">
        <v>224.4</v>
      </c>
      <c r="D7754" t="str">
        <f t="shared" si="251"/>
        <v>270</v>
      </c>
    </row>
    <row r="7755" spans="1:4" x14ac:dyDescent="0.25">
      <c r="A7755" t="str">
        <f>"838945153"</f>
        <v>838945153</v>
      </c>
      <c r="B7755" t="s">
        <v>7015</v>
      </c>
      <c r="C7755">
        <v>550</v>
      </c>
      <c r="D7755" t="str">
        <f t="shared" si="251"/>
        <v>270</v>
      </c>
    </row>
    <row r="7756" spans="1:4" x14ac:dyDescent="0.25">
      <c r="A7756" t="str">
        <f>"838945154"</f>
        <v>838945154</v>
      </c>
      <c r="B7756" t="s">
        <v>7016</v>
      </c>
      <c r="C7756" s="1">
        <v>5500</v>
      </c>
      <c r="D7756" t="str">
        <f t="shared" si="251"/>
        <v>270</v>
      </c>
    </row>
    <row r="7757" spans="1:4" x14ac:dyDescent="0.25">
      <c r="A7757" t="str">
        <f>"838945155"</f>
        <v>838945155</v>
      </c>
      <c r="B7757" t="s">
        <v>7017</v>
      </c>
      <c r="C7757" s="1">
        <v>1650</v>
      </c>
      <c r="D7757" t="str">
        <f>"271"</f>
        <v>271</v>
      </c>
    </row>
    <row r="7758" spans="1:4" x14ac:dyDescent="0.25">
      <c r="A7758" t="str">
        <f>"838945156"</f>
        <v>838945156</v>
      </c>
      <c r="B7758" t="s">
        <v>7018</v>
      </c>
      <c r="C7758" s="1">
        <v>1650</v>
      </c>
      <c r="D7758" t="str">
        <f>"270"</f>
        <v>270</v>
      </c>
    </row>
    <row r="7759" spans="1:4" x14ac:dyDescent="0.25">
      <c r="A7759" t="str">
        <f>"838945157"</f>
        <v>838945157</v>
      </c>
      <c r="B7759" t="s">
        <v>7019</v>
      </c>
      <c r="C7759" s="1">
        <v>1100</v>
      </c>
      <c r="D7759" t="str">
        <f>"270"</f>
        <v>270</v>
      </c>
    </row>
    <row r="7760" spans="1:4" x14ac:dyDescent="0.25">
      <c r="A7760" t="str">
        <f>"838945158"</f>
        <v>838945158</v>
      </c>
      <c r="B7760" t="s">
        <v>7020</v>
      </c>
      <c r="C7760">
        <v>577.5</v>
      </c>
      <c r="D7760" t="str">
        <f>"270"</f>
        <v>270</v>
      </c>
    </row>
    <row r="7761" spans="1:4" x14ac:dyDescent="0.25">
      <c r="A7761" t="str">
        <f>"838945159"</f>
        <v>838945159</v>
      </c>
      <c r="B7761" t="s">
        <v>7021</v>
      </c>
      <c r="C7761">
        <v>71.5</v>
      </c>
      <c r="D7761" t="str">
        <f>"301"</f>
        <v>301</v>
      </c>
    </row>
    <row r="7762" spans="1:4" x14ac:dyDescent="0.25">
      <c r="A7762" t="str">
        <f>"83894516"</f>
        <v>83894516</v>
      </c>
      <c r="B7762" t="s">
        <v>7022</v>
      </c>
      <c r="C7762">
        <v>495</v>
      </c>
      <c r="D7762" t="str">
        <f>"278"</f>
        <v>278</v>
      </c>
    </row>
    <row r="7763" spans="1:4" x14ac:dyDescent="0.25">
      <c r="A7763" t="str">
        <f>"838945160"</f>
        <v>838945160</v>
      </c>
      <c r="B7763" t="s">
        <v>7023</v>
      </c>
      <c r="C7763">
        <v>71.5</v>
      </c>
      <c r="D7763" t="str">
        <f t="shared" ref="D7763:D7769" si="252">"270"</f>
        <v>270</v>
      </c>
    </row>
    <row r="7764" spans="1:4" x14ac:dyDescent="0.25">
      <c r="A7764" t="str">
        <f>"838945161"</f>
        <v>838945161</v>
      </c>
      <c r="B7764" t="s">
        <v>7024</v>
      </c>
      <c r="C7764" s="1">
        <v>3877.5</v>
      </c>
      <c r="D7764" t="str">
        <f t="shared" si="252"/>
        <v>270</v>
      </c>
    </row>
    <row r="7765" spans="1:4" x14ac:dyDescent="0.25">
      <c r="A7765" t="str">
        <f>"838945162"</f>
        <v>838945162</v>
      </c>
      <c r="B7765" t="s">
        <v>7025</v>
      </c>
      <c r="C7765">
        <v>8.8000000000000007</v>
      </c>
      <c r="D7765" t="str">
        <f t="shared" si="252"/>
        <v>270</v>
      </c>
    </row>
    <row r="7766" spans="1:4" x14ac:dyDescent="0.25">
      <c r="A7766" t="str">
        <f>"838945163"</f>
        <v>838945163</v>
      </c>
      <c r="B7766" t="s">
        <v>7026</v>
      </c>
      <c r="C7766">
        <v>60.5</v>
      </c>
      <c r="D7766" t="str">
        <f t="shared" si="252"/>
        <v>270</v>
      </c>
    </row>
    <row r="7767" spans="1:4" x14ac:dyDescent="0.25">
      <c r="A7767" t="str">
        <f>"838945164"</f>
        <v>838945164</v>
      </c>
      <c r="B7767" t="s">
        <v>7027</v>
      </c>
      <c r="C7767">
        <v>24.2</v>
      </c>
      <c r="D7767" t="str">
        <f t="shared" si="252"/>
        <v>270</v>
      </c>
    </row>
    <row r="7768" spans="1:4" x14ac:dyDescent="0.25">
      <c r="A7768" t="str">
        <f>"838945165"</f>
        <v>838945165</v>
      </c>
      <c r="B7768" t="s">
        <v>7028</v>
      </c>
      <c r="C7768">
        <v>44</v>
      </c>
      <c r="D7768" t="str">
        <f t="shared" si="252"/>
        <v>270</v>
      </c>
    </row>
    <row r="7769" spans="1:4" x14ac:dyDescent="0.25">
      <c r="A7769" t="str">
        <f>"838945166"</f>
        <v>838945166</v>
      </c>
      <c r="B7769" t="s">
        <v>7029</v>
      </c>
      <c r="C7769">
        <v>24.2</v>
      </c>
      <c r="D7769" t="str">
        <f t="shared" si="252"/>
        <v>270</v>
      </c>
    </row>
    <row r="7770" spans="1:4" x14ac:dyDescent="0.25">
      <c r="A7770" t="str">
        <f>"838945167"</f>
        <v>838945167</v>
      </c>
      <c r="B7770" t="s">
        <v>7030</v>
      </c>
      <c r="C7770">
        <v>80.3</v>
      </c>
      <c r="D7770" t="str">
        <f t="shared" ref="D7770:D7775" si="253">"271"</f>
        <v>271</v>
      </c>
    </row>
    <row r="7771" spans="1:4" x14ac:dyDescent="0.25">
      <c r="A7771" t="str">
        <f>"838945168"</f>
        <v>838945168</v>
      </c>
      <c r="B7771" t="s">
        <v>7031</v>
      </c>
      <c r="C7771">
        <v>158.4</v>
      </c>
      <c r="D7771" t="str">
        <f t="shared" si="253"/>
        <v>271</v>
      </c>
    </row>
    <row r="7772" spans="1:4" x14ac:dyDescent="0.25">
      <c r="A7772" t="str">
        <f>"838945169"</f>
        <v>838945169</v>
      </c>
      <c r="B7772" t="s">
        <v>7032</v>
      </c>
      <c r="C7772">
        <v>180.4</v>
      </c>
      <c r="D7772" t="str">
        <f t="shared" si="253"/>
        <v>271</v>
      </c>
    </row>
    <row r="7773" spans="1:4" x14ac:dyDescent="0.25">
      <c r="A7773" t="str">
        <f>"838945170"</f>
        <v>838945170</v>
      </c>
      <c r="B7773" t="s">
        <v>7033</v>
      </c>
      <c r="C7773">
        <v>137.5</v>
      </c>
      <c r="D7773" t="str">
        <f t="shared" si="253"/>
        <v>271</v>
      </c>
    </row>
    <row r="7774" spans="1:4" x14ac:dyDescent="0.25">
      <c r="A7774" t="str">
        <f>"838945171"</f>
        <v>838945171</v>
      </c>
      <c r="B7774" t="s">
        <v>7034</v>
      </c>
      <c r="C7774">
        <v>137.5</v>
      </c>
      <c r="D7774" t="str">
        <f t="shared" si="253"/>
        <v>271</v>
      </c>
    </row>
    <row r="7775" spans="1:4" x14ac:dyDescent="0.25">
      <c r="A7775" t="str">
        <f>"838945172"</f>
        <v>838945172</v>
      </c>
      <c r="B7775" t="s">
        <v>7035</v>
      </c>
      <c r="C7775">
        <v>51.7</v>
      </c>
      <c r="D7775" t="str">
        <f t="shared" si="253"/>
        <v>271</v>
      </c>
    </row>
    <row r="7776" spans="1:4" x14ac:dyDescent="0.25">
      <c r="A7776" t="str">
        <f>"838945173"</f>
        <v>838945173</v>
      </c>
      <c r="B7776" t="s">
        <v>7036</v>
      </c>
      <c r="C7776">
        <v>51.7</v>
      </c>
      <c r="D7776" t="str">
        <f>"270"</f>
        <v>270</v>
      </c>
    </row>
    <row r="7777" spans="1:4" x14ac:dyDescent="0.25">
      <c r="A7777" t="str">
        <f>"838945174"</f>
        <v>838945174</v>
      </c>
      <c r="B7777" t="s">
        <v>7037</v>
      </c>
      <c r="C7777">
        <v>600.6</v>
      </c>
      <c r="D7777" t="str">
        <f>"270"</f>
        <v>270</v>
      </c>
    </row>
    <row r="7778" spans="1:4" x14ac:dyDescent="0.25">
      <c r="A7778" t="str">
        <f>"838945175"</f>
        <v>838945175</v>
      </c>
      <c r="B7778" t="s">
        <v>7038</v>
      </c>
      <c r="C7778">
        <v>577.5</v>
      </c>
      <c r="D7778" t="str">
        <f>"273"</f>
        <v>273</v>
      </c>
    </row>
    <row r="7779" spans="1:4" x14ac:dyDescent="0.25">
      <c r="A7779" t="str">
        <f>"838945176"</f>
        <v>838945176</v>
      </c>
      <c r="B7779" t="s">
        <v>7039</v>
      </c>
      <c r="C7779">
        <v>255.2</v>
      </c>
      <c r="D7779" t="str">
        <f>"271"</f>
        <v>271</v>
      </c>
    </row>
    <row r="7780" spans="1:4" x14ac:dyDescent="0.25">
      <c r="A7780" t="str">
        <f>"838945177"</f>
        <v>838945177</v>
      </c>
      <c r="B7780" t="s">
        <v>7040</v>
      </c>
      <c r="C7780">
        <v>39.6</v>
      </c>
      <c r="D7780" t="str">
        <f>"270"</f>
        <v>270</v>
      </c>
    </row>
    <row r="7781" spans="1:4" x14ac:dyDescent="0.25">
      <c r="A7781" t="str">
        <f>"838945178"</f>
        <v>838945178</v>
      </c>
      <c r="B7781" t="s">
        <v>7041</v>
      </c>
      <c r="C7781">
        <v>19.8</v>
      </c>
      <c r="D7781" t="str">
        <f>"270"</f>
        <v>270</v>
      </c>
    </row>
    <row r="7782" spans="1:4" x14ac:dyDescent="0.25">
      <c r="A7782" t="str">
        <f>"838945179"</f>
        <v>838945179</v>
      </c>
      <c r="B7782" t="s">
        <v>7042</v>
      </c>
      <c r="C7782">
        <v>267.3</v>
      </c>
      <c r="D7782" t="str">
        <f>"270"</f>
        <v>270</v>
      </c>
    </row>
    <row r="7783" spans="1:4" x14ac:dyDescent="0.25">
      <c r="A7783" t="str">
        <f>"838945180"</f>
        <v>838945180</v>
      </c>
      <c r="B7783" t="s">
        <v>7043</v>
      </c>
      <c r="C7783">
        <v>60.5</v>
      </c>
      <c r="D7783" t="str">
        <f>"307"</f>
        <v>307</v>
      </c>
    </row>
    <row r="7784" spans="1:4" x14ac:dyDescent="0.25">
      <c r="A7784" t="str">
        <f>"838945181"</f>
        <v>838945181</v>
      </c>
      <c r="B7784" t="s">
        <v>7044</v>
      </c>
      <c r="C7784">
        <v>178.04</v>
      </c>
      <c r="D7784" t="str">
        <f>"270"</f>
        <v>270</v>
      </c>
    </row>
    <row r="7785" spans="1:4" x14ac:dyDescent="0.25">
      <c r="A7785" t="str">
        <f>"838945182"</f>
        <v>838945182</v>
      </c>
      <c r="B7785" t="s">
        <v>7045</v>
      </c>
      <c r="C7785">
        <v>192.5</v>
      </c>
      <c r="D7785" t="str">
        <f>"270"</f>
        <v>270</v>
      </c>
    </row>
    <row r="7786" spans="1:4" x14ac:dyDescent="0.25">
      <c r="A7786" t="str">
        <f>"838945183"</f>
        <v>838945183</v>
      </c>
      <c r="B7786" t="s">
        <v>7046</v>
      </c>
      <c r="C7786">
        <v>253</v>
      </c>
      <c r="D7786" t="str">
        <f>"307"</f>
        <v>307</v>
      </c>
    </row>
    <row r="7787" spans="1:4" x14ac:dyDescent="0.25">
      <c r="A7787" t="str">
        <f>"838945184"</f>
        <v>838945184</v>
      </c>
      <c r="B7787" t="s">
        <v>7047</v>
      </c>
      <c r="C7787">
        <v>66</v>
      </c>
      <c r="D7787" t="str">
        <f>"278"</f>
        <v>278</v>
      </c>
    </row>
    <row r="7788" spans="1:4" x14ac:dyDescent="0.25">
      <c r="A7788" t="str">
        <f>"838945185"</f>
        <v>838945185</v>
      </c>
      <c r="B7788" t="s">
        <v>7048</v>
      </c>
      <c r="C7788" s="1">
        <v>7260</v>
      </c>
      <c r="D7788" t="str">
        <f>"270"</f>
        <v>270</v>
      </c>
    </row>
    <row r="7789" spans="1:4" x14ac:dyDescent="0.25">
      <c r="A7789" t="str">
        <f>"838945186"</f>
        <v>838945186</v>
      </c>
      <c r="B7789" t="s">
        <v>7049</v>
      </c>
      <c r="C7789">
        <v>245.3</v>
      </c>
      <c r="D7789" t="str">
        <f>"272"</f>
        <v>272</v>
      </c>
    </row>
    <row r="7790" spans="1:4" x14ac:dyDescent="0.25">
      <c r="A7790" t="str">
        <f>"838945187"</f>
        <v>838945187</v>
      </c>
      <c r="B7790" t="s">
        <v>7050</v>
      </c>
      <c r="C7790" s="1">
        <v>2178</v>
      </c>
      <c r="D7790" t="str">
        <f>"272"</f>
        <v>272</v>
      </c>
    </row>
    <row r="7791" spans="1:4" x14ac:dyDescent="0.25">
      <c r="A7791" t="str">
        <f>"838945188"</f>
        <v>838945188</v>
      </c>
      <c r="B7791" t="s">
        <v>7051</v>
      </c>
      <c r="C7791">
        <v>63.8</v>
      </c>
      <c r="D7791" t="str">
        <f>"271"</f>
        <v>271</v>
      </c>
    </row>
    <row r="7792" spans="1:4" x14ac:dyDescent="0.25">
      <c r="A7792" t="str">
        <f>"838945189"</f>
        <v>838945189</v>
      </c>
      <c r="B7792" t="s">
        <v>7052</v>
      </c>
      <c r="C7792">
        <v>717.2</v>
      </c>
      <c r="D7792" t="str">
        <f>"271"</f>
        <v>271</v>
      </c>
    </row>
    <row r="7793" spans="1:4" x14ac:dyDescent="0.25">
      <c r="A7793" t="str">
        <f>"838945190"</f>
        <v>838945190</v>
      </c>
      <c r="B7793" t="s">
        <v>7053</v>
      </c>
      <c r="C7793">
        <v>82.5</v>
      </c>
      <c r="D7793" t="str">
        <f>"271"</f>
        <v>271</v>
      </c>
    </row>
    <row r="7794" spans="1:4" x14ac:dyDescent="0.25">
      <c r="A7794" t="str">
        <f>"838945191"</f>
        <v>838945191</v>
      </c>
      <c r="B7794" t="s">
        <v>7054</v>
      </c>
      <c r="C7794">
        <v>237.6</v>
      </c>
      <c r="D7794" t="str">
        <f>"270"</f>
        <v>270</v>
      </c>
    </row>
    <row r="7795" spans="1:4" x14ac:dyDescent="0.25">
      <c r="A7795" t="str">
        <f>"838945192"</f>
        <v>838945192</v>
      </c>
      <c r="B7795" t="s">
        <v>7055</v>
      </c>
      <c r="C7795">
        <v>276.10000000000002</v>
      </c>
      <c r="D7795" t="str">
        <f>"278"</f>
        <v>278</v>
      </c>
    </row>
    <row r="7796" spans="1:4" x14ac:dyDescent="0.25">
      <c r="A7796" t="str">
        <f>"838945193"</f>
        <v>838945193</v>
      </c>
      <c r="B7796" t="s">
        <v>7056</v>
      </c>
      <c r="C7796" s="1">
        <v>1914</v>
      </c>
      <c r="D7796" t="str">
        <f>"270"</f>
        <v>270</v>
      </c>
    </row>
    <row r="7797" spans="1:4" x14ac:dyDescent="0.25">
      <c r="A7797" t="str">
        <f>"838945194"</f>
        <v>838945194</v>
      </c>
      <c r="B7797" t="s">
        <v>7057</v>
      </c>
      <c r="C7797">
        <v>213.4</v>
      </c>
      <c r="D7797" t="str">
        <f>"270"</f>
        <v>270</v>
      </c>
    </row>
    <row r="7798" spans="1:4" x14ac:dyDescent="0.25">
      <c r="A7798" t="str">
        <f>"838945195"</f>
        <v>838945195</v>
      </c>
      <c r="B7798" t="s">
        <v>7058</v>
      </c>
      <c r="C7798">
        <v>72.599999999999994</v>
      </c>
      <c r="D7798" t="str">
        <f>"270"</f>
        <v>270</v>
      </c>
    </row>
    <row r="7799" spans="1:4" x14ac:dyDescent="0.25">
      <c r="A7799" t="str">
        <f>"838945196"</f>
        <v>838945196</v>
      </c>
      <c r="B7799" t="s">
        <v>7059</v>
      </c>
      <c r="C7799">
        <v>498.3</v>
      </c>
      <c r="D7799" t="str">
        <f>"270"</f>
        <v>270</v>
      </c>
    </row>
    <row r="7800" spans="1:4" x14ac:dyDescent="0.25">
      <c r="A7800" t="str">
        <f>"838945197"</f>
        <v>838945197</v>
      </c>
      <c r="B7800" t="s">
        <v>7060</v>
      </c>
      <c r="C7800">
        <v>37.4</v>
      </c>
      <c r="D7800" t="str">
        <f>"271"</f>
        <v>271</v>
      </c>
    </row>
    <row r="7801" spans="1:4" x14ac:dyDescent="0.25">
      <c r="A7801" t="str">
        <f>"838945198"</f>
        <v>838945198</v>
      </c>
      <c r="B7801" t="s">
        <v>7061</v>
      </c>
      <c r="C7801">
        <v>41.8</v>
      </c>
      <c r="D7801" t="str">
        <f>"270"</f>
        <v>270</v>
      </c>
    </row>
    <row r="7802" spans="1:4" x14ac:dyDescent="0.25">
      <c r="A7802" t="str">
        <f>"838945199"</f>
        <v>838945199</v>
      </c>
      <c r="B7802" t="s">
        <v>7062</v>
      </c>
      <c r="C7802">
        <v>49.5</v>
      </c>
      <c r="D7802" t="str">
        <f>"271"</f>
        <v>271</v>
      </c>
    </row>
    <row r="7803" spans="1:4" x14ac:dyDescent="0.25">
      <c r="A7803" t="str">
        <f>"838945200"</f>
        <v>838945200</v>
      </c>
      <c r="B7803" t="s">
        <v>7063</v>
      </c>
      <c r="C7803">
        <v>165</v>
      </c>
      <c r="D7803" t="str">
        <f>"271"</f>
        <v>271</v>
      </c>
    </row>
    <row r="7804" spans="1:4" x14ac:dyDescent="0.25">
      <c r="A7804" t="str">
        <f>"838945201"</f>
        <v>838945201</v>
      </c>
      <c r="B7804" t="s">
        <v>7064</v>
      </c>
      <c r="C7804">
        <v>578.6</v>
      </c>
      <c r="D7804" t="str">
        <f t="shared" ref="D7804:D7811" si="254">"270"</f>
        <v>270</v>
      </c>
    </row>
    <row r="7805" spans="1:4" x14ac:dyDescent="0.25">
      <c r="A7805" t="str">
        <f>"838945202"</f>
        <v>838945202</v>
      </c>
      <c r="B7805" t="s">
        <v>7065</v>
      </c>
      <c r="C7805">
        <v>49.5</v>
      </c>
      <c r="D7805" t="str">
        <f t="shared" si="254"/>
        <v>270</v>
      </c>
    </row>
    <row r="7806" spans="1:4" x14ac:dyDescent="0.25">
      <c r="A7806" t="str">
        <f>"838945203"</f>
        <v>838945203</v>
      </c>
      <c r="B7806" t="s">
        <v>7066</v>
      </c>
      <c r="C7806">
        <v>40.700000000000003</v>
      </c>
      <c r="D7806" t="str">
        <f t="shared" si="254"/>
        <v>270</v>
      </c>
    </row>
    <row r="7807" spans="1:4" x14ac:dyDescent="0.25">
      <c r="A7807" t="str">
        <f>"838945204"</f>
        <v>838945204</v>
      </c>
      <c r="B7807" t="s">
        <v>7067</v>
      </c>
      <c r="C7807">
        <v>51.7</v>
      </c>
      <c r="D7807" t="str">
        <f t="shared" si="254"/>
        <v>270</v>
      </c>
    </row>
    <row r="7808" spans="1:4" x14ac:dyDescent="0.25">
      <c r="A7808" t="str">
        <f>"838945205"</f>
        <v>838945205</v>
      </c>
      <c r="B7808" t="s">
        <v>7068</v>
      </c>
      <c r="C7808">
        <v>17.600000000000001</v>
      </c>
      <c r="D7808" t="str">
        <f t="shared" si="254"/>
        <v>270</v>
      </c>
    </row>
    <row r="7809" spans="1:4" x14ac:dyDescent="0.25">
      <c r="A7809" t="str">
        <f>"838945206"</f>
        <v>838945206</v>
      </c>
      <c r="B7809" t="s">
        <v>7069</v>
      </c>
      <c r="C7809" s="1">
        <v>1650</v>
      </c>
      <c r="D7809" t="str">
        <f t="shared" si="254"/>
        <v>270</v>
      </c>
    </row>
    <row r="7810" spans="1:4" x14ac:dyDescent="0.25">
      <c r="A7810" t="str">
        <f>"838945207"</f>
        <v>838945207</v>
      </c>
      <c r="B7810" t="s">
        <v>7070</v>
      </c>
      <c r="C7810">
        <v>430.1</v>
      </c>
      <c r="D7810" t="str">
        <f t="shared" si="254"/>
        <v>270</v>
      </c>
    </row>
    <row r="7811" spans="1:4" x14ac:dyDescent="0.25">
      <c r="A7811" t="str">
        <f>"838945208"</f>
        <v>838945208</v>
      </c>
      <c r="B7811" t="s">
        <v>7071</v>
      </c>
      <c r="C7811">
        <v>72.599999999999994</v>
      </c>
      <c r="D7811" t="str">
        <f t="shared" si="254"/>
        <v>270</v>
      </c>
    </row>
    <row r="7812" spans="1:4" x14ac:dyDescent="0.25">
      <c r="A7812" t="str">
        <f>"838945209"</f>
        <v>838945209</v>
      </c>
      <c r="B7812" t="s">
        <v>7072</v>
      </c>
      <c r="C7812">
        <v>25.3</v>
      </c>
      <c r="D7812" t="str">
        <f>"272"</f>
        <v>272</v>
      </c>
    </row>
    <row r="7813" spans="1:4" x14ac:dyDescent="0.25">
      <c r="A7813" t="str">
        <f>"838945210"</f>
        <v>838945210</v>
      </c>
      <c r="B7813" t="s">
        <v>7073</v>
      </c>
      <c r="C7813">
        <v>260.7</v>
      </c>
      <c r="D7813" t="str">
        <f t="shared" ref="D7813:D7835" si="255">"270"</f>
        <v>270</v>
      </c>
    </row>
    <row r="7814" spans="1:4" x14ac:dyDescent="0.25">
      <c r="A7814" t="str">
        <f>"838945211"</f>
        <v>838945211</v>
      </c>
      <c r="B7814" t="s">
        <v>7074</v>
      </c>
      <c r="C7814">
        <v>33</v>
      </c>
      <c r="D7814" t="str">
        <f t="shared" si="255"/>
        <v>270</v>
      </c>
    </row>
    <row r="7815" spans="1:4" x14ac:dyDescent="0.25">
      <c r="A7815" t="str">
        <f>"838945212"</f>
        <v>838945212</v>
      </c>
      <c r="B7815" t="s">
        <v>7075</v>
      </c>
      <c r="C7815" s="1">
        <v>1117.5999999999999</v>
      </c>
      <c r="D7815" t="str">
        <f t="shared" si="255"/>
        <v>270</v>
      </c>
    </row>
    <row r="7816" spans="1:4" x14ac:dyDescent="0.25">
      <c r="A7816" t="str">
        <f>"838945213"</f>
        <v>838945213</v>
      </c>
      <c r="B7816" t="s">
        <v>7076</v>
      </c>
      <c r="C7816">
        <v>227.7</v>
      </c>
      <c r="D7816" t="str">
        <f t="shared" si="255"/>
        <v>270</v>
      </c>
    </row>
    <row r="7817" spans="1:4" x14ac:dyDescent="0.25">
      <c r="A7817" t="str">
        <f>"838945214"</f>
        <v>838945214</v>
      </c>
      <c r="B7817" t="s">
        <v>7077</v>
      </c>
      <c r="C7817">
        <v>220</v>
      </c>
      <c r="D7817" t="str">
        <f t="shared" si="255"/>
        <v>270</v>
      </c>
    </row>
    <row r="7818" spans="1:4" x14ac:dyDescent="0.25">
      <c r="A7818" t="str">
        <f>"838945215"</f>
        <v>838945215</v>
      </c>
      <c r="B7818" t="s">
        <v>7078</v>
      </c>
      <c r="C7818">
        <v>457.6</v>
      </c>
      <c r="D7818" t="str">
        <f t="shared" si="255"/>
        <v>270</v>
      </c>
    </row>
    <row r="7819" spans="1:4" x14ac:dyDescent="0.25">
      <c r="A7819" t="str">
        <f>"838945216"</f>
        <v>838945216</v>
      </c>
      <c r="B7819" t="s">
        <v>7079</v>
      </c>
      <c r="C7819">
        <v>266.2</v>
      </c>
      <c r="D7819" t="str">
        <f t="shared" si="255"/>
        <v>270</v>
      </c>
    </row>
    <row r="7820" spans="1:4" x14ac:dyDescent="0.25">
      <c r="A7820" t="str">
        <f>"838945217"</f>
        <v>838945217</v>
      </c>
      <c r="B7820" t="s">
        <v>7080</v>
      </c>
      <c r="C7820">
        <v>457.6</v>
      </c>
      <c r="D7820" t="str">
        <f t="shared" si="255"/>
        <v>270</v>
      </c>
    </row>
    <row r="7821" spans="1:4" x14ac:dyDescent="0.25">
      <c r="A7821" t="str">
        <f>"838945218"</f>
        <v>838945218</v>
      </c>
      <c r="B7821" t="s">
        <v>7081</v>
      </c>
      <c r="C7821">
        <v>203.5</v>
      </c>
      <c r="D7821" t="str">
        <f t="shared" si="255"/>
        <v>270</v>
      </c>
    </row>
    <row r="7822" spans="1:4" x14ac:dyDescent="0.25">
      <c r="A7822" t="str">
        <f>"838945219"</f>
        <v>838945219</v>
      </c>
      <c r="B7822" t="s">
        <v>7082</v>
      </c>
      <c r="C7822">
        <v>457.6</v>
      </c>
      <c r="D7822" t="str">
        <f t="shared" si="255"/>
        <v>270</v>
      </c>
    </row>
    <row r="7823" spans="1:4" x14ac:dyDescent="0.25">
      <c r="A7823" t="str">
        <f>"838945220"</f>
        <v>838945220</v>
      </c>
      <c r="B7823" t="s">
        <v>7083</v>
      </c>
      <c r="C7823">
        <v>203.5</v>
      </c>
      <c r="D7823" t="str">
        <f t="shared" si="255"/>
        <v>270</v>
      </c>
    </row>
    <row r="7824" spans="1:4" x14ac:dyDescent="0.25">
      <c r="A7824" t="str">
        <f>"838945221"</f>
        <v>838945221</v>
      </c>
      <c r="B7824" t="s">
        <v>7084</v>
      </c>
      <c r="C7824">
        <v>167.2</v>
      </c>
      <c r="D7824" t="str">
        <f t="shared" si="255"/>
        <v>270</v>
      </c>
    </row>
    <row r="7825" spans="1:4" x14ac:dyDescent="0.25">
      <c r="A7825" t="str">
        <f>"838945222"</f>
        <v>838945222</v>
      </c>
      <c r="B7825" t="s">
        <v>7085</v>
      </c>
      <c r="C7825">
        <v>203.5</v>
      </c>
      <c r="D7825" t="str">
        <f t="shared" si="255"/>
        <v>270</v>
      </c>
    </row>
    <row r="7826" spans="1:4" x14ac:dyDescent="0.25">
      <c r="A7826" t="str">
        <f>"838945223"</f>
        <v>838945223</v>
      </c>
      <c r="B7826" t="s">
        <v>7086</v>
      </c>
      <c r="C7826">
        <v>466.4</v>
      </c>
      <c r="D7826" t="str">
        <f t="shared" si="255"/>
        <v>270</v>
      </c>
    </row>
    <row r="7827" spans="1:4" x14ac:dyDescent="0.25">
      <c r="A7827" t="str">
        <f>"838945224"</f>
        <v>838945224</v>
      </c>
      <c r="B7827" t="s">
        <v>7087</v>
      </c>
      <c r="C7827">
        <v>431.2</v>
      </c>
      <c r="D7827" t="str">
        <f t="shared" si="255"/>
        <v>270</v>
      </c>
    </row>
    <row r="7828" spans="1:4" x14ac:dyDescent="0.25">
      <c r="A7828" t="str">
        <f>"838945225"</f>
        <v>838945225</v>
      </c>
      <c r="B7828" t="s">
        <v>7088</v>
      </c>
      <c r="C7828">
        <v>431.2</v>
      </c>
      <c r="D7828" t="str">
        <f t="shared" si="255"/>
        <v>270</v>
      </c>
    </row>
    <row r="7829" spans="1:4" x14ac:dyDescent="0.25">
      <c r="A7829" t="str">
        <f>"838945226"</f>
        <v>838945226</v>
      </c>
      <c r="B7829" t="s">
        <v>7089</v>
      </c>
      <c r="C7829">
        <v>266.2</v>
      </c>
      <c r="D7829" t="str">
        <f t="shared" si="255"/>
        <v>270</v>
      </c>
    </row>
    <row r="7830" spans="1:4" x14ac:dyDescent="0.25">
      <c r="A7830" t="str">
        <f>"838945227"</f>
        <v>838945227</v>
      </c>
      <c r="B7830" t="s">
        <v>7090</v>
      </c>
      <c r="C7830">
        <v>460.9</v>
      </c>
      <c r="D7830" t="str">
        <f t="shared" si="255"/>
        <v>270</v>
      </c>
    </row>
    <row r="7831" spans="1:4" x14ac:dyDescent="0.25">
      <c r="A7831" t="str">
        <f>"838945228"</f>
        <v>838945228</v>
      </c>
      <c r="B7831" t="s">
        <v>7091</v>
      </c>
      <c r="C7831">
        <v>244.2</v>
      </c>
      <c r="D7831" t="str">
        <f t="shared" si="255"/>
        <v>270</v>
      </c>
    </row>
    <row r="7832" spans="1:4" x14ac:dyDescent="0.25">
      <c r="A7832" t="str">
        <f>"838945229"</f>
        <v>838945229</v>
      </c>
      <c r="B7832" t="s">
        <v>7092</v>
      </c>
      <c r="C7832">
        <v>58.3</v>
      </c>
      <c r="D7832" t="str">
        <f t="shared" si="255"/>
        <v>270</v>
      </c>
    </row>
    <row r="7833" spans="1:4" x14ac:dyDescent="0.25">
      <c r="A7833" t="str">
        <f>"838945230"</f>
        <v>838945230</v>
      </c>
      <c r="B7833" t="s">
        <v>7093</v>
      </c>
      <c r="C7833">
        <v>1.1000000000000001</v>
      </c>
      <c r="D7833" t="str">
        <f t="shared" si="255"/>
        <v>270</v>
      </c>
    </row>
    <row r="7834" spans="1:4" x14ac:dyDescent="0.25">
      <c r="A7834" t="str">
        <f>"838945231"</f>
        <v>838945231</v>
      </c>
      <c r="B7834" t="s">
        <v>7094</v>
      </c>
      <c r="C7834">
        <v>8.8000000000000007</v>
      </c>
      <c r="D7834" t="str">
        <f t="shared" si="255"/>
        <v>270</v>
      </c>
    </row>
    <row r="7835" spans="1:4" x14ac:dyDescent="0.25">
      <c r="A7835" t="str">
        <f>"838945232"</f>
        <v>838945232</v>
      </c>
      <c r="B7835" t="s">
        <v>7095</v>
      </c>
      <c r="C7835">
        <v>35.200000000000003</v>
      </c>
      <c r="D7835" t="str">
        <f t="shared" si="255"/>
        <v>270</v>
      </c>
    </row>
    <row r="7836" spans="1:4" x14ac:dyDescent="0.25">
      <c r="A7836" t="str">
        <f>"838945233"</f>
        <v>838945233</v>
      </c>
      <c r="B7836" t="s">
        <v>7096</v>
      </c>
      <c r="C7836">
        <v>22</v>
      </c>
      <c r="D7836" t="str">
        <f>"271"</f>
        <v>271</v>
      </c>
    </row>
    <row r="7837" spans="1:4" x14ac:dyDescent="0.25">
      <c r="A7837" t="str">
        <f>"838945234"</f>
        <v>838945234</v>
      </c>
      <c r="B7837" t="s">
        <v>7097</v>
      </c>
      <c r="C7837">
        <v>306.89999999999998</v>
      </c>
      <c r="D7837" t="str">
        <f t="shared" ref="D7837:D7844" si="256">"270"</f>
        <v>270</v>
      </c>
    </row>
    <row r="7838" spans="1:4" x14ac:dyDescent="0.25">
      <c r="A7838" t="str">
        <f>"838945235"</f>
        <v>838945235</v>
      </c>
      <c r="B7838" t="s">
        <v>7098</v>
      </c>
      <c r="C7838">
        <v>8.8000000000000007</v>
      </c>
      <c r="D7838" t="str">
        <f t="shared" si="256"/>
        <v>270</v>
      </c>
    </row>
    <row r="7839" spans="1:4" x14ac:dyDescent="0.25">
      <c r="A7839" t="str">
        <f>"838945236"</f>
        <v>838945236</v>
      </c>
      <c r="B7839" t="s">
        <v>7099</v>
      </c>
      <c r="C7839">
        <v>2.2000000000000002</v>
      </c>
      <c r="D7839" t="str">
        <f t="shared" si="256"/>
        <v>270</v>
      </c>
    </row>
    <row r="7840" spans="1:4" x14ac:dyDescent="0.25">
      <c r="A7840" t="str">
        <f>"838945237"</f>
        <v>838945237</v>
      </c>
      <c r="B7840" t="s">
        <v>7100</v>
      </c>
      <c r="C7840">
        <v>2.2000000000000002</v>
      </c>
      <c r="D7840" t="str">
        <f t="shared" si="256"/>
        <v>270</v>
      </c>
    </row>
    <row r="7841" spans="1:4" x14ac:dyDescent="0.25">
      <c r="A7841" t="str">
        <f>"838945238"</f>
        <v>838945238</v>
      </c>
      <c r="B7841" t="s">
        <v>7101</v>
      </c>
      <c r="C7841">
        <v>89.1</v>
      </c>
      <c r="D7841" t="str">
        <f t="shared" si="256"/>
        <v>270</v>
      </c>
    </row>
    <row r="7842" spans="1:4" x14ac:dyDescent="0.25">
      <c r="A7842" t="str">
        <f>"838945239"</f>
        <v>838945239</v>
      </c>
      <c r="B7842" t="s">
        <v>7102</v>
      </c>
      <c r="C7842">
        <v>3.3</v>
      </c>
      <c r="D7842" t="str">
        <f t="shared" si="256"/>
        <v>270</v>
      </c>
    </row>
    <row r="7843" spans="1:4" x14ac:dyDescent="0.25">
      <c r="A7843" t="str">
        <f>"838945240"</f>
        <v>838945240</v>
      </c>
      <c r="B7843" t="s">
        <v>7103</v>
      </c>
      <c r="C7843">
        <v>178.2</v>
      </c>
      <c r="D7843" t="str">
        <f t="shared" si="256"/>
        <v>270</v>
      </c>
    </row>
    <row r="7844" spans="1:4" x14ac:dyDescent="0.25">
      <c r="A7844" t="str">
        <f>"838945241"</f>
        <v>838945241</v>
      </c>
      <c r="B7844" t="s">
        <v>7104</v>
      </c>
      <c r="C7844">
        <v>7.7</v>
      </c>
      <c r="D7844" t="str">
        <f t="shared" si="256"/>
        <v>270</v>
      </c>
    </row>
    <row r="7845" spans="1:4" x14ac:dyDescent="0.25">
      <c r="A7845" t="str">
        <f>"838945242"</f>
        <v>838945242</v>
      </c>
      <c r="B7845" t="s">
        <v>7105</v>
      </c>
      <c r="C7845">
        <v>3.3</v>
      </c>
      <c r="D7845" t="str">
        <f>"271"</f>
        <v>271</v>
      </c>
    </row>
    <row r="7846" spans="1:4" x14ac:dyDescent="0.25">
      <c r="A7846" t="str">
        <f>"838945243"</f>
        <v>838945243</v>
      </c>
      <c r="B7846" t="s">
        <v>7106</v>
      </c>
      <c r="C7846">
        <v>22</v>
      </c>
      <c r="D7846" t="str">
        <f>"278"</f>
        <v>278</v>
      </c>
    </row>
    <row r="7847" spans="1:4" x14ac:dyDescent="0.25">
      <c r="A7847" t="str">
        <f>"838945244"</f>
        <v>838945244</v>
      </c>
      <c r="B7847" t="s">
        <v>7107</v>
      </c>
      <c r="C7847" s="1">
        <v>4760.8</v>
      </c>
      <c r="D7847" t="str">
        <f>"270"</f>
        <v>270</v>
      </c>
    </row>
    <row r="7848" spans="1:4" x14ac:dyDescent="0.25">
      <c r="A7848" t="str">
        <f>"838945245"</f>
        <v>838945245</v>
      </c>
      <c r="B7848" t="s">
        <v>7108</v>
      </c>
      <c r="C7848">
        <v>53.9</v>
      </c>
      <c r="D7848" t="str">
        <f>"271"</f>
        <v>271</v>
      </c>
    </row>
    <row r="7849" spans="1:4" x14ac:dyDescent="0.25">
      <c r="A7849" t="str">
        <f>"838945246"</f>
        <v>838945246</v>
      </c>
      <c r="B7849" t="s">
        <v>7109</v>
      </c>
      <c r="C7849">
        <v>4.4000000000000004</v>
      </c>
      <c r="D7849" t="str">
        <f>"271"</f>
        <v>271</v>
      </c>
    </row>
    <row r="7850" spans="1:4" x14ac:dyDescent="0.25">
      <c r="A7850" t="str">
        <f>"838945247"</f>
        <v>838945247</v>
      </c>
      <c r="B7850" t="s">
        <v>7110</v>
      </c>
      <c r="C7850">
        <v>2.2000000000000002</v>
      </c>
      <c r="D7850" t="str">
        <f>"271"</f>
        <v>271</v>
      </c>
    </row>
    <row r="7851" spans="1:4" x14ac:dyDescent="0.25">
      <c r="A7851" t="str">
        <f>"838945248"</f>
        <v>838945248</v>
      </c>
      <c r="B7851" t="s">
        <v>7111</v>
      </c>
      <c r="C7851">
        <v>13.2</v>
      </c>
      <c r="D7851" t="str">
        <f>"271"</f>
        <v>271</v>
      </c>
    </row>
    <row r="7852" spans="1:4" x14ac:dyDescent="0.25">
      <c r="A7852" t="str">
        <f>"838945249"</f>
        <v>838945249</v>
      </c>
      <c r="B7852" t="s">
        <v>7112</v>
      </c>
      <c r="C7852">
        <v>13.2</v>
      </c>
      <c r="D7852" t="str">
        <f>"271"</f>
        <v>271</v>
      </c>
    </row>
    <row r="7853" spans="1:4" x14ac:dyDescent="0.25">
      <c r="A7853" t="str">
        <f>"838945250"</f>
        <v>838945250</v>
      </c>
      <c r="B7853" t="s">
        <v>7113</v>
      </c>
      <c r="C7853">
        <v>17.600000000000001</v>
      </c>
      <c r="D7853" t="str">
        <f t="shared" ref="D7853:D7859" si="257">"270"</f>
        <v>270</v>
      </c>
    </row>
    <row r="7854" spans="1:4" x14ac:dyDescent="0.25">
      <c r="A7854" t="str">
        <f>"838945251"</f>
        <v>838945251</v>
      </c>
      <c r="B7854" t="s">
        <v>7114</v>
      </c>
      <c r="C7854">
        <v>13.2</v>
      </c>
      <c r="D7854" t="str">
        <f t="shared" si="257"/>
        <v>270</v>
      </c>
    </row>
    <row r="7855" spans="1:4" x14ac:dyDescent="0.25">
      <c r="A7855" t="str">
        <f>"838945252"</f>
        <v>838945252</v>
      </c>
      <c r="B7855" t="s">
        <v>7115</v>
      </c>
      <c r="C7855">
        <v>13.59</v>
      </c>
      <c r="D7855" t="str">
        <f t="shared" si="257"/>
        <v>270</v>
      </c>
    </row>
    <row r="7856" spans="1:4" x14ac:dyDescent="0.25">
      <c r="A7856" t="str">
        <f>"838945253"</f>
        <v>838945253</v>
      </c>
      <c r="B7856" t="s">
        <v>7116</v>
      </c>
      <c r="C7856">
        <v>39.729999999999997</v>
      </c>
      <c r="D7856" t="str">
        <f t="shared" si="257"/>
        <v>270</v>
      </c>
    </row>
    <row r="7857" spans="1:4" x14ac:dyDescent="0.25">
      <c r="A7857" t="str">
        <f>"838945254"</f>
        <v>838945254</v>
      </c>
      <c r="B7857" t="s">
        <v>7117</v>
      </c>
      <c r="C7857">
        <v>1.1000000000000001</v>
      </c>
      <c r="D7857" t="str">
        <f t="shared" si="257"/>
        <v>270</v>
      </c>
    </row>
    <row r="7858" spans="1:4" x14ac:dyDescent="0.25">
      <c r="A7858" t="str">
        <f>"838945255"</f>
        <v>838945255</v>
      </c>
      <c r="B7858" t="s">
        <v>7118</v>
      </c>
      <c r="C7858">
        <v>3.3</v>
      </c>
      <c r="D7858" t="str">
        <f t="shared" si="257"/>
        <v>270</v>
      </c>
    </row>
    <row r="7859" spans="1:4" x14ac:dyDescent="0.25">
      <c r="A7859" t="str">
        <f>"838945256"</f>
        <v>838945256</v>
      </c>
      <c r="B7859" t="s">
        <v>7119</v>
      </c>
      <c r="C7859">
        <v>36.299999999999997</v>
      </c>
      <c r="D7859" t="str">
        <f t="shared" si="257"/>
        <v>270</v>
      </c>
    </row>
    <row r="7860" spans="1:4" x14ac:dyDescent="0.25">
      <c r="A7860" t="str">
        <f>"838945257"</f>
        <v>838945257</v>
      </c>
      <c r="B7860" t="s">
        <v>7120</v>
      </c>
      <c r="C7860" s="1">
        <v>1402.5</v>
      </c>
      <c r="D7860" t="str">
        <f>"278"</f>
        <v>278</v>
      </c>
    </row>
    <row r="7861" spans="1:4" x14ac:dyDescent="0.25">
      <c r="A7861" t="str">
        <f>"838945258"</f>
        <v>838945258</v>
      </c>
      <c r="B7861" t="s">
        <v>7121</v>
      </c>
      <c r="C7861" s="1">
        <v>1722.6</v>
      </c>
      <c r="D7861" t="str">
        <f>"270"</f>
        <v>270</v>
      </c>
    </row>
    <row r="7862" spans="1:4" x14ac:dyDescent="0.25">
      <c r="A7862" t="str">
        <f>"838945259"</f>
        <v>838945259</v>
      </c>
      <c r="B7862" t="s">
        <v>7122</v>
      </c>
      <c r="C7862">
        <v>19.8</v>
      </c>
      <c r="D7862" t="str">
        <f>"271"</f>
        <v>271</v>
      </c>
    </row>
    <row r="7863" spans="1:4" x14ac:dyDescent="0.25">
      <c r="A7863" t="str">
        <f>"838945260"</f>
        <v>838945260</v>
      </c>
      <c r="B7863" t="s">
        <v>7123</v>
      </c>
      <c r="C7863">
        <v>66</v>
      </c>
      <c r="D7863" t="str">
        <f>"270"</f>
        <v>270</v>
      </c>
    </row>
    <row r="7864" spans="1:4" x14ac:dyDescent="0.25">
      <c r="A7864" t="str">
        <f>"838945261"</f>
        <v>838945261</v>
      </c>
      <c r="B7864" t="s">
        <v>7124</v>
      </c>
      <c r="C7864">
        <v>480.7</v>
      </c>
      <c r="D7864" t="str">
        <f>"278"</f>
        <v>278</v>
      </c>
    </row>
    <row r="7865" spans="1:4" x14ac:dyDescent="0.25">
      <c r="A7865" t="str">
        <f>"838945262"</f>
        <v>838945262</v>
      </c>
      <c r="B7865" t="s">
        <v>7125</v>
      </c>
      <c r="C7865" s="1">
        <v>3388</v>
      </c>
      <c r="D7865" t="str">
        <f t="shared" ref="D7865:D7871" si="258">"270"</f>
        <v>270</v>
      </c>
    </row>
    <row r="7866" spans="1:4" x14ac:dyDescent="0.25">
      <c r="A7866" t="str">
        <f>"838945263"</f>
        <v>838945263</v>
      </c>
      <c r="B7866" t="s">
        <v>7126</v>
      </c>
      <c r="C7866">
        <v>877.8</v>
      </c>
      <c r="D7866" t="str">
        <f t="shared" si="258"/>
        <v>270</v>
      </c>
    </row>
    <row r="7867" spans="1:4" x14ac:dyDescent="0.25">
      <c r="A7867" t="str">
        <f>"838945264"</f>
        <v>838945264</v>
      </c>
      <c r="B7867" t="s">
        <v>7127</v>
      </c>
      <c r="C7867" s="1">
        <v>2962.3</v>
      </c>
      <c r="D7867" t="str">
        <f t="shared" si="258"/>
        <v>270</v>
      </c>
    </row>
    <row r="7868" spans="1:4" x14ac:dyDescent="0.25">
      <c r="A7868" t="str">
        <f>"838945265"</f>
        <v>838945265</v>
      </c>
      <c r="B7868" t="s">
        <v>7128</v>
      </c>
      <c r="C7868">
        <v>52.8</v>
      </c>
      <c r="D7868" t="str">
        <f t="shared" si="258"/>
        <v>270</v>
      </c>
    </row>
    <row r="7869" spans="1:4" x14ac:dyDescent="0.25">
      <c r="A7869" t="str">
        <f>"838945266"</f>
        <v>838945266</v>
      </c>
      <c r="B7869" t="s">
        <v>7129</v>
      </c>
      <c r="C7869">
        <v>78.099999999999994</v>
      </c>
      <c r="D7869" t="str">
        <f t="shared" si="258"/>
        <v>270</v>
      </c>
    </row>
    <row r="7870" spans="1:4" x14ac:dyDescent="0.25">
      <c r="A7870" t="str">
        <f>"838945267"</f>
        <v>838945267</v>
      </c>
      <c r="B7870" t="s">
        <v>7130</v>
      </c>
      <c r="C7870">
        <v>35.200000000000003</v>
      </c>
      <c r="D7870" t="str">
        <f t="shared" si="258"/>
        <v>270</v>
      </c>
    </row>
    <row r="7871" spans="1:4" x14ac:dyDescent="0.25">
      <c r="A7871" t="str">
        <f>"838945268"</f>
        <v>838945268</v>
      </c>
      <c r="B7871" t="s">
        <v>7131</v>
      </c>
      <c r="C7871">
        <v>443.3</v>
      </c>
      <c r="D7871" t="str">
        <f t="shared" si="258"/>
        <v>270</v>
      </c>
    </row>
    <row r="7872" spans="1:4" x14ac:dyDescent="0.25">
      <c r="A7872" t="str">
        <f>"838945269"</f>
        <v>838945269</v>
      </c>
      <c r="B7872" t="s">
        <v>7132</v>
      </c>
      <c r="C7872">
        <v>192.5</v>
      </c>
      <c r="D7872" t="str">
        <f>"271"</f>
        <v>271</v>
      </c>
    </row>
    <row r="7873" spans="1:4" x14ac:dyDescent="0.25">
      <c r="A7873" t="str">
        <f>"838945270"</f>
        <v>838945270</v>
      </c>
      <c r="B7873" t="s">
        <v>7133</v>
      </c>
      <c r="C7873">
        <v>40.04</v>
      </c>
      <c r="D7873" t="str">
        <f>"272"</f>
        <v>272</v>
      </c>
    </row>
    <row r="7874" spans="1:4" x14ac:dyDescent="0.25">
      <c r="A7874" t="str">
        <f>"838945271"</f>
        <v>838945271</v>
      </c>
      <c r="B7874" t="s">
        <v>7134</v>
      </c>
      <c r="C7874">
        <v>513.70000000000005</v>
      </c>
      <c r="D7874" t="str">
        <f t="shared" ref="D7874:D7893" si="259">"270"</f>
        <v>270</v>
      </c>
    </row>
    <row r="7875" spans="1:4" x14ac:dyDescent="0.25">
      <c r="A7875" t="str">
        <f>"838945272"</f>
        <v>838945272</v>
      </c>
      <c r="B7875" t="s">
        <v>7135</v>
      </c>
      <c r="C7875">
        <v>35.200000000000003</v>
      </c>
      <c r="D7875" t="str">
        <f t="shared" si="259"/>
        <v>270</v>
      </c>
    </row>
    <row r="7876" spans="1:4" x14ac:dyDescent="0.25">
      <c r="A7876" t="str">
        <f>"838945273"</f>
        <v>838945273</v>
      </c>
      <c r="B7876" t="s">
        <v>7136</v>
      </c>
      <c r="C7876">
        <v>243.1</v>
      </c>
      <c r="D7876" t="str">
        <f t="shared" si="259"/>
        <v>270</v>
      </c>
    </row>
    <row r="7877" spans="1:4" x14ac:dyDescent="0.25">
      <c r="A7877" t="str">
        <f>"838945274"</f>
        <v>838945274</v>
      </c>
      <c r="B7877" t="s">
        <v>7137</v>
      </c>
      <c r="C7877">
        <v>154</v>
      </c>
      <c r="D7877" t="str">
        <f t="shared" si="259"/>
        <v>270</v>
      </c>
    </row>
    <row r="7878" spans="1:4" x14ac:dyDescent="0.25">
      <c r="A7878" t="str">
        <f>"838945275"</f>
        <v>838945275</v>
      </c>
      <c r="B7878" t="s">
        <v>7138</v>
      </c>
      <c r="C7878">
        <v>22</v>
      </c>
      <c r="D7878" t="str">
        <f t="shared" si="259"/>
        <v>270</v>
      </c>
    </row>
    <row r="7879" spans="1:4" x14ac:dyDescent="0.25">
      <c r="A7879" t="str">
        <f>"838945276"</f>
        <v>838945276</v>
      </c>
      <c r="B7879" t="s">
        <v>7139</v>
      </c>
      <c r="C7879">
        <v>396</v>
      </c>
      <c r="D7879" t="str">
        <f t="shared" si="259"/>
        <v>270</v>
      </c>
    </row>
    <row r="7880" spans="1:4" x14ac:dyDescent="0.25">
      <c r="A7880" t="str">
        <f>"838945277"</f>
        <v>838945277</v>
      </c>
      <c r="B7880" t="s">
        <v>7140</v>
      </c>
      <c r="C7880">
        <v>128.69999999999999</v>
      </c>
      <c r="D7880" t="str">
        <f t="shared" si="259"/>
        <v>270</v>
      </c>
    </row>
    <row r="7881" spans="1:4" x14ac:dyDescent="0.25">
      <c r="A7881" t="str">
        <f>"838945278"</f>
        <v>838945278</v>
      </c>
      <c r="B7881" t="s">
        <v>7141</v>
      </c>
      <c r="C7881">
        <v>243.1</v>
      </c>
      <c r="D7881" t="str">
        <f t="shared" si="259"/>
        <v>270</v>
      </c>
    </row>
    <row r="7882" spans="1:4" x14ac:dyDescent="0.25">
      <c r="A7882" t="str">
        <f>"838945279"</f>
        <v>838945279</v>
      </c>
      <c r="B7882" t="s">
        <v>7142</v>
      </c>
      <c r="C7882">
        <v>126.5</v>
      </c>
      <c r="D7882" t="str">
        <f t="shared" si="259"/>
        <v>270</v>
      </c>
    </row>
    <row r="7883" spans="1:4" x14ac:dyDescent="0.25">
      <c r="A7883" t="str">
        <f>"838945280"</f>
        <v>838945280</v>
      </c>
      <c r="B7883" t="s">
        <v>7143</v>
      </c>
      <c r="C7883">
        <v>95.7</v>
      </c>
      <c r="D7883" t="str">
        <f t="shared" si="259"/>
        <v>270</v>
      </c>
    </row>
    <row r="7884" spans="1:4" x14ac:dyDescent="0.25">
      <c r="A7884" t="str">
        <f>"838945281"</f>
        <v>838945281</v>
      </c>
      <c r="B7884" t="s">
        <v>7144</v>
      </c>
      <c r="C7884">
        <v>262.89999999999998</v>
      </c>
      <c r="D7884" t="str">
        <f t="shared" si="259"/>
        <v>270</v>
      </c>
    </row>
    <row r="7885" spans="1:4" x14ac:dyDescent="0.25">
      <c r="A7885" t="str">
        <f>"838945282"</f>
        <v>838945282</v>
      </c>
      <c r="B7885" t="s">
        <v>7145</v>
      </c>
      <c r="C7885">
        <v>237.6</v>
      </c>
      <c r="D7885" t="str">
        <f t="shared" si="259"/>
        <v>270</v>
      </c>
    </row>
    <row r="7886" spans="1:4" x14ac:dyDescent="0.25">
      <c r="A7886" t="str">
        <f>"838945283"</f>
        <v>838945283</v>
      </c>
      <c r="B7886" t="s">
        <v>7146</v>
      </c>
      <c r="C7886">
        <v>262.89999999999998</v>
      </c>
      <c r="D7886" t="str">
        <f t="shared" si="259"/>
        <v>270</v>
      </c>
    </row>
    <row r="7887" spans="1:4" x14ac:dyDescent="0.25">
      <c r="A7887" t="str">
        <f>"838945284"</f>
        <v>838945284</v>
      </c>
      <c r="B7887" t="s">
        <v>7147</v>
      </c>
      <c r="C7887">
        <v>262.89999999999998</v>
      </c>
      <c r="D7887" t="str">
        <f t="shared" si="259"/>
        <v>270</v>
      </c>
    </row>
    <row r="7888" spans="1:4" x14ac:dyDescent="0.25">
      <c r="A7888" t="str">
        <f>"838945285"</f>
        <v>838945285</v>
      </c>
      <c r="B7888" t="s">
        <v>7148</v>
      </c>
      <c r="C7888">
        <v>279.39999999999998</v>
      </c>
      <c r="D7888" t="str">
        <f t="shared" si="259"/>
        <v>270</v>
      </c>
    </row>
    <row r="7889" spans="1:4" x14ac:dyDescent="0.25">
      <c r="A7889" t="str">
        <f>"838945286"</f>
        <v>838945286</v>
      </c>
      <c r="B7889" t="s">
        <v>7149</v>
      </c>
      <c r="C7889">
        <v>55</v>
      </c>
      <c r="D7889" t="str">
        <f t="shared" si="259"/>
        <v>270</v>
      </c>
    </row>
    <row r="7890" spans="1:4" x14ac:dyDescent="0.25">
      <c r="A7890" t="str">
        <f>"838945287"</f>
        <v>838945287</v>
      </c>
      <c r="B7890" t="s">
        <v>7150</v>
      </c>
      <c r="C7890">
        <v>205.7</v>
      </c>
      <c r="D7890" t="str">
        <f t="shared" si="259"/>
        <v>270</v>
      </c>
    </row>
    <row r="7891" spans="1:4" x14ac:dyDescent="0.25">
      <c r="A7891" t="str">
        <f>"838945288"</f>
        <v>838945288</v>
      </c>
      <c r="B7891" t="s">
        <v>7151</v>
      </c>
      <c r="C7891">
        <v>493.9</v>
      </c>
      <c r="D7891" t="str">
        <f t="shared" si="259"/>
        <v>270</v>
      </c>
    </row>
    <row r="7892" spans="1:4" x14ac:dyDescent="0.25">
      <c r="A7892" t="str">
        <f>"838945289"</f>
        <v>838945289</v>
      </c>
      <c r="B7892" t="s">
        <v>7152</v>
      </c>
      <c r="C7892">
        <v>333.3</v>
      </c>
      <c r="D7892" t="str">
        <f t="shared" si="259"/>
        <v>270</v>
      </c>
    </row>
    <row r="7893" spans="1:4" x14ac:dyDescent="0.25">
      <c r="A7893" t="str">
        <f>"838945290"</f>
        <v>838945290</v>
      </c>
      <c r="B7893" t="s">
        <v>7153</v>
      </c>
      <c r="C7893">
        <v>390.5</v>
      </c>
      <c r="D7893" t="str">
        <f t="shared" si="259"/>
        <v>270</v>
      </c>
    </row>
    <row r="7894" spans="1:4" x14ac:dyDescent="0.25">
      <c r="A7894" t="str">
        <f>"838945291"</f>
        <v>838945291</v>
      </c>
      <c r="B7894" t="s">
        <v>7154</v>
      </c>
      <c r="C7894">
        <v>150.69999999999999</v>
      </c>
      <c r="D7894" t="str">
        <f>"272"</f>
        <v>272</v>
      </c>
    </row>
    <row r="7895" spans="1:4" x14ac:dyDescent="0.25">
      <c r="A7895" t="str">
        <f>"838945292"</f>
        <v>838945292</v>
      </c>
      <c r="B7895" t="s">
        <v>7155</v>
      </c>
      <c r="C7895">
        <v>124.3</v>
      </c>
      <c r="D7895" t="str">
        <f t="shared" ref="D7895:D7902" si="260">"270"</f>
        <v>270</v>
      </c>
    </row>
    <row r="7896" spans="1:4" x14ac:dyDescent="0.25">
      <c r="A7896" t="str">
        <f>"838945293"</f>
        <v>838945293</v>
      </c>
      <c r="B7896" t="s">
        <v>7156</v>
      </c>
      <c r="C7896">
        <v>124.3</v>
      </c>
      <c r="D7896" t="str">
        <f t="shared" si="260"/>
        <v>270</v>
      </c>
    </row>
    <row r="7897" spans="1:4" x14ac:dyDescent="0.25">
      <c r="A7897" t="str">
        <f>"838945294"</f>
        <v>838945294</v>
      </c>
      <c r="B7897" t="s">
        <v>7157</v>
      </c>
      <c r="C7897">
        <v>3.3</v>
      </c>
      <c r="D7897" t="str">
        <f t="shared" si="260"/>
        <v>270</v>
      </c>
    </row>
    <row r="7898" spans="1:4" x14ac:dyDescent="0.25">
      <c r="A7898" t="str">
        <f>"838945295"</f>
        <v>838945295</v>
      </c>
      <c r="B7898" t="s">
        <v>7158</v>
      </c>
      <c r="C7898">
        <v>242</v>
      </c>
      <c r="D7898" t="str">
        <f t="shared" si="260"/>
        <v>270</v>
      </c>
    </row>
    <row r="7899" spans="1:4" x14ac:dyDescent="0.25">
      <c r="A7899" t="str">
        <f>"838945296"</f>
        <v>838945296</v>
      </c>
      <c r="B7899" t="s">
        <v>7159</v>
      </c>
      <c r="C7899">
        <v>262.89999999999998</v>
      </c>
      <c r="D7899" t="str">
        <f t="shared" si="260"/>
        <v>270</v>
      </c>
    </row>
    <row r="7900" spans="1:4" x14ac:dyDescent="0.25">
      <c r="A7900" t="str">
        <f>"838945297"</f>
        <v>838945297</v>
      </c>
      <c r="B7900" t="s">
        <v>7160</v>
      </c>
      <c r="C7900">
        <v>574.20000000000005</v>
      </c>
      <c r="D7900" t="str">
        <f t="shared" si="260"/>
        <v>270</v>
      </c>
    </row>
    <row r="7901" spans="1:4" x14ac:dyDescent="0.25">
      <c r="A7901" t="str">
        <f>"838945298"</f>
        <v>838945298</v>
      </c>
      <c r="B7901" t="s">
        <v>7161</v>
      </c>
      <c r="C7901">
        <v>22</v>
      </c>
      <c r="D7901" t="str">
        <f t="shared" si="260"/>
        <v>270</v>
      </c>
    </row>
    <row r="7902" spans="1:4" x14ac:dyDescent="0.25">
      <c r="A7902" t="str">
        <f>"838945299"</f>
        <v>838945299</v>
      </c>
      <c r="B7902" t="s">
        <v>7162</v>
      </c>
      <c r="C7902">
        <v>41.8</v>
      </c>
      <c r="D7902" t="str">
        <f t="shared" si="260"/>
        <v>270</v>
      </c>
    </row>
    <row r="7903" spans="1:4" x14ac:dyDescent="0.25">
      <c r="A7903" t="str">
        <f>"838945300"</f>
        <v>838945300</v>
      </c>
      <c r="B7903" t="s">
        <v>7163</v>
      </c>
      <c r="C7903">
        <v>53.9</v>
      </c>
      <c r="D7903" t="str">
        <f>"271"</f>
        <v>271</v>
      </c>
    </row>
    <row r="7904" spans="1:4" x14ac:dyDescent="0.25">
      <c r="A7904" t="str">
        <f>"838945301"</f>
        <v>838945301</v>
      </c>
      <c r="B7904" t="s">
        <v>7164</v>
      </c>
      <c r="C7904">
        <v>51.7</v>
      </c>
      <c r="D7904" t="str">
        <f>"270"</f>
        <v>270</v>
      </c>
    </row>
    <row r="7905" spans="1:4" x14ac:dyDescent="0.25">
      <c r="A7905" t="str">
        <f>"838945302"</f>
        <v>838945302</v>
      </c>
      <c r="B7905" t="s">
        <v>7165</v>
      </c>
      <c r="C7905">
        <v>33</v>
      </c>
      <c r="D7905" t="str">
        <f>"278"</f>
        <v>278</v>
      </c>
    </row>
    <row r="7906" spans="1:4" x14ac:dyDescent="0.25">
      <c r="A7906" t="str">
        <f>"838945303"</f>
        <v>838945303</v>
      </c>
      <c r="B7906" t="s">
        <v>7166</v>
      </c>
      <c r="C7906">
        <v>108.9</v>
      </c>
      <c r="D7906" t="str">
        <f>"278"</f>
        <v>278</v>
      </c>
    </row>
    <row r="7907" spans="1:4" x14ac:dyDescent="0.25">
      <c r="A7907" t="str">
        <f>"838945304"</f>
        <v>838945304</v>
      </c>
      <c r="B7907" t="s">
        <v>7167</v>
      </c>
      <c r="C7907">
        <v>551.1</v>
      </c>
      <c r="D7907" t="str">
        <f>"270"</f>
        <v>270</v>
      </c>
    </row>
    <row r="7908" spans="1:4" x14ac:dyDescent="0.25">
      <c r="A7908" t="str">
        <f>"838945305"</f>
        <v>838945305</v>
      </c>
      <c r="B7908" t="s">
        <v>7168</v>
      </c>
      <c r="C7908">
        <v>55</v>
      </c>
      <c r="D7908" t="str">
        <f>"270"</f>
        <v>270</v>
      </c>
    </row>
    <row r="7909" spans="1:4" x14ac:dyDescent="0.25">
      <c r="A7909" t="str">
        <f>"838945306"</f>
        <v>838945306</v>
      </c>
      <c r="B7909" t="s">
        <v>7169</v>
      </c>
      <c r="C7909">
        <v>115.5</v>
      </c>
      <c r="D7909" t="str">
        <f>"270"</f>
        <v>270</v>
      </c>
    </row>
    <row r="7910" spans="1:4" x14ac:dyDescent="0.25">
      <c r="A7910" t="str">
        <f>"838945307"</f>
        <v>838945307</v>
      </c>
      <c r="B7910" t="s">
        <v>3663</v>
      </c>
      <c r="C7910" s="1">
        <v>1524.6</v>
      </c>
      <c r="D7910" t="str">
        <f>"270"</f>
        <v>270</v>
      </c>
    </row>
    <row r="7911" spans="1:4" x14ac:dyDescent="0.25">
      <c r="A7911" t="str">
        <f>"838945308"</f>
        <v>838945308</v>
      </c>
      <c r="B7911" t="s">
        <v>7170</v>
      </c>
      <c r="C7911">
        <v>913</v>
      </c>
      <c r="D7911" t="str">
        <f>"270"</f>
        <v>270</v>
      </c>
    </row>
    <row r="7912" spans="1:4" x14ac:dyDescent="0.25">
      <c r="A7912" t="str">
        <f>"838945309"</f>
        <v>838945309</v>
      </c>
      <c r="B7912" t="s">
        <v>2794</v>
      </c>
      <c r="C7912" s="1">
        <v>1988.8</v>
      </c>
      <c r="D7912" t="str">
        <f>"278"</f>
        <v>278</v>
      </c>
    </row>
    <row r="7913" spans="1:4" x14ac:dyDescent="0.25">
      <c r="A7913" t="str">
        <f>"838945310"</f>
        <v>838945310</v>
      </c>
      <c r="B7913" t="s">
        <v>7171</v>
      </c>
      <c r="C7913" s="1">
        <v>7425</v>
      </c>
      <c r="D7913" t="str">
        <f>"270"</f>
        <v>270</v>
      </c>
    </row>
    <row r="7914" spans="1:4" x14ac:dyDescent="0.25">
      <c r="A7914" t="str">
        <f>"838945311"</f>
        <v>838945311</v>
      </c>
      <c r="B7914" t="s">
        <v>7172</v>
      </c>
      <c r="C7914">
        <v>147.4</v>
      </c>
      <c r="D7914" t="str">
        <f>"278"</f>
        <v>278</v>
      </c>
    </row>
    <row r="7915" spans="1:4" x14ac:dyDescent="0.25">
      <c r="A7915" t="str">
        <f>"838945312"</f>
        <v>838945312</v>
      </c>
      <c r="B7915" t="s">
        <v>7173</v>
      </c>
      <c r="C7915" s="1">
        <v>8141.1</v>
      </c>
      <c r="D7915" t="str">
        <f>"270"</f>
        <v>270</v>
      </c>
    </row>
    <row r="7916" spans="1:4" x14ac:dyDescent="0.25">
      <c r="A7916" t="str">
        <f>"838945313"</f>
        <v>838945313</v>
      </c>
      <c r="B7916" t="s">
        <v>2783</v>
      </c>
      <c r="C7916">
        <v>8.8000000000000007</v>
      </c>
      <c r="D7916" t="str">
        <f>"271"</f>
        <v>271</v>
      </c>
    </row>
    <row r="7917" spans="1:4" x14ac:dyDescent="0.25">
      <c r="A7917" t="str">
        <f>"838945314"</f>
        <v>838945314</v>
      </c>
      <c r="B7917" t="s">
        <v>7174</v>
      </c>
      <c r="C7917">
        <v>37.4</v>
      </c>
      <c r="D7917" t="str">
        <f t="shared" ref="D7917:D7937" si="261">"270"</f>
        <v>270</v>
      </c>
    </row>
    <row r="7918" spans="1:4" x14ac:dyDescent="0.25">
      <c r="A7918" t="str">
        <f>"838945315"</f>
        <v>838945315</v>
      </c>
      <c r="B7918" t="s">
        <v>7175</v>
      </c>
      <c r="C7918">
        <v>752.4</v>
      </c>
      <c r="D7918" t="str">
        <f t="shared" si="261"/>
        <v>270</v>
      </c>
    </row>
    <row r="7919" spans="1:4" x14ac:dyDescent="0.25">
      <c r="A7919" t="str">
        <f>"838945316"</f>
        <v>838945316</v>
      </c>
      <c r="B7919" t="s">
        <v>7176</v>
      </c>
      <c r="C7919">
        <v>85.8</v>
      </c>
      <c r="D7919" t="str">
        <f t="shared" si="261"/>
        <v>270</v>
      </c>
    </row>
    <row r="7920" spans="1:4" x14ac:dyDescent="0.25">
      <c r="A7920" t="str">
        <f>"838945317"</f>
        <v>838945317</v>
      </c>
      <c r="B7920" t="s">
        <v>7177</v>
      </c>
      <c r="C7920">
        <v>72.599999999999994</v>
      </c>
      <c r="D7920" t="str">
        <f t="shared" si="261"/>
        <v>270</v>
      </c>
    </row>
    <row r="7921" spans="1:4" x14ac:dyDescent="0.25">
      <c r="A7921" t="str">
        <f>"838945318"</f>
        <v>838945318</v>
      </c>
      <c r="B7921" t="s">
        <v>7178</v>
      </c>
      <c r="C7921">
        <v>73.7</v>
      </c>
      <c r="D7921" t="str">
        <f t="shared" si="261"/>
        <v>270</v>
      </c>
    </row>
    <row r="7922" spans="1:4" x14ac:dyDescent="0.25">
      <c r="A7922" t="str">
        <f>"838945319"</f>
        <v>838945319</v>
      </c>
      <c r="B7922" t="s">
        <v>7179</v>
      </c>
      <c r="C7922">
        <v>136.4</v>
      </c>
      <c r="D7922" t="str">
        <f t="shared" si="261"/>
        <v>270</v>
      </c>
    </row>
    <row r="7923" spans="1:4" x14ac:dyDescent="0.25">
      <c r="A7923" t="str">
        <f>"838945320"</f>
        <v>838945320</v>
      </c>
      <c r="B7923" t="s">
        <v>7180</v>
      </c>
      <c r="C7923">
        <v>60.5</v>
      </c>
      <c r="D7923" t="str">
        <f t="shared" si="261"/>
        <v>270</v>
      </c>
    </row>
    <row r="7924" spans="1:4" x14ac:dyDescent="0.25">
      <c r="A7924" t="str">
        <f>"838945321"</f>
        <v>838945321</v>
      </c>
      <c r="B7924" t="s">
        <v>7181</v>
      </c>
      <c r="C7924">
        <v>85.8</v>
      </c>
      <c r="D7924" t="str">
        <f t="shared" si="261"/>
        <v>270</v>
      </c>
    </row>
    <row r="7925" spans="1:4" x14ac:dyDescent="0.25">
      <c r="A7925" t="str">
        <f>"838945322"</f>
        <v>838945322</v>
      </c>
      <c r="B7925" t="s">
        <v>7182</v>
      </c>
      <c r="C7925">
        <v>8.8000000000000007</v>
      </c>
      <c r="D7925" t="str">
        <f t="shared" si="261"/>
        <v>270</v>
      </c>
    </row>
    <row r="7926" spans="1:4" x14ac:dyDescent="0.25">
      <c r="A7926" t="str">
        <f>"838945323"</f>
        <v>838945323</v>
      </c>
      <c r="B7926" t="s">
        <v>7183</v>
      </c>
      <c r="C7926">
        <v>38.5</v>
      </c>
      <c r="D7926" t="str">
        <f t="shared" si="261"/>
        <v>270</v>
      </c>
    </row>
    <row r="7927" spans="1:4" x14ac:dyDescent="0.25">
      <c r="A7927" t="str">
        <f>"838945324"</f>
        <v>838945324</v>
      </c>
      <c r="B7927" t="s">
        <v>7184</v>
      </c>
      <c r="C7927">
        <v>14.3</v>
      </c>
      <c r="D7927" t="str">
        <f t="shared" si="261"/>
        <v>270</v>
      </c>
    </row>
    <row r="7928" spans="1:4" x14ac:dyDescent="0.25">
      <c r="A7928" t="str">
        <f>"838945325"</f>
        <v>838945325</v>
      </c>
      <c r="B7928" t="s">
        <v>7185</v>
      </c>
      <c r="C7928">
        <v>140.80000000000001</v>
      </c>
      <c r="D7928" t="str">
        <f t="shared" si="261"/>
        <v>270</v>
      </c>
    </row>
    <row r="7929" spans="1:4" x14ac:dyDescent="0.25">
      <c r="A7929" t="str">
        <f>"838945326"</f>
        <v>838945326</v>
      </c>
      <c r="B7929" t="s">
        <v>7186</v>
      </c>
      <c r="C7929">
        <v>367.4</v>
      </c>
      <c r="D7929" t="str">
        <f t="shared" si="261"/>
        <v>270</v>
      </c>
    </row>
    <row r="7930" spans="1:4" x14ac:dyDescent="0.25">
      <c r="A7930" t="str">
        <f>"838945327"</f>
        <v>838945327</v>
      </c>
      <c r="B7930" t="s">
        <v>7187</v>
      </c>
      <c r="C7930">
        <v>520.29999999999995</v>
      </c>
      <c r="D7930" t="str">
        <f t="shared" si="261"/>
        <v>270</v>
      </c>
    </row>
    <row r="7931" spans="1:4" x14ac:dyDescent="0.25">
      <c r="A7931" t="str">
        <f>"838945328"</f>
        <v>838945328</v>
      </c>
      <c r="B7931" t="s">
        <v>7188</v>
      </c>
      <c r="C7931">
        <v>354.2</v>
      </c>
      <c r="D7931" t="str">
        <f t="shared" si="261"/>
        <v>270</v>
      </c>
    </row>
    <row r="7932" spans="1:4" x14ac:dyDescent="0.25">
      <c r="A7932" t="str">
        <f>"838945329"</f>
        <v>838945329</v>
      </c>
      <c r="B7932" t="s">
        <v>2737</v>
      </c>
      <c r="C7932">
        <v>46.33</v>
      </c>
      <c r="D7932" t="str">
        <f t="shared" si="261"/>
        <v>270</v>
      </c>
    </row>
    <row r="7933" spans="1:4" x14ac:dyDescent="0.25">
      <c r="A7933" t="str">
        <f>"838945330"</f>
        <v>838945330</v>
      </c>
      <c r="B7933" t="s">
        <v>7189</v>
      </c>
      <c r="C7933">
        <v>510.74</v>
      </c>
      <c r="D7933" t="str">
        <f t="shared" si="261"/>
        <v>270</v>
      </c>
    </row>
    <row r="7934" spans="1:4" x14ac:dyDescent="0.25">
      <c r="A7934" t="str">
        <f>"838945331"</f>
        <v>838945331</v>
      </c>
      <c r="B7934" t="s">
        <v>7190</v>
      </c>
      <c r="C7934">
        <v>766.7</v>
      </c>
      <c r="D7934" t="str">
        <f t="shared" si="261"/>
        <v>270</v>
      </c>
    </row>
    <row r="7935" spans="1:4" x14ac:dyDescent="0.25">
      <c r="A7935" t="str">
        <f>"838945332"</f>
        <v>838945332</v>
      </c>
      <c r="B7935" t="s">
        <v>7191</v>
      </c>
      <c r="C7935" s="1">
        <v>1485</v>
      </c>
      <c r="D7935" t="str">
        <f t="shared" si="261"/>
        <v>270</v>
      </c>
    </row>
    <row r="7936" spans="1:4" x14ac:dyDescent="0.25">
      <c r="A7936" t="str">
        <f>"838945333"</f>
        <v>838945333</v>
      </c>
      <c r="B7936" t="s">
        <v>7192</v>
      </c>
      <c r="C7936">
        <v>123.2</v>
      </c>
      <c r="D7936" t="str">
        <f t="shared" si="261"/>
        <v>270</v>
      </c>
    </row>
    <row r="7937" spans="1:4" x14ac:dyDescent="0.25">
      <c r="A7937" t="str">
        <f>"838945334"</f>
        <v>838945334</v>
      </c>
      <c r="B7937" t="s">
        <v>7193</v>
      </c>
      <c r="C7937">
        <v>36.299999999999997</v>
      </c>
      <c r="D7937" t="str">
        <f t="shared" si="261"/>
        <v>270</v>
      </c>
    </row>
    <row r="7938" spans="1:4" x14ac:dyDescent="0.25">
      <c r="A7938" t="str">
        <f>"838945335"</f>
        <v>838945335</v>
      </c>
      <c r="B7938" t="s">
        <v>7194</v>
      </c>
      <c r="C7938">
        <v>452.1</v>
      </c>
      <c r="D7938" t="str">
        <f>"278"</f>
        <v>278</v>
      </c>
    </row>
    <row r="7939" spans="1:4" x14ac:dyDescent="0.25">
      <c r="A7939" t="str">
        <f>"838945336"</f>
        <v>838945336</v>
      </c>
      <c r="B7939" t="s">
        <v>7195</v>
      </c>
      <c r="C7939">
        <v>290.39999999999998</v>
      </c>
      <c r="D7939" t="str">
        <f t="shared" ref="D7939:D7944" si="262">"270"</f>
        <v>270</v>
      </c>
    </row>
    <row r="7940" spans="1:4" x14ac:dyDescent="0.25">
      <c r="A7940" t="str">
        <f>"838945337"</f>
        <v>838945337</v>
      </c>
      <c r="B7940" t="s">
        <v>7196</v>
      </c>
      <c r="C7940">
        <v>61.6</v>
      </c>
      <c r="D7940" t="str">
        <f t="shared" si="262"/>
        <v>270</v>
      </c>
    </row>
    <row r="7941" spans="1:4" x14ac:dyDescent="0.25">
      <c r="A7941" t="str">
        <f>"838945338"</f>
        <v>838945338</v>
      </c>
      <c r="B7941" t="s">
        <v>7197</v>
      </c>
      <c r="C7941">
        <v>27.5</v>
      </c>
      <c r="D7941" t="str">
        <f t="shared" si="262"/>
        <v>270</v>
      </c>
    </row>
    <row r="7942" spans="1:4" x14ac:dyDescent="0.25">
      <c r="A7942" t="str">
        <f>"838945339"</f>
        <v>838945339</v>
      </c>
      <c r="B7942" t="s">
        <v>7198</v>
      </c>
      <c r="C7942">
        <v>73.7</v>
      </c>
      <c r="D7942" t="str">
        <f t="shared" si="262"/>
        <v>270</v>
      </c>
    </row>
    <row r="7943" spans="1:4" x14ac:dyDescent="0.25">
      <c r="A7943" t="str">
        <f>"838945340"</f>
        <v>838945340</v>
      </c>
      <c r="B7943" t="s">
        <v>7199</v>
      </c>
      <c r="C7943">
        <v>115.5</v>
      </c>
      <c r="D7943" t="str">
        <f t="shared" si="262"/>
        <v>270</v>
      </c>
    </row>
    <row r="7944" spans="1:4" x14ac:dyDescent="0.25">
      <c r="A7944" t="str">
        <f>"838945341"</f>
        <v>838945341</v>
      </c>
      <c r="B7944" t="s">
        <v>7200</v>
      </c>
      <c r="C7944">
        <v>29.7</v>
      </c>
      <c r="D7944" t="str">
        <f t="shared" si="262"/>
        <v>270</v>
      </c>
    </row>
    <row r="7945" spans="1:4" x14ac:dyDescent="0.25">
      <c r="A7945" t="str">
        <f>"838945342"</f>
        <v>838945342</v>
      </c>
      <c r="B7945" t="s">
        <v>7201</v>
      </c>
      <c r="C7945">
        <v>283.8</v>
      </c>
      <c r="D7945" t="str">
        <f>"271"</f>
        <v>271</v>
      </c>
    </row>
    <row r="7946" spans="1:4" x14ac:dyDescent="0.25">
      <c r="A7946" t="str">
        <f>"838945343"</f>
        <v>838945343</v>
      </c>
      <c r="B7946" t="s">
        <v>7202</v>
      </c>
      <c r="C7946">
        <v>25.3</v>
      </c>
      <c r="D7946" t="str">
        <f t="shared" ref="D7946:D7972" si="263">"270"</f>
        <v>270</v>
      </c>
    </row>
    <row r="7947" spans="1:4" x14ac:dyDescent="0.25">
      <c r="A7947" t="str">
        <f>"838945344"</f>
        <v>838945344</v>
      </c>
      <c r="B7947" t="s">
        <v>7203</v>
      </c>
      <c r="C7947">
        <v>506</v>
      </c>
      <c r="D7947" t="str">
        <f t="shared" si="263"/>
        <v>270</v>
      </c>
    </row>
    <row r="7948" spans="1:4" x14ac:dyDescent="0.25">
      <c r="A7948" t="str">
        <f>"838945345"</f>
        <v>838945345</v>
      </c>
      <c r="B7948" t="s">
        <v>7204</v>
      </c>
      <c r="C7948">
        <v>831.6</v>
      </c>
      <c r="D7948" t="str">
        <f t="shared" si="263"/>
        <v>270</v>
      </c>
    </row>
    <row r="7949" spans="1:4" x14ac:dyDescent="0.25">
      <c r="A7949" t="str">
        <f>"838945346"</f>
        <v>838945346</v>
      </c>
      <c r="B7949" t="s">
        <v>7205</v>
      </c>
      <c r="C7949">
        <v>128.69999999999999</v>
      </c>
      <c r="D7949" t="str">
        <f t="shared" si="263"/>
        <v>270</v>
      </c>
    </row>
    <row r="7950" spans="1:4" x14ac:dyDescent="0.25">
      <c r="A7950" t="str">
        <f>"838945347"</f>
        <v>838945347</v>
      </c>
      <c r="B7950" t="s">
        <v>7206</v>
      </c>
      <c r="C7950">
        <v>46.2</v>
      </c>
      <c r="D7950" t="str">
        <f t="shared" si="263"/>
        <v>270</v>
      </c>
    </row>
    <row r="7951" spans="1:4" x14ac:dyDescent="0.25">
      <c r="A7951" t="str">
        <f>"838945348"</f>
        <v>838945348</v>
      </c>
      <c r="B7951" t="s">
        <v>7207</v>
      </c>
      <c r="C7951">
        <v>17.600000000000001</v>
      </c>
      <c r="D7951" t="str">
        <f t="shared" si="263"/>
        <v>270</v>
      </c>
    </row>
    <row r="7952" spans="1:4" x14ac:dyDescent="0.25">
      <c r="A7952" t="str">
        <f>"838945349"</f>
        <v>838945349</v>
      </c>
      <c r="B7952" t="s">
        <v>7208</v>
      </c>
      <c r="C7952">
        <v>46.2</v>
      </c>
      <c r="D7952" t="str">
        <f t="shared" si="263"/>
        <v>270</v>
      </c>
    </row>
    <row r="7953" spans="1:4" x14ac:dyDescent="0.25">
      <c r="A7953" t="str">
        <f>"838945350"</f>
        <v>838945350</v>
      </c>
      <c r="B7953" t="s">
        <v>7209</v>
      </c>
      <c r="C7953">
        <v>49.5</v>
      </c>
      <c r="D7953" t="str">
        <f t="shared" si="263"/>
        <v>270</v>
      </c>
    </row>
    <row r="7954" spans="1:4" x14ac:dyDescent="0.25">
      <c r="A7954" t="str">
        <f>"838945351"</f>
        <v>838945351</v>
      </c>
      <c r="B7954" t="s">
        <v>7210</v>
      </c>
      <c r="C7954">
        <v>440</v>
      </c>
      <c r="D7954" t="str">
        <f t="shared" si="263"/>
        <v>270</v>
      </c>
    </row>
    <row r="7955" spans="1:4" x14ac:dyDescent="0.25">
      <c r="A7955" t="str">
        <f>"838945352"</f>
        <v>838945352</v>
      </c>
      <c r="B7955" t="s">
        <v>7211</v>
      </c>
      <c r="C7955">
        <v>37.4</v>
      </c>
      <c r="D7955" t="str">
        <f t="shared" si="263"/>
        <v>270</v>
      </c>
    </row>
    <row r="7956" spans="1:4" x14ac:dyDescent="0.25">
      <c r="A7956" t="str">
        <f>"838945353"</f>
        <v>838945353</v>
      </c>
      <c r="B7956" t="s">
        <v>7212</v>
      </c>
      <c r="C7956">
        <v>40.700000000000003</v>
      </c>
      <c r="D7956" t="str">
        <f t="shared" si="263"/>
        <v>270</v>
      </c>
    </row>
    <row r="7957" spans="1:4" x14ac:dyDescent="0.25">
      <c r="A7957" t="str">
        <f>"838945354"</f>
        <v>838945354</v>
      </c>
      <c r="B7957" t="s">
        <v>7213</v>
      </c>
      <c r="C7957">
        <v>128.69999999999999</v>
      </c>
      <c r="D7957" t="str">
        <f t="shared" si="263"/>
        <v>270</v>
      </c>
    </row>
    <row r="7958" spans="1:4" x14ac:dyDescent="0.25">
      <c r="A7958" t="str">
        <f>"838945355"</f>
        <v>838945355</v>
      </c>
      <c r="B7958" t="s">
        <v>7214</v>
      </c>
      <c r="C7958">
        <v>135.30000000000001</v>
      </c>
      <c r="D7958" t="str">
        <f t="shared" si="263"/>
        <v>270</v>
      </c>
    </row>
    <row r="7959" spans="1:4" x14ac:dyDescent="0.25">
      <c r="A7959" t="str">
        <f>"838945356"</f>
        <v>838945356</v>
      </c>
      <c r="B7959" t="s">
        <v>7215</v>
      </c>
      <c r="C7959">
        <v>194.7</v>
      </c>
      <c r="D7959" t="str">
        <f t="shared" si="263"/>
        <v>270</v>
      </c>
    </row>
    <row r="7960" spans="1:4" x14ac:dyDescent="0.25">
      <c r="A7960" t="str">
        <f>"838945357"</f>
        <v>838945357</v>
      </c>
      <c r="B7960" t="s">
        <v>7216</v>
      </c>
      <c r="C7960">
        <v>291.5</v>
      </c>
      <c r="D7960" t="str">
        <f t="shared" si="263"/>
        <v>270</v>
      </c>
    </row>
    <row r="7961" spans="1:4" x14ac:dyDescent="0.25">
      <c r="A7961" t="str">
        <f>"838945358"</f>
        <v>838945358</v>
      </c>
      <c r="B7961" t="s">
        <v>7217</v>
      </c>
      <c r="C7961">
        <v>7.7</v>
      </c>
      <c r="D7961" t="str">
        <f t="shared" si="263"/>
        <v>270</v>
      </c>
    </row>
    <row r="7962" spans="1:4" x14ac:dyDescent="0.25">
      <c r="A7962" t="str">
        <f>"838945359"</f>
        <v>838945359</v>
      </c>
      <c r="B7962" t="s">
        <v>7218</v>
      </c>
      <c r="C7962">
        <v>45.1</v>
      </c>
      <c r="D7962" t="str">
        <f t="shared" si="263"/>
        <v>270</v>
      </c>
    </row>
    <row r="7963" spans="1:4" x14ac:dyDescent="0.25">
      <c r="A7963" t="str">
        <f>"838945360"</f>
        <v>838945360</v>
      </c>
      <c r="B7963" t="s">
        <v>7219</v>
      </c>
      <c r="C7963">
        <v>72.599999999999994</v>
      </c>
      <c r="D7963" t="str">
        <f t="shared" si="263"/>
        <v>270</v>
      </c>
    </row>
    <row r="7964" spans="1:4" x14ac:dyDescent="0.25">
      <c r="A7964" t="str">
        <f>"838945361"</f>
        <v>838945361</v>
      </c>
      <c r="B7964" t="s">
        <v>7220</v>
      </c>
      <c r="C7964">
        <v>132</v>
      </c>
      <c r="D7964" t="str">
        <f t="shared" si="263"/>
        <v>270</v>
      </c>
    </row>
    <row r="7965" spans="1:4" x14ac:dyDescent="0.25">
      <c r="A7965" t="str">
        <f>"838945362"</f>
        <v>838945362</v>
      </c>
      <c r="B7965" t="s">
        <v>7221</v>
      </c>
      <c r="C7965">
        <v>194.7</v>
      </c>
      <c r="D7965" t="str">
        <f t="shared" si="263"/>
        <v>270</v>
      </c>
    </row>
    <row r="7966" spans="1:4" x14ac:dyDescent="0.25">
      <c r="A7966" t="str">
        <f>"838945363"</f>
        <v>838945363</v>
      </c>
      <c r="B7966" t="s">
        <v>7222</v>
      </c>
      <c r="C7966">
        <v>33</v>
      </c>
      <c r="D7966" t="str">
        <f t="shared" si="263"/>
        <v>270</v>
      </c>
    </row>
    <row r="7967" spans="1:4" x14ac:dyDescent="0.25">
      <c r="A7967" t="str">
        <f>"838945364"</f>
        <v>838945364</v>
      </c>
      <c r="B7967" t="s">
        <v>7223</v>
      </c>
      <c r="C7967">
        <v>40.700000000000003</v>
      </c>
      <c r="D7967" t="str">
        <f t="shared" si="263"/>
        <v>270</v>
      </c>
    </row>
    <row r="7968" spans="1:4" x14ac:dyDescent="0.25">
      <c r="A7968" t="str">
        <f>"838945365"</f>
        <v>838945365</v>
      </c>
      <c r="B7968" t="s">
        <v>7224</v>
      </c>
      <c r="C7968">
        <v>49.5</v>
      </c>
      <c r="D7968" t="str">
        <f t="shared" si="263"/>
        <v>270</v>
      </c>
    </row>
    <row r="7969" spans="1:4" x14ac:dyDescent="0.25">
      <c r="A7969" t="str">
        <f>"838945366"</f>
        <v>838945366</v>
      </c>
      <c r="B7969" t="s">
        <v>7225</v>
      </c>
      <c r="C7969">
        <v>93.5</v>
      </c>
      <c r="D7969" t="str">
        <f t="shared" si="263"/>
        <v>270</v>
      </c>
    </row>
    <row r="7970" spans="1:4" x14ac:dyDescent="0.25">
      <c r="A7970" t="str">
        <f>"838945367"</f>
        <v>838945367</v>
      </c>
      <c r="B7970" t="s">
        <v>7226</v>
      </c>
      <c r="C7970">
        <v>58.3</v>
      </c>
      <c r="D7970" t="str">
        <f t="shared" si="263"/>
        <v>270</v>
      </c>
    </row>
    <row r="7971" spans="1:4" x14ac:dyDescent="0.25">
      <c r="A7971" t="str">
        <f>"838945368"</f>
        <v>838945368</v>
      </c>
      <c r="B7971" t="s">
        <v>7227</v>
      </c>
      <c r="C7971">
        <v>151.80000000000001</v>
      </c>
      <c r="D7971" t="str">
        <f t="shared" si="263"/>
        <v>270</v>
      </c>
    </row>
    <row r="7972" spans="1:4" x14ac:dyDescent="0.25">
      <c r="A7972" t="str">
        <f>"838945369"</f>
        <v>838945369</v>
      </c>
      <c r="B7972" t="s">
        <v>7228</v>
      </c>
      <c r="C7972">
        <v>83.6</v>
      </c>
      <c r="D7972" t="str">
        <f t="shared" si="263"/>
        <v>270</v>
      </c>
    </row>
    <row r="7973" spans="1:4" x14ac:dyDescent="0.25">
      <c r="A7973" t="str">
        <f>"838945370"</f>
        <v>838945370</v>
      </c>
      <c r="B7973" t="s">
        <v>7229</v>
      </c>
      <c r="C7973">
        <v>25.3</v>
      </c>
      <c r="D7973" t="str">
        <f>"271"</f>
        <v>271</v>
      </c>
    </row>
    <row r="7974" spans="1:4" x14ac:dyDescent="0.25">
      <c r="A7974" t="str">
        <f>"838945371"</f>
        <v>838945371</v>
      </c>
      <c r="B7974" t="s">
        <v>7230</v>
      </c>
      <c r="C7974">
        <v>25.3</v>
      </c>
      <c r="D7974" t="str">
        <f t="shared" ref="D7974:D7990" si="264">"270"</f>
        <v>270</v>
      </c>
    </row>
    <row r="7975" spans="1:4" x14ac:dyDescent="0.25">
      <c r="A7975" t="str">
        <f>"838945372"</f>
        <v>838945372</v>
      </c>
      <c r="B7975" t="s">
        <v>7231</v>
      </c>
      <c r="C7975">
        <v>63.8</v>
      </c>
      <c r="D7975" t="str">
        <f t="shared" si="264"/>
        <v>270</v>
      </c>
    </row>
    <row r="7976" spans="1:4" x14ac:dyDescent="0.25">
      <c r="A7976" t="str">
        <f>"838945373"</f>
        <v>838945373</v>
      </c>
      <c r="B7976" t="s">
        <v>7232</v>
      </c>
      <c r="C7976">
        <v>759</v>
      </c>
      <c r="D7976" t="str">
        <f t="shared" si="264"/>
        <v>270</v>
      </c>
    </row>
    <row r="7977" spans="1:4" x14ac:dyDescent="0.25">
      <c r="A7977" t="str">
        <f>"838945374"</f>
        <v>838945374</v>
      </c>
      <c r="B7977" t="s">
        <v>7233</v>
      </c>
      <c r="C7977">
        <v>138.6</v>
      </c>
      <c r="D7977" t="str">
        <f t="shared" si="264"/>
        <v>270</v>
      </c>
    </row>
    <row r="7978" spans="1:4" x14ac:dyDescent="0.25">
      <c r="A7978" t="str">
        <f>"838945375"</f>
        <v>838945375</v>
      </c>
      <c r="B7978" t="s">
        <v>7234</v>
      </c>
      <c r="C7978">
        <v>335.5</v>
      </c>
      <c r="D7978" t="str">
        <f t="shared" si="264"/>
        <v>270</v>
      </c>
    </row>
    <row r="7979" spans="1:4" x14ac:dyDescent="0.25">
      <c r="A7979" t="str">
        <f>"838945376"</f>
        <v>838945376</v>
      </c>
      <c r="B7979" t="s">
        <v>7235</v>
      </c>
      <c r="C7979">
        <v>759</v>
      </c>
      <c r="D7979" t="str">
        <f t="shared" si="264"/>
        <v>270</v>
      </c>
    </row>
    <row r="7980" spans="1:4" x14ac:dyDescent="0.25">
      <c r="A7980" t="str">
        <f>"838945377"</f>
        <v>838945377</v>
      </c>
      <c r="B7980" t="s">
        <v>7236</v>
      </c>
      <c r="C7980">
        <v>180.4</v>
      </c>
      <c r="D7980" t="str">
        <f t="shared" si="264"/>
        <v>270</v>
      </c>
    </row>
    <row r="7981" spans="1:4" x14ac:dyDescent="0.25">
      <c r="A7981" t="str">
        <f>"838945378"</f>
        <v>838945378</v>
      </c>
      <c r="B7981" t="s">
        <v>7237</v>
      </c>
      <c r="C7981">
        <v>290.39999999999998</v>
      </c>
      <c r="D7981" t="str">
        <f t="shared" si="264"/>
        <v>270</v>
      </c>
    </row>
    <row r="7982" spans="1:4" x14ac:dyDescent="0.25">
      <c r="A7982" t="str">
        <f>"838945379"</f>
        <v>838945379</v>
      </c>
      <c r="B7982" t="s">
        <v>7238</v>
      </c>
      <c r="C7982">
        <v>316.8</v>
      </c>
      <c r="D7982" t="str">
        <f t="shared" si="264"/>
        <v>270</v>
      </c>
    </row>
    <row r="7983" spans="1:4" x14ac:dyDescent="0.25">
      <c r="A7983" t="str">
        <f>"838945380"</f>
        <v>838945380</v>
      </c>
      <c r="B7983" t="s">
        <v>7239</v>
      </c>
      <c r="C7983">
        <v>293.7</v>
      </c>
      <c r="D7983" t="str">
        <f t="shared" si="264"/>
        <v>270</v>
      </c>
    </row>
    <row r="7984" spans="1:4" x14ac:dyDescent="0.25">
      <c r="A7984" t="str">
        <f>"838945381"</f>
        <v>838945381</v>
      </c>
      <c r="B7984" t="s">
        <v>7240</v>
      </c>
      <c r="C7984">
        <v>88</v>
      </c>
      <c r="D7984" t="str">
        <f t="shared" si="264"/>
        <v>270</v>
      </c>
    </row>
    <row r="7985" spans="1:4" x14ac:dyDescent="0.25">
      <c r="A7985" t="str">
        <f>"838945382"</f>
        <v>838945382</v>
      </c>
      <c r="B7985" t="s">
        <v>7241</v>
      </c>
      <c r="C7985" s="1">
        <v>1243</v>
      </c>
      <c r="D7985" t="str">
        <f t="shared" si="264"/>
        <v>270</v>
      </c>
    </row>
    <row r="7986" spans="1:4" x14ac:dyDescent="0.25">
      <c r="A7986" t="str">
        <f>"8389453838"</f>
        <v>8389453838</v>
      </c>
      <c r="B7986" t="s">
        <v>7242</v>
      </c>
      <c r="C7986">
        <v>28.6</v>
      </c>
      <c r="D7986" t="str">
        <f t="shared" si="264"/>
        <v>270</v>
      </c>
    </row>
    <row r="7987" spans="1:4" x14ac:dyDescent="0.25">
      <c r="A7987" t="str">
        <f>"838945384"</f>
        <v>838945384</v>
      </c>
      <c r="B7987" t="s">
        <v>7243</v>
      </c>
      <c r="C7987">
        <v>55</v>
      </c>
      <c r="D7987" t="str">
        <f t="shared" si="264"/>
        <v>270</v>
      </c>
    </row>
    <row r="7988" spans="1:4" x14ac:dyDescent="0.25">
      <c r="A7988" t="str">
        <f>"838945385"</f>
        <v>838945385</v>
      </c>
      <c r="B7988" t="s">
        <v>7244</v>
      </c>
      <c r="C7988">
        <v>19.8</v>
      </c>
      <c r="D7988" t="str">
        <f t="shared" si="264"/>
        <v>270</v>
      </c>
    </row>
    <row r="7989" spans="1:4" x14ac:dyDescent="0.25">
      <c r="A7989" t="str">
        <f>"838945386"</f>
        <v>838945386</v>
      </c>
      <c r="B7989" t="s">
        <v>7245</v>
      </c>
      <c r="C7989">
        <v>40.700000000000003</v>
      </c>
      <c r="D7989" t="str">
        <f t="shared" si="264"/>
        <v>270</v>
      </c>
    </row>
    <row r="7990" spans="1:4" x14ac:dyDescent="0.25">
      <c r="A7990" t="str">
        <f>"838945387"</f>
        <v>838945387</v>
      </c>
      <c r="B7990" t="s">
        <v>7246</v>
      </c>
      <c r="C7990">
        <v>49.5</v>
      </c>
      <c r="D7990" t="str">
        <f t="shared" si="264"/>
        <v>270</v>
      </c>
    </row>
    <row r="7991" spans="1:4" x14ac:dyDescent="0.25">
      <c r="A7991" t="str">
        <f>"838945388"</f>
        <v>838945388</v>
      </c>
      <c r="B7991" t="s">
        <v>7247</v>
      </c>
      <c r="C7991">
        <v>61.6</v>
      </c>
      <c r="D7991" t="str">
        <f>"278"</f>
        <v>278</v>
      </c>
    </row>
    <row r="7992" spans="1:4" x14ac:dyDescent="0.25">
      <c r="A7992" t="str">
        <f>"838945389"</f>
        <v>838945389</v>
      </c>
      <c r="B7992" t="s">
        <v>7248</v>
      </c>
      <c r="C7992">
        <v>25.3</v>
      </c>
      <c r="D7992" t="str">
        <f>"270"</f>
        <v>270</v>
      </c>
    </row>
    <row r="7993" spans="1:4" x14ac:dyDescent="0.25">
      <c r="A7993" t="str">
        <f>"838945390"</f>
        <v>838945390</v>
      </c>
      <c r="B7993" t="s">
        <v>7249</v>
      </c>
      <c r="C7993">
        <v>50.6</v>
      </c>
      <c r="D7993" t="str">
        <f>"270"</f>
        <v>270</v>
      </c>
    </row>
    <row r="7994" spans="1:4" x14ac:dyDescent="0.25">
      <c r="A7994" t="str">
        <f>"838945391"</f>
        <v>838945391</v>
      </c>
      <c r="B7994" t="s">
        <v>7250</v>
      </c>
      <c r="C7994">
        <v>91.3</v>
      </c>
      <c r="D7994" t="str">
        <f>"278"</f>
        <v>278</v>
      </c>
    </row>
    <row r="7995" spans="1:4" x14ac:dyDescent="0.25">
      <c r="A7995" t="str">
        <f>"838945392"</f>
        <v>838945392</v>
      </c>
      <c r="B7995" t="s">
        <v>7251</v>
      </c>
      <c r="C7995">
        <v>28.6</v>
      </c>
      <c r="D7995" t="str">
        <f t="shared" ref="D7995:D8057" si="265">"270"</f>
        <v>270</v>
      </c>
    </row>
    <row r="7996" spans="1:4" x14ac:dyDescent="0.25">
      <c r="A7996" t="str">
        <f>"838945393"</f>
        <v>838945393</v>
      </c>
      <c r="B7996" t="s">
        <v>7252</v>
      </c>
      <c r="C7996">
        <v>635.79999999999995</v>
      </c>
      <c r="D7996" t="str">
        <f t="shared" si="265"/>
        <v>270</v>
      </c>
    </row>
    <row r="7997" spans="1:4" x14ac:dyDescent="0.25">
      <c r="A7997" t="str">
        <f>"838945394"</f>
        <v>838945394</v>
      </c>
      <c r="B7997" t="s">
        <v>7253</v>
      </c>
      <c r="C7997">
        <v>58.3</v>
      </c>
      <c r="D7997" t="str">
        <f t="shared" si="265"/>
        <v>270</v>
      </c>
    </row>
    <row r="7998" spans="1:4" x14ac:dyDescent="0.25">
      <c r="A7998" t="str">
        <f>"838945395"</f>
        <v>838945395</v>
      </c>
      <c r="B7998" t="s">
        <v>7254</v>
      </c>
      <c r="C7998">
        <v>16.5</v>
      </c>
      <c r="D7998" t="str">
        <f t="shared" si="265"/>
        <v>270</v>
      </c>
    </row>
    <row r="7999" spans="1:4" x14ac:dyDescent="0.25">
      <c r="A7999" t="str">
        <f>"838945396"</f>
        <v>838945396</v>
      </c>
      <c r="B7999" t="s">
        <v>7255</v>
      </c>
      <c r="C7999">
        <v>19.8</v>
      </c>
      <c r="D7999" t="str">
        <f t="shared" si="265"/>
        <v>270</v>
      </c>
    </row>
    <row r="8000" spans="1:4" x14ac:dyDescent="0.25">
      <c r="A8000" t="str">
        <f>"838945397"</f>
        <v>838945397</v>
      </c>
      <c r="B8000" t="s">
        <v>7256</v>
      </c>
      <c r="C8000">
        <v>24.2</v>
      </c>
      <c r="D8000" t="str">
        <f t="shared" si="265"/>
        <v>270</v>
      </c>
    </row>
    <row r="8001" spans="1:4" x14ac:dyDescent="0.25">
      <c r="A8001" t="str">
        <f>"838945398"</f>
        <v>838945398</v>
      </c>
      <c r="B8001" t="s">
        <v>7257</v>
      </c>
      <c r="C8001">
        <v>28.6</v>
      </c>
      <c r="D8001" t="str">
        <f t="shared" si="265"/>
        <v>270</v>
      </c>
    </row>
    <row r="8002" spans="1:4" x14ac:dyDescent="0.25">
      <c r="A8002" t="str">
        <f>"838945399"</f>
        <v>838945399</v>
      </c>
      <c r="B8002" t="s">
        <v>7258</v>
      </c>
      <c r="C8002">
        <v>37.4</v>
      </c>
      <c r="D8002" t="str">
        <f t="shared" si="265"/>
        <v>270</v>
      </c>
    </row>
    <row r="8003" spans="1:4" x14ac:dyDescent="0.25">
      <c r="A8003" t="str">
        <f>"838945400"</f>
        <v>838945400</v>
      </c>
      <c r="B8003" t="s">
        <v>7259</v>
      </c>
      <c r="C8003">
        <v>3.3</v>
      </c>
      <c r="D8003" t="str">
        <f t="shared" si="265"/>
        <v>270</v>
      </c>
    </row>
    <row r="8004" spans="1:4" x14ac:dyDescent="0.25">
      <c r="A8004" t="str">
        <f>"838945401"</f>
        <v>838945401</v>
      </c>
      <c r="B8004" t="s">
        <v>7260</v>
      </c>
      <c r="C8004">
        <v>4.4000000000000004</v>
      </c>
      <c r="D8004" t="str">
        <f t="shared" si="265"/>
        <v>270</v>
      </c>
    </row>
    <row r="8005" spans="1:4" x14ac:dyDescent="0.25">
      <c r="A8005" t="str">
        <f>"838945402"</f>
        <v>838945402</v>
      </c>
      <c r="B8005" t="s">
        <v>7261</v>
      </c>
      <c r="C8005">
        <v>7.7</v>
      </c>
      <c r="D8005" t="str">
        <f t="shared" si="265"/>
        <v>270</v>
      </c>
    </row>
    <row r="8006" spans="1:4" x14ac:dyDescent="0.25">
      <c r="A8006" t="str">
        <f>"838945403"</f>
        <v>838945403</v>
      </c>
      <c r="B8006" t="s">
        <v>7262</v>
      </c>
      <c r="C8006">
        <v>23.1</v>
      </c>
      <c r="D8006" t="str">
        <f t="shared" si="265"/>
        <v>270</v>
      </c>
    </row>
    <row r="8007" spans="1:4" x14ac:dyDescent="0.25">
      <c r="A8007" t="str">
        <f>"838945404"</f>
        <v>838945404</v>
      </c>
      <c r="B8007" t="s">
        <v>7263</v>
      </c>
      <c r="C8007">
        <v>660</v>
      </c>
      <c r="D8007" t="str">
        <f t="shared" si="265"/>
        <v>270</v>
      </c>
    </row>
    <row r="8008" spans="1:4" x14ac:dyDescent="0.25">
      <c r="A8008" t="str">
        <f>"838945405"</f>
        <v>838945405</v>
      </c>
      <c r="B8008" t="s">
        <v>7264</v>
      </c>
      <c r="C8008">
        <v>22</v>
      </c>
      <c r="D8008" t="str">
        <f t="shared" si="265"/>
        <v>270</v>
      </c>
    </row>
    <row r="8009" spans="1:4" x14ac:dyDescent="0.25">
      <c r="A8009" t="str">
        <f>"838945406"</f>
        <v>838945406</v>
      </c>
      <c r="B8009" t="s">
        <v>7265</v>
      </c>
      <c r="C8009">
        <v>22</v>
      </c>
      <c r="D8009" t="str">
        <f t="shared" si="265"/>
        <v>270</v>
      </c>
    </row>
    <row r="8010" spans="1:4" x14ac:dyDescent="0.25">
      <c r="A8010" t="str">
        <f>"838945407"</f>
        <v>838945407</v>
      </c>
      <c r="B8010" t="s">
        <v>7266</v>
      </c>
      <c r="C8010">
        <v>86.9</v>
      </c>
      <c r="D8010" t="str">
        <f t="shared" si="265"/>
        <v>270</v>
      </c>
    </row>
    <row r="8011" spans="1:4" x14ac:dyDescent="0.25">
      <c r="A8011" t="str">
        <f>"838945409"</f>
        <v>838945409</v>
      </c>
      <c r="B8011" t="s">
        <v>7267</v>
      </c>
      <c r="C8011">
        <v>86.9</v>
      </c>
      <c r="D8011" t="str">
        <f t="shared" si="265"/>
        <v>270</v>
      </c>
    </row>
    <row r="8012" spans="1:4" x14ac:dyDescent="0.25">
      <c r="A8012" t="str">
        <f>"838945410"</f>
        <v>838945410</v>
      </c>
      <c r="B8012" t="s">
        <v>7268</v>
      </c>
      <c r="C8012">
        <v>267.3</v>
      </c>
      <c r="D8012" t="str">
        <f t="shared" si="265"/>
        <v>270</v>
      </c>
    </row>
    <row r="8013" spans="1:4" x14ac:dyDescent="0.25">
      <c r="A8013" t="str">
        <f>"838945411"</f>
        <v>838945411</v>
      </c>
      <c r="B8013" t="s">
        <v>7269</v>
      </c>
      <c r="C8013">
        <v>58.3</v>
      </c>
      <c r="D8013" t="str">
        <f t="shared" si="265"/>
        <v>270</v>
      </c>
    </row>
    <row r="8014" spans="1:4" x14ac:dyDescent="0.25">
      <c r="A8014" t="str">
        <f>"838945412"</f>
        <v>838945412</v>
      </c>
      <c r="B8014" t="s">
        <v>7270</v>
      </c>
      <c r="C8014">
        <v>121</v>
      </c>
      <c r="D8014" t="str">
        <f t="shared" si="265"/>
        <v>270</v>
      </c>
    </row>
    <row r="8015" spans="1:4" x14ac:dyDescent="0.25">
      <c r="A8015" t="str">
        <f>"838945413"</f>
        <v>838945413</v>
      </c>
      <c r="B8015" t="s">
        <v>7271</v>
      </c>
      <c r="C8015">
        <v>17.600000000000001</v>
      </c>
      <c r="D8015" t="str">
        <f t="shared" si="265"/>
        <v>270</v>
      </c>
    </row>
    <row r="8016" spans="1:4" x14ac:dyDescent="0.25">
      <c r="A8016" t="str">
        <f>"838945414"</f>
        <v>838945414</v>
      </c>
      <c r="B8016" t="s">
        <v>7272</v>
      </c>
      <c r="C8016">
        <v>41.8</v>
      </c>
      <c r="D8016" t="str">
        <f t="shared" si="265"/>
        <v>270</v>
      </c>
    </row>
    <row r="8017" spans="1:4" x14ac:dyDescent="0.25">
      <c r="A8017" t="str">
        <f>"838945415"</f>
        <v>838945415</v>
      </c>
      <c r="B8017" t="s">
        <v>7273</v>
      </c>
      <c r="C8017">
        <v>41.8</v>
      </c>
      <c r="D8017" t="str">
        <f t="shared" si="265"/>
        <v>270</v>
      </c>
    </row>
    <row r="8018" spans="1:4" x14ac:dyDescent="0.25">
      <c r="A8018" t="str">
        <f>"838945416"</f>
        <v>838945416</v>
      </c>
      <c r="B8018" t="s">
        <v>2741</v>
      </c>
      <c r="C8018">
        <v>343.2</v>
      </c>
      <c r="D8018" t="str">
        <f t="shared" si="265"/>
        <v>270</v>
      </c>
    </row>
    <row r="8019" spans="1:4" x14ac:dyDescent="0.25">
      <c r="A8019" t="str">
        <f>"838945417"</f>
        <v>838945417</v>
      </c>
      <c r="B8019" t="s">
        <v>7274</v>
      </c>
      <c r="C8019">
        <v>173.8</v>
      </c>
      <c r="D8019" t="str">
        <f t="shared" si="265"/>
        <v>270</v>
      </c>
    </row>
    <row r="8020" spans="1:4" x14ac:dyDescent="0.25">
      <c r="A8020" t="str">
        <f>"838945418"</f>
        <v>838945418</v>
      </c>
      <c r="B8020" t="s">
        <v>3704</v>
      </c>
      <c r="C8020">
        <v>609.4</v>
      </c>
      <c r="D8020" t="str">
        <f t="shared" si="265"/>
        <v>270</v>
      </c>
    </row>
    <row r="8021" spans="1:4" x14ac:dyDescent="0.25">
      <c r="A8021" t="str">
        <f>"838945419"</f>
        <v>838945419</v>
      </c>
      <c r="B8021" t="s">
        <v>7275</v>
      </c>
      <c r="C8021">
        <v>138.6</v>
      </c>
      <c r="D8021" t="str">
        <f t="shared" si="265"/>
        <v>270</v>
      </c>
    </row>
    <row r="8022" spans="1:4" x14ac:dyDescent="0.25">
      <c r="A8022" t="str">
        <f>"838945420"</f>
        <v>838945420</v>
      </c>
      <c r="B8022" t="s">
        <v>7276</v>
      </c>
      <c r="C8022">
        <v>211.2</v>
      </c>
      <c r="D8022" t="str">
        <f t="shared" si="265"/>
        <v>270</v>
      </c>
    </row>
    <row r="8023" spans="1:4" x14ac:dyDescent="0.25">
      <c r="A8023" t="str">
        <f>"838945421"</f>
        <v>838945421</v>
      </c>
      <c r="B8023" t="s">
        <v>7277</v>
      </c>
      <c r="C8023">
        <v>913</v>
      </c>
      <c r="D8023" t="str">
        <f t="shared" si="265"/>
        <v>270</v>
      </c>
    </row>
    <row r="8024" spans="1:4" x14ac:dyDescent="0.25">
      <c r="A8024" t="str">
        <f>"838945422"</f>
        <v>838945422</v>
      </c>
      <c r="B8024" t="s">
        <v>7278</v>
      </c>
      <c r="C8024">
        <v>390.5</v>
      </c>
      <c r="D8024" t="str">
        <f t="shared" si="265"/>
        <v>270</v>
      </c>
    </row>
    <row r="8025" spans="1:4" x14ac:dyDescent="0.25">
      <c r="A8025" t="str">
        <f>"838945423"</f>
        <v>838945423</v>
      </c>
      <c r="B8025" t="s">
        <v>7279</v>
      </c>
      <c r="C8025">
        <v>390.5</v>
      </c>
      <c r="D8025" t="str">
        <f t="shared" si="265"/>
        <v>270</v>
      </c>
    </row>
    <row r="8026" spans="1:4" x14ac:dyDescent="0.25">
      <c r="A8026" t="str">
        <f>"838945424"</f>
        <v>838945424</v>
      </c>
      <c r="B8026" t="s">
        <v>7280</v>
      </c>
      <c r="C8026">
        <v>138.6</v>
      </c>
      <c r="D8026" t="str">
        <f t="shared" si="265"/>
        <v>270</v>
      </c>
    </row>
    <row r="8027" spans="1:4" x14ac:dyDescent="0.25">
      <c r="A8027" t="str">
        <f>"838945425"</f>
        <v>838945425</v>
      </c>
      <c r="B8027" t="s">
        <v>7281</v>
      </c>
      <c r="C8027">
        <v>13.2</v>
      </c>
      <c r="D8027" t="str">
        <f t="shared" si="265"/>
        <v>270</v>
      </c>
    </row>
    <row r="8028" spans="1:4" x14ac:dyDescent="0.25">
      <c r="A8028" t="str">
        <f>"838945426"</f>
        <v>838945426</v>
      </c>
      <c r="B8028" t="s">
        <v>7282</v>
      </c>
      <c r="C8028">
        <v>14.3</v>
      </c>
      <c r="D8028" t="str">
        <f t="shared" si="265"/>
        <v>270</v>
      </c>
    </row>
    <row r="8029" spans="1:4" x14ac:dyDescent="0.25">
      <c r="A8029" t="str">
        <f>"838945427"</f>
        <v>838945427</v>
      </c>
      <c r="B8029" t="s">
        <v>7283</v>
      </c>
      <c r="C8029">
        <v>8.8000000000000007</v>
      </c>
      <c r="D8029" t="str">
        <f t="shared" si="265"/>
        <v>270</v>
      </c>
    </row>
    <row r="8030" spans="1:4" x14ac:dyDescent="0.25">
      <c r="A8030" t="str">
        <f>"838945428"</f>
        <v>838945428</v>
      </c>
      <c r="B8030" t="s">
        <v>7284</v>
      </c>
      <c r="C8030">
        <v>5.5</v>
      </c>
      <c r="D8030" t="str">
        <f t="shared" si="265"/>
        <v>270</v>
      </c>
    </row>
    <row r="8031" spans="1:4" x14ac:dyDescent="0.25">
      <c r="A8031" t="str">
        <f>"838945429"</f>
        <v>838945429</v>
      </c>
      <c r="B8031" t="s">
        <v>7285</v>
      </c>
      <c r="C8031">
        <v>19.8</v>
      </c>
      <c r="D8031" t="str">
        <f t="shared" si="265"/>
        <v>270</v>
      </c>
    </row>
    <row r="8032" spans="1:4" x14ac:dyDescent="0.25">
      <c r="A8032" t="str">
        <f>"838945430"</f>
        <v>838945430</v>
      </c>
      <c r="B8032" t="s">
        <v>7286</v>
      </c>
      <c r="C8032">
        <v>58.3</v>
      </c>
      <c r="D8032" t="str">
        <f t="shared" si="265"/>
        <v>270</v>
      </c>
    </row>
    <row r="8033" spans="1:4" x14ac:dyDescent="0.25">
      <c r="A8033" t="str">
        <f>"838945431"</f>
        <v>838945431</v>
      </c>
      <c r="B8033" t="s">
        <v>7287</v>
      </c>
      <c r="C8033">
        <v>81.400000000000006</v>
      </c>
      <c r="D8033" t="str">
        <f t="shared" si="265"/>
        <v>270</v>
      </c>
    </row>
    <row r="8034" spans="1:4" x14ac:dyDescent="0.25">
      <c r="A8034" t="str">
        <f>"838945432"</f>
        <v>838945432</v>
      </c>
      <c r="B8034" t="s">
        <v>7288</v>
      </c>
      <c r="C8034">
        <v>38.5</v>
      </c>
      <c r="D8034" t="str">
        <f t="shared" si="265"/>
        <v>270</v>
      </c>
    </row>
    <row r="8035" spans="1:4" x14ac:dyDescent="0.25">
      <c r="A8035" t="str">
        <f>"838945433"</f>
        <v>838945433</v>
      </c>
      <c r="B8035" t="s">
        <v>7289</v>
      </c>
      <c r="C8035">
        <v>34.1</v>
      </c>
      <c r="D8035" t="str">
        <f t="shared" si="265"/>
        <v>270</v>
      </c>
    </row>
    <row r="8036" spans="1:4" x14ac:dyDescent="0.25">
      <c r="A8036" t="str">
        <f>"838945434"</f>
        <v>838945434</v>
      </c>
      <c r="B8036" t="s">
        <v>7290</v>
      </c>
      <c r="C8036">
        <v>59.4</v>
      </c>
      <c r="D8036" t="str">
        <f t="shared" si="265"/>
        <v>270</v>
      </c>
    </row>
    <row r="8037" spans="1:4" x14ac:dyDescent="0.25">
      <c r="A8037" t="str">
        <f>"838945435"</f>
        <v>838945435</v>
      </c>
      <c r="B8037" t="s">
        <v>7291</v>
      </c>
      <c r="C8037">
        <v>24.2</v>
      </c>
      <c r="D8037" t="str">
        <f t="shared" si="265"/>
        <v>270</v>
      </c>
    </row>
    <row r="8038" spans="1:4" x14ac:dyDescent="0.25">
      <c r="A8038" t="str">
        <f>"838945436"</f>
        <v>838945436</v>
      </c>
      <c r="B8038" t="s">
        <v>7292</v>
      </c>
      <c r="C8038">
        <v>508.2</v>
      </c>
      <c r="D8038" t="str">
        <f t="shared" si="265"/>
        <v>270</v>
      </c>
    </row>
    <row r="8039" spans="1:4" x14ac:dyDescent="0.25">
      <c r="A8039" t="str">
        <f>"838945437"</f>
        <v>838945437</v>
      </c>
      <c r="B8039" t="s">
        <v>7293</v>
      </c>
      <c r="C8039">
        <v>110</v>
      </c>
      <c r="D8039" t="str">
        <f t="shared" si="265"/>
        <v>270</v>
      </c>
    </row>
    <row r="8040" spans="1:4" x14ac:dyDescent="0.25">
      <c r="A8040" t="str">
        <f>"838945438"</f>
        <v>838945438</v>
      </c>
      <c r="B8040" t="s">
        <v>7294</v>
      </c>
      <c r="C8040">
        <v>269.5</v>
      </c>
      <c r="D8040" t="str">
        <f t="shared" si="265"/>
        <v>270</v>
      </c>
    </row>
    <row r="8041" spans="1:4" x14ac:dyDescent="0.25">
      <c r="A8041" t="str">
        <f>"838945439"</f>
        <v>838945439</v>
      </c>
      <c r="B8041" t="s">
        <v>7295</v>
      </c>
      <c r="C8041">
        <v>110.25</v>
      </c>
      <c r="D8041" t="str">
        <f t="shared" si="265"/>
        <v>270</v>
      </c>
    </row>
    <row r="8042" spans="1:4" x14ac:dyDescent="0.25">
      <c r="A8042" t="str">
        <f>"838945440"</f>
        <v>838945440</v>
      </c>
      <c r="B8042" t="s">
        <v>7296</v>
      </c>
      <c r="C8042">
        <v>156.19999999999999</v>
      </c>
      <c r="D8042" t="str">
        <f t="shared" si="265"/>
        <v>270</v>
      </c>
    </row>
    <row r="8043" spans="1:4" x14ac:dyDescent="0.25">
      <c r="A8043" t="str">
        <f>"838945441"</f>
        <v>838945441</v>
      </c>
      <c r="B8043" t="s">
        <v>7297</v>
      </c>
      <c r="C8043">
        <v>139.69999999999999</v>
      </c>
      <c r="D8043" t="str">
        <f t="shared" si="265"/>
        <v>270</v>
      </c>
    </row>
    <row r="8044" spans="1:4" x14ac:dyDescent="0.25">
      <c r="A8044" t="str">
        <f>"838945442"</f>
        <v>838945442</v>
      </c>
      <c r="B8044" t="s">
        <v>7298</v>
      </c>
      <c r="C8044">
        <v>46.2</v>
      </c>
      <c r="D8044" t="str">
        <f t="shared" si="265"/>
        <v>270</v>
      </c>
    </row>
    <row r="8045" spans="1:4" x14ac:dyDescent="0.25">
      <c r="A8045" t="str">
        <f>"838945443"</f>
        <v>838945443</v>
      </c>
      <c r="B8045" t="s">
        <v>7299</v>
      </c>
      <c r="C8045">
        <v>289.3</v>
      </c>
      <c r="D8045" t="str">
        <f t="shared" si="265"/>
        <v>270</v>
      </c>
    </row>
    <row r="8046" spans="1:4" x14ac:dyDescent="0.25">
      <c r="A8046" t="str">
        <f>"838945444"</f>
        <v>838945444</v>
      </c>
      <c r="B8046" t="s">
        <v>7300</v>
      </c>
      <c r="C8046">
        <v>83.6</v>
      </c>
      <c r="D8046" t="str">
        <f t="shared" si="265"/>
        <v>270</v>
      </c>
    </row>
    <row r="8047" spans="1:4" x14ac:dyDescent="0.25">
      <c r="A8047" t="str">
        <f>"838945445"</f>
        <v>838945445</v>
      </c>
      <c r="B8047" t="s">
        <v>7301</v>
      </c>
      <c r="C8047">
        <v>25.3</v>
      </c>
      <c r="D8047" t="str">
        <f t="shared" si="265"/>
        <v>270</v>
      </c>
    </row>
    <row r="8048" spans="1:4" x14ac:dyDescent="0.25">
      <c r="A8048" t="str">
        <f>"838945446"</f>
        <v>838945446</v>
      </c>
      <c r="B8048" t="s">
        <v>7302</v>
      </c>
      <c r="C8048" s="1">
        <v>2599.3000000000002</v>
      </c>
      <c r="D8048" t="str">
        <f t="shared" si="265"/>
        <v>270</v>
      </c>
    </row>
    <row r="8049" spans="1:4" x14ac:dyDescent="0.25">
      <c r="A8049" t="str">
        <f>"838945447"</f>
        <v>838945447</v>
      </c>
      <c r="B8049" t="s">
        <v>7303</v>
      </c>
      <c r="C8049" s="1">
        <v>9166.2999999999993</v>
      </c>
      <c r="D8049" t="str">
        <f t="shared" si="265"/>
        <v>270</v>
      </c>
    </row>
    <row r="8050" spans="1:4" x14ac:dyDescent="0.25">
      <c r="A8050" t="str">
        <f>"838945448"</f>
        <v>838945448</v>
      </c>
      <c r="B8050" t="s">
        <v>7304</v>
      </c>
      <c r="C8050">
        <v>290.39999999999998</v>
      </c>
      <c r="D8050" t="str">
        <f t="shared" si="265"/>
        <v>270</v>
      </c>
    </row>
    <row r="8051" spans="1:4" x14ac:dyDescent="0.25">
      <c r="A8051" t="str">
        <f>"838945449"</f>
        <v>838945449</v>
      </c>
      <c r="B8051" t="s">
        <v>7305</v>
      </c>
      <c r="C8051">
        <v>40.700000000000003</v>
      </c>
      <c r="D8051" t="str">
        <f t="shared" si="265"/>
        <v>270</v>
      </c>
    </row>
    <row r="8052" spans="1:4" x14ac:dyDescent="0.25">
      <c r="A8052" t="str">
        <f>"838945450"</f>
        <v>838945450</v>
      </c>
      <c r="B8052" t="s">
        <v>7306</v>
      </c>
      <c r="C8052">
        <v>36.299999999999997</v>
      </c>
      <c r="D8052" t="str">
        <f t="shared" si="265"/>
        <v>270</v>
      </c>
    </row>
    <row r="8053" spans="1:4" x14ac:dyDescent="0.25">
      <c r="A8053" t="str">
        <f>"838945451"</f>
        <v>838945451</v>
      </c>
      <c r="B8053" t="s">
        <v>7307</v>
      </c>
      <c r="C8053">
        <v>3.3</v>
      </c>
      <c r="D8053" t="str">
        <f t="shared" si="265"/>
        <v>270</v>
      </c>
    </row>
    <row r="8054" spans="1:4" x14ac:dyDescent="0.25">
      <c r="A8054" t="str">
        <f>"838945452"</f>
        <v>838945452</v>
      </c>
      <c r="B8054" t="s">
        <v>7308</v>
      </c>
      <c r="C8054">
        <v>16.5</v>
      </c>
      <c r="D8054" t="str">
        <f t="shared" si="265"/>
        <v>270</v>
      </c>
    </row>
    <row r="8055" spans="1:4" x14ac:dyDescent="0.25">
      <c r="A8055" t="str">
        <f>"838945453"</f>
        <v>838945453</v>
      </c>
      <c r="B8055" t="s">
        <v>7309</v>
      </c>
      <c r="C8055">
        <v>8.8000000000000007</v>
      </c>
      <c r="D8055" t="str">
        <f t="shared" si="265"/>
        <v>270</v>
      </c>
    </row>
    <row r="8056" spans="1:4" x14ac:dyDescent="0.25">
      <c r="A8056" t="str">
        <f>"838945454"</f>
        <v>838945454</v>
      </c>
      <c r="B8056" t="s">
        <v>7310</v>
      </c>
      <c r="C8056">
        <v>9.9</v>
      </c>
      <c r="D8056" t="str">
        <f t="shared" si="265"/>
        <v>270</v>
      </c>
    </row>
    <row r="8057" spans="1:4" x14ac:dyDescent="0.25">
      <c r="A8057" t="str">
        <f>"838945455"</f>
        <v>838945455</v>
      </c>
      <c r="B8057" t="s">
        <v>7311</v>
      </c>
      <c r="C8057">
        <v>29.7</v>
      </c>
      <c r="D8057" t="str">
        <f t="shared" si="265"/>
        <v>270</v>
      </c>
    </row>
    <row r="8058" spans="1:4" x14ac:dyDescent="0.25">
      <c r="A8058" t="str">
        <f>"838945456"</f>
        <v>838945456</v>
      </c>
      <c r="B8058" t="s">
        <v>7312</v>
      </c>
      <c r="C8058">
        <v>734.8</v>
      </c>
      <c r="D8058" t="str">
        <f t="shared" ref="D8058:D8076" si="266">"270"</f>
        <v>270</v>
      </c>
    </row>
    <row r="8059" spans="1:4" x14ac:dyDescent="0.25">
      <c r="A8059" t="str">
        <f>"838945457"</f>
        <v>838945457</v>
      </c>
      <c r="B8059" t="s">
        <v>7313</v>
      </c>
      <c r="C8059">
        <v>41.8</v>
      </c>
      <c r="D8059" t="str">
        <f t="shared" si="266"/>
        <v>270</v>
      </c>
    </row>
    <row r="8060" spans="1:4" x14ac:dyDescent="0.25">
      <c r="A8060" t="str">
        <f>"838945458"</f>
        <v>838945458</v>
      </c>
      <c r="B8060" t="s">
        <v>7314</v>
      </c>
      <c r="C8060">
        <v>41.8</v>
      </c>
      <c r="D8060" t="str">
        <f t="shared" si="266"/>
        <v>270</v>
      </c>
    </row>
    <row r="8061" spans="1:4" x14ac:dyDescent="0.25">
      <c r="A8061" t="str">
        <f>"838945459"</f>
        <v>838945459</v>
      </c>
      <c r="B8061" t="s">
        <v>7315</v>
      </c>
      <c r="C8061">
        <v>12.1</v>
      </c>
      <c r="D8061" t="str">
        <f t="shared" si="266"/>
        <v>270</v>
      </c>
    </row>
    <row r="8062" spans="1:4" x14ac:dyDescent="0.25">
      <c r="A8062" t="str">
        <f>"838945460"</f>
        <v>838945460</v>
      </c>
      <c r="B8062" t="s">
        <v>7316</v>
      </c>
      <c r="C8062">
        <v>33</v>
      </c>
      <c r="D8062" t="str">
        <f t="shared" si="266"/>
        <v>270</v>
      </c>
    </row>
    <row r="8063" spans="1:4" x14ac:dyDescent="0.25">
      <c r="A8063" t="str">
        <f>"838945461"</f>
        <v>838945461</v>
      </c>
      <c r="B8063" t="s">
        <v>7317</v>
      </c>
      <c r="C8063">
        <v>7.7</v>
      </c>
      <c r="D8063" t="str">
        <f t="shared" si="266"/>
        <v>270</v>
      </c>
    </row>
    <row r="8064" spans="1:4" x14ac:dyDescent="0.25">
      <c r="A8064" t="str">
        <f>"838945462"</f>
        <v>838945462</v>
      </c>
      <c r="B8064" t="s">
        <v>7318</v>
      </c>
      <c r="C8064" s="1">
        <v>1021.9</v>
      </c>
      <c r="D8064" t="str">
        <f t="shared" si="266"/>
        <v>270</v>
      </c>
    </row>
    <row r="8065" spans="1:4" x14ac:dyDescent="0.25">
      <c r="A8065" t="str">
        <f>"838945463"</f>
        <v>838945463</v>
      </c>
      <c r="B8065" t="s">
        <v>7319</v>
      </c>
      <c r="C8065">
        <v>200.2</v>
      </c>
      <c r="D8065" t="str">
        <f t="shared" si="266"/>
        <v>270</v>
      </c>
    </row>
    <row r="8066" spans="1:4" x14ac:dyDescent="0.25">
      <c r="A8066" t="str">
        <f>"838945464"</f>
        <v>838945464</v>
      </c>
      <c r="B8066" t="s">
        <v>7320</v>
      </c>
      <c r="C8066">
        <v>105.6</v>
      </c>
      <c r="D8066" t="str">
        <f t="shared" si="266"/>
        <v>270</v>
      </c>
    </row>
    <row r="8067" spans="1:4" x14ac:dyDescent="0.25">
      <c r="A8067" t="str">
        <f>"838945465"</f>
        <v>838945465</v>
      </c>
      <c r="B8067" t="s">
        <v>7321</v>
      </c>
      <c r="C8067">
        <v>260.7</v>
      </c>
      <c r="D8067" t="str">
        <f t="shared" si="266"/>
        <v>270</v>
      </c>
    </row>
    <row r="8068" spans="1:4" x14ac:dyDescent="0.25">
      <c r="A8068" t="str">
        <f>"838945466"</f>
        <v>838945466</v>
      </c>
      <c r="B8068" t="s">
        <v>7322</v>
      </c>
      <c r="C8068" s="1">
        <v>2174.6999999999998</v>
      </c>
      <c r="D8068" t="str">
        <f t="shared" si="266"/>
        <v>270</v>
      </c>
    </row>
    <row r="8069" spans="1:4" x14ac:dyDescent="0.25">
      <c r="A8069" t="str">
        <f>"838945467"</f>
        <v>838945467</v>
      </c>
      <c r="B8069" t="s">
        <v>7323</v>
      </c>
      <c r="C8069" s="1">
        <v>2701.6</v>
      </c>
      <c r="D8069" t="str">
        <f t="shared" si="266"/>
        <v>270</v>
      </c>
    </row>
    <row r="8070" spans="1:4" x14ac:dyDescent="0.25">
      <c r="A8070" t="str">
        <f>"838945468"</f>
        <v>838945468</v>
      </c>
      <c r="B8070" t="s">
        <v>7324</v>
      </c>
      <c r="C8070">
        <v>577.5</v>
      </c>
      <c r="D8070" t="str">
        <f t="shared" si="266"/>
        <v>270</v>
      </c>
    </row>
    <row r="8071" spans="1:4" x14ac:dyDescent="0.25">
      <c r="A8071" t="str">
        <f>"838945469"</f>
        <v>838945469</v>
      </c>
      <c r="B8071" t="s">
        <v>2383</v>
      </c>
      <c r="C8071">
        <v>124.3</v>
      </c>
      <c r="D8071" t="str">
        <f t="shared" si="266"/>
        <v>270</v>
      </c>
    </row>
    <row r="8072" spans="1:4" x14ac:dyDescent="0.25">
      <c r="A8072" t="str">
        <f>"838945470"</f>
        <v>838945470</v>
      </c>
      <c r="B8072" t="s">
        <v>7325</v>
      </c>
      <c r="C8072">
        <v>126.5</v>
      </c>
      <c r="D8072" t="str">
        <f t="shared" si="266"/>
        <v>270</v>
      </c>
    </row>
    <row r="8073" spans="1:4" x14ac:dyDescent="0.25">
      <c r="A8073" t="str">
        <f>"838945471"</f>
        <v>838945471</v>
      </c>
      <c r="B8073" t="s">
        <v>2384</v>
      </c>
      <c r="C8073">
        <v>85.8</v>
      </c>
      <c r="D8073" t="str">
        <f t="shared" si="266"/>
        <v>270</v>
      </c>
    </row>
    <row r="8074" spans="1:4" x14ac:dyDescent="0.25">
      <c r="A8074" t="str">
        <f>"838945472"</f>
        <v>838945472</v>
      </c>
      <c r="B8074" t="s">
        <v>7326</v>
      </c>
      <c r="C8074">
        <v>138.6</v>
      </c>
      <c r="D8074" t="str">
        <f t="shared" si="266"/>
        <v>270</v>
      </c>
    </row>
    <row r="8075" spans="1:4" x14ac:dyDescent="0.25">
      <c r="A8075" t="str">
        <f>"838945473"</f>
        <v>838945473</v>
      </c>
      <c r="B8075" t="s">
        <v>7022</v>
      </c>
      <c r="C8075">
        <v>124.3</v>
      </c>
      <c r="D8075" t="str">
        <f t="shared" si="266"/>
        <v>270</v>
      </c>
    </row>
    <row r="8076" spans="1:4" x14ac:dyDescent="0.25">
      <c r="A8076" t="str">
        <f>"838945474"</f>
        <v>838945474</v>
      </c>
      <c r="B8076" t="s">
        <v>7327</v>
      </c>
      <c r="C8076">
        <v>13.2</v>
      </c>
      <c r="D8076" t="str">
        <f t="shared" si="266"/>
        <v>270</v>
      </c>
    </row>
    <row r="8077" spans="1:4" x14ac:dyDescent="0.25">
      <c r="A8077" t="str">
        <f>"838945475"</f>
        <v>838945475</v>
      </c>
      <c r="B8077" t="s">
        <v>7328</v>
      </c>
      <c r="C8077">
        <v>68.2</v>
      </c>
      <c r="D8077" t="str">
        <f>"271"</f>
        <v>271</v>
      </c>
    </row>
    <row r="8078" spans="1:4" x14ac:dyDescent="0.25">
      <c r="A8078" t="str">
        <f>"838945476"</f>
        <v>838945476</v>
      </c>
      <c r="B8078" t="s">
        <v>2669</v>
      </c>
      <c r="C8078">
        <v>74.8</v>
      </c>
      <c r="D8078" t="str">
        <f>"270"</f>
        <v>270</v>
      </c>
    </row>
    <row r="8079" spans="1:4" x14ac:dyDescent="0.25">
      <c r="A8079" t="str">
        <f>"838945477"</f>
        <v>838945477</v>
      </c>
      <c r="B8079" t="s">
        <v>7329</v>
      </c>
      <c r="C8079" s="1">
        <v>4675</v>
      </c>
      <c r="D8079" t="str">
        <f>"278"</f>
        <v>278</v>
      </c>
    </row>
    <row r="8080" spans="1:4" x14ac:dyDescent="0.25">
      <c r="A8080" t="str">
        <f>"838945478"</f>
        <v>838945478</v>
      </c>
      <c r="B8080" t="s">
        <v>7330</v>
      </c>
      <c r="C8080">
        <v>742.5</v>
      </c>
      <c r="D8080" t="str">
        <f>"270"</f>
        <v>270</v>
      </c>
    </row>
    <row r="8081" spans="1:4" x14ac:dyDescent="0.25">
      <c r="A8081" t="str">
        <f>"838945479"</f>
        <v>838945479</v>
      </c>
      <c r="B8081" t="s">
        <v>7331</v>
      </c>
      <c r="C8081" s="1">
        <v>3153.7</v>
      </c>
      <c r="D8081" t="str">
        <f>"278"</f>
        <v>278</v>
      </c>
    </row>
    <row r="8082" spans="1:4" x14ac:dyDescent="0.25">
      <c r="A8082" t="str">
        <f>"838945480"</f>
        <v>838945480</v>
      </c>
      <c r="B8082" t="s">
        <v>7332</v>
      </c>
      <c r="C8082">
        <v>866.8</v>
      </c>
      <c r="D8082" t="str">
        <f>"270"</f>
        <v>270</v>
      </c>
    </row>
    <row r="8083" spans="1:4" x14ac:dyDescent="0.25">
      <c r="A8083" t="str">
        <f>"838945481"</f>
        <v>838945481</v>
      </c>
      <c r="B8083" t="s">
        <v>7333</v>
      </c>
      <c r="C8083" s="1">
        <v>1881</v>
      </c>
      <c r="D8083" t="str">
        <f>"270"</f>
        <v>270</v>
      </c>
    </row>
    <row r="8084" spans="1:4" x14ac:dyDescent="0.25">
      <c r="A8084" t="str">
        <f>"838945482"</f>
        <v>838945482</v>
      </c>
      <c r="B8084" t="s">
        <v>7334</v>
      </c>
      <c r="C8084" s="1">
        <v>7174.2</v>
      </c>
      <c r="D8084" t="str">
        <f>"270"</f>
        <v>270</v>
      </c>
    </row>
    <row r="8085" spans="1:4" x14ac:dyDescent="0.25">
      <c r="A8085" t="str">
        <f>"838945483"</f>
        <v>838945483</v>
      </c>
      <c r="B8085" t="s">
        <v>7335</v>
      </c>
      <c r="C8085" s="1">
        <v>1196.8</v>
      </c>
      <c r="D8085" t="str">
        <f>"278"</f>
        <v>278</v>
      </c>
    </row>
    <row r="8086" spans="1:4" x14ac:dyDescent="0.25">
      <c r="A8086" t="str">
        <f>"838945484"</f>
        <v>838945484</v>
      </c>
      <c r="B8086" t="s">
        <v>7336</v>
      </c>
      <c r="C8086">
        <v>392.7</v>
      </c>
      <c r="D8086" t="str">
        <f>"278"</f>
        <v>278</v>
      </c>
    </row>
    <row r="8087" spans="1:4" x14ac:dyDescent="0.25">
      <c r="A8087" t="str">
        <f>"838945485"</f>
        <v>838945485</v>
      </c>
      <c r="B8087" t="s">
        <v>7337</v>
      </c>
      <c r="C8087">
        <v>322.3</v>
      </c>
      <c r="D8087" t="str">
        <f>"278"</f>
        <v>278</v>
      </c>
    </row>
    <row r="8088" spans="1:4" x14ac:dyDescent="0.25">
      <c r="A8088" t="str">
        <f>"838945486"</f>
        <v>838945486</v>
      </c>
      <c r="B8088" t="s">
        <v>7338</v>
      </c>
      <c r="C8088">
        <v>664.4</v>
      </c>
      <c r="D8088" t="str">
        <f>"270"</f>
        <v>270</v>
      </c>
    </row>
    <row r="8089" spans="1:4" x14ac:dyDescent="0.25">
      <c r="A8089" t="str">
        <f>"838945487"</f>
        <v>838945487</v>
      </c>
      <c r="B8089" t="s">
        <v>7339</v>
      </c>
      <c r="C8089">
        <v>157.30000000000001</v>
      </c>
      <c r="D8089" t="str">
        <f>"270"</f>
        <v>270</v>
      </c>
    </row>
    <row r="8090" spans="1:4" x14ac:dyDescent="0.25">
      <c r="A8090" t="str">
        <f>"838945488"</f>
        <v>838945488</v>
      </c>
      <c r="B8090" t="s">
        <v>7340</v>
      </c>
      <c r="C8090">
        <v>44</v>
      </c>
      <c r="D8090" t="str">
        <f>"270"</f>
        <v>270</v>
      </c>
    </row>
    <row r="8091" spans="1:4" x14ac:dyDescent="0.25">
      <c r="A8091" t="str">
        <f>"838945489"</f>
        <v>838945489</v>
      </c>
      <c r="B8091" t="s">
        <v>7341</v>
      </c>
      <c r="C8091" s="1">
        <v>1430</v>
      </c>
      <c r="D8091" t="str">
        <f>"270"</f>
        <v>270</v>
      </c>
    </row>
    <row r="8092" spans="1:4" x14ac:dyDescent="0.25">
      <c r="A8092" t="str">
        <f>"838945490"</f>
        <v>838945490</v>
      </c>
      <c r="B8092" t="s">
        <v>7342</v>
      </c>
      <c r="C8092" s="1">
        <v>3759.8</v>
      </c>
      <c r="D8092" t="str">
        <f>"270"</f>
        <v>270</v>
      </c>
    </row>
    <row r="8093" spans="1:4" x14ac:dyDescent="0.25">
      <c r="A8093" t="str">
        <f>"838945491"</f>
        <v>838945491</v>
      </c>
      <c r="B8093" t="s">
        <v>7343</v>
      </c>
      <c r="C8093" s="1">
        <v>1650</v>
      </c>
      <c r="D8093" t="str">
        <f>"278"</f>
        <v>278</v>
      </c>
    </row>
    <row r="8094" spans="1:4" x14ac:dyDescent="0.25">
      <c r="A8094" t="str">
        <f>"838945492"</f>
        <v>838945492</v>
      </c>
      <c r="B8094" t="s">
        <v>7344</v>
      </c>
      <c r="C8094">
        <v>11</v>
      </c>
      <c r="D8094" t="str">
        <f>"270"</f>
        <v>270</v>
      </c>
    </row>
    <row r="8095" spans="1:4" x14ac:dyDescent="0.25">
      <c r="A8095" t="str">
        <f>"838945493"</f>
        <v>838945493</v>
      </c>
      <c r="B8095" t="s">
        <v>7345</v>
      </c>
      <c r="C8095" s="1">
        <v>13200</v>
      </c>
      <c r="D8095" t="str">
        <f t="shared" ref="D8095:D8141" si="267">"278"</f>
        <v>278</v>
      </c>
    </row>
    <row r="8096" spans="1:4" x14ac:dyDescent="0.25">
      <c r="A8096" t="str">
        <f>"838945494"</f>
        <v>838945494</v>
      </c>
      <c r="B8096" t="s">
        <v>7346</v>
      </c>
      <c r="C8096" s="1">
        <v>13200</v>
      </c>
      <c r="D8096" t="str">
        <f t="shared" si="267"/>
        <v>278</v>
      </c>
    </row>
    <row r="8097" spans="1:4" x14ac:dyDescent="0.25">
      <c r="A8097" t="str">
        <f>"838945495"</f>
        <v>838945495</v>
      </c>
      <c r="B8097" t="s">
        <v>7347</v>
      </c>
      <c r="C8097" s="1">
        <v>5610</v>
      </c>
      <c r="D8097" t="str">
        <f t="shared" si="267"/>
        <v>278</v>
      </c>
    </row>
    <row r="8098" spans="1:4" x14ac:dyDescent="0.25">
      <c r="A8098" t="str">
        <f>"838945496"</f>
        <v>838945496</v>
      </c>
      <c r="B8098" t="s">
        <v>7348</v>
      </c>
      <c r="C8098">
        <v>825</v>
      </c>
      <c r="D8098" t="str">
        <f t="shared" si="267"/>
        <v>278</v>
      </c>
    </row>
    <row r="8099" spans="1:4" x14ac:dyDescent="0.25">
      <c r="A8099" t="str">
        <f>"838945497"</f>
        <v>838945497</v>
      </c>
      <c r="B8099" t="s">
        <v>7349</v>
      </c>
      <c r="C8099" s="1">
        <v>3300</v>
      </c>
      <c r="D8099" t="str">
        <f t="shared" si="267"/>
        <v>278</v>
      </c>
    </row>
    <row r="8100" spans="1:4" x14ac:dyDescent="0.25">
      <c r="A8100" t="str">
        <f>"838945498"</f>
        <v>838945498</v>
      </c>
      <c r="B8100" t="s">
        <v>7350</v>
      </c>
      <c r="C8100">
        <v>330</v>
      </c>
      <c r="D8100" t="str">
        <f t="shared" si="267"/>
        <v>278</v>
      </c>
    </row>
    <row r="8101" spans="1:4" x14ac:dyDescent="0.25">
      <c r="A8101" t="str">
        <f>"838945499"</f>
        <v>838945499</v>
      </c>
      <c r="B8101" t="s">
        <v>7351</v>
      </c>
      <c r="C8101" s="1">
        <v>3300</v>
      </c>
      <c r="D8101" t="str">
        <f t="shared" si="267"/>
        <v>278</v>
      </c>
    </row>
    <row r="8102" spans="1:4" x14ac:dyDescent="0.25">
      <c r="A8102" t="str">
        <f>"838945500"</f>
        <v>838945500</v>
      </c>
      <c r="B8102" t="s">
        <v>7352</v>
      </c>
      <c r="C8102" s="1">
        <v>2640</v>
      </c>
      <c r="D8102" t="str">
        <f t="shared" si="267"/>
        <v>278</v>
      </c>
    </row>
    <row r="8103" spans="1:4" x14ac:dyDescent="0.25">
      <c r="A8103" t="str">
        <f>"838945501"</f>
        <v>838945501</v>
      </c>
      <c r="B8103" t="s">
        <v>7353</v>
      </c>
      <c r="C8103" s="1">
        <v>3300</v>
      </c>
      <c r="D8103" t="str">
        <f t="shared" si="267"/>
        <v>278</v>
      </c>
    </row>
    <row r="8104" spans="1:4" x14ac:dyDescent="0.25">
      <c r="A8104" t="str">
        <f>"838945502"</f>
        <v>838945502</v>
      </c>
      <c r="B8104" t="s">
        <v>7354</v>
      </c>
      <c r="C8104" s="1">
        <v>2640</v>
      </c>
      <c r="D8104" t="str">
        <f t="shared" si="267"/>
        <v>278</v>
      </c>
    </row>
    <row r="8105" spans="1:4" x14ac:dyDescent="0.25">
      <c r="A8105" t="str">
        <f>"838945503"</f>
        <v>838945503</v>
      </c>
      <c r="B8105" t="s">
        <v>7355</v>
      </c>
      <c r="C8105" s="1">
        <v>3300</v>
      </c>
      <c r="D8105" t="str">
        <f t="shared" si="267"/>
        <v>278</v>
      </c>
    </row>
    <row r="8106" spans="1:4" x14ac:dyDescent="0.25">
      <c r="A8106" t="str">
        <f>"838945504"</f>
        <v>838945504</v>
      </c>
      <c r="B8106" t="s">
        <v>3337</v>
      </c>
      <c r="C8106">
        <v>495</v>
      </c>
      <c r="D8106" t="str">
        <f t="shared" si="267"/>
        <v>278</v>
      </c>
    </row>
    <row r="8107" spans="1:4" x14ac:dyDescent="0.25">
      <c r="A8107" t="str">
        <f>"838945505"</f>
        <v>838945505</v>
      </c>
      <c r="B8107" t="s">
        <v>7356</v>
      </c>
      <c r="C8107" s="1">
        <v>3135</v>
      </c>
      <c r="D8107" t="str">
        <f t="shared" si="267"/>
        <v>278</v>
      </c>
    </row>
    <row r="8108" spans="1:4" x14ac:dyDescent="0.25">
      <c r="A8108" t="str">
        <f>"838945506"</f>
        <v>838945506</v>
      </c>
      <c r="B8108" t="s">
        <v>7357</v>
      </c>
      <c r="C8108" s="1">
        <v>3135</v>
      </c>
      <c r="D8108" t="str">
        <f t="shared" si="267"/>
        <v>278</v>
      </c>
    </row>
    <row r="8109" spans="1:4" x14ac:dyDescent="0.25">
      <c r="A8109" t="str">
        <f>"838945507"</f>
        <v>838945507</v>
      </c>
      <c r="B8109" t="s">
        <v>7358</v>
      </c>
      <c r="C8109" s="1">
        <v>3135</v>
      </c>
      <c r="D8109" t="str">
        <f t="shared" si="267"/>
        <v>278</v>
      </c>
    </row>
    <row r="8110" spans="1:4" x14ac:dyDescent="0.25">
      <c r="A8110" t="str">
        <f>"838945508"</f>
        <v>838945508</v>
      </c>
      <c r="B8110" t="s">
        <v>7359</v>
      </c>
      <c r="C8110" s="1">
        <v>15950</v>
      </c>
      <c r="D8110" t="str">
        <f t="shared" si="267"/>
        <v>278</v>
      </c>
    </row>
    <row r="8111" spans="1:4" x14ac:dyDescent="0.25">
      <c r="A8111" t="str">
        <f>"838945509"</f>
        <v>838945509</v>
      </c>
      <c r="B8111" t="s">
        <v>7360</v>
      </c>
      <c r="C8111" s="1">
        <v>2640</v>
      </c>
      <c r="D8111" t="str">
        <f t="shared" si="267"/>
        <v>278</v>
      </c>
    </row>
    <row r="8112" spans="1:4" x14ac:dyDescent="0.25">
      <c r="A8112" t="str">
        <f>"838945510"</f>
        <v>838945510</v>
      </c>
      <c r="B8112" t="s">
        <v>7361</v>
      </c>
      <c r="C8112" s="1">
        <v>2640</v>
      </c>
      <c r="D8112" t="str">
        <f t="shared" si="267"/>
        <v>278</v>
      </c>
    </row>
    <row r="8113" spans="1:4" x14ac:dyDescent="0.25">
      <c r="A8113" t="str">
        <f>"838945511"</f>
        <v>838945511</v>
      </c>
      <c r="B8113" t="s">
        <v>7362</v>
      </c>
      <c r="C8113" s="1">
        <v>2200</v>
      </c>
      <c r="D8113" t="str">
        <f t="shared" si="267"/>
        <v>278</v>
      </c>
    </row>
    <row r="8114" spans="1:4" x14ac:dyDescent="0.25">
      <c r="A8114" t="str">
        <f>"838945512"</f>
        <v>838945512</v>
      </c>
      <c r="B8114" t="s">
        <v>7363</v>
      </c>
      <c r="C8114" s="1">
        <v>11000</v>
      </c>
      <c r="D8114" t="str">
        <f t="shared" si="267"/>
        <v>278</v>
      </c>
    </row>
    <row r="8115" spans="1:4" x14ac:dyDescent="0.25">
      <c r="A8115" t="str">
        <f>"838945513"</f>
        <v>838945513</v>
      </c>
      <c r="B8115" t="s">
        <v>7364</v>
      </c>
      <c r="C8115">
        <v>275</v>
      </c>
      <c r="D8115" t="str">
        <f t="shared" si="267"/>
        <v>278</v>
      </c>
    </row>
    <row r="8116" spans="1:4" x14ac:dyDescent="0.25">
      <c r="A8116" t="str">
        <f>"838945514"</f>
        <v>838945514</v>
      </c>
      <c r="B8116" t="s">
        <v>7365</v>
      </c>
      <c r="C8116" s="1">
        <v>2640</v>
      </c>
      <c r="D8116" t="str">
        <f t="shared" si="267"/>
        <v>278</v>
      </c>
    </row>
    <row r="8117" spans="1:4" x14ac:dyDescent="0.25">
      <c r="A8117" t="str">
        <f>"838945515"</f>
        <v>838945515</v>
      </c>
      <c r="B8117" t="s">
        <v>7366</v>
      </c>
      <c r="C8117" s="1">
        <v>3630</v>
      </c>
      <c r="D8117" t="str">
        <f t="shared" si="267"/>
        <v>278</v>
      </c>
    </row>
    <row r="8118" spans="1:4" x14ac:dyDescent="0.25">
      <c r="A8118" t="str">
        <f>"838945516"</f>
        <v>838945516</v>
      </c>
      <c r="B8118" t="s">
        <v>7367</v>
      </c>
      <c r="C8118" s="1">
        <v>3135</v>
      </c>
      <c r="D8118" t="str">
        <f t="shared" si="267"/>
        <v>278</v>
      </c>
    </row>
    <row r="8119" spans="1:4" x14ac:dyDescent="0.25">
      <c r="A8119" t="str">
        <f>"838945517"</f>
        <v>838945517</v>
      </c>
      <c r="B8119" t="s">
        <v>7368</v>
      </c>
      <c r="C8119" s="1">
        <v>5940</v>
      </c>
      <c r="D8119" t="str">
        <f t="shared" si="267"/>
        <v>278</v>
      </c>
    </row>
    <row r="8120" spans="1:4" x14ac:dyDescent="0.25">
      <c r="A8120" t="str">
        <f>"838945518"</f>
        <v>838945518</v>
      </c>
      <c r="B8120" t="s">
        <v>7369</v>
      </c>
      <c r="C8120" s="1">
        <v>6864</v>
      </c>
      <c r="D8120" t="str">
        <f t="shared" si="267"/>
        <v>278</v>
      </c>
    </row>
    <row r="8121" spans="1:4" x14ac:dyDescent="0.25">
      <c r="A8121" t="str">
        <f>"838945519"</f>
        <v>838945519</v>
      </c>
      <c r="B8121" t="s">
        <v>7370</v>
      </c>
      <c r="C8121" s="1">
        <v>5940</v>
      </c>
      <c r="D8121" t="str">
        <f t="shared" si="267"/>
        <v>278</v>
      </c>
    </row>
    <row r="8122" spans="1:4" x14ac:dyDescent="0.25">
      <c r="A8122" t="str">
        <f>"838945520"</f>
        <v>838945520</v>
      </c>
      <c r="B8122" t="s">
        <v>7371</v>
      </c>
      <c r="C8122" s="1">
        <v>5940</v>
      </c>
      <c r="D8122" t="str">
        <f t="shared" si="267"/>
        <v>278</v>
      </c>
    </row>
    <row r="8123" spans="1:4" x14ac:dyDescent="0.25">
      <c r="A8123" t="str">
        <f>"838945521"</f>
        <v>838945521</v>
      </c>
      <c r="B8123" t="s">
        <v>7372</v>
      </c>
      <c r="C8123" s="1">
        <v>10395</v>
      </c>
      <c r="D8123" t="str">
        <f t="shared" si="267"/>
        <v>278</v>
      </c>
    </row>
    <row r="8124" spans="1:4" x14ac:dyDescent="0.25">
      <c r="A8124" t="str">
        <f>"838945522"</f>
        <v>838945522</v>
      </c>
      <c r="B8124" t="s">
        <v>7373</v>
      </c>
      <c r="C8124">
        <v>660</v>
      </c>
      <c r="D8124" t="str">
        <f t="shared" si="267"/>
        <v>278</v>
      </c>
    </row>
    <row r="8125" spans="1:4" x14ac:dyDescent="0.25">
      <c r="A8125" t="str">
        <f>"838945523"</f>
        <v>838945523</v>
      </c>
      <c r="B8125" t="s">
        <v>7374</v>
      </c>
      <c r="C8125">
        <v>412.5</v>
      </c>
      <c r="D8125" t="str">
        <f t="shared" si="267"/>
        <v>278</v>
      </c>
    </row>
    <row r="8126" spans="1:4" x14ac:dyDescent="0.25">
      <c r="A8126" t="str">
        <f>"838945524"</f>
        <v>838945524</v>
      </c>
      <c r="B8126" t="s">
        <v>7375</v>
      </c>
      <c r="C8126">
        <v>231</v>
      </c>
      <c r="D8126" t="str">
        <f t="shared" si="267"/>
        <v>278</v>
      </c>
    </row>
    <row r="8127" spans="1:4" x14ac:dyDescent="0.25">
      <c r="A8127" t="str">
        <f>"838945525"</f>
        <v>838945525</v>
      </c>
      <c r="B8127" t="s">
        <v>7376</v>
      </c>
      <c r="C8127" s="1">
        <v>2310</v>
      </c>
      <c r="D8127" t="str">
        <f t="shared" si="267"/>
        <v>278</v>
      </c>
    </row>
    <row r="8128" spans="1:4" x14ac:dyDescent="0.25">
      <c r="A8128" t="str">
        <f>"838945526"</f>
        <v>838945526</v>
      </c>
      <c r="B8128" t="s">
        <v>7377</v>
      </c>
      <c r="C8128" s="1">
        <v>2310</v>
      </c>
      <c r="D8128" t="str">
        <f t="shared" si="267"/>
        <v>278</v>
      </c>
    </row>
    <row r="8129" spans="1:5" x14ac:dyDescent="0.25">
      <c r="A8129" t="str">
        <f>"838945528"</f>
        <v>838945528</v>
      </c>
      <c r="B8129" t="s">
        <v>7378</v>
      </c>
      <c r="C8129" s="1">
        <v>13200</v>
      </c>
      <c r="D8129" t="str">
        <f t="shared" si="267"/>
        <v>278</v>
      </c>
    </row>
    <row r="8130" spans="1:5" x14ac:dyDescent="0.25">
      <c r="A8130" t="str">
        <f>"838945529"</f>
        <v>838945529</v>
      </c>
      <c r="B8130" t="s">
        <v>7379</v>
      </c>
      <c r="C8130" s="1">
        <v>13200</v>
      </c>
      <c r="D8130" t="str">
        <f t="shared" si="267"/>
        <v>278</v>
      </c>
    </row>
    <row r="8131" spans="1:5" x14ac:dyDescent="0.25">
      <c r="A8131" t="str">
        <f>"838945530"</f>
        <v>838945530</v>
      </c>
      <c r="B8131" t="s">
        <v>7380</v>
      </c>
      <c r="C8131" s="1">
        <v>2475</v>
      </c>
      <c r="D8131" t="str">
        <f t="shared" si="267"/>
        <v>278</v>
      </c>
    </row>
    <row r="8132" spans="1:5" x14ac:dyDescent="0.25">
      <c r="A8132" t="str">
        <f>"838945531"</f>
        <v>838945531</v>
      </c>
      <c r="B8132" t="s">
        <v>7381</v>
      </c>
      <c r="C8132" s="1">
        <v>2475</v>
      </c>
      <c r="D8132" t="str">
        <f t="shared" si="267"/>
        <v>278</v>
      </c>
    </row>
    <row r="8133" spans="1:5" x14ac:dyDescent="0.25">
      <c r="A8133" t="str">
        <f>"838945532"</f>
        <v>838945532</v>
      </c>
      <c r="B8133" t="s">
        <v>7382</v>
      </c>
      <c r="C8133" s="1">
        <v>2475</v>
      </c>
      <c r="D8133" t="str">
        <f t="shared" si="267"/>
        <v>278</v>
      </c>
    </row>
    <row r="8134" spans="1:5" x14ac:dyDescent="0.25">
      <c r="A8134" t="str">
        <f>"838945533"</f>
        <v>838945533</v>
      </c>
      <c r="B8134" t="s">
        <v>7383</v>
      </c>
      <c r="C8134" s="1">
        <v>2475</v>
      </c>
      <c r="D8134" t="str">
        <f t="shared" si="267"/>
        <v>278</v>
      </c>
    </row>
    <row r="8135" spans="1:5" x14ac:dyDescent="0.25">
      <c r="A8135" t="str">
        <f>"838945534"</f>
        <v>838945534</v>
      </c>
      <c r="B8135" t="s">
        <v>7384</v>
      </c>
      <c r="C8135" s="1">
        <v>2475</v>
      </c>
      <c r="D8135" t="str">
        <f t="shared" si="267"/>
        <v>278</v>
      </c>
    </row>
    <row r="8136" spans="1:5" x14ac:dyDescent="0.25">
      <c r="A8136" t="str">
        <f>"838945535"</f>
        <v>838945535</v>
      </c>
      <c r="B8136" t="s">
        <v>7385</v>
      </c>
      <c r="C8136" s="1">
        <v>2475</v>
      </c>
      <c r="D8136" t="str">
        <f t="shared" si="267"/>
        <v>278</v>
      </c>
    </row>
    <row r="8137" spans="1:5" x14ac:dyDescent="0.25">
      <c r="A8137" t="str">
        <f>"838945536"</f>
        <v>838945536</v>
      </c>
      <c r="B8137" t="s">
        <v>7386</v>
      </c>
      <c r="C8137" s="1">
        <v>2475</v>
      </c>
      <c r="D8137" t="str">
        <f t="shared" si="267"/>
        <v>278</v>
      </c>
    </row>
    <row r="8138" spans="1:5" x14ac:dyDescent="0.25">
      <c r="A8138" t="str">
        <f>"838945537"</f>
        <v>838945537</v>
      </c>
      <c r="B8138" t="s">
        <v>7387</v>
      </c>
      <c r="C8138">
        <v>412.5</v>
      </c>
      <c r="D8138" t="str">
        <f t="shared" si="267"/>
        <v>278</v>
      </c>
    </row>
    <row r="8139" spans="1:5" x14ac:dyDescent="0.25">
      <c r="A8139" t="str">
        <f>"838945538"</f>
        <v>838945538</v>
      </c>
      <c r="B8139" t="s">
        <v>3455</v>
      </c>
      <c r="C8139">
        <v>280.5</v>
      </c>
      <c r="D8139" t="str">
        <f t="shared" si="267"/>
        <v>278</v>
      </c>
    </row>
    <row r="8140" spans="1:5" x14ac:dyDescent="0.25">
      <c r="A8140" t="str">
        <f>"838945539"</f>
        <v>838945539</v>
      </c>
      <c r="B8140" t="s">
        <v>7388</v>
      </c>
      <c r="C8140" s="1">
        <v>1320</v>
      </c>
      <c r="D8140" t="str">
        <f t="shared" si="267"/>
        <v>278</v>
      </c>
    </row>
    <row r="8141" spans="1:5" x14ac:dyDescent="0.25">
      <c r="A8141" t="str">
        <f>"838945540"</f>
        <v>838945540</v>
      </c>
      <c r="B8141" t="s">
        <v>7389</v>
      </c>
      <c r="C8141" s="1">
        <v>2475</v>
      </c>
      <c r="D8141" t="str">
        <f t="shared" si="267"/>
        <v>278</v>
      </c>
    </row>
    <row r="8142" spans="1:5" x14ac:dyDescent="0.25">
      <c r="A8142" t="str">
        <f>"838945541"</f>
        <v>838945541</v>
      </c>
      <c r="B8142" t="s">
        <v>7390</v>
      </c>
      <c r="C8142">
        <v>71.94</v>
      </c>
      <c r="D8142" t="str">
        <f>"270"</f>
        <v>270</v>
      </c>
    </row>
    <row r="8143" spans="1:5" x14ac:dyDescent="0.25">
      <c r="A8143" t="str">
        <f>"838945542"</f>
        <v>838945542</v>
      </c>
      <c r="B8143" t="s">
        <v>7391</v>
      </c>
      <c r="C8143">
        <v>627</v>
      </c>
      <c r="D8143" t="str">
        <f>"270"</f>
        <v>270</v>
      </c>
    </row>
    <row r="8144" spans="1:5" x14ac:dyDescent="0.25">
      <c r="A8144" t="str">
        <f>"838945543"</f>
        <v>838945543</v>
      </c>
      <c r="B8144" t="s">
        <v>7392</v>
      </c>
      <c r="C8144" s="1">
        <v>1687.07</v>
      </c>
      <c r="D8144" t="str">
        <f>"270"</f>
        <v>270</v>
      </c>
      <c r="E8144" t="str">
        <f>"L0631"</f>
        <v>L0631</v>
      </c>
    </row>
    <row r="8145" spans="1:4" x14ac:dyDescent="0.25">
      <c r="A8145" t="str">
        <f>"838945544"</f>
        <v>838945544</v>
      </c>
      <c r="B8145" t="s">
        <v>7386</v>
      </c>
      <c r="C8145" s="1">
        <v>2475</v>
      </c>
      <c r="D8145" t="str">
        <f t="shared" ref="D8145:D8172" si="268">"278"</f>
        <v>278</v>
      </c>
    </row>
    <row r="8146" spans="1:4" x14ac:dyDescent="0.25">
      <c r="A8146" t="str">
        <f>"838945545"</f>
        <v>838945545</v>
      </c>
      <c r="B8146" t="s">
        <v>7375</v>
      </c>
      <c r="C8146">
        <v>371.25</v>
      </c>
      <c r="D8146" t="str">
        <f t="shared" si="268"/>
        <v>278</v>
      </c>
    </row>
    <row r="8147" spans="1:4" x14ac:dyDescent="0.25">
      <c r="A8147" t="str">
        <f>"838945546"</f>
        <v>838945546</v>
      </c>
      <c r="B8147" t="s">
        <v>7393</v>
      </c>
      <c r="C8147">
        <v>412.5</v>
      </c>
      <c r="D8147" t="str">
        <f t="shared" si="268"/>
        <v>278</v>
      </c>
    </row>
    <row r="8148" spans="1:4" x14ac:dyDescent="0.25">
      <c r="A8148" t="str">
        <f>"838945547"</f>
        <v>838945547</v>
      </c>
      <c r="B8148" t="s">
        <v>7394</v>
      </c>
      <c r="C8148">
        <v>412.5</v>
      </c>
      <c r="D8148" t="str">
        <f t="shared" si="268"/>
        <v>278</v>
      </c>
    </row>
    <row r="8149" spans="1:4" x14ac:dyDescent="0.25">
      <c r="A8149" t="str">
        <f>"838945548"</f>
        <v>838945548</v>
      </c>
      <c r="B8149" t="s">
        <v>7395</v>
      </c>
      <c r="C8149" s="1">
        <v>8963.7199999999993</v>
      </c>
      <c r="D8149" t="str">
        <f t="shared" si="268"/>
        <v>278</v>
      </c>
    </row>
    <row r="8150" spans="1:4" x14ac:dyDescent="0.25">
      <c r="A8150" t="str">
        <f>"838945549"</f>
        <v>838945549</v>
      </c>
      <c r="B8150" t="s">
        <v>7396</v>
      </c>
      <c r="C8150" s="1">
        <v>3130.84</v>
      </c>
      <c r="D8150" t="str">
        <f t="shared" si="268"/>
        <v>278</v>
      </c>
    </row>
    <row r="8151" spans="1:4" x14ac:dyDescent="0.25">
      <c r="A8151" t="str">
        <f>"838945550"</f>
        <v>838945550</v>
      </c>
      <c r="B8151" t="s">
        <v>7397</v>
      </c>
      <c r="C8151">
        <v>825</v>
      </c>
      <c r="D8151" t="str">
        <f t="shared" si="268"/>
        <v>278</v>
      </c>
    </row>
    <row r="8152" spans="1:4" x14ac:dyDescent="0.25">
      <c r="A8152" t="str">
        <f>"838945551"</f>
        <v>838945551</v>
      </c>
      <c r="B8152" t="s">
        <v>7398</v>
      </c>
      <c r="C8152" s="1">
        <v>1305.22</v>
      </c>
      <c r="D8152" t="str">
        <f t="shared" si="268"/>
        <v>278</v>
      </c>
    </row>
    <row r="8153" spans="1:4" x14ac:dyDescent="0.25">
      <c r="A8153" t="str">
        <f>"838945552"</f>
        <v>838945552</v>
      </c>
      <c r="B8153" t="s">
        <v>7399</v>
      </c>
      <c r="C8153">
        <v>121.84</v>
      </c>
      <c r="D8153" t="str">
        <f t="shared" si="268"/>
        <v>278</v>
      </c>
    </row>
    <row r="8154" spans="1:4" x14ac:dyDescent="0.25">
      <c r="A8154" t="str">
        <f>"838945553"</f>
        <v>838945553</v>
      </c>
      <c r="B8154" t="s">
        <v>7400</v>
      </c>
      <c r="C8154">
        <v>449.89</v>
      </c>
      <c r="D8154" t="str">
        <f t="shared" si="268"/>
        <v>278</v>
      </c>
    </row>
    <row r="8155" spans="1:4" x14ac:dyDescent="0.25">
      <c r="A8155" t="str">
        <f>"838945554"</f>
        <v>838945554</v>
      </c>
      <c r="B8155" t="s">
        <v>7401</v>
      </c>
      <c r="C8155">
        <v>261.16000000000003</v>
      </c>
      <c r="D8155" t="str">
        <f t="shared" si="268"/>
        <v>278</v>
      </c>
    </row>
    <row r="8156" spans="1:4" x14ac:dyDescent="0.25">
      <c r="A8156" t="str">
        <f>"838945555"</f>
        <v>838945555</v>
      </c>
      <c r="B8156" t="s">
        <v>7402</v>
      </c>
      <c r="C8156">
        <v>676.5</v>
      </c>
      <c r="D8156" t="str">
        <f t="shared" si="268"/>
        <v>278</v>
      </c>
    </row>
    <row r="8157" spans="1:4" x14ac:dyDescent="0.25">
      <c r="A8157" t="str">
        <f>"838945556"</f>
        <v>838945556</v>
      </c>
      <c r="B8157" t="s">
        <v>7403</v>
      </c>
      <c r="C8157" s="1">
        <v>1650</v>
      </c>
      <c r="D8157" t="str">
        <f t="shared" si="268"/>
        <v>278</v>
      </c>
    </row>
    <row r="8158" spans="1:4" x14ac:dyDescent="0.25">
      <c r="A8158" t="str">
        <f>"838945557"</f>
        <v>838945557</v>
      </c>
      <c r="B8158" t="s">
        <v>7404</v>
      </c>
      <c r="C8158" s="1">
        <v>2970</v>
      </c>
      <c r="D8158" t="str">
        <f t="shared" si="268"/>
        <v>278</v>
      </c>
    </row>
    <row r="8159" spans="1:4" x14ac:dyDescent="0.25">
      <c r="A8159" t="str">
        <f>"838945558"</f>
        <v>838945558</v>
      </c>
      <c r="B8159" t="s">
        <v>4180</v>
      </c>
      <c r="C8159">
        <v>495</v>
      </c>
      <c r="D8159" t="str">
        <f t="shared" si="268"/>
        <v>278</v>
      </c>
    </row>
    <row r="8160" spans="1:4" x14ac:dyDescent="0.25">
      <c r="A8160" t="str">
        <f>"838945559"</f>
        <v>838945559</v>
      </c>
      <c r="B8160" t="s">
        <v>7405</v>
      </c>
      <c r="C8160" s="1">
        <v>2640</v>
      </c>
      <c r="D8160" t="str">
        <f t="shared" si="268"/>
        <v>278</v>
      </c>
    </row>
    <row r="8161" spans="1:4" x14ac:dyDescent="0.25">
      <c r="A8161" t="str">
        <f>"838945560"</f>
        <v>838945560</v>
      </c>
      <c r="B8161" t="s">
        <v>7406</v>
      </c>
      <c r="C8161">
        <v>278.85000000000002</v>
      </c>
      <c r="D8161" t="str">
        <f t="shared" si="268"/>
        <v>278</v>
      </c>
    </row>
    <row r="8162" spans="1:4" x14ac:dyDescent="0.25">
      <c r="A8162" t="str">
        <f>"838945561"</f>
        <v>838945561</v>
      </c>
      <c r="B8162" t="s">
        <v>3346</v>
      </c>
      <c r="C8162">
        <v>165</v>
      </c>
      <c r="D8162" t="str">
        <f t="shared" si="268"/>
        <v>278</v>
      </c>
    </row>
    <row r="8163" spans="1:4" x14ac:dyDescent="0.25">
      <c r="A8163" t="str">
        <f>"838945562"</f>
        <v>838945562</v>
      </c>
      <c r="B8163" t="s">
        <v>7407</v>
      </c>
      <c r="C8163">
        <v>594</v>
      </c>
      <c r="D8163" t="str">
        <f t="shared" si="268"/>
        <v>278</v>
      </c>
    </row>
    <row r="8164" spans="1:4" x14ac:dyDescent="0.25">
      <c r="A8164" t="str">
        <f>"838945563"</f>
        <v>838945563</v>
      </c>
      <c r="B8164" t="s">
        <v>7408</v>
      </c>
      <c r="C8164" s="1">
        <v>3135</v>
      </c>
      <c r="D8164" t="str">
        <f t="shared" si="268"/>
        <v>278</v>
      </c>
    </row>
    <row r="8165" spans="1:4" x14ac:dyDescent="0.25">
      <c r="A8165" t="str">
        <f>"838945564"</f>
        <v>838945564</v>
      </c>
      <c r="B8165" t="s">
        <v>7409</v>
      </c>
      <c r="C8165" s="1">
        <v>2640</v>
      </c>
      <c r="D8165" t="str">
        <f t="shared" si="268"/>
        <v>278</v>
      </c>
    </row>
    <row r="8166" spans="1:4" x14ac:dyDescent="0.25">
      <c r="A8166" t="str">
        <f>"838945565"</f>
        <v>838945565</v>
      </c>
      <c r="B8166" t="s">
        <v>7410</v>
      </c>
      <c r="C8166" s="1">
        <v>3300</v>
      </c>
      <c r="D8166" t="str">
        <f t="shared" si="268"/>
        <v>278</v>
      </c>
    </row>
    <row r="8167" spans="1:4" x14ac:dyDescent="0.25">
      <c r="A8167" t="str">
        <f>"838945566"</f>
        <v>838945566</v>
      </c>
      <c r="B8167" t="s">
        <v>7411</v>
      </c>
      <c r="C8167" s="1">
        <v>3300</v>
      </c>
      <c r="D8167" t="str">
        <f t="shared" si="268"/>
        <v>278</v>
      </c>
    </row>
    <row r="8168" spans="1:4" x14ac:dyDescent="0.25">
      <c r="A8168" t="str">
        <f>"838945567"</f>
        <v>838945567</v>
      </c>
      <c r="B8168" t="s">
        <v>7412</v>
      </c>
      <c r="C8168" s="1">
        <v>3300</v>
      </c>
      <c r="D8168" t="str">
        <f t="shared" si="268"/>
        <v>278</v>
      </c>
    </row>
    <row r="8169" spans="1:4" x14ac:dyDescent="0.25">
      <c r="A8169" t="str">
        <f>"838945568"</f>
        <v>838945568</v>
      </c>
      <c r="B8169" t="s">
        <v>7413</v>
      </c>
      <c r="C8169" s="1">
        <v>2640</v>
      </c>
      <c r="D8169" t="str">
        <f t="shared" si="268"/>
        <v>278</v>
      </c>
    </row>
    <row r="8170" spans="1:4" x14ac:dyDescent="0.25">
      <c r="A8170" t="str">
        <f>"838945569"</f>
        <v>838945569</v>
      </c>
      <c r="B8170" t="s">
        <v>7414</v>
      </c>
      <c r="C8170" s="1">
        <v>10395</v>
      </c>
      <c r="D8170" t="str">
        <f t="shared" si="268"/>
        <v>278</v>
      </c>
    </row>
    <row r="8171" spans="1:4" x14ac:dyDescent="0.25">
      <c r="A8171" t="str">
        <f>"838945570"</f>
        <v>838945570</v>
      </c>
      <c r="B8171" t="s">
        <v>7415</v>
      </c>
      <c r="C8171">
        <v>990</v>
      </c>
      <c r="D8171" t="str">
        <f t="shared" si="268"/>
        <v>278</v>
      </c>
    </row>
    <row r="8172" spans="1:4" x14ac:dyDescent="0.25">
      <c r="A8172" t="str">
        <f>"838945571"</f>
        <v>838945571</v>
      </c>
      <c r="B8172" t="s">
        <v>7416</v>
      </c>
      <c r="C8172">
        <v>330</v>
      </c>
      <c r="D8172" t="str">
        <f t="shared" si="268"/>
        <v>278</v>
      </c>
    </row>
    <row r="8173" spans="1:4" x14ac:dyDescent="0.25">
      <c r="A8173" t="str">
        <f>"838945572"</f>
        <v>838945572</v>
      </c>
      <c r="B8173" t="s">
        <v>7417</v>
      </c>
      <c r="C8173">
        <v>13.2</v>
      </c>
      <c r="D8173" t="str">
        <f>"270"</f>
        <v>270</v>
      </c>
    </row>
    <row r="8174" spans="1:4" x14ac:dyDescent="0.25">
      <c r="A8174" t="str">
        <f>"838945573"</f>
        <v>838945573</v>
      </c>
      <c r="B8174" t="s">
        <v>7418</v>
      </c>
      <c r="C8174">
        <v>13.29</v>
      </c>
      <c r="D8174" t="str">
        <f>"270"</f>
        <v>270</v>
      </c>
    </row>
    <row r="8175" spans="1:4" x14ac:dyDescent="0.25">
      <c r="A8175" t="str">
        <f>"838945574"</f>
        <v>838945574</v>
      </c>
      <c r="B8175" t="s">
        <v>7419</v>
      </c>
      <c r="C8175">
        <v>0.51</v>
      </c>
      <c r="D8175" t="str">
        <f>"270"</f>
        <v>270</v>
      </c>
    </row>
    <row r="8176" spans="1:4" x14ac:dyDescent="0.25">
      <c r="A8176" t="str">
        <f>"838945575"</f>
        <v>838945575</v>
      </c>
      <c r="B8176" t="s">
        <v>7420</v>
      </c>
      <c r="C8176">
        <v>742.5</v>
      </c>
      <c r="D8176" t="str">
        <f t="shared" ref="D8176:D8227" si="269">"278"</f>
        <v>278</v>
      </c>
    </row>
    <row r="8177" spans="1:4" x14ac:dyDescent="0.25">
      <c r="A8177" t="str">
        <f>"838945576"</f>
        <v>838945576</v>
      </c>
      <c r="B8177" t="s">
        <v>7421</v>
      </c>
      <c r="C8177">
        <v>495</v>
      </c>
      <c r="D8177" t="str">
        <f t="shared" si="269"/>
        <v>278</v>
      </c>
    </row>
    <row r="8178" spans="1:4" x14ac:dyDescent="0.25">
      <c r="A8178" t="str">
        <f>"838945577"</f>
        <v>838945577</v>
      </c>
      <c r="B8178" t="s">
        <v>7422</v>
      </c>
      <c r="C8178">
        <v>462</v>
      </c>
      <c r="D8178" t="str">
        <f t="shared" si="269"/>
        <v>278</v>
      </c>
    </row>
    <row r="8179" spans="1:4" x14ac:dyDescent="0.25">
      <c r="A8179" t="str">
        <f>"838945578"</f>
        <v>838945578</v>
      </c>
      <c r="B8179" t="s">
        <v>7423</v>
      </c>
      <c r="C8179">
        <v>495</v>
      </c>
      <c r="D8179" t="str">
        <f t="shared" si="269"/>
        <v>278</v>
      </c>
    </row>
    <row r="8180" spans="1:4" x14ac:dyDescent="0.25">
      <c r="A8180" t="str">
        <f>"838945579"</f>
        <v>838945579</v>
      </c>
      <c r="B8180" t="s">
        <v>7424</v>
      </c>
      <c r="C8180">
        <v>495</v>
      </c>
      <c r="D8180" t="str">
        <f t="shared" si="269"/>
        <v>278</v>
      </c>
    </row>
    <row r="8181" spans="1:4" x14ac:dyDescent="0.25">
      <c r="A8181" t="str">
        <f>"838945580"</f>
        <v>838945580</v>
      </c>
      <c r="B8181" t="s">
        <v>7425</v>
      </c>
      <c r="C8181" s="1">
        <v>3300</v>
      </c>
      <c r="D8181" t="str">
        <f t="shared" si="269"/>
        <v>278</v>
      </c>
    </row>
    <row r="8182" spans="1:4" x14ac:dyDescent="0.25">
      <c r="A8182" t="str">
        <f>"838945581"</f>
        <v>838945581</v>
      </c>
      <c r="B8182" t="s">
        <v>7426</v>
      </c>
      <c r="C8182">
        <v>330</v>
      </c>
      <c r="D8182" t="str">
        <f t="shared" si="269"/>
        <v>278</v>
      </c>
    </row>
    <row r="8183" spans="1:4" x14ac:dyDescent="0.25">
      <c r="A8183" t="str">
        <f>"838945582"</f>
        <v>838945582</v>
      </c>
      <c r="B8183" t="s">
        <v>7427</v>
      </c>
      <c r="C8183" s="1">
        <v>1534.5</v>
      </c>
      <c r="D8183" t="str">
        <f t="shared" si="269"/>
        <v>278</v>
      </c>
    </row>
    <row r="8184" spans="1:4" x14ac:dyDescent="0.25">
      <c r="A8184" t="str">
        <f>"838945583"</f>
        <v>838945583</v>
      </c>
      <c r="B8184" t="s">
        <v>7428</v>
      </c>
      <c r="C8184">
        <v>825</v>
      </c>
      <c r="D8184" t="str">
        <f t="shared" si="269"/>
        <v>278</v>
      </c>
    </row>
    <row r="8185" spans="1:4" x14ac:dyDescent="0.25">
      <c r="A8185" t="str">
        <f>"838945584"</f>
        <v>838945584</v>
      </c>
      <c r="B8185" t="s">
        <v>7429</v>
      </c>
      <c r="C8185">
        <v>660</v>
      </c>
      <c r="D8185" t="str">
        <f t="shared" si="269"/>
        <v>278</v>
      </c>
    </row>
    <row r="8186" spans="1:4" x14ac:dyDescent="0.25">
      <c r="A8186" t="str">
        <f>"838945585"</f>
        <v>838945585</v>
      </c>
      <c r="B8186" t="s">
        <v>7430</v>
      </c>
      <c r="C8186">
        <v>660</v>
      </c>
      <c r="D8186" t="str">
        <f t="shared" si="269"/>
        <v>278</v>
      </c>
    </row>
    <row r="8187" spans="1:4" x14ac:dyDescent="0.25">
      <c r="A8187" t="str">
        <f>"838945586"</f>
        <v>838945586</v>
      </c>
      <c r="B8187" t="s">
        <v>7431</v>
      </c>
      <c r="C8187">
        <v>660</v>
      </c>
      <c r="D8187" t="str">
        <f t="shared" si="269"/>
        <v>278</v>
      </c>
    </row>
    <row r="8188" spans="1:4" x14ac:dyDescent="0.25">
      <c r="A8188" t="str">
        <f>"838945587"</f>
        <v>838945587</v>
      </c>
      <c r="B8188" t="s">
        <v>7432</v>
      </c>
      <c r="C8188">
        <v>224.4</v>
      </c>
      <c r="D8188" t="str">
        <f t="shared" si="269"/>
        <v>278</v>
      </c>
    </row>
    <row r="8189" spans="1:4" x14ac:dyDescent="0.25">
      <c r="A8189" t="str">
        <f>"838945588"</f>
        <v>838945588</v>
      </c>
      <c r="B8189" t="s">
        <v>7433</v>
      </c>
      <c r="C8189">
        <v>260.7</v>
      </c>
      <c r="D8189" t="str">
        <f t="shared" si="269"/>
        <v>278</v>
      </c>
    </row>
    <row r="8190" spans="1:4" x14ac:dyDescent="0.25">
      <c r="A8190" t="str">
        <f>"838945589"</f>
        <v>838945589</v>
      </c>
      <c r="B8190" t="s">
        <v>7434</v>
      </c>
      <c r="C8190" s="1">
        <v>3748.8</v>
      </c>
      <c r="D8190" t="str">
        <f t="shared" si="269"/>
        <v>278</v>
      </c>
    </row>
    <row r="8191" spans="1:4" x14ac:dyDescent="0.25">
      <c r="A8191" t="str">
        <f>"838945590"</f>
        <v>838945590</v>
      </c>
      <c r="B8191" t="s">
        <v>7435</v>
      </c>
      <c r="C8191">
        <v>283.8</v>
      </c>
      <c r="D8191" t="str">
        <f t="shared" si="269"/>
        <v>278</v>
      </c>
    </row>
    <row r="8192" spans="1:4" x14ac:dyDescent="0.25">
      <c r="A8192" t="str">
        <f>"838945591"</f>
        <v>838945591</v>
      </c>
      <c r="B8192" t="s">
        <v>7436</v>
      </c>
      <c r="C8192">
        <v>283.8</v>
      </c>
      <c r="D8192" t="str">
        <f t="shared" si="269"/>
        <v>278</v>
      </c>
    </row>
    <row r="8193" spans="1:4" x14ac:dyDescent="0.25">
      <c r="A8193" t="str">
        <f>"838945593"</f>
        <v>838945593</v>
      </c>
      <c r="B8193" t="s">
        <v>7437</v>
      </c>
      <c r="C8193" s="1">
        <v>2805</v>
      </c>
      <c r="D8193" t="str">
        <f t="shared" si="269"/>
        <v>278</v>
      </c>
    </row>
    <row r="8194" spans="1:4" x14ac:dyDescent="0.25">
      <c r="A8194" t="str">
        <f>"838945594"</f>
        <v>838945594</v>
      </c>
      <c r="B8194" t="s">
        <v>7438</v>
      </c>
      <c r="C8194" s="1">
        <v>2805</v>
      </c>
      <c r="D8194" t="str">
        <f t="shared" si="269"/>
        <v>278</v>
      </c>
    </row>
    <row r="8195" spans="1:4" x14ac:dyDescent="0.25">
      <c r="A8195" t="str">
        <f>"838945595"</f>
        <v>838945595</v>
      </c>
      <c r="B8195" t="s">
        <v>7375</v>
      </c>
      <c r="C8195">
        <v>313.5</v>
      </c>
      <c r="D8195" t="str">
        <f t="shared" si="269"/>
        <v>278</v>
      </c>
    </row>
    <row r="8196" spans="1:4" x14ac:dyDescent="0.25">
      <c r="A8196" t="str">
        <f>"838945596"</f>
        <v>838945596</v>
      </c>
      <c r="B8196" t="s">
        <v>7394</v>
      </c>
      <c r="C8196">
        <v>660</v>
      </c>
      <c r="D8196" t="str">
        <f t="shared" si="269"/>
        <v>278</v>
      </c>
    </row>
    <row r="8197" spans="1:4" x14ac:dyDescent="0.25">
      <c r="A8197" t="str">
        <f>"838945597"</f>
        <v>838945597</v>
      </c>
      <c r="B8197" t="s">
        <v>7439</v>
      </c>
      <c r="C8197" s="1">
        <v>3135</v>
      </c>
      <c r="D8197" t="str">
        <f t="shared" si="269"/>
        <v>278</v>
      </c>
    </row>
    <row r="8198" spans="1:4" x14ac:dyDescent="0.25">
      <c r="A8198" t="str">
        <f>"838945598"</f>
        <v>838945598</v>
      </c>
      <c r="B8198" t="s">
        <v>7440</v>
      </c>
      <c r="C8198" s="1">
        <v>21120</v>
      </c>
      <c r="D8198" t="str">
        <f t="shared" si="269"/>
        <v>278</v>
      </c>
    </row>
    <row r="8199" spans="1:4" x14ac:dyDescent="0.25">
      <c r="A8199" t="str">
        <f>"838945599"</f>
        <v>838945599</v>
      </c>
      <c r="B8199" t="s">
        <v>7441</v>
      </c>
      <c r="C8199" s="1">
        <v>2772</v>
      </c>
      <c r="D8199" t="str">
        <f t="shared" si="269"/>
        <v>278</v>
      </c>
    </row>
    <row r="8200" spans="1:4" x14ac:dyDescent="0.25">
      <c r="A8200" t="str">
        <f>"838945600"</f>
        <v>838945600</v>
      </c>
      <c r="B8200" t="s">
        <v>7442</v>
      </c>
      <c r="C8200" s="1">
        <v>3960</v>
      </c>
      <c r="D8200" t="str">
        <f t="shared" si="269"/>
        <v>278</v>
      </c>
    </row>
    <row r="8201" spans="1:4" x14ac:dyDescent="0.25">
      <c r="A8201" t="str">
        <f>"838945601"</f>
        <v>838945601</v>
      </c>
      <c r="B8201" t="s">
        <v>7443</v>
      </c>
      <c r="C8201" s="1">
        <v>2805</v>
      </c>
      <c r="D8201" t="str">
        <f t="shared" si="269"/>
        <v>278</v>
      </c>
    </row>
    <row r="8202" spans="1:4" x14ac:dyDescent="0.25">
      <c r="A8202" t="str">
        <f>"838945602"</f>
        <v>838945602</v>
      </c>
      <c r="B8202" t="s">
        <v>7444</v>
      </c>
      <c r="C8202" s="1">
        <v>2805</v>
      </c>
      <c r="D8202" t="str">
        <f t="shared" si="269"/>
        <v>278</v>
      </c>
    </row>
    <row r="8203" spans="1:4" x14ac:dyDescent="0.25">
      <c r="A8203" t="str">
        <f>"838945603"</f>
        <v>838945603</v>
      </c>
      <c r="B8203" t="s">
        <v>7445</v>
      </c>
      <c r="C8203">
        <v>660</v>
      </c>
      <c r="D8203" t="str">
        <f t="shared" si="269"/>
        <v>278</v>
      </c>
    </row>
    <row r="8204" spans="1:4" x14ac:dyDescent="0.25">
      <c r="A8204" t="str">
        <f>"838945604"</f>
        <v>838945604</v>
      </c>
      <c r="B8204" t="s">
        <v>7446</v>
      </c>
      <c r="C8204" s="1">
        <v>3135</v>
      </c>
      <c r="D8204" t="str">
        <f t="shared" si="269"/>
        <v>278</v>
      </c>
    </row>
    <row r="8205" spans="1:4" x14ac:dyDescent="0.25">
      <c r="A8205" t="str">
        <f>"838945605"</f>
        <v>838945605</v>
      </c>
      <c r="B8205" t="s">
        <v>7447</v>
      </c>
      <c r="C8205" s="1">
        <v>9900</v>
      </c>
      <c r="D8205" t="str">
        <f t="shared" si="269"/>
        <v>278</v>
      </c>
    </row>
    <row r="8206" spans="1:4" x14ac:dyDescent="0.25">
      <c r="A8206" t="str">
        <f>"838945606"</f>
        <v>838945606</v>
      </c>
      <c r="B8206" t="s">
        <v>7448</v>
      </c>
      <c r="C8206">
        <v>429</v>
      </c>
      <c r="D8206" t="str">
        <f t="shared" si="269"/>
        <v>278</v>
      </c>
    </row>
    <row r="8207" spans="1:4" x14ac:dyDescent="0.25">
      <c r="A8207" t="str">
        <f>"838945607"</f>
        <v>838945607</v>
      </c>
      <c r="B8207" t="s">
        <v>7449</v>
      </c>
      <c r="C8207" s="1">
        <v>6237</v>
      </c>
      <c r="D8207" t="str">
        <f t="shared" si="269"/>
        <v>278</v>
      </c>
    </row>
    <row r="8208" spans="1:4" x14ac:dyDescent="0.25">
      <c r="A8208" t="str">
        <f>"838945608"</f>
        <v>838945608</v>
      </c>
      <c r="B8208" t="s">
        <v>7450</v>
      </c>
      <c r="C8208" s="1">
        <v>2989.8</v>
      </c>
      <c r="D8208" t="str">
        <f t="shared" si="269"/>
        <v>278</v>
      </c>
    </row>
    <row r="8209" spans="1:4" x14ac:dyDescent="0.25">
      <c r="A8209" t="str">
        <f>"838945609"</f>
        <v>838945609</v>
      </c>
      <c r="B8209" t="s">
        <v>7451</v>
      </c>
      <c r="C8209">
        <v>330</v>
      </c>
      <c r="D8209" t="str">
        <f t="shared" si="269"/>
        <v>278</v>
      </c>
    </row>
    <row r="8210" spans="1:4" x14ac:dyDescent="0.25">
      <c r="A8210" t="str">
        <f>"838945610"</f>
        <v>838945610</v>
      </c>
      <c r="B8210" t="s">
        <v>7452</v>
      </c>
      <c r="C8210" s="1">
        <v>3531</v>
      </c>
      <c r="D8210" t="str">
        <f t="shared" si="269"/>
        <v>278</v>
      </c>
    </row>
    <row r="8211" spans="1:4" x14ac:dyDescent="0.25">
      <c r="A8211" t="str">
        <f>"838945611"</f>
        <v>838945611</v>
      </c>
      <c r="B8211" t="s">
        <v>7453</v>
      </c>
      <c r="C8211">
        <v>415.8</v>
      </c>
      <c r="D8211" t="str">
        <f t="shared" si="269"/>
        <v>278</v>
      </c>
    </row>
    <row r="8212" spans="1:4" x14ac:dyDescent="0.25">
      <c r="A8212" t="str">
        <f>"838945612"</f>
        <v>838945612</v>
      </c>
      <c r="B8212" t="s">
        <v>7454</v>
      </c>
      <c r="C8212">
        <v>415.8</v>
      </c>
      <c r="D8212" t="str">
        <f t="shared" si="269"/>
        <v>278</v>
      </c>
    </row>
    <row r="8213" spans="1:4" x14ac:dyDescent="0.25">
      <c r="A8213" t="str">
        <f>"838945613"</f>
        <v>838945613</v>
      </c>
      <c r="B8213" t="s">
        <v>7455</v>
      </c>
      <c r="C8213" s="1">
        <v>3141.6</v>
      </c>
      <c r="D8213" t="str">
        <f t="shared" si="269"/>
        <v>278</v>
      </c>
    </row>
    <row r="8214" spans="1:4" x14ac:dyDescent="0.25">
      <c r="A8214" t="str">
        <f>"838945614"</f>
        <v>838945614</v>
      </c>
      <c r="B8214" t="s">
        <v>7456</v>
      </c>
      <c r="C8214">
        <v>924</v>
      </c>
      <c r="D8214" t="str">
        <f t="shared" si="269"/>
        <v>278</v>
      </c>
    </row>
    <row r="8215" spans="1:4" x14ac:dyDescent="0.25">
      <c r="A8215" t="str">
        <f>"838945615"</f>
        <v>838945615</v>
      </c>
      <c r="B8215" t="s">
        <v>7457</v>
      </c>
      <c r="C8215" s="1">
        <v>2059.1999999999998</v>
      </c>
      <c r="D8215" t="str">
        <f t="shared" si="269"/>
        <v>278</v>
      </c>
    </row>
    <row r="8216" spans="1:4" x14ac:dyDescent="0.25">
      <c r="A8216" t="str">
        <f>"838945616"</f>
        <v>838945616</v>
      </c>
      <c r="B8216" t="s">
        <v>7458</v>
      </c>
      <c r="C8216" s="1">
        <v>1188</v>
      </c>
      <c r="D8216" t="str">
        <f t="shared" si="269"/>
        <v>278</v>
      </c>
    </row>
    <row r="8217" spans="1:4" x14ac:dyDescent="0.25">
      <c r="A8217" t="str">
        <f>"838945617"</f>
        <v>838945617</v>
      </c>
      <c r="B8217" t="s">
        <v>7459</v>
      </c>
      <c r="C8217" s="1">
        <v>7867.2</v>
      </c>
      <c r="D8217" t="str">
        <f t="shared" si="269"/>
        <v>278</v>
      </c>
    </row>
    <row r="8218" spans="1:4" x14ac:dyDescent="0.25">
      <c r="A8218" t="str">
        <f>"838945618"</f>
        <v>838945618</v>
      </c>
      <c r="B8218" t="s">
        <v>7460</v>
      </c>
      <c r="C8218">
        <v>739.2</v>
      </c>
      <c r="D8218" t="str">
        <f t="shared" si="269"/>
        <v>278</v>
      </c>
    </row>
    <row r="8219" spans="1:4" x14ac:dyDescent="0.25">
      <c r="A8219" t="str">
        <f>"838945619"</f>
        <v>838945619</v>
      </c>
      <c r="B8219" t="s">
        <v>7461</v>
      </c>
      <c r="C8219">
        <v>924</v>
      </c>
      <c r="D8219" t="str">
        <f t="shared" si="269"/>
        <v>278</v>
      </c>
    </row>
    <row r="8220" spans="1:4" x14ac:dyDescent="0.25">
      <c r="A8220" t="str">
        <f>"838945620"</f>
        <v>838945620</v>
      </c>
      <c r="B8220" t="s">
        <v>7462</v>
      </c>
      <c r="C8220" s="1">
        <v>3141.6</v>
      </c>
      <c r="D8220" t="str">
        <f t="shared" si="269"/>
        <v>278</v>
      </c>
    </row>
    <row r="8221" spans="1:4" x14ac:dyDescent="0.25">
      <c r="A8221" t="str">
        <f>"838945621"</f>
        <v>838945621</v>
      </c>
      <c r="B8221" t="s">
        <v>7463</v>
      </c>
      <c r="C8221" s="1">
        <v>4389</v>
      </c>
      <c r="D8221" t="str">
        <f t="shared" si="269"/>
        <v>278</v>
      </c>
    </row>
    <row r="8222" spans="1:4" x14ac:dyDescent="0.25">
      <c r="A8222" t="str">
        <f>"838945622"</f>
        <v>838945622</v>
      </c>
      <c r="B8222" t="s">
        <v>7464</v>
      </c>
      <c r="C8222" s="1">
        <v>2904</v>
      </c>
      <c r="D8222" t="str">
        <f t="shared" si="269"/>
        <v>278</v>
      </c>
    </row>
    <row r="8223" spans="1:4" x14ac:dyDescent="0.25">
      <c r="A8223" t="str">
        <f>"838945623"</f>
        <v>838945623</v>
      </c>
      <c r="B8223" t="s">
        <v>7465</v>
      </c>
      <c r="C8223" s="1">
        <v>7194</v>
      </c>
      <c r="D8223" t="str">
        <f t="shared" si="269"/>
        <v>278</v>
      </c>
    </row>
    <row r="8224" spans="1:4" x14ac:dyDescent="0.25">
      <c r="A8224" t="str">
        <f>"838945624"</f>
        <v>838945624</v>
      </c>
      <c r="B8224" t="s">
        <v>7466</v>
      </c>
      <c r="C8224" s="1">
        <v>3850</v>
      </c>
      <c r="D8224" t="str">
        <f t="shared" si="269"/>
        <v>278</v>
      </c>
    </row>
    <row r="8225" spans="1:4" x14ac:dyDescent="0.25">
      <c r="A8225" t="str">
        <f>"838945626"</f>
        <v>838945626</v>
      </c>
      <c r="B8225" t="s">
        <v>7467</v>
      </c>
      <c r="C8225" s="1">
        <v>14300</v>
      </c>
      <c r="D8225" t="str">
        <f t="shared" si="269"/>
        <v>278</v>
      </c>
    </row>
    <row r="8226" spans="1:4" x14ac:dyDescent="0.25">
      <c r="A8226" t="str">
        <f>"838945627"</f>
        <v>838945627</v>
      </c>
      <c r="B8226" t="s">
        <v>7468</v>
      </c>
      <c r="C8226" s="1">
        <v>10450</v>
      </c>
      <c r="D8226" t="str">
        <f t="shared" si="269"/>
        <v>278</v>
      </c>
    </row>
    <row r="8227" spans="1:4" x14ac:dyDescent="0.25">
      <c r="A8227" t="str">
        <f>"838945628"</f>
        <v>838945628</v>
      </c>
      <c r="B8227" t="s">
        <v>7469</v>
      </c>
      <c r="C8227" s="1">
        <v>2090</v>
      </c>
      <c r="D8227" t="str">
        <f t="shared" si="269"/>
        <v>278</v>
      </c>
    </row>
    <row r="8228" spans="1:4" x14ac:dyDescent="0.25">
      <c r="A8228" t="str">
        <f>"838945629"</f>
        <v>838945629</v>
      </c>
      <c r="B8228" t="s">
        <v>7132</v>
      </c>
      <c r="C8228" s="1">
        <v>2640</v>
      </c>
      <c r="D8228" t="str">
        <f>"270"</f>
        <v>270</v>
      </c>
    </row>
    <row r="8229" spans="1:4" x14ac:dyDescent="0.25">
      <c r="A8229" t="str">
        <f>"838945630"</f>
        <v>838945630</v>
      </c>
      <c r="B8229" t="s">
        <v>7470</v>
      </c>
      <c r="C8229" s="1">
        <v>2640</v>
      </c>
      <c r="D8229" t="str">
        <f t="shared" ref="D8229:D8238" si="270">"278"</f>
        <v>278</v>
      </c>
    </row>
    <row r="8230" spans="1:4" x14ac:dyDescent="0.25">
      <c r="A8230" t="str">
        <f>"838945631"</f>
        <v>838945631</v>
      </c>
      <c r="B8230" t="s">
        <v>7471</v>
      </c>
      <c r="C8230">
        <v>990</v>
      </c>
      <c r="D8230" t="str">
        <f t="shared" si="270"/>
        <v>278</v>
      </c>
    </row>
    <row r="8231" spans="1:4" x14ac:dyDescent="0.25">
      <c r="A8231" t="str">
        <f>"838945632"</f>
        <v>838945632</v>
      </c>
      <c r="B8231" t="s">
        <v>7472</v>
      </c>
      <c r="C8231">
        <v>990</v>
      </c>
      <c r="D8231" t="str">
        <f t="shared" si="270"/>
        <v>278</v>
      </c>
    </row>
    <row r="8232" spans="1:4" x14ac:dyDescent="0.25">
      <c r="A8232" t="str">
        <f>"838945633"</f>
        <v>838945633</v>
      </c>
      <c r="B8232" t="s">
        <v>7473</v>
      </c>
      <c r="C8232" s="1">
        <v>19470</v>
      </c>
      <c r="D8232" t="str">
        <f t="shared" si="270"/>
        <v>278</v>
      </c>
    </row>
    <row r="8233" spans="1:4" x14ac:dyDescent="0.25">
      <c r="A8233" t="str">
        <f>"838945634"</f>
        <v>838945634</v>
      </c>
      <c r="B8233" t="s">
        <v>7474</v>
      </c>
      <c r="C8233">
        <v>825</v>
      </c>
      <c r="D8233" t="str">
        <f t="shared" si="270"/>
        <v>278</v>
      </c>
    </row>
    <row r="8234" spans="1:4" x14ac:dyDescent="0.25">
      <c r="A8234" t="str">
        <f>"838945635"</f>
        <v>838945635</v>
      </c>
      <c r="B8234" t="s">
        <v>7475</v>
      </c>
      <c r="C8234" s="1">
        <v>19800</v>
      </c>
      <c r="D8234" t="str">
        <f t="shared" si="270"/>
        <v>278</v>
      </c>
    </row>
    <row r="8235" spans="1:4" x14ac:dyDescent="0.25">
      <c r="A8235" t="str">
        <f>"838945636"</f>
        <v>838945636</v>
      </c>
      <c r="B8235" t="s">
        <v>7476</v>
      </c>
      <c r="C8235" s="1">
        <v>2970</v>
      </c>
      <c r="D8235" t="str">
        <f t="shared" si="270"/>
        <v>278</v>
      </c>
    </row>
    <row r="8236" spans="1:4" x14ac:dyDescent="0.25">
      <c r="A8236" t="str">
        <f>"838945637"</f>
        <v>838945637</v>
      </c>
      <c r="B8236" t="s">
        <v>7477</v>
      </c>
      <c r="C8236" s="1">
        <v>2970</v>
      </c>
      <c r="D8236" t="str">
        <f t="shared" si="270"/>
        <v>278</v>
      </c>
    </row>
    <row r="8237" spans="1:4" x14ac:dyDescent="0.25">
      <c r="A8237" t="str">
        <f>"838945638"</f>
        <v>838945638</v>
      </c>
      <c r="B8237" t="s">
        <v>7478</v>
      </c>
      <c r="C8237" s="1">
        <v>2640</v>
      </c>
      <c r="D8237" t="str">
        <f t="shared" si="270"/>
        <v>278</v>
      </c>
    </row>
    <row r="8238" spans="1:4" x14ac:dyDescent="0.25">
      <c r="A8238" t="str">
        <f>"838945639"</f>
        <v>838945639</v>
      </c>
      <c r="B8238" t="s">
        <v>7479</v>
      </c>
      <c r="C8238">
        <v>495</v>
      </c>
      <c r="D8238" t="str">
        <f t="shared" si="270"/>
        <v>278</v>
      </c>
    </row>
    <row r="8239" spans="1:4" x14ac:dyDescent="0.25">
      <c r="A8239" t="str">
        <f>"838945640"</f>
        <v>838945640</v>
      </c>
      <c r="B8239" t="s">
        <v>7480</v>
      </c>
      <c r="C8239" s="1">
        <v>4125</v>
      </c>
      <c r="D8239" t="str">
        <f>"270"</f>
        <v>270</v>
      </c>
    </row>
    <row r="8240" spans="1:4" x14ac:dyDescent="0.25">
      <c r="A8240" t="str">
        <f>"838945641"</f>
        <v>838945641</v>
      </c>
      <c r="B8240" t="s">
        <v>7481</v>
      </c>
      <c r="C8240" s="1">
        <v>5171.1000000000004</v>
      </c>
      <c r="D8240" t="str">
        <f>"278"</f>
        <v>278</v>
      </c>
    </row>
    <row r="8241" spans="1:5" x14ac:dyDescent="0.25">
      <c r="A8241" t="str">
        <f>"838945642"</f>
        <v>838945642</v>
      </c>
      <c r="B8241" t="s">
        <v>7482</v>
      </c>
      <c r="C8241" s="1">
        <v>2580.6</v>
      </c>
      <c r="D8241" t="str">
        <f>"278"</f>
        <v>278</v>
      </c>
    </row>
    <row r="8242" spans="1:5" x14ac:dyDescent="0.25">
      <c r="A8242" t="str">
        <f>"838945643"</f>
        <v>838945643</v>
      </c>
      <c r="B8242" t="s">
        <v>7483</v>
      </c>
      <c r="C8242" s="1">
        <v>9900</v>
      </c>
      <c r="D8242" t="str">
        <f>"278"</f>
        <v>278</v>
      </c>
    </row>
    <row r="8243" spans="1:5" x14ac:dyDescent="0.25">
      <c r="A8243" t="str">
        <f>"838945644"</f>
        <v>838945644</v>
      </c>
      <c r="B8243" t="s">
        <v>7484</v>
      </c>
      <c r="C8243" s="1">
        <v>1438.8</v>
      </c>
      <c r="D8243" t="str">
        <f>"278"</f>
        <v>278</v>
      </c>
    </row>
    <row r="8244" spans="1:5" x14ac:dyDescent="0.25">
      <c r="A8244" t="str">
        <f>"838945645"</f>
        <v>838945645</v>
      </c>
      <c r="B8244" t="s">
        <v>7485</v>
      </c>
      <c r="C8244">
        <v>910.8</v>
      </c>
      <c r="D8244" t="str">
        <f>"278"</f>
        <v>278</v>
      </c>
    </row>
    <row r="8245" spans="1:5" x14ac:dyDescent="0.25">
      <c r="A8245" t="str">
        <f>"838945646"</f>
        <v>838945646</v>
      </c>
      <c r="B8245" t="s">
        <v>7486</v>
      </c>
      <c r="C8245" s="1">
        <v>2679.6</v>
      </c>
      <c r="D8245" t="str">
        <f>"270"</f>
        <v>270</v>
      </c>
      <c r="E8245" t="str">
        <f>"95920"</f>
        <v>95920</v>
      </c>
    </row>
    <row r="8246" spans="1:5" x14ac:dyDescent="0.25">
      <c r="A8246" t="str">
        <f>"838945647"</f>
        <v>838945647</v>
      </c>
      <c r="B8246" t="s">
        <v>7487</v>
      </c>
      <c r="C8246">
        <v>607.20000000000005</v>
      </c>
      <c r="D8246" t="str">
        <f>"278"</f>
        <v>278</v>
      </c>
    </row>
    <row r="8247" spans="1:5" x14ac:dyDescent="0.25">
      <c r="A8247" t="str">
        <f>"838945648"</f>
        <v>838945648</v>
      </c>
      <c r="B8247" t="s">
        <v>7488</v>
      </c>
      <c r="C8247">
        <v>633.6</v>
      </c>
      <c r="D8247" t="str">
        <f>"278"</f>
        <v>278</v>
      </c>
    </row>
    <row r="8248" spans="1:5" x14ac:dyDescent="0.25">
      <c r="A8248" t="str">
        <f>"838945649"</f>
        <v>838945649</v>
      </c>
      <c r="B8248" t="s">
        <v>7489</v>
      </c>
      <c r="C8248" s="1">
        <v>2508</v>
      </c>
      <c r="D8248" t="str">
        <f>"278"</f>
        <v>278</v>
      </c>
    </row>
    <row r="8249" spans="1:5" x14ac:dyDescent="0.25">
      <c r="A8249" t="str">
        <f>"838945650"</f>
        <v>838945650</v>
      </c>
      <c r="B8249" t="s">
        <v>7490</v>
      </c>
      <c r="C8249">
        <v>924</v>
      </c>
      <c r="D8249" t="str">
        <f>"278"</f>
        <v>278</v>
      </c>
    </row>
    <row r="8250" spans="1:5" x14ac:dyDescent="0.25">
      <c r="A8250" t="str">
        <f>"838945651"</f>
        <v>838945651</v>
      </c>
      <c r="B8250" t="s">
        <v>7491</v>
      </c>
      <c r="C8250" s="1">
        <v>6811.2</v>
      </c>
      <c r="D8250" t="str">
        <f>"278"</f>
        <v>278</v>
      </c>
    </row>
    <row r="8251" spans="1:5" x14ac:dyDescent="0.25">
      <c r="A8251" t="str">
        <f>"838945652"</f>
        <v>838945652</v>
      </c>
      <c r="B8251" t="s">
        <v>7492</v>
      </c>
      <c r="C8251" s="1">
        <v>3696</v>
      </c>
      <c r="D8251" t="str">
        <f>"270"</f>
        <v>270</v>
      </c>
    </row>
    <row r="8252" spans="1:5" x14ac:dyDescent="0.25">
      <c r="A8252" t="str">
        <f>"838945653"</f>
        <v>838945653</v>
      </c>
      <c r="B8252" t="s">
        <v>7493</v>
      </c>
      <c r="C8252" s="1">
        <v>3696</v>
      </c>
      <c r="D8252" t="str">
        <f>"270"</f>
        <v>270</v>
      </c>
    </row>
    <row r="8253" spans="1:5" x14ac:dyDescent="0.25">
      <c r="A8253" t="str">
        <f>"838945654"</f>
        <v>838945654</v>
      </c>
      <c r="B8253" t="s">
        <v>7494</v>
      </c>
      <c r="C8253">
        <v>203.5</v>
      </c>
      <c r="D8253" t="str">
        <f>"270"</f>
        <v>270</v>
      </c>
    </row>
    <row r="8254" spans="1:5" x14ac:dyDescent="0.25">
      <c r="A8254" t="str">
        <f>"838945655"</f>
        <v>838945655</v>
      </c>
      <c r="B8254" t="s">
        <v>7495</v>
      </c>
      <c r="C8254" s="1">
        <v>2217.6</v>
      </c>
      <c r="D8254" t="str">
        <f t="shared" ref="D8254:D8260" si="271">"278"</f>
        <v>278</v>
      </c>
    </row>
    <row r="8255" spans="1:5" x14ac:dyDescent="0.25">
      <c r="A8255" t="str">
        <f>"838945656"</f>
        <v>838945656</v>
      </c>
      <c r="B8255" t="s">
        <v>7496</v>
      </c>
      <c r="C8255">
        <v>118.8</v>
      </c>
      <c r="D8255" t="str">
        <f t="shared" si="271"/>
        <v>278</v>
      </c>
    </row>
    <row r="8256" spans="1:5" x14ac:dyDescent="0.25">
      <c r="A8256" t="str">
        <f>"838945657"</f>
        <v>838945657</v>
      </c>
      <c r="B8256" t="s">
        <v>7497</v>
      </c>
      <c r="C8256">
        <v>135.30000000000001</v>
      </c>
      <c r="D8256" t="str">
        <f t="shared" si="271"/>
        <v>278</v>
      </c>
    </row>
    <row r="8257" spans="1:4" x14ac:dyDescent="0.25">
      <c r="A8257" t="str">
        <f>"838945658"</f>
        <v>838945658</v>
      </c>
      <c r="B8257" t="s">
        <v>7498</v>
      </c>
      <c r="C8257">
        <v>778.8</v>
      </c>
      <c r="D8257" t="str">
        <f t="shared" si="271"/>
        <v>278</v>
      </c>
    </row>
    <row r="8258" spans="1:4" x14ac:dyDescent="0.25">
      <c r="A8258" t="str">
        <f>"838945659"</f>
        <v>838945659</v>
      </c>
      <c r="B8258" t="s">
        <v>7499</v>
      </c>
      <c r="C8258">
        <v>778.8</v>
      </c>
      <c r="D8258" t="str">
        <f t="shared" si="271"/>
        <v>278</v>
      </c>
    </row>
    <row r="8259" spans="1:4" x14ac:dyDescent="0.25">
      <c r="A8259" t="str">
        <f>"838945660"</f>
        <v>838945660</v>
      </c>
      <c r="B8259" t="s">
        <v>7500</v>
      </c>
      <c r="C8259">
        <v>778.8</v>
      </c>
      <c r="D8259" t="str">
        <f t="shared" si="271"/>
        <v>278</v>
      </c>
    </row>
    <row r="8260" spans="1:4" x14ac:dyDescent="0.25">
      <c r="A8260" t="str">
        <f>"838945661"</f>
        <v>838945661</v>
      </c>
      <c r="B8260" t="s">
        <v>7501</v>
      </c>
      <c r="C8260">
        <v>920.7</v>
      </c>
      <c r="D8260" t="str">
        <f t="shared" si="271"/>
        <v>278</v>
      </c>
    </row>
    <row r="8261" spans="1:4" x14ac:dyDescent="0.25">
      <c r="A8261" t="str">
        <f>"838945662"</f>
        <v>838945662</v>
      </c>
      <c r="B8261" t="s">
        <v>4256</v>
      </c>
      <c r="C8261" s="1">
        <v>6600</v>
      </c>
      <c r="D8261" t="str">
        <f>"270"</f>
        <v>270</v>
      </c>
    </row>
    <row r="8262" spans="1:4" x14ac:dyDescent="0.25">
      <c r="A8262" t="str">
        <f>"838945663"</f>
        <v>838945663</v>
      </c>
      <c r="B8262" t="s">
        <v>7502</v>
      </c>
      <c r="C8262" s="1">
        <v>6600</v>
      </c>
      <c r="D8262" t="str">
        <f t="shared" ref="D8262:D8270" si="272">"278"</f>
        <v>278</v>
      </c>
    </row>
    <row r="8263" spans="1:4" x14ac:dyDescent="0.25">
      <c r="A8263" t="str">
        <f>"838945664"</f>
        <v>838945664</v>
      </c>
      <c r="B8263" t="s">
        <v>7503</v>
      </c>
      <c r="C8263" s="1">
        <v>1650</v>
      </c>
      <c r="D8263" t="str">
        <f t="shared" si="272"/>
        <v>278</v>
      </c>
    </row>
    <row r="8264" spans="1:4" x14ac:dyDescent="0.25">
      <c r="A8264" t="str">
        <f>"838945665"</f>
        <v>838945665</v>
      </c>
      <c r="B8264" t="s">
        <v>7504</v>
      </c>
      <c r="C8264" s="1">
        <v>4950</v>
      </c>
      <c r="D8264" t="str">
        <f t="shared" si="272"/>
        <v>278</v>
      </c>
    </row>
    <row r="8265" spans="1:4" x14ac:dyDescent="0.25">
      <c r="A8265" t="str">
        <f>"838945666"</f>
        <v>838945666</v>
      </c>
      <c r="B8265" t="s">
        <v>7505</v>
      </c>
      <c r="C8265" s="1">
        <v>1650</v>
      </c>
      <c r="D8265" t="str">
        <f t="shared" si="272"/>
        <v>278</v>
      </c>
    </row>
    <row r="8266" spans="1:4" x14ac:dyDescent="0.25">
      <c r="A8266" t="str">
        <f>"838945667"</f>
        <v>838945667</v>
      </c>
      <c r="B8266" t="s">
        <v>7506</v>
      </c>
      <c r="C8266" s="1">
        <v>2640</v>
      </c>
      <c r="D8266" t="str">
        <f t="shared" si="272"/>
        <v>278</v>
      </c>
    </row>
    <row r="8267" spans="1:4" x14ac:dyDescent="0.25">
      <c r="A8267" t="str">
        <f>"838945668"</f>
        <v>838945668</v>
      </c>
      <c r="B8267" t="s">
        <v>7507</v>
      </c>
      <c r="C8267">
        <v>412.5</v>
      </c>
      <c r="D8267" t="str">
        <f t="shared" si="272"/>
        <v>278</v>
      </c>
    </row>
    <row r="8268" spans="1:4" x14ac:dyDescent="0.25">
      <c r="A8268" t="str">
        <f>"838945669"</f>
        <v>838945669</v>
      </c>
      <c r="B8268" t="s">
        <v>7508</v>
      </c>
      <c r="C8268">
        <v>412.5</v>
      </c>
      <c r="D8268" t="str">
        <f t="shared" si="272"/>
        <v>278</v>
      </c>
    </row>
    <row r="8269" spans="1:4" x14ac:dyDescent="0.25">
      <c r="A8269" t="str">
        <f>"838945670"</f>
        <v>838945670</v>
      </c>
      <c r="B8269" t="s">
        <v>7509</v>
      </c>
      <c r="C8269">
        <v>330</v>
      </c>
      <c r="D8269" t="str">
        <f t="shared" si="272"/>
        <v>278</v>
      </c>
    </row>
    <row r="8270" spans="1:4" x14ac:dyDescent="0.25">
      <c r="A8270" t="str">
        <f>"838945671"</f>
        <v>838945671</v>
      </c>
      <c r="B8270" t="s">
        <v>7510</v>
      </c>
      <c r="C8270" s="1">
        <v>1980</v>
      </c>
      <c r="D8270" t="str">
        <f t="shared" si="272"/>
        <v>278</v>
      </c>
    </row>
    <row r="8271" spans="1:4" x14ac:dyDescent="0.25">
      <c r="A8271" t="str">
        <f>"838945672"</f>
        <v>838945672</v>
      </c>
      <c r="B8271" t="s">
        <v>7511</v>
      </c>
      <c r="C8271">
        <v>261.8</v>
      </c>
      <c r="D8271" t="str">
        <f t="shared" ref="D8271:D8282" si="273">"270"</f>
        <v>270</v>
      </c>
    </row>
    <row r="8272" spans="1:4" x14ac:dyDescent="0.25">
      <c r="A8272" t="str">
        <f>"838945673"</f>
        <v>838945673</v>
      </c>
      <c r="B8272" t="s">
        <v>7512</v>
      </c>
      <c r="C8272" s="1">
        <v>3619</v>
      </c>
      <c r="D8272" t="str">
        <f t="shared" si="273"/>
        <v>270</v>
      </c>
    </row>
    <row r="8273" spans="1:5" x14ac:dyDescent="0.25">
      <c r="A8273" t="str">
        <f>"838945674"</f>
        <v>838945674</v>
      </c>
      <c r="B8273" t="s">
        <v>7513</v>
      </c>
      <c r="C8273">
        <v>429</v>
      </c>
      <c r="D8273" t="str">
        <f t="shared" si="273"/>
        <v>270</v>
      </c>
      <c r="E8273" t="str">
        <f>"C1769"</f>
        <v>C1769</v>
      </c>
    </row>
    <row r="8274" spans="1:5" x14ac:dyDescent="0.25">
      <c r="A8274" t="str">
        <f>"838945675"</f>
        <v>838945675</v>
      </c>
      <c r="B8274" t="s">
        <v>7514</v>
      </c>
      <c r="C8274" s="1">
        <v>2035</v>
      </c>
      <c r="D8274" t="str">
        <f t="shared" si="273"/>
        <v>270</v>
      </c>
      <c r="E8274" t="str">
        <f>"C1725"</f>
        <v>C1725</v>
      </c>
    </row>
    <row r="8275" spans="1:5" x14ac:dyDescent="0.25">
      <c r="A8275" t="str">
        <f>"838945676"</f>
        <v>838945676</v>
      </c>
      <c r="B8275" t="s">
        <v>7515</v>
      </c>
      <c r="C8275" s="1">
        <v>8525</v>
      </c>
      <c r="D8275" t="str">
        <f t="shared" si="273"/>
        <v>270</v>
      </c>
      <c r="E8275" t="str">
        <f>"C1887"</f>
        <v>C1887</v>
      </c>
    </row>
    <row r="8276" spans="1:5" x14ac:dyDescent="0.25">
      <c r="A8276" t="str">
        <f>"838945677"</f>
        <v>838945677</v>
      </c>
      <c r="B8276" t="s">
        <v>7516</v>
      </c>
      <c r="C8276">
        <v>99</v>
      </c>
      <c r="D8276" t="str">
        <f t="shared" si="273"/>
        <v>270</v>
      </c>
    </row>
    <row r="8277" spans="1:5" x14ac:dyDescent="0.25">
      <c r="A8277" t="str">
        <f>"838945678"</f>
        <v>838945678</v>
      </c>
      <c r="B8277" t="s">
        <v>7517</v>
      </c>
      <c r="C8277">
        <v>539</v>
      </c>
      <c r="D8277" t="str">
        <f t="shared" si="273"/>
        <v>270</v>
      </c>
    </row>
    <row r="8278" spans="1:5" x14ac:dyDescent="0.25">
      <c r="A8278" t="str">
        <f>"838945679"</f>
        <v>838945679</v>
      </c>
      <c r="B8278" t="s">
        <v>7518</v>
      </c>
      <c r="C8278">
        <v>539</v>
      </c>
      <c r="D8278" t="str">
        <f t="shared" si="273"/>
        <v>270</v>
      </c>
    </row>
    <row r="8279" spans="1:5" x14ac:dyDescent="0.25">
      <c r="A8279" t="str">
        <f>"838945680"</f>
        <v>838945680</v>
      </c>
      <c r="B8279" t="s">
        <v>7519</v>
      </c>
      <c r="C8279">
        <v>275</v>
      </c>
      <c r="D8279" t="str">
        <f t="shared" si="273"/>
        <v>270</v>
      </c>
    </row>
    <row r="8280" spans="1:5" x14ac:dyDescent="0.25">
      <c r="A8280" t="str">
        <f>"838945681"</f>
        <v>838945681</v>
      </c>
      <c r="B8280" t="s">
        <v>7520</v>
      </c>
      <c r="C8280" s="1">
        <v>1650</v>
      </c>
      <c r="D8280" t="str">
        <f t="shared" si="273"/>
        <v>270</v>
      </c>
    </row>
    <row r="8281" spans="1:5" x14ac:dyDescent="0.25">
      <c r="A8281" t="str">
        <f>"838945682"</f>
        <v>838945682</v>
      </c>
      <c r="B8281" t="s">
        <v>7521</v>
      </c>
      <c r="C8281" s="1">
        <v>1485</v>
      </c>
      <c r="D8281" t="str">
        <f t="shared" si="273"/>
        <v>270</v>
      </c>
    </row>
    <row r="8282" spans="1:5" x14ac:dyDescent="0.25">
      <c r="A8282" t="str">
        <f>"838945683"</f>
        <v>838945683</v>
      </c>
      <c r="B8282" t="s">
        <v>2542</v>
      </c>
      <c r="C8282" s="1">
        <v>1639</v>
      </c>
      <c r="D8282" t="str">
        <f t="shared" si="273"/>
        <v>270</v>
      </c>
    </row>
    <row r="8283" spans="1:5" x14ac:dyDescent="0.25">
      <c r="A8283" t="str">
        <f>"838945684"</f>
        <v>838945684</v>
      </c>
      <c r="B8283" t="s">
        <v>7522</v>
      </c>
      <c r="C8283" s="1">
        <v>13084.5</v>
      </c>
      <c r="D8283" t="str">
        <f>"278"</f>
        <v>278</v>
      </c>
    </row>
    <row r="8284" spans="1:5" x14ac:dyDescent="0.25">
      <c r="A8284" t="str">
        <f>"838945685"</f>
        <v>838945685</v>
      </c>
      <c r="B8284" t="s">
        <v>7523</v>
      </c>
      <c r="C8284">
        <v>264</v>
      </c>
      <c r="D8284" t="str">
        <f>"278"</f>
        <v>278</v>
      </c>
    </row>
    <row r="8285" spans="1:5" x14ac:dyDescent="0.25">
      <c r="A8285" t="str">
        <f>"838945686"</f>
        <v>838945686</v>
      </c>
      <c r="B8285" t="s">
        <v>7524</v>
      </c>
      <c r="C8285">
        <v>627</v>
      </c>
      <c r="D8285" t="str">
        <f>"278"</f>
        <v>278</v>
      </c>
    </row>
    <row r="8286" spans="1:5" x14ac:dyDescent="0.25">
      <c r="A8286" t="str">
        <f>"838945687"</f>
        <v>838945687</v>
      </c>
      <c r="B8286" t="s">
        <v>7525</v>
      </c>
      <c r="C8286" s="1">
        <v>2640</v>
      </c>
      <c r="D8286" t="str">
        <f>"278"</f>
        <v>278</v>
      </c>
    </row>
    <row r="8287" spans="1:5" x14ac:dyDescent="0.25">
      <c r="A8287" t="str">
        <f>"838945688"</f>
        <v>838945688</v>
      </c>
      <c r="B8287" t="s">
        <v>7526</v>
      </c>
      <c r="C8287">
        <v>990</v>
      </c>
      <c r="D8287" t="str">
        <f>"278"</f>
        <v>278</v>
      </c>
    </row>
    <row r="8288" spans="1:5" x14ac:dyDescent="0.25">
      <c r="A8288" t="str">
        <f>"838945689"</f>
        <v>838945689</v>
      </c>
      <c r="B8288" t="s">
        <v>7527</v>
      </c>
      <c r="C8288">
        <v>93.5</v>
      </c>
      <c r="D8288" t="str">
        <f>"270"</f>
        <v>270</v>
      </c>
      <c r="E8288" t="str">
        <f>"A6248"</f>
        <v>A6248</v>
      </c>
    </row>
    <row r="8289" spans="1:4" x14ac:dyDescent="0.25">
      <c r="A8289" t="str">
        <f>"838945690"</f>
        <v>838945690</v>
      </c>
      <c r="B8289" t="s">
        <v>7528</v>
      </c>
      <c r="C8289">
        <v>343.2</v>
      </c>
      <c r="D8289" t="str">
        <f t="shared" ref="D8289:D8300" si="274">"278"</f>
        <v>278</v>
      </c>
    </row>
    <row r="8290" spans="1:4" x14ac:dyDescent="0.25">
      <c r="A8290" t="str">
        <f>"838945691"</f>
        <v>838945691</v>
      </c>
      <c r="B8290" t="s">
        <v>7529</v>
      </c>
      <c r="C8290">
        <v>343.2</v>
      </c>
      <c r="D8290" t="str">
        <f t="shared" si="274"/>
        <v>278</v>
      </c>
    </row>
    <row r="8291" spans="1:4" x14ac:dyDescent="0.25">
      <c r="A8291" t="str">
        <f>"838945692"</f>
        <v>838945692</v>
      </c>
      <c r="B8291" t="s">
        <v>7530</v>
      </c>
      <c r="C8291">
        <v>343.2</v>
      </c>
      <c r="D8291" t="str">
        <f t="shared" si="274"/>
        <v>278</v>
      </c>
    </row>
    <row r="8292" spans="1:4" x14ac:dyDescent="0.25">
      <c r="A8292" t="str">
        <f>"838945693"</f>
        <v>838945693</v>
      </c>
      <c r="B8292" t="s">
        <v>7531</v>
      </c>
      <c r="C8292">
        <v>343.2</v>
      </c>
      <c r="D8292" t="str">
        <f t="shared" si="274"/>
        <v>278</v>
      </c>
    </row>
    <row r="8293" spans="1:4" x14ac:dyDescent="0.25">
      <c r="A8293" t="str">
        <f>"838945694"</f>
        <v>838945694</v>
      </c>
      <c r="B8293" t="s">
        <v>7532</v>
      </c>
      <c r="C8293">
        <v>343.2</v>
      </c>
      <c r="D8293" t="str">
        <f t="shared" si="274"/>
        <v>278</v>
      </c>
    </row>
    <row r="8294" spans="1:4" x14ac:dyDescent="0.25">
      <c r="A8294" t="str">
        <f>"838945695"</f>
        <v>838945695</v>
      </c>
      <c r="B8294" t="s">
        <v>7533</v>
      </c>
      <c r="C8294" s="1">
        <v>4540.8</v>
      </c>
      <c r="D8294" t="str">
        <f t="shared" si="274"/>
        <v>278</v>
      </c>
    </row>
    <row r="8295" spans="1:4" x14ac:dyDescent="0.25">
      <c r="A8295" t="str">
        <f>"838945696"</f>
        <v>838945696</v>
      </c>
      <c r="B8295" t="s">
        <v>7534</v>
      </c>
      <c r="C8295">
        <v>211.2</v>
      </c>
      <c r="D8295" t="str">
        <f t="shared" si="274"/>
        <v>278</v>
      </c>
    </row>
    <row r="8296" spans="1:4" x14ac:dyDescent="0.25">
      <c r="A8296" t="str">
        <f>"838945697"</f>
        <v>838945697</v>
      </c>
      <c r="B8296" t="s">
        <v>7535</v>
      </c>
      <c r="C8296">
        <v>140.80000000000001</v>
      </c>
      <c r="D8296" t="str">
        <f t="shared" si="274"/>
        <v>278</v>
      </c>
    </row>
    <row r="8297" spans="1:4" x14ac:dyDescent="0.25">
      <c r="A8297" t="str">
        <f>"838945698"</f>
        <v>838945698</v>
      </c>
      <c r="B8297" t="s">
        <v>7536</v>
      </c>
      <c r="C8297">
        <v>501.6</v>
      </c>
      <c r="D8297" t="str">
        <f t="shared" si="274"/>
        <v>278</v>
      </c>
    </row>
    <row r="8298" spans="1:4" x14ac:dyDescent="0.25">
      <c r="A8298" t="str">
        <f>"838945699"</f>
        <v>838945699</v>
      </c>
      <c r="B8298" t="s">
        <v>7537</v>
      </c>
      <c r="C8298" s="1">
        <v>4603.5</v>
      </c>
      <c r="D8298" t="str">
        <f t="shared" si="274"/>
        <v>278</v>
      </c>
    </row>
    <row r="8299" spans="1:4" x14ac:dyDescent="0.25">
      <c r="A8299" t="str">
        <f>"838945700"</f>
        <v>838945700</v>
      </c>
      <c r="B8299" t="s">
        <v>7538</v>
      </c>
      <c r="C8299" s="1">
        <v>12028.5</v>
      </c>
      <c r="D8299" t="str">
        <f t="shared" si="274"/>
        <v>278</v>
      </c>
    </row>
    <row r="8300" spans="1:4" x14ac:dyDescent="0.25">
      <c r="A8300" t="str">
        <f>"838945701"</f>
        <v>838945701</v>
      </c>
      <c r="B8300" t="s">
        <v>7539</v>
      </c>
      <c r="C8300" s="1">
        <v>5907</v>
      </c>
      <c r="D8300" t="str">
        <f t="shared" si="274"/>
        <v>278</v>
      </c>
    </row>
    <row r="8301" spans="1:4" x14ac:dyDescent="0.25">
      <c r="A8301" t="str">
        <f>"838945702"</f>
        <v>838945702</v>
      </c>
      <c r="B8301" t="s">
        <v>7540</v>
      </c>
      <c r="C8301">
        <v>27.5</v>
      </c>
      <c r="D8301" t="str">
        <f>"270"</f>
        <v>270</v>
      </c>
    </row>
    <row r="8302" spans="1:4" x14ac:dyDescent="0.25">
      <c r="A8302" t="str">
        <f>"838945703"</f>
        <v>838945703</v>
      </c>
      <c r="B8302" t="s">
        <v>7541</v>
      </c>
      <c r="C8302">
        <v>983.4</v>
      </c>
      <c r="D8302" t="str">
        <f>"278"</f>
        <v>278</v>
      </c>
    </row>
    <row r="8303" spans="1:4" x14ac:dyDescent="0.25">
      <c r="A8303" t="str">
        <f>"838945704"</f>
        <v>838945704</v>
      </c>
      <c r="B8303" t="s">
        <v>7452</v>
      </c>
      <c r="C8303" s="1">
        <v>3531</v>
      </c>
      <c r="D8303" t="str">
        <f>"270"</f>
        <v>270</v>
      </c>
    </row>
    <row r="8304" spans="1:4" x14ac:dyDescent="0.25">
      <c r="A8304" t="str">
        <f>"838945705"</f>
        <v>838945705</v>
      </c>
      <c r="B8304" t="s">
        <v>7542</v>
      </c>
      <c r="C8304" s="1">
        <v>16500</v>
      </c>
      <c r="D8304" t="str">
        <f t="shared" ref="D8304:D8333" si="275">"278"</f>
        <v>278</v>
      </c>
    </row>
    <row r="8305" spans="1:4" x14ac:dyDescent="0.25">
      <c r="A8305" t="str">
        <f>"838945706"</f>
        <v>838945706</v>
      </c>
      <c r="B8305" t="s">
        <v>7543</v>
      </c>
      <c r="C8305" s="1">
        <v>1399.2</v>
      </c>
      <c r="D8305" t="str">
        <f t="shared" si="275"/>
        <v>278</v>
      </c>
    </row>
    <row r="8306" spans="1:4" x14ac:dyDescent="0.25">
      <c r="A8306" t="str">
        <f>"838945707"</f>
        <v>838945707</v>
      </c>
      <c r="B8306" t="s">
        <v>7544</v>
      </c>
      <c r="C8306" s="1">
        <v>1399.2</v>
      </c>
      <c r="D8306" t="str">
        <f t="shared" si="275"/>
        <v>278</v>
      </c>
    </row>
    <row r="8307" spans="1:4" x14ac:dyDescent="0.25">
      <c r="A8307" t="str">
        <f>"838945708"</f>
        <v>838945708</v>
      </c>
      <c r="B8307" t="s">
        <v>7545</v>
      </c>
      <c r="C8307">
        <v>290.39999999999998</v>
      </c>
      <c r="D8307" t="str">
        <f t="shared" si="275"/>
        <v>278</v>
      </c>
    </row>
    <row r="8308" spans="1:4" x14ac:dyDescent="0.25">
      <c r="A8308" t="str">
        <f>"838945709"</f>
        <v>838945709</v>
      </c>
      <c r="B8308" t="s">
        <v>7546</v>
      </c>
      <c r="C8308">
        <v>739.2</v>
      </c>
      <c r="D8308" t="str">
        <f t="shared" si="275"/>
        <v>278</v>
      </c>
    </row>
    <row r="8309" spans="1:4" x14ac:dyDescent="0.25">
      <c r="A8309" t="str">
        <f>"838945710"</f>
        <v>838945710</v>
      </c>
      <c r="B8309" t="s">
        <v>7547</v>
      </c>
      <c r="C8309" s="1">
        <v>1372.8</v>
      </c>
      <c r="D8309" t="str">
        <f t="shared" si="275"/>
        <v>278</v>
      </c>
    </row>
    <row r="8310" spans="1:4" x14ac:dyDescent="0.25">
      <c r="A8310" t="str">
        <f>"838945711"</f>
        <v>838945711</v>
      </c>
      <c r="B8310" t="s">
        <v>7548</v>
      </c>
      <c r="C8310">
        <v>343.2</v>
      </c>
      <c r="D8310" t="str">
        <f t="shared" si="275"/>
        <v>278</v>
      </c>
    </row>
    <row r="8311" spans="1:4" x14ac:dyDescent="0.25">
      <c r="A8311" t="str">
        <f>"838945712"</f>
        <v>838945712</v>
      </c>
      <c r="B8311" t="s">
        <v>7549</v>
      </c>
      <c r="C8311">
        <v>528</v>
      </c>
      <c r="D8311" t="str">
        <f t="shared" si="275"/>
        <v>278</v>
      </c>
    </row>
    <row r="8312" spans="1:4" x14ac:dyDescent="0.25">
      <c r="A8312" t="str">
        <f>"838945713"</f>
        <v>838945713</v>
      </c>
      <c r="B8312" t="s">
        <v>7550</v>
      </c>
      <c r="C8312">
        <v>686.4</v>
      </c>
      <c r="D8312" t="str">
        <f t="shared" si="275"/>
        <v>278</v>
      </c>
    </row>
    <row r="8313" spans="1:4" x14ac:dyDescent="0.25">
      <c r="A8313" t="str">
        <f>"838945714"</f>
        <v>838945714</v>
      </c>
      <c r="B8313" t="s">
        <v>7551</v>
      </c>
      <c r="C8313">
        <v>660</v>
      </c>
      <c r="D8313" t="str">
        <f t="shared" si="275"/>
        <v>278</v>
      </c>
    </row>
    <row r="8314" spans="1:4" x14ac:dyDescent="0.25">
      <c r="A8314" t="str">
        <f>"838945715"</f>
        <v>838945715</v>
      </c>
      <c r="B8314" t="s">
        <v>7552</v>
      </c>
      <c r="C8314" s="1">
        <v>9005.7000000000007</v>
      </c>
      <c r="D8314" t="str">
        <f t="shared" si="275"/>
        <v>278</v>
      </c>
    </row>
    <row r="8315" spans="1:4" x14ac:dyDescent="0.25">
      <c r="A8315" t="str">
        <f>"838945716"</f>
        <v>838945716</v>
      </c>
      <c r="B8315" t="s">
        <v>7022</v>
      </c>
      <c r="C8315">
        <v>495</v>
      </c>
      <c r="D8315" t="str">
        <f t="shared" si="275"/>
        <v>278</v>
      </c>
    </row>
    <row r="8316" spans="1:4" x14ac:dyDescent="0.25">
      <c r="A8316" t="str">
        <f>"838945717"</f>
        <v>838945717</v>
      </c>
      <c r="B8316" t="s">
        <v>7553</v>
      </c>
      <c r="C8316" s="1">
        <v>8250</v>
      </c>
      <c r="D8316" t="str">
        <f t="shared" si="275"/>
        <v>278</v>
      </c>
    </row>
    <row r="8317" spans="1:4" x14ac:dyDescent="0.25">
      <c r="A8317" t="str">
        <f>"838945718"</f>
        <v>838945718</v>
      </c>
      <c r="B8317" t="s">
        <v>7554</v>
      </c>
      <c r="C8317">
        <v>495</v>
      </c>
      <c r="D8317" t="str">
        <f t="shared" si="275"/>
        <v>278</v>
      </c>
    </row>
    <row r="8318" spans="1:4" x14ac:dyDescent="0.25">
      <c r="A8318" t="str">
        <f>"838945719"</f>
        <v>838945719</v>
      </c>
      <c r="B8318" t="s">
        <v>7555</v>
      </c>
      <c r="C8318" s="1">
        <v>4950</v>
      </c>
      <c r="D8318" t="str">
        <f t="shared" si="275"/>
        <v>278</v>
      </c>
    </row>
    <row r="8319" spans="1:4" x14ac:dyDescent="0.25">
      <c r="A8319" t="str">
        <f>"838945720"</f>
        <v>838945720</v>
      </c>
      <c r="B8319" t="s">
        <v>7556</v>
      </c>
      <c r="C8319" s="1">
        <v>3300</v>
      </c>
      <c r="D8319" t="str">
        <f t="shared" si="275"/>
        <v>278</v>
      </c>
    </row>
    <row r="8320" spans="1:4" x14ac:dyDescent="0.25">
      <c r="A8320" t="str">
        <f>"838945721"</f>
        <v>838945721</v>
      </c>
      <c r="B8320" t="s">
        <v>7557</v>
      </c>
      <c r="C8320" s="1">
        <v>1650</v>
      </c>
      <c r="D8320" t="str">
        <f t="shared" si="275"/>
        <v>278</v>
      </c>
    </row>
    <row r="8321" spans="1:4" x14ac:dyDescent="0.25">
      <c r="A8321" t="str">
        <f>"838945722"</f>
        <v>838945722</v>
      </c>
      <c r="B8321" t="s">
        <v>7558</v>
      </c>
      <c r="C8321">
        <v>825</v>
      </c>
      <c r="D8321" t="str">
        <f t="shared" si="275"/>
        <v>278</v>
      </c>
    </row>
    <row r="8322" spans="1:4" x14ac:dyDescent="0.25">
      <c r="A8322" t="str">
        <f>"838945723"</f>
        <v>838945723</v>
      </c>
      <c r="B8322" t="s">
        <v>7559</v>
      </c>
      <c r="C8322">
        <v>825</v>
      </c>
      <c r="D8322" t="str">
        <f t="shared" si="275"/>
        <v>278</v>
      </c>
    </row>
    <row r="8323" spans="1:4" x14ac:dyDescent="0.25">
      <c r="A8323" t="str">
        <f>"838945724"</f>
        <v>838945724</v>
      </c>
      <c r="B8323" t="s">
        <v>7560</v>
      </c>
      <c r="C8323" s="1">
        <v>18150</v>
      </c>
      <c r="D8323" t="str">
        <f t="shared" si="275"/>
        <v>278</v>
      </c>
    </row>
    <row r="8324" spans="1:4" x14ac:dyDescent="0.25">
      <c r="A8324" t="str">
        <f>"838945725"</f>
        <v>838945725</v>
      </c>
      <c r="B8324" t="s">
        <v>4242</v>
      </c>
      <c r="C8324">
        <v>168.3</v>
      </c>
      <c r="D8324" t="str">
        <f t="shared" si="275"/>
        <v>278</v>
      </c>
    </row>
    <row r="8325" spans="1:4" x14ac:dyDescent="0.25">
      <c r="A8325" t="str">
        <f>"838945726"</f>
        <v>838945726</v>
      </c>
      <c r="B8325" t="s">
        <v>7561</v>
      </c>
      <c r="C8325">
        <v>214.5</v>
      </c>
      <c r="D8325" t="str">
        <f t="shared" si="275"/>
        <v>278</v>
      </c>
    </row>
    <row r="8326" spans="1:4" x14ac:dyDescent="0.25">
      <c r="A8326" t="str">
        <f>"838945727"</f>
        <v>838945727</v>
      </c>
      <c r="B8326" t="s">
        <v>7562</v>
      </c>
      <c r="C8326">
        <v>214.5</v>
      </c>
      <c r="D8326" t="str">
        <f t="shared" si="275"/>
        <v>278</v>
      </c>
    </row>
    <row r="8327" spans="1:4" x14ac:dyDescent="0.25">
      <c r="A8327" t="str">
        <f>"838945728"</f>
        <v>838945728</v>
      </c>
      <c r="B8327" t="s">
        <v>7563</v>
      </c>
      <c r="C8327">
        <v>554.4</v>
      </c>
      <c r="D8327" t="str">
        <f t="shared" si="275"/>
        <v>278</v>
      </c>
    </row>
    <row r="8328" spans="1:4" x14ac:dyDescent="0.25">
      <c r="A8328" t="str">
        <f>"838945729"</f>
        <v>838945729</v>
      </c>
      <c r="B8328" t="s">
        <v>7564</v>
      </c>
      <c r="C8328">
        <v>343.2</v>
      </c>
      <c r="D8328" t="str">
        <f t="shared" si="275"/>
        <v>278</v>
      </c>
    </row>
    <row r="8329" spans="1:4" x14ac:dyDescent="0.25">
      <c r="A8329" t="str">
        <f>"838945730"</f>
        <v>838945730</v>
      </c>
      <c r="B8329" t="s">
        <v>7565</v>
      </c>
      <c r="C8329">
        <v>343.2</v>
      </c>
      <c r="D8329" t="str">
        <f t="shared" si="275"/>
        <v>278</v>
      </c>
    </row>
    <row r="8330" spans="1:4" x14ac:dyDescent="0.25">
      <c r="A8330" t="str">
        <f>"838945731"</f>
        <v>838945731</v>
      </c>
      <c r="B8330" t="s">
        <v>7566</v>
      </c>
      <c r="C8330" s="1">
        <v>4092</v>
      </c>
      <c r="D8330" t="str">
        <f t="shared" si="275"/>
        <v>278</v>
      </c>
    </row>
    <row r="8331" spans="1:4" x14ac:dyDescent="0.25">
      <c r="A8331" t="str">
        <f>"838945732"</f>
        <v>838945732</v>
      </c>
      <c r="B8331" t="s">
        <v>7567</v>
      </c>
      <c r="C8331" s="1">
        <v>1980</v>
      </c>
      <c r="D8331" t="str">
        <f t="shared" si="275"/>
        <v>278</v>
      </c>
    </row>
    <row r="8332" spans="1:4" x14ac:dyDescent="0.25">
      <c r="A8332" t="str">
        <f>"838945733"</f>
        <v>838945733</v>
      </c>
      <c r="B8332" t="s">
        <v>7568</v>
      </c>
      <c r="C8332">
        <v>594</v>
      </c>
      <c r="D8332" t="str">
        <f t="shared" si="275"/>
        <v>278</v>
      </c>
    </row>
    <row r="8333" spans="1:4" x14ac:dyDescent="0.25">
      <c r="A8333" t="str">
        <f>"838945734"</f>
        <v>838945734</v>
      </c>
      <c r="B8333" t="s">
        <v>7569</v>
      </c>
      <c r="C8333" s="1">
        <v>4400</v>
      </c>
      <c r="D8333" t="str">
        <f t="shared" si="275"/>
        <v>278</v>
      </c>
    </row>
    <row r="8334" spans="1:4" x14ac:dyDescent="0.25">
      <c r="A8334" t="str">
        <f>"838945735"</f>
        <v>838945735</v>
      </c>
      <c r="B8334" t="s">
        <v>7570</v>
      </c>
      <c r="C8334">
        <v>101.64</v>
      </c>
      <c r="D8334" t="str">
        <f>"270"</f>
        <v>270</v>
      </c>
    </row>
    <row r="8335" spans="1:4" x14ac:dyDescent="0.25">
      <c r="A8335" t="str">
        <f>"838945736"</f>
        <v>838945736</v>
      </c>
      <c r="B8335" t="s">
        <v>7571</v>
      </c>
      <c r="C8335" s="1">
        <v>3278</v>
      </c>
      <c r="D8335" t="str">
        <f>"272"</f>
        <v>272</v>
      </c>
    </row>
    <row r="8336" spans="1:4" x14ac:dyDescent="0.25">
      <c r="A8336" t="str">
        <f>"838945737"</f>
        <v>838945737</v>
      </c>
      <c r="B8336" t="s">
        <v>7572</v>
      </c>
      <c r="C8336" s="1">
        <v>10494</v>
      </c>
      <c r="D8336" t="str">
        <f>"278"</f>
        <v>278</v>
      </c>
    </row>
    <row r="8337" spans="1:4" x14ac:dyDescent="0.25">
      <c r="A8337" t="str">
        <f>"838945738"</f>
        <v>838945738</v>
      </c>
      <c r="B8337" t="s">
        <v>7573</v>
      </c>
      <c r="C8337">
        <v>875.6</v>
      </c>
      <c r="D8337" t="str">
        <f>"272"</f>
        <v>272</v>
      </c>
    </row>
    <row r="8338" spans="1:4" x14ac:dyDescent="0.25">
      <c r="A8338" t="str">
        <f>"838945739"</f>
        <v>838945739</v>
      </c>
      <c r="B8338" t="s">
        <v>7574</v>
      </c>
      <c r="C8338">
        <v>62.26</v>
      </c>
      <c r="D8338" t="str">
        <f>"270"</f>
        <v>270</v>
      </c>
    </row>
    <row r="8339" spans="1:4" x14ac:dyDescent="0.25">
      <c r="A8339" t="str">
        <f>"838945740"</f>
        <v>838945740</v>
      </c>
      <c r="B8339" t="s">
        <v>7575</v>
      </c>
      <c r="C8339" s="1">
        <v>7425</v>
      </c>
      <c r="D8339" t="str">
        <f t="shared" ref="D8339:D8346" si="276">"278"</f>
        <v>278</v>
      </c>
    </row>
    <row r="8340" spans="1:4" x14ac:dyDescent="0.25">
      <c r="A8340" t="str">
        <f>"838945741"</f>
        <v>838945741</v>
      </c>
      <c r="B8340" t="s">
        <v>7576</v>
      </c>
      <c r="C8340" s="1">
        <v>1023</v>
      </c>
      <c r="D8340" t="str">
        <f t="shared" si="276"/>
        <v>278</v>
      </c>
    </row>
    <row r="8341" spans="1:4" x14ac:dyDescent="0.25">
      <c r="A8341" t="str">
        <f>"838945742"</f>
        <v>838945742</v>
      </c>
      <c r="B8341" t="s">
        <v>7577</v>
      </c>
      <c r="C8341" s="1">
        <v>1023</v>
      </c>
      <c r="D8341" t="str">
        <f t="shared" si="276"/>
        <v>278</v>
      </c>
    </row>
    <row r="8342" spans="1:4" x14ac:dyDescent="0.25">
      <c r="A8342" t="str">
        <f>"838945743"</f>
        <v>838945743</v>
      </c>
      <c r="B8342" t="s">
        <v>7578</v>
      </c>
      <c r="C8342">
        <v>211.2</v>
      </c>
      <c r="D8342" t="str">
        <f t="shared" si="276"/>
        <v>278</v>
      </c>
    </row>
    <row r="8343" spans="1:4" x14ac:dyDescent="0.25">
      <c r="A8343" t="str">
        <f>"838945744"</f>
        <v>838945744</v>
      </c>
      <c r="B8343" t="s">
        <v>7579</v>
      </c>
      <c r="C8343">
        <v>211.2</v>
      </c>
      <c r="D8343" t="str">
        <f t="shared" si="276"/>
        <v>278</v>
      </c>
    </row>
    <row r="8344" spans="1:4" x14ac:dyDescent="0.25">
      <c r="A8344" t="str">
        <f>"838945745"</f>
        <v>838945745</v>
      </c>
      <c r="B8344" t="s">
        <v>7580</v>
      </c>
      <c r="C8344">
        <v>211.2</v>
      </c>
      <c r="D8344" t="str">
        <f t="shared" si="276"/>
        <v>278</v>
      </c>
    </row>
    <row r="8345" spans="1:4" x14ac:dyDescent="0.25">
      <c r="A8345" t="str">
        <f>"838945746"</f>
        <v>838945746</v>
      </c>
      <c r="B8345" t="s">
        <v>7581</v>
      </c>
      <c r="C8345">
        <v>211.2</v>
      </c>
      <c r="D8345" t="str">
        <f t="shared" si="276"/>
        <v>278</v>
      </c>
    </row>
    <row r="8346" spans="1:4" x14ac:dyDescent="0.25">
      <c r="A8346" t="str">
        <f>"838945747"</f>
        <v>838945747</v>
      </c>
      <c r="B8346" t="s">
        <v>7582</v>
      </c>
      <c r="C8346" s="1">
        <v>7048.8</v>
      </c>
      <c r="D8346" t="str">
        <f t="shared" si="276"/>
        <v>278</v>
      </c>
    </row>
    <row r="8347" spans="1:4" x14ac:dyDescent="0.25">
      <c r="A8347" t="str">
        <f>"838945748"</f>
        <v>838945748</v>
      </c>
      <c r="B8347" t="s">
        <v>7583</v>
      </c>
      <c r="C8347">
        <v>638</v>
      </c>
      <c r="D8347" t="str">
        <f>"272"</f>
        <v>272</v>
      </c>
    </row>
    <row r="8348" spans="1:4" x14ac:dyDescent="0.25">
      <c r="A8348" t="str">
        <f>"838945749"</f>
        <v>838945749</v>
      </c>
      <c r="B8348" t="s">
        <v>7584</v>
      </c>
      <c r="C8348">
        <v>605</v>
      </c>
      <c r="D8348" t="str">
        <f>"272"</f>
        <v>272</v>
      </c>
    </row>
    <row r="8349" spans="1:4" x14ac:dyDescent="0.25">
      <c r="A8349" t="str">
        <f>"838945750"</f>
        <v>838945750</v>
      </c>
      <c r="B8349" t="s">
        <v>7585</v>
      </c>
      <c r="C8349" s="1">
        <v>10945</v>
      </c>
      <c r="D8349" t="str">
        <f>"272"</f>
        <v>272</v>
      </c>
    </row>
    <row r="8350" spans="1:4" x14ac:dyDescent="0.25">
      <c r="A8350" t="str">
        <f>"838945751"</f>
        <v>838945751</v>
      </c>
      <c r="B8350" t="s">
        <v>7586</v>
      </c>
      <c r="C8350">
        <v>6.82</v>
      </c>
      <c r="D8350" t="str">
        <f>"270"</f>
        <v>270</v>
      </c>
    </row>
    <row r="8351" spans="1:4" x14ac:dyDescent="0.25">
      <c r="A8351" t="str">
        <f>"838945752"</f>
        <v>838945752</v>
      </c>
      <c r="B8351" t="s">
        <v>7587</v>
      </c>
      <c r="C8351">
        <v>495</v>
      </c>
      <c r="D8351" t="str">
        <f t="shared" ref="D8351:D8357" si="277">"278"</f>
        <v>278</v>
      </c>
    </row>
    <row r="8352" spans="1:4" x14ac:dyDescent="0.25">
      <c r="A8352" t="str">
        <f>"838945753"</f>
        <v>838945753</v>
      </c>
      <c r="B8352" t="s">
        <v>7588</v>
      </c>
      <c r="C8352" s="1">
        <v>3300</v>
      </c>
      <c r="D8352" t="str">
        <f t="shared" si="277"/>
        <v>278</v>
      </c>
    </row>
    <row r="8353" spans="1:4" x14ac:dyDescent="0.25">
      <c r="A8353" t="str">
        <f>"838945754"</f>
        <v>838945754</v>
      </c>
      <c r="B8353" t="s">
        <v>7589</v>
      </c>
      <c r="C8353" s="1">
        <v>5940</v>
      </c>
      <c r="D8353" t="str">
        <f t="shared" si="277"/>
        <v>278</v>
      </c>
    </row>
    <row r="8354" spans="1:4" x14ac:dyDescent="0.25">
      <c r="A8354" t="str">
        <f>"838945755"</f>
        <v>838945755</v>
      </c>
      <c r="B8354" t="s">
        <v>7590</v>
      </c>
      <c r="C8354" s="1">
        <v>8283</v>
      </c>
      <c r="D8354" t="str">
        <f t="shared" si="277"/>
        <v>278</v>
      </c>
    </row>
    <row r="8355" spans="1:4" x14ac:dyDescent="0.25">
      <c r="A8355" t="str">
        <f>"838945756"</f>
        <v>838945756</v>
      </c>
      <c r="B8355" t="s">
        <v>7591</v>
      </c>
      <c r="C8355" s="1">
        <v>13200</v>
      </c>
      <c r="D8355" t="str">
        <f t="shared" si="277"/>
        <v>278</v>
      </c>
    </row>
    <row r="8356" spans="1:4" x14ac:dyDescent="0.25">
      <c r="A8356" t="str">
        <f>"838945757"</f>
        <v>838945757</v>
      </c>
      <c r="B8356" t="s">
        <v>7592</v>
      </c>
      <c r="C8356">
        <v>495</v>
      </c>
      <c r="D8356" t="str">
        <f t="shared" si="277"/>
        <v>278</v>
      </c>
    </row>
    <row r="8357" spans="1:4" x14ac:dyDescent="0.25">
      <c r="A8357" t="str">
        <f>"838945758"</f>
        <v>838945758</v>
      </c>
      <c r="B8357" t="s">
        <v>7593</v>
      </c>
      <c r="C8357" s="1">
        <v>9900</v>
      </c>
      <c r="D8357" t="str">
        <f t="shared" si="277"/>
        <v>278</v>
      </c>
    </row>
    <row r="8358" spans="1:4" x14ac:dyDescent="0.25">
      <c r="A8358" t="str">
        <f>"838945759"</f>
        <v>838945759</v>
      </c>
      <c r="B8358" t="s">
        <v>7594</v>
      </c>
      <c r="C8358" s="1">
        <v>2200</v>
      </c>
      <c r="D8358" t="str">
        <f>"272"</f>
        <v>272</v>
      </c>
    </row>
    <row r="8359" spans="1:4" x14ac:dyDescent="0.25">
      <c r="A8359" t="str">
        <f>"838945760"</f>
        <v>838945760</v>
      </c>
      <c r="B8359" t="s">
        <v>7595</v>
      </c>
      <c r="C8359" s="1">
        <v>2640</v>
      </c>
      <c r="D8359" t="str">
        <f t="shared" ref="D8359:D8418" si="278">"278"</f>
        <v>278</v>
      </c>
    </row>
    <row r="8360" spans="1:4" x14ac:dyDescent="0.25">
      <c r="A8360" t="str">
        <f>"838945761"</f>
        <v>838945761</v>
      </c>
      <c r="B8360" t="s">
        <v>7596</v>
      </c>
      <c r="C8360" s="1">
        <v>5940</v>
      </c>
      <c r="D8360" t="str">
        <f t="shared" si="278"/>
        <v>278</v>
      </c>
    </row>
    <row r="8361" spans="1:4" x14ac:dyDescent="0.25">
      <c r="A8361" t="str">
        <f>"838945762"</f>
        <v>838945762</v>
      </c>
      <c r="B8361" t="s">
        <v>7597</v>
      </c>
      <c r="C8361">
        <v>594</v>
      </c>
      <c r="D8361" t="str">
        <f t="shared" si="278"/>
        <v>278</v>
      </c>
    </row>
    <row r="8362" spans="1:4" x14ac:dyDescent="0.25">
      <c r="A8362" t="str">
        <f>"838945763"</f>
        <v>838945763</v>
      </c>
      <c r="B8362" t="s">
        <v>7598</v>
      </c>
      <c r="C8362">
        <v>742.5</v>
      </c>
      <c r="D8362" t="str">
        <f t="shared" si="278"/>
        <v>278</v>
      </c>
    </row>
    <row r="8363" spans="1:4" x14ac:dyDescent="0.25">
      <c r="A8363" t="str">
        <f>"838945764"</f>
        <v>838945764</v>
      </c>
      <c r="B8363" t="s">
        <v>7599</v>
      </c>
      <c r="C8363">
        <v>49.5</v>
      </c>
      <c r="D8363" t="str">
        <f t="shared" si="278"/>
        <v>278</v>
      </c>
    </row>
    <row r="8364" spans="1:4" x14ac:dyDescent="0.25">
      <c r="A8364" t="str">
        <f>"838945765"</f>
        <v>838945765</v>
      </c>
      <c r="B8364" t="s">
        <v>7600</v>
      </c>
      <c r="C8364">
        <v>33</v>
      </c>
      <c r="D8364" t="str">
        <f t="shared" si="278"/>
        <v>278</v>
      </c>
    </row>
    <row r="8365" spans="1:4" x14ac:dyDescent="0.25">
      <c r="A8365" t="str">
        <f>"838945766"</f>
        <v>838945766</v>
      </c>
      <c r="B8365" t="s">
        <v>7601</v>
      </c>
      <c r="C8365" s="1">
        <v>7920</v>
      </c>
      <c r="D8365" t="str">
        <f t="shared" si="278"/>
        <v>278</v>
      </c>
    </row>
    <row r="8366" spans="1:4" x14ac:dyDescent="0.25">
      <c r="A8366" t="str">
        <f>"838945767"</f>
        <v>838945767</v>
      </c>
      <c r="B8366" t="s">
        <v>7602</v>
      </c>
      <c r="C8366">
        <v>990</v>
      </c>
      <c r="D8366" t="str">
        <f t="shared" si="278"/>
        <v>278</v>
      </c>
    </row>
    <row r="8367" spans="1:4" x14ac:dyDescent="0.25">
      <c r="A8367" t="str">
        <f>"838945768"</f>
        <v>838945768</v>
      </c>
      <c r="B8367" t="s">
        <v>7603</v>
      </c>
      <c r="C8367" s="1">
        <v>16500</v>
      </c>
      <c r="D8367" t="str">
        <f t="shared" si="278"/>
        <v>278</v>
      </c>
    </row>
    <row r="8368" spans="1:4" x14ac:dyDescent="0.25">
      <c r="A8368" t="str">
        <f>"838945769"</f>
        <v>838945769</v>
      </c>
      <c r="B8368" t="s">
        <v>7604</v>
      </c>
      <c r="C8368" s="1">
        <v>1059.3</v>
      </c>
      <c r="D8368" t="str">
        <f t="shared" si="278"/>
        <v>278</v>
      </c>
    </row>
    <row r="8369" spans="1:4" x14ac:dyDescent="0.25">
      <c r="A8369" t="str">
        <f>"838945770"</f>
        <v>838945770</v>
      </c>
      <c r="B8369" t="s">
        <v>7605</v>
      </c>
      <c r="C8369" s="1">
        <v>1329.9</v>
      </c>
      <c r="D8369" t="str">
        <f t="shared" si="278"/>
        <v>278</v>
      </c>
    </row>
    <row r="8370" spans="1:4" x14ac:dyDescent="0.25">
      <c r="A8370" t="str">
        <f>"838945771"</f>
        <v>838945771</v>
      </c>
      <c r="B8370" t="s">
        <v>7606</v>
      </c>
      <c r="C8370" s="1">
        <v>1059.3</v>
      </c>
      <c r="D8370" t="str">
        <f t="shared" si="278"/>
        <v>278</v>
      </c>
    </row>
    <row r="8371" spans="1:4" x14ac:dyDescent="0.25">
      <c r="A8371" t="str">
        <f>"838945772"</f>
        <v>838945772</v>
      </c>
      <c r="B8371" t="s">
        <v>7607</v>
      </c>
      <c r="C8371" s="1">
        <v>1329.9</v>
      </c>
      <c r="D8371" t="str">
        <f t="shared" si="278"/>
        <v>278</v>
      </c>
    </row>
    <row r="8372" spans="1:4" x14ac:dyDescent="0.25">
      <c r="A8372" t="str">
        <f>"838945773"</f>
        <v>838945773</v>
      </c>
      <c r="B8372" t="s">
        <v>7608</v>
      </c>
      <c r="C8372" s="1">
        <v>1059.3</v>
      </c>
      <c r="D8372" t="str">
        <f t="shared" si="278"/>
        <v>278</v>
      </c>
    </row>
    <row r="8373" spans="1:4" x14ac:dyDescent="0.25">
      <c r="A8373" t="str">
        <f>"838945774"</f>
        <v>838945774</v>
      </c>
      <c r="B8373" t="s">
        <v>7609</v>
      </c>
      <c r="C8373" s="1">
        <v>1329.9</v>
      </c>
      <c r="D8373" t="str">
        <f t="shared" si="278"/>
        <v>278</v>
      </c>
    </row>
    <row r="8374" spans="1:4" x14ac:dyDescent="0.25">
      <c r="A8374" t="str">
        <f>"838945775"</f>
        <v>838945775</v>
      </c>
      <c r="B8374" t="s">
        <v>7610</v>
      </c>
      <c r="C8374">
        <v>445.5</v>
      </c>
      <c r="D8374" t="str">
        <f t="shared" si="278"/>
        <v>278</v>
      </c>
    </row>
    <row r="8375" spans="1:4" x14ac:dyDescent="0.25">
      <c r="A8375" t="str">
        <f>"838945776"</f>
        <v>838945776</v>
      </c>
      <c r="B8375" t="s">
        <v>7611</v>
      </c>
      <c r="C8375" s="1">
        <v>2369.4</v>
      </c>
      <c r="D8375" t="str">
        <f t="shared" si="278"/>
        <v>278</v>
      </c>
    </row>
    <row r="8376" spans="1:4" x14ac:dyDescent="0.25">
      <c r="A8376" t="str">
        <f>"838945777"</f>
        <v>838945777</v>
      </c>
      <c r="B8376" t="s">
        <v>7612</v>
      </c>
      <c r="C8376">
        <v>742.5</v>
      </c>
      <c r="D8376" t="str">
        <f t="shared" si="278"/>
        <v>278</v>
      </c>
    </row>
    <row r="8377" spans="1:4" x14ac:dyDescent="0.25">
      <c r="A8377" t="str">
        <f>"838945778"</f>
        <v>838945778</v>
      </c>
      <c r="B8377" t="s">
        <v>7613</v>
      </c>
      <c r="C8377">
        <v>49.5</v>
      </c>
      <c r="D8377" t="str">
        <f t="shared" si="278"/>
        <v>278</v>
      </c>
    </row>
    <row r="8378" spans="1:4" x14ac:dyDescent="0.25">
      <c r="A8378" t="str">
        <f>"838945779"</f>
        <v>838945779</v>
      </c>
      <c r="B8378" t="s">
        <v>7600</v>
      </c>
      <c r="C8378">
        <v>33</v>
      </c>
      <c r="D8378" t="str">
        <f t="shared" si="278"/>
        <v>278</v>
      </c>
    </row>
    <row r="8379" spans="1:4" x14ac:dyDescent="0.25">
      <c r="A8379" t="str">
        <f>"838945780"</f>
        <v>838945780</v>
      </c>
      <c r="B8379" t="s">
        <v>7614</v>
      </c>
      <c r="C8379" s="1">
        <v>6930</v>
      </c>
      <c r="D8379" t="str">
        <f t="shared" si="278"/>
        <v>278</v>
      </c>
    </row>
    <row r="8380" spans="1:4" x14ac:dyDescent="0.25">
      <c r="A8380" t="str">
        <f>"838945781"</f>
        <v>838945781</v>
      </c>
      <c r="B8380" t="s">
        <v>7615</v>
      </c>
      <c r="C8380" s="1">
        <v>2145</v>
      </c>
      <c r="D8380" t="str">
        <f t="shared" si="278"/>
        <v>278</v>
      </c>
    </row>
    <row r="8381" spans="1:4" x14ac:dyDescent="0.25">
      <c r="A8381" t="str">
        <f>"838945782"</f>
        <v>838945782</v>
      </c>
      <c r="B8381" t="s">
        <v>7616</v>
      </c>
      <c r="C8381" s="1">
        <v>5775</v>
      </c>
      <c r="D8381" t="str">
        <f t="shared" si="278"/>
        <v>278</v>
      </c>
    </row>
    <row r="8382" spans="1:4" x14ac:dyDescent="0.25">
      <c r="A8382" t="str">
        <f>"838945783"</f>
        <v>838945783</v>
      </c>
      <c r="B8382" t="s">
        <v>7617</v>
      </c>
      <c r="C8382" s="1">
        <v>13200</v>
      </c>
      <c r="D8382" t="str">
        <f t="shared" si="278"/>
        <v>278</v>
      </c>
    </row>
    <row r="8383" spans="1:4" x14ac:dyDescent="0.25">
      <c r="A8383" t="str">
        <f>"838945784"</f>
        <v>838945784</v>
      </c>
      <c r="B8383" t="s">
        <v>7618</v>
      </c>
      <c r="C8383" s="1">
        <v>13200</v>
      </c>
      <c r="D8383" t="str">
        <f t="shared" si="278"/>
        <v>278</v>
      </c>
    </row>
    <row r="8384" spans="1:4" x14ac:dyDescent="0.25">
      <c r="A8384" t="str">
        <f>"838945785"</f>
        <v>838945785</v>
      </c>
      <c r="B8384" t="s">
        <v>7619</v>
      </c>
      <c r="C8384" s="1">
        <v>13200</v>
      </c>
      <c r="D8384" t="str">
        <f t="shared" si="278"/>
        <v>278</v>
      </c>
    </row>
    <row r="8385" spans="1:4" x14ac:dyDescent="0.25">
      <c r="A8385" t="str">
        <f>"838945786"</f>
        <v>838945786</v>
      </c>
      <c r="B8385" t="s">
        <v>7620</v>
      </c>
      <c r="C8385" s="1">
        <v>13200</v>
      </c>
      <c r="D8385" t="str">
        <f t="shared" si="278"/>
        <v>278</v>
      </c>
    </row>
    <row r="8386" spans="1:4" x14ac:dyDescent="0.25">
      <c r="A8386" t="str">
        <f>"838945787"</f>
        <v>838945787</v>
      </c>
      <c r="B8386" t="s">
        <v>7621</v>
      </c>
      <c r="C8386" s="1">
        <v>1485</v>
      </c>
      <c r="D8386" t="str">
        <f t="shared" si="278"/>
        <v>278</v>
      </c>
    </row>
    <row r="8387" spans="1:4" x14ac:dyDescent="0.25">
      <c r="A8387" t="str">
        <f>"838945788"</f>
        <v>838945788</v>
      </c>
      <c r="B8387" t="s">
        <v>7622</v>
      </c>
      <c r="C8387" s="1">
        <v>6600</v>
      </c>
      <c r="D8387" t="str">
        <f t="shared" si="278"/>
        <v>278</v>
      </c>
    </row>
    <row r="8388" spans="1:4" x14ac:dyDescent="0.25">
      <c r="A8388" t="str">
        <f>"838945789"</f>
        <v>838945789</v>
      </c>
      <c r="B8388" t="s">
        <v>7623</v>
      </c>
      <c r="C8388">
        <v>495</v>
      </c>
      <c r="D8388" t="str">
        <f t="shared" si="278"/>
        <v>278</v>
      </c>
    </row>
    <row r="8389" spans="1:4" x14ac:dyDescent="0.25">
      <c r="A8389" t="str">
        <f>"838945790"</f>
        <v>838945790</v>
      </c>
      <c r="B8389" t="s">
        <v>7624</v>
      </c>
      <c r="C8389">
        <v>877.8</v>
      </c>
      <c r="D8389" t="str">
        <f t="shared" si="278"/>
        <v>278</v>
      </c>
    </row>
    <row r="8390" spans="1:4" x14ac:dyDescent="0.25">
      <c r="A8390" t="str">
        <f>"838945791"</f>
        <v>838945791</v>
      </c>
      <c r="B8390" t="s">
        <v>7625</v>
      </c>
      <c r="C8390">
        <v>445.5</v>
      </c>
      <c r="D8390" t="str">
        <f t="shared" si="278"/>
        <v>278</v>
      </c>
    </row>
    <row r="8391" spans="1:4" x14ac:dyDescent="0.25">
      <c r="A8391" t="str">
        <f>"838945792"</f>
        <v>838945792</v>
      </c>
      <c r="B8391" t="s">
        <v>7626</v>
      </c>
      <c r="C8391" s="1">
        <v>1329.9</v>
      </c>
      <c r="D8391" t="str">
        <f t="shared" si="278"/>
        <v>278</v>
      </c>
    </row>
    <row r="8392" spans="1:4" x14ac:dyDescent="0.25">
      <c r="A8392" t="str">
        <f>"838945793"</f>
        <v>838945793</v>
      </c>
      <c r="B8392" t="s">
        <v>7626</v>
      </c>
      <c r="C8392" s="1">
        <v>1329.9</v>
      </c>
      <c r="D8392" t="str">
        <f t="shared" si="278"/>
        <v>278</v>
      </c>
    </row>
    <row r="8393" spans="1:4" x14ac:dyDescent="0.25">
      <c r="A8393" t="str">
        <f>"838945794"</f>
        <v>838945794</v>
      </c>
      <c r="B8393" t="s">
        <v>7627</v>
      </c>
      <c r="C8393" s="1">
        <v>1399.2</v>
      </c>
      <c r="D8393" t="str">
        <f t="shared" si="278"/>
        <v>278</v>
      </c>
    </row>
    <row r="8394" spans="1:4" x14ac:dyDescent="0.25">
      <c r="A8394" t="str">
        <f>"838945795"</f>
        <v>838945795</v>
      </c>
      <c r="B8394" t="s">
        <v>7628</v>
      </c>
      <c r="C8394" s="1">
        <v>4620</v>
      </c>
      <c r="D8394" t="str">
        <f t="shared" si="278"/>
        <v>278</v>
      </c>
    </row>
    <row r="8395" spans="1:4" x14ac:dyDescent="0.25">
      <c r="A8395" t="str">
        <f>"838945796"</f>
        <v>838945796</v>
      </c>
      <c r="B8395" t="s">
        <v>7629</v>
      </c>
      <c r="C8395" s="1">
        <v>7590</v>
      </c>
      <c r="D8395" t="str">
        <f t="shared" si="278"/>
        <v>278</v>
      </c>
    </row>
    <row r="8396" spans="1:4" x14ac:dyDescent="0.25">
      <c r="A8396" t="str">
        <f>"838945797"</f>
        <v>838945797</v>
      </c>
      <c r="B8396" t="s">
        <v>7630</v>
      </c>
      <c r="C8396" s="1">
        <v>10230</v>
      </c>
      <c r="D8396" t="str">
        <f t="shared" si="278"/>
        <v>278</v>
      </c>
    </row>
    <row r="8397" spans="1:4" x14ac:dyDescent="0.25">
      <c r="A8397" t="str">
        <f>"838945798"</f>
        <v>838945798</v>
      </c>
      <c r="B8397" t="s">
        <v>7631</v>
      </c>
      <c r="C8397" s="1">
        <v>3795</v>
      </c>
      <c r="D8397" t="str">
        <f t="shared" si="278"/>
        <v>278</v>
      </c>
    </row>
    <row r="8398" spans="1:4" x14ac:dyDescent="0.25">
      <c r="A8398" t="str">
        <f>"838945799"</f>
        <v>838945799</v>
      </c>
      <c r="B8398" t="s">
        <v>7632</v>
      </c>
      <c r="C8398" s="1">
        <v>2640</v>
      </c>
      <c r="D8398" t="str">
        <f t="shared" si="278"/>
        <v>278</v>
      </c>
    </row>
    <row r="8399" spans="1:4" x14ac:dyDescent="0.25">
      <c r="A8399" t="str">
        <f>"838945800"</f>
        <v>838945800</v>
      </c>
      <c r="B8399" t="s">
        <v>7633</v>
      </c>
      <c r="C8399" s="1">
        <v>2310</v>
      </c>
      <c r="D8399" t="str">
        <f t="shared" si="278"/>
        <v>278</v>
      </c>
    </row>
    <row r="8400" spans="1:4" x14ac:dyDescent="0.25">
      <c r="A8400" t="str">
        <f>"838945801"</f>
        <v>838945801</v>
      </c>
      <c r="B8400" t="s">
        <v>7634</v>
      </c>
      <c r="C8400" s="1">
        <v>5940</v>
      </c>
      <c r="D8400" t="str">
        <f t="shared" si="278"/>
        <v>278</v>
      </c>
    </row>
    <row r="8401" spans="1:4" x14ac:dyDescent="0.25">
      <c r="A8401" t="str">
        <f>"838945802"</f>
        <v>838945802</v>
      </c>
      <c r="B8401" t="s">
        <v>7635</v>
      </c>
      <c r="C8401" s="1">
        <v>2310</v>
      </c>
      <c r="D8401" t="str">
        <f t="shared" si="278"/>
        <v>278</v>
      </c>
    </row>
    <row r="8402" spans="1:4" x14ac:dyDescent="0.25">
      <c r="A8402" t="str">
        <f>"838945803"</f>
        <v>838945803</v>
      </c>
      <c r="B8402" t="s">
        <v>7636</v>
      </c>
      <c r="C8402" s="1">
        <v>3547.5</v>
      </c>
      <c r="D8402" t="str">
        <f t="shared" si="278"/>
        <v>278</v>
      </c>
    </row>
    <row r="8403" spans="1:4" x14ac:dyDescent="0.25">
      <c r="A8403" t="str">
        <f>"838945804"</f>
        <v>838945804</v>
      </c>
      <c r="B8403" t="s">
        <v>7637</v>
      </c>
      <c r="C8403" s="1">
        <v>4933.5</v>
      </c>
      <c r="D8403" t="str">
        <f t="shared" si="278"/>
        <v>278</v>
      </c>
    </row>
    <row r="8404" spans="1:4" x14ac:dyDescent="0.25">
      <c r="A8404" t="str">
        <f>"838945805"</f>
        <v>838945805</v>
      </c>
      <c r="B8404" t="s">
        <v>7638</v>
      </c>
      <c r="C8404">
        <v>907.5</v>
      </c>
      <c r="D8404" t="str">
        <f t="shared" si="278"/>
        <v>278</v>
      </c>
    </row>
    <row r="8405" spans="1:4" x14ac:dyDescent="0.25">
      <c r="A8405" t="str">
        <f>"838945806"</f>
        <v>838945806</v>
      </c>
      <c r="B8405" t="s">
        <v>7639</v>
      </c>
      <c r="C8405" s="1">
        <v>1534.5</v>
      </c>
      <c r="D8405" t="str">
        <f t="shared" si="278"/>
        <v>278</v>
      </c>
    </row>
    <row r="8406" spans="1:4" x14ac:dyDescent="0.25">
      <c r="A8406" t="str">
        <f>"838945807"</f>
        <v>838945807</v>
      </c>
      <c r="B8406" t="s">
        <v>7640</v>
      </c>
      <c r="C8406" s="1">
        <v>1534.5</v>
      </c>
      <c r="D8406" t="str">
        <f t="shared" si="278"/>
        <v>278</v>
      </c>
    </row>
    <row r="8407" spans="1:4" x14ac:dyDescent="0.25">
      <c r="A8407" t="str">
        <f>"838945808"</f>
        <v>838945808</v>
      </c>
      <c r="B8407" t="s">
        <v>7641</v>
      </c>
      <c r="C8407">
        <v>660</v>
      </c>
      <c r="D8407" t="str">
        <f t="shared" si="278"/>
        <v>278</v>
      </c>
    </row>
    <row r="8408" spans="1:4" x14ac:dyDescent="0.25">
      <c r="A8408" t="str">
        <f>"838945809"</f>
        <v>838945809</v>
      </c>
      <c r="B8408" t="s">
        <v>7642</v>
      </c>
      <c r="C8408" s="1">
        <v>1650</v>
      </c>
      <c r="D8408" t="str">
        <f t="shared" si="278"/>
        <v>278</v>
      </c>
    </row>
    <row r="8409" spans="1:4" x14ac:dyDescent="0.25">
      <c r="A8409" t="str">
        <f>"838945810"</f>
        <v>838945810</v>
      </c>
      <c r="B8409" t="s">
        <v>7643</v>
      </c>
      <c r="C8409" s="1">
        <v>9900</v>
      </c>
      <c r="D8409" t="str">
        <f t="shared" si="278"/>
        <v>278</v>
      </c>
    </row>
    <row r="8410" spans="1:4" x14ac:dyDescent="0.25">
      <c r="A8410" t="str">
        <f>"838945811"</f>
        <v>838945811</v>
      </c>
      <c r="B8410" t="s">
        <v>7644</v>
      </c>
      <c r="C8410" s="1">
        <v>16500</v>
      </c>
      <c r="D8410" t="str">
        <f t="shared" si="278"/>
        <v>278</v>
      </c>
    </row>
    <row r="8411" spans="1:4" x14ac:dyDescent="0.25">
      <c r="A8411" t="str">
        <f>"838945812"</f>
        <v>838945812</v>
      </c>
      <c r="B8411" t="s">
        <v>7645</v>
      </c>
      <c r="C8411" s="1">
        <v>16500</v>
      </c>
      <c r="D8411" t="str">
        <f t="shared" si="278"/>
        <v>278</v>
      </c>
    </row>
    <row r="8412" spans="1:4" x14ac:dyDescent="0.25">
      <c r="A8412" t="str">
        <f>"838945813"</f>
        <v>838945813</v>
      </c>
      <c r="B8412" t="s">
        <v>7646</v>
      </c>
      <c r="C8412">
        <v>165</v>
      </c>
      <c r="D8412" t="str">
        <f t="shared" si="278"/>
        <v>278</v>
      </c>
    </row>
    <row r="8413" spans="1:4" x14ac:dyDescent="0.25">
      <c r="A8413" t="str">
        <f>"838945814"</f>
        <v>838945814</v>
      </c>
      <c r="B8413" t="s">
        <v>7647</v>
      </c>
      <c r="C8413" s="1">
        <v>16500</v>
      </c>
      <c r="D8413" t="str">
        <f t="shared" si="278"/>
        <v>278</v>
      </c>
    </row>
    <row r="8414" spans="1:4" x14ac:dyDescent="0.25">
      <c r="A8414" t="str">
        <f>"838945815"</f>
        <v>838945815</v>
      </c>
      <c r="B8414" t="s">
        <v>7648</v>
      </c>
      <c r="C8414" s="1">
        <v>2508</v>
      </c>
      <c r="D8414" t="str">
        <f t="shared" si="278"/>
        <v>278</v>
      </c>
    </row>
    <row r="8415" spans="1:4" x14ac:dyDescent="0.25">
      <c r="A8415" t="str">
        <f>"838945816"</f>
        <v>838945816</v>
      </c>
      <c r="B8415" t="s">
        <v>7649</v>
      </c>
      <c r="C8415" s="1">
        <v>2508</v>
      </c>
      <c r="D8415" t="str">
        <f t="shared" si="278"/>
        <v>278</v>
      </c>
    </row>
    <row r="8416" spans="1:4" x14ac:dyDescent="0.25">
      <c r="A8416" t="str">
        <f>"838945817"</f>
        <v>838945817</v>
      </c>
      <c r="B8416" t="s">
        <v>7650</v>
      </c>
      <c r="C8416" s="1">
        <v>2508</v>
      </c>
      <c r="D8416" t="str">
        <f t="shared" si="278"/>
        <v>278</v>
      </c>
    </row>
    <row r="8417" spans="1:4" x14ac:dyDescent="0.25">
      <c r="A8417" t="str">
        <f>"838945818"</f>
        <v>838945818</v>
      </c>
      <c r="B8417" t="s">
        <v>7651</v>
      </c>
      <c r="C8417">
        <v>165</v>
      </c>
      <c r="D8417" t="str">
        <f t="shared" si="278"/>
        <v>278</v>
      </c>
    </row>
    <row r="8418" spans="1:4" x14ac:dyDescent="0.25">
      <c r="A8418" t="str">
        <f>"838945819"</f>
        <v>838945819</v>
      </c>
      <c r="B8418" t="s">
        <v>7652</v>
      </c>
      <c r="C8418">
        <v>564.29999999999995</v>
      </c>
      <c r="D8418" t="str">
        <f t="shared" si="278"/>
        <v>278</v>
      </c>
    </row>
    <row r="8419" spans="1:4" x14ac:dyDescent="0.25">
      <c r="A8419" t="str">
        <f>"838945820"</f>
        <v>838945820</v>
      </c>
      <c r="B8419" t="s">
        <v>7653</v>
      </c>
      <c r="C8419" s="1">
        <v>2705.84</v>
      </c>
      <c r="D8419" t="str">
        <f>"270"</f>
        <v>270</v>
      </c>
    </row>
    <row r="8420" spans="1:4" x14ac:dyDescent="0.25">
      <c r="A8420" t="str">
        <f>"838945821"</f>
        <v>838945821</v>
      </c>
      <c r="B8420" t="s">
        <v>7654</v>
      </c>
      <c r="C8420">
        <v>165</v>
      </c>
      <c r="D8420" t="str">
        <f t="shared" ref="D8420:D8483" si="279">"278"</f>
        <v>278</v>
      </c>
    </row>
    <row r="8421" spans="1:4" x14ac:dyDescent="0.25">
      <c r="A8421" t="str">
        <f>"838945822"</f>
        <v>838945822</v>
      </c>
      <c r="B8421" t="s">
        <v>7655</v>
      </c>
      <c r="C8421" s="1">
        <v>9735</v>
      </c>
      <c r="D8421" t="str">
        <f t="shared" si="279"/>
        <v>278</v>
      </c>
    </row>
    <row r="8422" spans="1:4" x14ac:dyDescent="0.25">
      <c r="A8422" t="str">
        <f>"838945823"</f>
        <v>838945823</v>
      </c>
      <c r="B8422" t="s">
        <v>7656</v>
      </c>
      <c r="C8422">
        <v>567.6</v>
      </c>
      <c r="D8422" t="str">
        <f t="shared" si="279"/>
        <v>278</v>
      </c>
    </row>
    <row r="8423" spans="1:4" x14ac:dyDescent="0.25">
      <c r="A8423" t="str">
        <f>"838945824"</f>
        <v>838945824</v>
      </c>
      <c r="B8423" t="s">
        <v>7657</v>
      </c>
      <c r="C8423" s="1">
        <v>2640</v>
      </c>
      <c r="D8423" t="str">
        <f t="shared" si="279"/>
        <v>278</v>
      </c>
    </row>
    <row r="8424" spans="1:4" x14ac:dyDescent="0.25">
      <c r="A8424" t="str">
        <f>"838945825"</f>
        <v>838945825</v>
      </c>
      <c r="B8424" t="s">
        <v>7658</v>
      </c>
      <c r="C8424">
        <v>775.5</v>
      </c>
      <c r="D8424" t="str">
        <f t="shared" si="279"/>
        <v>278</v>
      </c>
    </row>
    <row r="8425" spans="1:4" x14ac:dyDescent="0.25">
      <c r="A8425" t="str">
        <f>"838945826"</f>
        <v>838945826</v>
      </c>
      <c r="B8425" t="s">
        <v>7659</v>
      </c>
      <c r="C8425">
        <v>412.5</v>
      </c>
      <c r="D8425" t="str">
        <f t="shared" si="279"/>
        <v>278</v>
      </c>
    </row>
    <row r="8426" spans="1:4" x14ac:dyDescent="0.25">
      <c r="A8426" t="str">
        <f>"838945827"</f>
        <v>838945827</v>
      </c>
      <c r="B8426" t="s">
        <v>7660</v>
      </c>
      <c r="C8426" s="1">
        <v>16500</v>
      </c>
      <c r="D8426" t="str">
        <f t="shared" si="279"/>
        <v>278</v>
      </c>
    </row>
    <row r="8427" spans="1:4" x14ac:dyDescent="0.25">
      <c r="A8427" t="str">
        <f>"838945828"</f>
        <v>838945828</v>
      </c>
      <c r="B8427" t="s">
        <v>7661</v>
      </c>
      <c r="C8427" s="1">
        <v>8184</v>
      </c>
      <c r="D8427" t="str">
        <f t="shared" si="279"/>
        <v>278</v>
      </c>
    </row>
    <row r="8428" spans="1:4" x14ac:dyDescent="0.25">
      <c r="A8428" t="str">
        <f>"838945829"</f>
        <v>838945829</v>
      </c>
      <c r="B8428" t="s">
        <v>7662</v>
      </c>
      <c r="C8428" s="1">
        <v>3960</v>
      </c>
      <c r="D8428" t="str">
        <f t="shared" si="279"/>
        <v>278</v>
      </c>
    </row>
    <row r="8429" spans="1:4" x14ac:dyDescent="0.25">
      <c r="A8429" t="str">
        <f>"838945830"</f>
        <v>838945830</v>
      </c>
      <c r="B8429" t="s">
        <v>7663</v>
      </c>
      <c r="C8429" s="1">
        <v>4785</v>
      </c>
      <c r="D8429" t="str">
        <f t="shared" si="279"/>
        <v>278</v>
      </c>
    </row>
    <row r="8430" spans="1:4" x14ac:dyDescent="0.25">
      <c r="A8430" t="str">
        <f>"838945831"</f>
        <v>838945831</v>
      </c>
      <c r="B8430" t="s">
        <v>7664</v>
      </c>
      <c r="C8430" s="1">
        <v>3052.5</v>
      </c>
      <c r="D8430" t="str">
        <f t="shared" si="279"/>
        <v>278</v>
      </c>
    </row>
    <row r="8431" spans="1:4" x14ac:dyDescent="0.25">
      <c r="A8431" t="str">
        <f>"838945832"</f>
        <v>838945832</v>
      </c>
      <c r="B8431" t="s">
        <v>7665</v>
      </c>
      <c r="C8431" s="1">
        <v>13200</v>
      </c>
      <c r="D8431" t="str">
        <f t="shared" si="279"/>
        <v>278</v>
      </c>
    </row>
    <row r="8432" spans="1:4" x14ac:dyDescent="0.25">
      <c r="A8432" t="str">
        <f>"838945833"</f>
        <v>838945833</v>
      </c>
      <c r="B8432" t="s">
        <v>7666</v>
      </c>
      <c r="C8432" s="1">
        <v>3141.6</v>
      </c>
      <c r="D8432" t="str">
        <f t="shared" si="279"/>
        <v>278</v>
      </c>
    </row>
    <row r="8433" spans="1:4" x14ac:dyDescent="0.25">
      <c r="A8433" t="str">
        <f>"838945834"</f>
        <v>838945834</v>
      </c>
      <c r="B8433" t="s">
        <v>7667</v>
      </c>
      <c r="C8433" s="1">
        <v>1056</v>
      </c>
      <c r="D8433" t="str">
        <f t="shared" si="279"/>
        <v>278</v>
      </c>
    </row>
    <row r="8434" spans="1:4" x14ac:dyDescent="0.25">
      <c r="A8434" t="str">
        <f>"838945835"</f>
        <v>838945835</v>
      </c>
      <c r="B8434" t="s">
        <v>7668</v>
      </c>
      <c r="C8434" s="1">
        <v>9345.6</v>
      </c>
      <c r="D8434" t="str">
        <f t="shared" si="279"/>
        <v>278</v>
      </c>
    </row>
    <row r="8435" spans="1:4" x14ac:dyDescent="0.25">
      <c r="A8435" t="str">
        <f>"838945836"</f>
        <v>838945836</v>
      </c>
      <c r="B8435" t="s">
        <v>7669</v>
      </c>
      <c r="C8435" s="1">
        <v>1056</v>
      </c>
      <c r="D8435" t="str">
        <f t="shared" si="279"/>
        <v>278</v>
      </c>
    </row>
    <row r="8436" spans="1:4" x14ac:dyDescent="0.25">
      <c r="A8436" t="str">
        <f>"838945837"</f>
        <v>838945837</v>
      </c>
      <c r="B8436" t="s">
        <v>7670</v>
      </c>
      <c r="C8436" s="1">
        <v>1056</v>
      </c>
      <c r="D8436" t="str">
        <f t="shared" si="279"/>
        <v>278</v>
      </c>
    </row>
    <row r="8437" spans="1:4" x14ac:dyDescent="0.25">
      <c r="A8437" t="str">
        <f>"838945838"</f>
        <v>838945838</v>
      </c>
      <c r="B8437" t="s">
        <v>7671</v>
      </c>
      <c r="C8437" s="1">
        <v>1056</v>
      </c>
      <c r="D8437" t="str">
        <f t="shared" si="279"/>
        <v>278</v>
      </c>
    </row>
    <row r="8438" spans="1:4" x14ac:dyDescent="0.25">
      <c r="A8438" t="str">
        <f>"838945839"</f>
        <v>838945839</v>
      </c>
      <c r="B8438" t="s">
        <v>7672</v>
      </c>
      <c r="C8438">
        <v>739.2</v>
      </c>
      <c r="D8438" t="str">
        <f t="shared" si="279"/>
        <v>278</v>
      </c>
    </row>
    <row r="8439" spans="1:4" x14ac:dyDescent="0.25">
      <c r="A8439" t="str">
        <f>"838945840"</f>
        <v>838945840</v>
      </c>
      <c r="B8439" t="s">
        <v>7673</v>
      </c>
      <c r="C8439" s="1">
        <v>3432</v>
      </c>
      <c r="D8439" t="str">
        <f t="shared" si="279"/>
        <v>278</v>
      </c>
    </row>
    <row r="8440" spans="1:4" x14ac:dyDescent="0.25">
      <c r="A8440" t="str">
        <f>"838945841"</f>
        <v>838945841</v>
      </c>
      <c r="B8440" t="s">
        <v>7674</v>
      </c>
      <c r="C8440">
        <v>765.6</v>
      </c>
      <c r="D8440" t="str">
        <f t="shared" si="279"/>
        <v>278</v>
      </c>
    </row>
    <row r="8441" spans="1:4" x14ac:dyDescent="0.25">
      <c r="A8441" t="str">
        <f>"838945842"</f>
        <v>838945842</v>
      </c>
      <c r="B8441" t="s">
        <v>7675</v>
      </c>
      <c r="C8441">
        <v>950.4</v>
      </c>
      <c r="D8441" t="str">
        <f t="shared" si="279"/>
        <v>278</v>
      </c>
    </row>
    <row r="8442" spans="1:4" x14ac:dyDescent="0.25">
      <c r="A8442" t="str">
        <f>"838945843"</f>
        <v>838945843</v>
      </c>
      <c r="B8442" t="s">
        <v>7676</v>
      </c>
      <c r="C8442">
        <v>580.79999999999995</v>
      </c>
      <c r="D8442" t="str">
        <f t="shared" si="279"/>
        <v>278</v>
      </c>
    </row>
    <row r="8443" spans="1:4" x14ac:dyDescent="0.25">
      <c r="A8443" t="str">
        <f>"838945844"</f>
        <v>838945844</v>
      </c>
      <c r="B8443" t="s">
        <v>7677</v>
      </c>
      <c r="C8443" s="1">
        <v>67032.899999999994</v>
      </c>
      <c r="D8443" t="str">
        <f t="shared" si="279"/>
        <v>278</v>
      </c>
    </row>
    <row r="8444" spans="1:4" x14ac:dyDescent="0.25">
      <c r="A8444" t="str">
        <f>"838945845"</f>
        <v>838945845</v>
      </c>
      <c r="B8444" t="s">
        <v>7678</v>
      </c>
      <c r="C8444" s="1">
        <v>9570</v>
      </c>
      <c r="D8444" t="str">
        <f t="shared" si="279"/>
        <v>278</v>
      </c>
    </row>
    <row r="8445" spans="1:4" x14ac:dyDescent="0.25">
      <c r="A8445" t="str">
        <f>"838945846"</f>
        <v>838945846</v>
      </c>
      <c r="B8445" t="s">
        <v>7679</v>
      </c>
      <c r="C8445" s="1">
        <v>3630</v>
      </c>
      <c r="D8445" t="str">
        <f t="shared" si="279"/>
        <v>278</v>
      </c>
    </row>
    <row r="8446" spans="1:4" x14ac:dyDescent="0.25">
      <c r="A8446" t="str">
        <f>"838945847"</f>
        <v>838945847</v>
      </c>
      <c r="B8446" t="s">
        <v>7680</v>
      </c>
      <c r="C8446">
        <v>963.6</v>
      </c>
      <c r="D8446" t="str">
        <f t="shared" si="279"/>
        <v>278</v>
      </c>
    </row>
    <row r="8447" spans="1:4" x14ac:dyDescent="0.25">
      <c r="A8447" t="str">
        <f>"838945848"</f>
        <v>838945848</v>
      </c>
      <c r="B8447" t="s">
        <v>7681</v>
      </c>
      <c r="C8447">
        <v>963.6</v>
      </c>
      <c r="D8447" t="str">
        <f t="shared" si="279"/>
        <v>278</v>
      </c>
    </row>
    <row r="8448" spans="1:4" x14ac:dyDescent="0.25">
      <c r="A8448" t="str">
        <f>"838945849"</f>
        <v>838945849</v>
      </c>
      <c r="B8448" t="s">
        <v>7682</v>
      </c>
      <c r="C8448">
        <v>963.6</v>
      </c>
      <c r="D8448" t="str">
        <f t="shared" si="279"/>
        <v>278</v>
      </c>
    </row>
    <row r="8449" spans="1:4" x14ac:dyDescent="0.25">
      <c r="A8449" t="str">
        <f>"838945850"</f>
        <v>838945850</v>
      </c>
      <c r="B8449" t="s">
        <v>7683</v>
      </c>
      <c r="C8449">
        <v>963.6</v>
      </c>
      <c r="D8449" t="str">
        <f t="shared" si="279"/>
        <v>278</v>
      </c>
    </row>
    <row r="8450" spans="1:4" x14ac:dyDescent="0.25">
      <c r="A8450" t="str">
        <f>"838945851"</f>
        <v>838945851</v>
      </c>
      <c r="B8450" t="s">
        <v>7684</v>
      </c>
      <c r="C8450" s="1">
        <v>5940</v>
      </c>
      <c r="D8450" t="str">
        <f t="shared" si="279"/>
        <v>278</v>
      </c>
    </row>
    <row r="8451" spans="1:4" x14ac:dyDescent="0.25">
      <c r="A8451" t="str">
        <f>"838945852"</f>
        <v>838945852</v>
      </c>
      <c r="B8451" t="s">
        <v>7685</v>
      </c>
      <c r="C8451">
        <v>267.3</v>
      </c>
      <c r="D8451" t="str">
        <f t="shared" si="279"/>
        <v>278</v>
      </c>
    </row>
    <row r="8452" spans="1:4" x14ac:dyDescent="0.25">
      <c r="A8452" t="str">
        <f>"838945853"</f>
        <v>838945853</v>
      </c>
      <c r="B8452" t="s">
        <v>7686</v>
      </c>
      <c r="C8452">
        <v>19.8</v>
      </c>
      <c r="D8452" t="str">
        <f t="shared" si="279"/>
        <v>278</v>
      </c>
    </row>
    <row r="8453" spans="1:4" x14ac:dyDescent="0.25">
      <c r="A8453" t="str">
        <f>"838945854"</f>
        <v>838945854</v>
      </c>
      <c r="B8453" t="s">
        <v>7687</v>
      </c>
      <c r="C8453" s="1">
        <v>1039.5</v>
      </c>
      <c r="D8453" t="str">
        <f t="shared" si="279"/>
        <v>278</v>
      </c>
    </row>
    <row r="8454" spans="1:4" x14ac:dyDescent="0.25">
      <c r="A8454" t="str">
        <f>"838945855"</f>
        <v>838945855</v>
      </c>
      <c r="B8454" t="s">
        <v>7688</v>
      </c>
      <c r="C8454" s="1">
        <v>1887.6</v>
      </c>
      <c r="D8454" t="str">
        <f t="shared" si="279"/>
        <v>278</v>
      </c>
    </row>
    <row r="8455" spans="1:4" x14ac:dyDescent="0.25">
      <c r="A8455" t="str">
        <f>"838945856"</f>
        <v>838945856</v>
      </c>
      <c r="B8455" t="s">
        <v>7689</v>
      </c>
      <c r="C8455" s="1">
        <v>1887.6</v>
      </c>
      <c r="D8455" t="str">
        <f t="shared" si="279"/>
        <v>278</v>
      </c>
    </row>
    <row r="8456" spans="1:4" x14ac:dyDescent="0.25">
      <c r="A8456" t="str">
        <f>"838945857"</f>
        <v>838945857</v>
      </c>
      <c r="B8456" t="s">
        <v>7690</v>
      </c>
      <c r="C8456">
        <v>660</v>
      </c>
      <c r="D8456" t="str">
        <f t="shared" si="279"/>
        <v>278</v>
      </c>
    </row>
    <row r="8457" spans="1:4" x14ac:dyDescent="0.25">
      <c r="A8457" t="str">
        <f>"838945858"</f>
        <v>838945858</v>
      </c>
      <c r="B8457" t="s">
        <v>7691</v>
      </c>
      <c r="C8457">
        <v>118.8</v>
      </c>
      <c r="D8457" t="str">
        <f t="shared" si="279"/>
        <v>278</v>
      </c>
    </row>
    <row r="8458" spans="1:4" x14ac:dyDescent="0.25">
      <c r="A8458" t="str">
        <f>"838945859"</f>
        <v>838945859</v>
      </c>
      <c r="B8458" t="s">
        <v>7692</v>
      </c>
      <c r="C8458">
        <v>330</v>
      </c>
      <c r="D8458" t="str">
        <f t="shared" si="279"/>
        <v>278</v>
      </c>
    </row>
    <row r="8459" spans="1:4" x14ac:dyDescent="0.25">
      <c r="A8459" t="str">
        <f>"838945860"</f>
        <v>838945860</v>
      </c>
      <c r="B8459" t="s">
        <v>7693</v>
      </c>
      <c r="C8459" s="1">
        <v>4950</v>
      </c>
      <c r="D8459" t="str">
        <f t="shared" si="279"/>
        <v>278</v>
      </c>
    </row>
    <row r="8460" spans="1:4" x14ac:dyDescent="0.25">
      <c r="A8460" t="str">
        <f>"838945861"</f>
        <v>838945861</v>
      </c>
      <c r="B8460" t="s">
        <v>7694</v>
      </c>
      <c r="C8460" s="1">
        <v>4950</v>
      </c>
      <c r="D8460" t="str">
        <f t="shared" si="279"/>
        <v>278</v>
      </c>
    </row>
    <row r="8461" spans="1:4" x14ac:dyDescent="0.25">
      <c r="A8461" t="str">
        <f>"838945862"</f>
        <v>838945862</v>
      </c>
      <c r="B8461" t="s">
        <v>7695</v>
      </c>
      <c r="C8461" s="1">
        <v>3960</v>
      </c>
      <c r="D8461" t="str">
        <f t="shared" si="279"/>
        <v>278</v>
      </c>
    </row>
    <row r="8462" spans="1:4" x14ac:dyDescent="0.25">
      <c r="A8462" t="str">
        <f>"838945863"</f>
        <v>838945863</v>
      </c>
      <c r="B8462" t="s">
        <v>7696</v>
      </c>
      <c r="C8462" s="1">
        <v>4290</v>
      </c>
      <c r="D8462" t="str">
        <f t="shared" si="279"/>
        <v>278</v>
      </c>
    </row>
    <row r="8463" spans="1:4" x14ac:dyDescent="0.25">
      <c r="A8463" t="str">
        <f>"838945864"</f>
        <v>838945864</v>
      </c>
      <c r="B8463" t="s">
        <v>7697</v>
      </c>
      <c r="C8463" s="1">
        <v>6600</v>
      </c>
      <c r="D8463" t="str">
        <f t="shared" si="279"/>
        <v>278</v>
      </c>
    </row>
    <row r="8464" spans="1:4" x14ac:dyDescent="0.25">
      <c r="A8464" t="str">
        <f>"838945865"</f>
        <v>838945865</v>
      </c>
      <c r="B8464" t="s">
        <v>7698</v>
      </c>
      <c r="C8464" s="1">
        <v>4620</v>
      </c>
      <c r="D8464" t="str">
        <f t="shared" si="279"/>
        <v>278</v>
      </c>
    </row>
    <row r="8465" spans="1:4" x14ac:dyDescent="0.25">
      <c r="A8465" t="str">
        <f>"838945866"</f>
        <v>838945866</v>
      </c>
      <c r="B8465" t="s">
        <v>4394</v>
      </c>
      <c r="C8465">
        <v>534.6</v>
      </c>
      <c r="D8465" t="str">
        <f t="shared" si="279"/>
        <v>278</v>
      </c>
    </row>
    <row r="8466" spans="1:4" x14ac:dyDescent="0.25">
      <c r="A8466" t="str">
        <f>"838945867"</f>
        <v>838945867</v>
      </c>
      <c r="B8466" t="s">
        <v>7699</v>
      </c>
      <c r="C8466" s="1">
        <v>1333.2</v>
      </c>
      <c r="D8466" t="str">
        <f t="shared" si="279"/>
        <v>278</v>
      </c>
    </row>
    <row r="8467" spans="1:4" x14ac:dyDescent="0.25">
      <c r="A8467" t="str">
        <f>"838945868"</f>
        <v>838945868</v>
      </c>
      <c r="B8467" t="s">
        <v>7700</v>
      </c>
      <c r="C8467" s="1">
        <v>5781.6</v>
      </c>
      <c r="D8467" t="str">
        <f t="shared" si="279"/>
        <v>278</v>
      </c>
    </row>
    <row r="8468" spans="1:4" x14ac:dyDescent="0.25">
      <c r="A8468" t="str">
        <f>"838945869"</f>
        <v>838945869</v>
      </c>
      <c r="B8468" t="s">
        <v>7701</v>
      </c>
      <c r="C8468" s="1">
        <v>5781.6</v>
      </c>
      <c r="D8468" t="str">
        <f t="shared" si="279"/>
        <v>278</v>
      </c>
    </row>
    <row r="8469" spans="1:4" x14ac:dyDescent="0.25">
      <c r="A8469" t="str">
        <f>"838945870"</f>
        <v>838945870</v>
      </c>
      <c r="B8469" t="s">
        <v>7702</v>
      </c>
      <c r="C8469">
        <v>742.5</v>
      </c>
      <c r="D8469" t="str">
        <f t="shared" si="279"/>
        <v>278</v>
      </c>
    </row>
    <row r="8470" spans="1:4" x14ac:dyDescent="0.25">
      <c r="A8470" t="str">
        <f>"838945871"</f>
        <v>838945871</v>
      </c>
      <c r="B8470" t="s">
        <v>7703</v>
      </c>
      <c r="C8470" s="1">
        <v>7590</v>
      </c>
      <c r="D8470" t="str">
        <f t="shared" si="279"/>
        <v>278</v>
      </c>
    </row>
    <row r="8471" spans="1:4" x14ac:dyDescent="0.25">
      <c r="A8471" t="str">
        <f>"838945872"</f>
        <v>838945872</v>
      </c>
      <c r="B8471" t="s">
        <v>7704</v>
      </c>
      <c r="C8471" s="1">
        <v>19800</v>
      </c>
      <c r="D8471" t="str">
        <f t="shared" si="279"/>
        <v>278</v>
      </c>
    </row>
    <row r="8472" spans="1:4" x14ac:dyDescent="0.25">
      <c r="A8472" t="str">
        <f>"838945873"</f>
        <v>838945873</v>
      </c>
      <c r="B8472" t="s">
        <v>7705</v>
      </c>
      <c r="C8472" s="1">
        <v>19800</v>
      </c>
      <c r="D8472" t="str">
        <f t="shared" si="279"/>
        <v>278</v>
      </c>
    </row>
    <row r="8473" spans="1:4" x14ac:dyDescent="0.25">
      <c r="A8473" t="str">
        <f>"838945874"</f>
        <v>838945874</v>
      </c>
      <c r="B8473" t="s">
        <v>7706</v>
      </c>
      <c r="C8473">
        <v>412.5</v>
      </c>
      <c r="D8473" t="str">
        <f t="shared" si="279"/>
        <v>278</v>
      </c>
    </row>
    <row r="8474" spans="1:4" x14ac:dyDescent="0.25">
      <c r="A8474" t="str">
        <f>"838945875"</f>
        <v>838945875</v>
      </c>
      <c r="B8474" t="s">
        <v>7707</v>
      </c>
      <c r="C8474">
        <v>544.5</v>
      </c>
      <c r="D8474" t="str">
        <f t="shared" si="279"/>
        <v>278</v>
      </c>
    </row>
    <row r="8475" spans="1:4" x14ac:dyDescent="0.25">
      <c r="A8475" t="str">
        <f>"838945876"</f>
        <v>838945876</v>
      </c>
      <c r="B8475" t="s">
        <v>7708</v>
      </c>
      <c r="C8475">
        <v>544.5</v>
      </c>
      <c r="D8475" t="str">
        <f t="shared" si="279"/>
        <v>278</v>
      </c>
    </row>
    <row r="8476" spans="1:4" x14ac:dyDescent="0.25">
      <c r="A8476" t="str">
        <f>"838945877"</f>
        <v>838945877</v>
      </c>
      <c r="B8476" t="s">
        <v>7709</v>
      </c>
      <c r="C8476" s="1">
        <v>10560</v>
      </c>
      <c r="D8476" t="str">
        <f t="shared" si="279"/>
        <v>278</v>
      </c>
    </row>
    <row r="8477" spans="1:4" x14ac:dyDescent="0.25">
      <c r="A8477" t="str">
        <f>"838945878"</f>
        <v>838945878</v>
      </c>
      <c r="B8477" t="s">
        <v>7710</v>
      </c>
      <c r="C8477">
        <v>594</v>
      </c>
      <c r="D8477" t="str">
        <f t="shared" si="279"/>
        <v>278</v>
      </c>
    </row>
    <row r="8478" spans="1:4" x14ac:dyDescent="0.25">
      <c r="A8478" t="str">
        <f>"838945879"</f>
        <v>838945879</v>
      </c>
      <c r="B8478" t="s">
        <v>7711</v>
      </c>
      <c r="C8478" s="1">
        <v>3342.24</v>
      </c>
      <c r="D8478" t="str">
        <f t="shared" si="279"/>
        <v>278</v>
      </c>
    </row>
    <row r="8479" spans="1:4" x14ac:dyDescent="0.25">
      <c r="A8479" t="str">
        <f>"838945880"</f>
        <v>838945880</v>
      </c>
      <c r="B8479" t="s">
        <v>7712</v>
      </c>
      <c r="C8479" s="1">
        <v>5940</v>
      </c>
      <c r="D8479" t="str">
        <f t="shared" si="279"/>
        <v>278</v>
      </c>
    </row>
    <row r="8480" spans="1:4" x14ac:dyDescent="0.25">
      <c r="A8480" t="str">
        <f>"838945881"</f>
        <v>838945881</v>
      </c>
      <c r="B8480" t="s">
        <v>7713</v>
      </c>
      <c r="C8480" s="1">
        <v>3300</v>
      </c>
      <c r="D8480" t="str">
        <f t="shared" si="279"/>
        <v>278</v>
      </c>
    </row>
    <row r="8481" spans="1:4" x14ac:dyDescent="0.25">
      <c r="A8481" t="str">
        <f>"838945882"</f>
        <v>838945882</v>
      </c>
      <c r="B8481" t="s">
        <v>7714</v>
      </c>
      <c r="C8481" s="1">
        <v>2838</v>
      </c>
      <c r="D8481" t="str">
        <f t="shared" si="279"/>
        <v>278</v>
      </c>
    </row>
    <row r="8482" spans="1:4" x14ac:dyDescent="0.25">
      <c r="A8482" t="str">
        <f>"838945884"</f>
        <v>838945884</v>
      </c>
      <c r="B8482" t="s">
        <v>7715</v>
      </c>
      <c r="C8482" s="1">
        <v>9570</v>
      </c>
      <c r="D8482" t="str">
        <f t="shared" si="279"/>
        <v>278</v>
      </c>
    </row>
    <row r="8483" spans="1:4" x14ac:dyDescent="0.25">
      <c r="A8483" t="str">
        <f>"838945993"</f>
        <v>838945993</v>
      </c>
      <c r="B8483" t="s">
        <v>7716</v>
      </c>
      <c r="C8483" s="1">
        <v>2838</v>
      </c>
      <c r="D8483" t="str">
        <f t="shared" si="279"/>
        <v>278</v>
      </c>
    </row>
    <row r="8484" spans="1:4" x14ac:dyDescent="0.25">
      <c r="A8484" t="str">
        <f>"838945994"</f>
        <v>838945994</v>
      </c>
      <c r="B8484" t="s">
        <v>7717</v>
      </c>
      <c r="C8484" s="1">
        <v>5501.1</v>
      </c>
      <c r="D8484" t="str">
        <f t="shared" ref="D8484:D8547" si="280">"278"</f>
        <v>278</v>
      </c>
    </row>
    <row r="8485" spans="1:4" x14ac:dyDescent="0.25">
      <c r="A8485" t="str">
        <f>"838945995"</f>
        <v>838945995</v>
      </c>
      <c r="B8485" t="s">
        <v>7718</v>
      </c>
      <c r="C8485" s="1">
        <v>1897.5</v>
      </c>
      <c r="D8485" t="str">
        <f t="shared" si="280"/>
        <v>278</v>
      </c>
    </row>
    <row r="8486" spans="1:4" x14ac:dyDescent="0.25">
      <c r="A8486" t="str">
        <f>"838945996"</f>
        <v>838945996</v>
      </c>
      <c r="B8486" t="s">
        <v>7719</v>
      </c>
      <c r="C8486">
        <v>742.5</v>
      </c>
      <c r="D8486" t="str">
        <f t="shared" si="280"/>
        <v>278</v>
      </c>
    </row>
    <row r="8487" spans="1:4" x14ac:dyDescent="0.25">
      <c r="A8487" t="str">
        <f>"838945997"</f>
        <v>838945997</v>
      </c>
      <c r="B8487" t="s">
        <v>7720</v>
      </c>
      <c r="C8487">
        <v>742.5</v>
      </c>
      <c r="D8487" t="str">
        <f t="shared" si="280"/>
        <v>278</v>
      </c>
    </row>
    <row r="8488" spans="1:4" x14ac:dyDescent="0.25">
      <c r="A8488" t="str">
        <f>"838945998"</f>
        <v>838945998</v>
      </c>
      <c r="B8488" t="s">
        <v>7721</v>
      </c>
      <c r="C8488">
        <v>742.5</v>
      </c>
      <c r="D8488" t="str">
        <f t="shared" si="280"/>
        <v>278</v>
      </c>
    </row>
    <row r="8489" spans="1:4" x14ac:dyDescent="0.25">
      <c r="A8489" t="str">
        <f>"838945999"</f>
        <v>838945999</v>
      </c>
      <c r="B8489" t="s">
        <v>7722</v>
      </c>
      <c r="C8489">
        <v>742.5</v>
      </c>
      <c r="D8489" t="str">
        <f t="shared" si="280"/>
        <v>278</v>
      </c>
    </row>
    <row r="8490" spans="1:4" x14ac:dyDescent="0.25">
      <c r="A8490" t="str">
        <f>"838946000"</f>
        <v>838946000</v>
      </c>
      <c r="B8490" t="s">
        <v>7723</v>
      </c>
      <c r="C8490">
        <v>742.5</v>
      </c>
      <c r="D8490" t="str">
        <f t="shared" si="280"/>
        <v>278</v>
      </c>
    </row>
    <row r="8491" spans="1:4" x14ac:dyDescent="0.25">
      <c r="A8491" t="str">
        <f>"838946001"</f>
        <v>838946001</v>
      </c>
      <c r="B8491" t="s">
        <v>7724</v>
      </c>
      <c r="C8491">
        <v>412.5</v>
      </c>
      <c r="D8491" t="str">
        <f t="shared" si="280"/>
        <v>278</v>
      </c>
    </row>
    <row r="8492" spans="1:4" x14ac:dyDescent="0.25">
      <c r="A8492" t="str">
        <f>"838946002"</f>
        <v>838946002</v>
      </c>
      <c r="B8492" t="s">
        <v>7725</v>
      </c>
      <c r="C8492">
        <v>412.5</v>
      </c>
      <c r="D8492" t="str">
        <f t="shared" si="280"/>
        <v>278</v>
      </c>
    </row>
    <row r="8493" spans="1:4" x14ac:dyDescent="0.25">
      <c r="A8493" t="str">
        <f>"838946003"</f>
        <v>838946003</v>
      </c>
      <c r="B8493" t="s">
        <v>7726</v>
      </c>
      <c r="C8493" s="1">
        <v>1188</v>
      </c>
      <c r="D8493" t="str">
        <f t="shared" si="280"/>
        <v>278</v>
      </c>
    </row>
    <row r="8494" spans="1:4" x14ac:dyDescent="0.25">
      <c r="A8494" t="str">
        <f>"838946004"</f>
        <v>838946004</v>
      </c>
      <c r="B8494" t="s">
        <v>7727</v>
      </c>
      <c r="C8494">
        <v>577.5</v>
      </c>
      <c r="D8494" t="str">
        <f t="shared" si="280"/>
        <v>278</v>
      </c>
    </row>
    <row r="8495" spans="1:4" x14ac:dyDescent="0.25">
      <c r="A8495" t="str">
        <f>"838946005"</f>
        <v>838946005</v>
      </c>
      <c r="B8495" t="s">
        <v>7728</v>
      </c>
      <c r="C8495" s="1">
        <v>4950</v>
      </c>
      <c r="D8495" t="str">
        <f t="shared" si="280"/>
        <v>278</v>
      </c>
    </row>
    <row r="8496" spans="1:4" x14ac:dyDescent="0.25">
      <c r="A8496" t="str">
        <f>"838946006"</f>
        <v>838946006</v>
      </c>
      <c r="B8496" t="s">
        <v>7729</v>
      </c>
      <c r="C8496" s="1">
        <v>5940</v>
      </c>
      <c r="D8496" t="str">
        <f t="shared" si="280"/>
        <v>278</v>
      </c>
    </row>
    <row r="8497" spans="1:4" x14ac:dyDescent="0.25">
      <c r="A8497" t="str">
        <f>"838946007"</f>
        <v>838946007</v>
      </c>
      <c r="B8497" t="s">
        <v>7730</v>
      </c>
      <c r="C8497" s="1">
        <v>4455</v>
      </c>
      <c r="D8497" t="str">
        <f t="shared" si="280"/>
        <v>278</v>
      </c>
    </row>
    <row r="8498" spans="1:4" x14ac:dyDescent="0.25">
      <c r="A8498" t="str">
        <f>"838946008"</f>
        <v>838946008</v>
      </c>
      <c r="B8498" t="s">
        <v>7731</v>
      </c>
      <c r="C8498" s="1">
        <v>2145</v>
      </c>
      <c r="D8498" t="str">
        <f t="shared" si="280"/>
        <v>278</v>
      </c>
    </row>
    <row r="8499" spans="1:4" x14ac:dyDescent="0.25">
      <c r="A8499" t="str">
        <f>"838946009"</f>
        <v>838946009</v>
      </c>
      <c r="B8499" t="s">
        <v>7732</v>
      </c>
      <c r="C8499" s="1">
        <v>2145</v>
      </c>
      <c r="D8499" t="str">
        <f t="shared" si="280"/>
        <v>278</v>
      </c>
    </row>
    <row r="8500" spans="1:4" x14ac:dyDescent="0.25">
      <c r="A8500" t="str">
        <f>"838946010"</f>
        <v>838946010</v>
      </c>
      <c r="B8500" t="s">
        <v>7733</v>
      </c>
      <c r="C8500" s="1">
        <v>4290</v>
      </c>
      <c r="D8500" t="str">
        <f t="shared" si="280"/>
        <v>278</v>
      </c>
    </row>
    <row r="8501" spans="1:4" x14ac:dyDescent="0.25">
      <c r="A8501" t="str">
        <f>"838946011"</f>
        <v>838946011</v>
      </c>
      <c r="B8501" t="s">
        <v>7734</v>
      </c>
      <c r="C8501" s="1">
        <v>16500</v>
      </c>
      <c r="D8501" t="str">
        <f t="shared" si="280"/>
        <v>278</v>
      </c>
    </row>
    <row r="8502" spans="1:4" x14ac:dyDescent="0.25">
      <c r="A8502" t="str">
        <f>"838946012"</f>
        <v>838946012</v>
      </c>
      <c r="B8502" t="s">
        <v>7735</v>
      </c>
      <c r="C8502">
        <v>298.72000000000003</v>
      </c>
      <c r="D8502" t="str">
        <f t="shared" si="280"/>
        <v>278</v>
      </c>
    </row>
    <row r="8503" spans="1:4" x14ac:dyDescent="0.25">
      <c r="A8503" t="str">
        <f>"838946013"</f>
        <v>838946013</v>
      </c>
      <c r="B8503" t="s">
        <v>7736</v>
      </c>
      <c r="C8503" s="1">
        <v>3609.54</v>
      </c>
      <c r="D8503" t="str">
        <f t="shared" si="280"/>
        <v>278</v>
      </c>
    </row>
    <row r="8504" spans="1:4" x14ac:dyDescent="0.25">
      <c r="A8504" t="str">
        <f>"838946014"</f>
        <v>838946014</v>
      </c>
      <c r="B8504" t="s">
        <v>7737</v>
      </c>
      <c r="C8504" s="1">
        <v>9570</v>
      </c>
      <c r="D8504" t="str">
        <f t="shared" si="280"/>
        <v>278</v>
      </c>
    </row>
    <row r="8505" spans="1:4" x14ac:dyDescent="0.25">
      <c r="A8505" t="str">
        <f>"838946015"</f>
        <v>838946015</v>
      </c>
      <c r="B8505" t="s">
        <v>7738</v>
      </c>
      <c r="C8505" s="1">
        <v>2145</v>
      </c>
      <c r="D8505" t="str">
        <f t="shared" si="280"/>
        <v>278</v>
      </c>
    </row>
    <row r="8506" spans="1:4" x14ac:dyDescent="0.25">
      <c r="A8506" t="str">
        <f>"838946016"</f>
        <v>838946016</v>
      </c>
      <c r="B8506" t="s">
        <v>7739</v>
      </c>
      <c r="C8506">
        <v>330</v>
      </c>
      <c r="D8506" t="str">
        <f t="shared" si="280"/>
        <v>278</v>
      </c>
    </row>
    <row r="8507" spans="1:4" x14ac:dyDescent="0.25">
      <c r="A8507" t="str">
        <f>"838946017"</f>
        <v>838946017</v>
      </c>
      <c r="B8507" t="s">
        <v>7740</v>
      </c>
      <c r="C8507">
        <v>330</v>
      </c>
      <c r="D8507" t="str">
        <f t="shared" si="280"/>
        <v>278</v>
      </c>
    </row>
    <row r="8508" spans="1:4" x14ac:dyDescent="0.25">
      <c r="A8508" t="str">
        <f>"838946018"</f>
        <v>838946018</v>
      </c>
      <c r="B8508" t="s">
        <v>7741</v>
      </c>
      <c r="C8508">
        <v>247.5</v>
      </c>
      <c r="D8508" t="str">
        <f t="shared" si="280"/>
        <v>278</v>
      </c>
    </row>
    <row r="8509" spans="1:4" x14ac:dyDescent="0.25">
      <c r="A8509" t="str">
        <f>"838946019"</f>
        <v>838946019</v>
      </c>
      <c r="B8509" t="s">
        <v>7742</v>
      </c>
      <c r="C8509" s="1">
        <v>2640</v>
      </c>
      <c r="D8509" t="str">
        <f t="shared" si="280"/>
        <v>278</v>
      </c>
    </row>
    <row r="8510" spans="1:4" x14ac:dyDescent="0.25">
      <c r="A8510" t="str">
        <f>"838946020"</f>
        <v>838946020</v>
      </c>
      <c r="B8510" t="s">
        <v>7743</v>
      </c>
      <c r="C8510" s="1">
        <v>2640</v>
      </c>
      <c r="D8510" t="str">
        <f t="shared" si="280"/>
        <v>278</v>
      </c>
    </row>
    <row r="8511" spans="1:4" x14ac:dyDescent="0.25">
      <c r="A8511" t="str">
        <f>"838946021"</f>
        <v>838946021</v>
      </c>
      <c r="B8511" t="s">
        <v>7744</v>
      </c>
      <c r="C8511" s="1">
        <v>2640</v>
      </c>
      <c r="D8511" t="str">
        <f t="shared" si="280"/>
        <v>278</v>
      </c>
    </row>
    <row r="8512" spans="1:4" x14ac:dyDescent="0.25">
      <c r="A8512" t="str">
        <f>"838946022"</f>
        <v>838946022</v>
      </c>
      <c r="B8512" t="s">
        <v>7745</v>
      </c>
      <c r="C8512">
        <v>825</v>
      </c>
      <c r="D8512" t="str">
        <f t="shared" si="280"/>
        <v>278</v>
      </c>
    </row>
    <row r="8513" spans="1:4" x14ac:dyDescent="0.25">
      <c r="A8513" t="str">
        <f>"838946023"</f>
        <v>838946023</v>
      </c>
      <c r="B8513" t="s">
        <v>7746</v>
      </c>
      <c r="C8513">
        <v>412.5</v>
      </c>
      <c r="D8513" t="str">
        <f t="shared" si="280"/>
        <v>278</v>
      </c>
    </row>
    <row r="8514" spans="1:4" x14ac:dyDescent="0.25">
      <c r="A8514" t="str">
        <f>"838946024"</f>
        <v>838946024</v>
      </c>
      <c r="B8514" t="s">
        <v>7747</v>
      </c>
      <c r="C8514" s="1">
        <v>9900</v>
      </c>
      <c r="D8514" t="str">
        <f t="shared" si="280"/>
        <v>278</v>
      </c>
    </row>
    <row r="8515" spans="1:4" x14ac:dyDescent="0.25">
      <c r="A8515" t="str">
        <f>"838946025"</f>
        <v>838946025</v>
      </c>
      <c r="B8515" t="s">
        <v>7748</v>
      </c>
      <c r="C8515">
        <v>95.54</v>
      </c>
      <c r="D8515" t="str">
        <f t="shared" si="280"/>
        <v>278</v>
      </c>
    </row>
    <row r="8516" spans="1:4" x14ac:dyDescent="0.25">
      <c r="A8516" t="str">
        <f>"838946026"</f>
        <v>838946026</v>
      </c>
      <c r="B8516" t="s">
        <v>7749</v>
      </c>
      <c r="C8516" s="1">
        <v>3217.5</v>
      </c>
      <c r="D8516" t="str">
        <f t="shared" si="280"/>
        <v>278</v>
      </c>
    </row>
    <row r="8517" spans="1:4" x14ac:dyDescent="0.25">
      <c r="A8517" t="str">
        <f>"838946027"</f>
        <v>838946027</v>
      </c>
      <c r="B8517" t="s">
        <v>7750</v>
      </c>
      <c r="C8517" s="1">
        <v>2640</v>
      </c>
      <c r="D8517" t="str">
        <f t="shared" si="280"/>
        <v>278</v>
      </c>
    </row>
    <row r="8518" spans="1:4" x14ac:dyDescent="0.25">
      <c r="A8518" t="str">
        <f>"838946028"</f>
        <v>838946028</v>
      </c>
      <c r="B8518" t="s">
        <v>7751</v>
      </c>
      <c r="C8518" s="1">
        <v>10114.5</v>
      </c>
      <c r="D8518" t="str">
        <f t="shared" si="280"/>
        <v>278</v>
      </c>
    </row>
    <row r="8519" spans="1:4" x14ac:dyDescent="0.25">
      <c r="A8519" t="str">
        <f>"838946029"</f>
        <v>838946029</v>
      </c>
      <c r="B8519" t="s">
        <v>7752</v>
      </c>
      <c r="C8519" s="1">
        <v>5632</v>
      </c>
      <c r="D8519" t="str">
        <f t="shared" si="280"/>
        <v>278</v>
      </c>
    </row>
    <row r="8520" spans="1:4" x14ac:dyDescent="0.25">
      <c r="A8520" t="str">
        <f>"838946030"</f>
        <v>838946030</v>
      </c>
      <c r="B8520" t="s">
        <v>7753</v>
      </c>
      <c r="C8520">
        <v>352</v>
      </c>
      <c r="D8520" t="str">
        <f t="shared" si="280"/>
        <v>278</v>
      </c>
    </row>
    <row r="8521" spans="1:4" x14ac:dyDescent="0.25">
      <c r="A8521" t="str">
        <f>"838946031"</f>
        <v>838946031</v>
      </c>
      <c r="B8521" t="s">
        <v>7754</v>
      </c>
      <c r="C8521">
        <v>556.6</v>
      </c>
      <c r="D8521" t="str">
        <f t="shared" si="280"/>
        <v>278</v>
      </c>
    </row>
    <row r="8522" spans="1:4" x14ac:dyDescent="0.25">
      <c r="A8522" t="str">
        <f>"838946032"</f>
        <v>838946032</v>
      </c>
      <c r="B8522" t="s">
        <v>7755</v>
      </c>
      <c r="C8522">
        <v>700.7</v>
      </c>
      <c r="D8522" t="str">
        <f t="shared" si="280"/>
        <v>278</v>
      </c>
    </row>
    <row r="8523" spans="1:4" x14ac:dyDescent="0.25">
      <c r="A8523" t="str">
        <f>"838946033"</f>
        <v>838946033</v>
      </c>
      <c r="B8523" t="s">
        <v>7756</v>
      </c>
      <c r="C8523">
        <v>821.7</v>
      </c>
      <c r="D8523" t="str">
        <f t="shared" si="280"/>
        <v>278</v>
      </c>
    </row>
    <row r="8524" spans="1:4" x14ac:dyDescent="0.25">
      <c r="A8524" t="str">
        <f>"838946034"</f>
        <v>838946034</v>
      </c>
      <c r="B8524" t="s">
        <v>7757</v>
      </c>
      <c r="C8524" s="1">
        <v>1039.5</v>
      </c>
      <c r="D8524" t="str">
        <f t="shared" si="280"/>
        <v>278</v>
      </c>
    </row>
    <row r="8525" spans="1:4" x14ac:dyDescent="0.25">
      <c r="A8525" t="str">
        <f>"838946035"</f>
        <v>838946035</v>
      </c>
      <c r="B8525" t="s">
        <v>7758</v>
      </c>
      <c r="C8525">
        <v>660</v>
      </c>
      <c r="D8525" t="str">
        <f t="shared" si="280"/>
        <v>278</v>
      </c>
    </row>
    <row r="8526" spans="1:4" x14ac:dyDescent="0.25">
      <c r="A8526" t="str">
        <f>"838946036"</f>
        <v>838946036</v>
      </c>
      <c r="B8526" t="s">
        <v>7759</v>
      </c>
      <c r="C8526">
        <v>165</v>
      </c>
      <c r="D8526" t="str">
        <f t="shared" si="280"/>
        <v>278</v>
      </c>
    </row>
    <row r="8527" spans="1:4" x14ac:dyDescent="0.25">
      <c r="A8527" t="str">
        <f>"838946037"</f>
        <v>838946037</v>
      </c>
      <c r="B8527" t="s">
        <v>7760</v>
      </c>
      <c r="C8527" s="1">
        <v>1155</v>
      </c>
      <c r="D8527" t="str">
        <f t="shared" si="280"/>
        <v>278</v>
      </c>
    </row>
    <row r="8528" spans="1:4" x14ac:dyDescent="0.25">
      <c r="A8528" t="str">
        <f>"838946038"</f>
        <v>838946038</v>
      </c>
      <c r="B8528" t="s">
        <v>7761</v>
      </c>
      <c r="C8528" s="1">
        <v>32917.5</v>
      </c>
      <c r="D8528" t="str">
        <f t="shared" si="280"/>
        <v>278</v>
      </c>
    </row>
    <row r="8529" spans="1:4" x14ac:dyDescent="0.25">
      <c r="A8529" t="str">
        <f>"838946039"</f>
        <v>838946039</v>
      </c>
      <c r="B8529" t="s">
        <v>7762</v>
      </c>
      <c r="C8529" s="1">
        <v>21120</v>
      </c>
      <c r="D8529" t="str">
        <f t="shared" si="280"/>
        <v>278</v>
      </c>
    </row>
    <row r="8530" spans="1:4" x14ac:dyDescent="0.25">
      <c r="A8530" t="str">
        <f>"838946040"</f>
        <v>838946040</v>
      </c>
      <c r="B8530" t="s">
        <v>7763</v>
      </c>
      <c r="C8530" s="1">
        <v>16252.5</v>
      </c>
      <c r="D8530" t="str">
        <f t="shared" si="280"/>
        <v>278</v>
      </c>
    </row>
    <row r="8531" spans="1:4" x14ac:dyDescent="0.25">
      <c r="A8531" t="str">
        <f>"838946041"</f>
        <v>838946041</v>
      </c>
      <c r="B8531" t="s">
        <v>7764</v>
      </c>
      <c r="C8531" s="1">
        <v>1468.5</v>
      </c>
      <c r="D8531" t="str">
        <f t="shared" si="280"/>
        <v>278</v>
      </c>
    </row>
    <row r="8532" spans="1:4" x14ac:dyDescent="0.25">
      <c r="A8532" t="str">
        <f>"838946042"</f>
        <v>838946042</v>
      </c>
      <c r="B8532" t="s">
        <v>7765</v>
      </c>
      <c r="C8532">
        <v>660</v>
      </c>
      <c r="D8532" t="str">
        <f t="shared" si="280"/>
        <v>278</v>
      </c>
    </row>
    <row r="8533" spans="1:4" x14ac:dyDescent="0.25">
      <c r="A8533" t="str">
        <f>"838946043"</f>
        <v>838946043</v>
      </c>
      <c r="B8533" t="s">
        <v>7766</v>
      </c>
      <c r="C8533">
        <v>924</v>
      </c>
      <c r="D8533" t="str">
        <f t="shared" si="280"/>
        <v>278</v>
      </c>
    </row>
    <row r="8534" spans="1:4" x14ac:dyDescent="0.25">
      <c r="A8534" t="str">
        <f>"838946044"</f>
        <v>838946044</v>
      </c>
      <c r="B8534" t="s">
        <v>7767</v>
      </c>
      <c r="C8534">
        <v>500.5</v>
      </c>
      <c r="D8534" t="str">
        <f t="shared" si="280"/>
        <v>278</v>
      </c>
    </row>
    <row r="8535" spans="1:4" x14ac:dyDescent="0.25">
      <c r="A8535" t="str">
        <f>"838946045"</f>
        <v>838946045</v>
      </c>
      <c r="B8535" t="s">
        <v>7768</v>
      </c>
      <c r="C8535" s="1">
        <v>1980</v>
      </c>
      <c r="D8535" t="str">
        <f t="shared" si="280"/>
        <v>278</v>
      </c>
    </row>
    <row r="8536" spans="1:4" x14ac:dyDescent="0.25">
      <c r="A8536" t="str">
        <f>"838946046"</f>
        <v>838946046</v>
      </c>
      <c r="B8536" t="s">
        <v>7769</v>
      </c>
      <c r="C8536">
        <v>660</v>
      </c>
      <c r="D8536" t="str">
        <f t="shared" si="280"/>
        <v>278</v>
      </c>
    </row>
    <row r="8537" spans="1:4" x14ac:dyDescent="0.25">
      <c r="A8537" t="str">
        <f>"838946047"</f>
        <v>838946047</v>
      </c>
      <c r="B8537" t="s">
        <v>7506</v>
      </c>
      <c r="C8537" s="1">
        <v>4356</v>
      </c>
      <c r="D8537" t="str">
        <f t="shared" si="280"/>
        <v>278</v>
      </c>
    </row>
    <row r="8538" spans="1:4" x14ac:dyDescent="0.25">
      <c r="A8538" t="str">
        <f>"838946048"</f>
        <v>838946048</v>
      </c>
      <c r="B8538" t="s">
        <v>7761</v>
      </c>
      <c r="C8538" s="1">
        <v>16005</v>
      </c>
      <c r="D8538" t="str">
        <f t="shared" si="280"/>
        <v>278</v>
      </c>
    </row>
    <row r="8539" spans="1:4" x14ac:dyDescent="0.25">
      <c r="A8539" t="str">
        <f>"83894639"</f>
        <v>83894639</v>
      </c>
      <c r="B8539" t="s">
        <v>7770</v>
      </c>
      <c r="C8539">
        <v>51.94</v>
      </c>
      <c r="D8539" t="str">
        <f t="shared" si="280"/>
        <v>278</v>
      </c>
    </row>
    <row r="8540" spans="1:4" x14ac:dyDescent="0.25">
      <c r="A8540" t="str">
        <f>"838946509"</f>
        <v>838946509</v>
      </c>
      <c r="B8540" t="s">
        <v>7771</v>
      </c>
      <c r="C8540">
        <v>238.33</v>
      </c>
      <c r="D8540" t="str">
        <f t="shared" si="280"/>
        <v>278</v>
      </c>
    </row>
    <row r="8541" spans="1:4" x14ac:dyDescent="0.25">
      <c r="A8541" t="str">
        <f>"838946510"</f>
        <v>838946510</v>
      </c>
      <c r="B8541" t="s">
        <v>7772</v>
      </c>
      <c r="C8541" s="1">
        <v>2640</v>
      </c>
      <c r="D8541" t="str">
        <f t="shared" si="280"/>
        <v>278</v>
      </c>
    </row>
    <row r="8542" spans="1:4" x14ac:dyDescent="0.25">
      <c r="A8542" t="str">
        <f>"838946511"</f>
        <v>838946511</v>
      </c>
      <c r="B8542" t="s">
        <v>7773</v>
      </c>
      <c r="C8542" s="1">
        <v>3135</v>
      </c>
      <c r="D8542" t="str">
        <f t="shared" si="280"/>
        <v>278</v>
      </c>
    </row>
    <row r="8543" spans="1:4" x14ac:dyDescent="0.25">
      <c r="A8543" t="str">
        <f>"838946512"</f>
        <v>838946512</v>
      </c>
      <c r="B8543" t="s">
        <v>7774</v>
      </c>
      <c r="C8543">
        <v>742.5</v>
      </c>
      <c r="D8543" t="str">
        <f t="shared" si="280"/>
        <v>278</v>
      </c>
    </row>
    <row r="8544" spans="1:4" x14ac:dyDescent="0.25">
      <c r="A8544" t="str">
        <f>"838946513"</f>
        <v>838946513</v>
      </c>
      <c r="B8544" t="s">
        <v>7775</v>
      </c>
      <c r="C8544" s="1">
        <v>1303.5</v>
      </c>
      <c r="D8544" t="str">
        <f t="shared" si="280"/>
        <v>278</v>
      </c>
    </row>
    <row r="8545" spans="1:4" x14ac:dyDescent="0.25">
      <c r="A8545" t="str">
        <f>"838946514"</f>
        <v>838946514</v>
      </c>
      <c r="B8545" t="s">
        <v>7776</v>
      </c>
      <c r="C8545" s="1">
        <v>1864.5</v>
      </c>
      <c r="D8545" t="str">
        <f t="shared" si="280"/>
        <v>278</v>
      </c>
    </row>
    <row r="8546" spans="1:4" x14ac:dyDescent="0.25">
      <c r="A8546" t="str">
        <f>"838946515"</f>
        <v>838946515</v>
      </c>
      <c r="B8546" t="s">
        <v>7777</v>
      </c>
      <c r="C8546" s="1">
        <v>6600</v>
      </c>
      <c r="D8546" t="str">
        <f t="shared" si="280"/>
        <v>278</v>
      </c>
    </row>
    <row r="8547" spans="1:4" x14ac:dyDescent="0.25">
      <c r="A8547" t="str">
        <f>"838946516"</f>
        <v>838946516</v>
      </c>
      <c r="B8547" t="s">
        <v>7778</v>
      </c>
      <c r="C8547" s="1">
        <v>16500</v>
      </c>
      <c r="D8547" t="str">
        <f t="shared" si="280"/>
        <v>278</v>
      </c>
    </row>
    <row r="8548" spans="1:4" x14ac:dyDescent="0.25">
      <c r="A8548" t="str">
        <f>"838946517"</f>
        <v>838946517</v>
      </c>
      <c r="B8548" t="s">
        <v>7779</v>
      </c>
      <c r="C8548" s="1">
        <v>5257.4</v>
      </c>
      <c r="D8548" t="str">
        <f t="shared" ref="D8548:D8611" si="281">"278"</f>
        <v>278</v>
      </c>
    </row>
    <row r="8549" spans="1:4" x14ac:dyDescent="0.25">
      <c r="A8549" t="str">
        <f>"838946518"</f>
        <v>838946518</v>
      </c>
      <c r="B8549" t="s">
        <v>7780</v>
      </c>
      <c r="C8549" s="1">
        <v>1490.54</v>
      </c>
      <c r="D8549" t="str">
        <f t="shared" si="281"/>
        <v>278</v>
      </c>
    </row>
    <row r="8550" spans="1:4" x14ac:dyDescent="0.25">
      <c r="A8550" t="str">
        <f>"838946519"</f>
        <v>838946519</v>
      </c>
      <c r="B8550" t="s">
        <v>7781</v>
      </c>
      <c r="C8550" s="1">
        <v>35451.72</v>
      </c>
      <c r="D8550" t="str">
        <f t="shared" si="281"/>
        <v>278</v>
      </c>
    </row>
    <row r="8551" spans="1:4" x14ac:dyDescent="0.25">
      <c r="A8551" t="str">
        <f>"838946520"</f>
        <v>838946520</v>
      </c>
      <c r="B8551" t="s">
        <v>7782</v>
      </c>
      <c r="C8551" s="1">
        <v>8840.34</v>
      </c>
      <c r="D8551" t="str">
        <f t="shared" si="281"/>
        <v>278</v>
      </c>
    </row>
    <row r="8552" spans="1:4" x14ac:dyDescent="0.25">
      <c r="A8552" t="str">
        <f>"838946521"</f>
        <v>838946521</v>
      </c>
      <c r="B8552" t="s">
        <v>7783</v>
      </c>
      <c r="C8552">
        <v>165</v>
      </c>
      <c r="D8552" t="str">
        <f t="shared" si="281"/>
        <v>278</v>
      </c>
    </row>
    <row r="8553" spans="1:4" x14ac:dyDescent="0.25">
      <c r="A8553" t="str">
        <f>"838946522"</f>
        <v>838946522</v>
      </c>
      <c r="B8553" t="s">
        <v>7784</v>
      </c>
      <c r="C8553" s="1">
        <v>8184</v>
      </c>
      <c r="D8553" t="str">
        <f t="shared" si="281"/>
        <v>278</v>
      </c>
    </row>
    <row r="8554" spans="1:4" x14ac:dyDescent="0.25">
      <c r="A8554" t="str">
        <f>"838946523"</f>
        <v>838946523</v>
      </c>
      <c r="B8554" t="s">
        <v>7785</v>
      </c>
      <c r="C8554">
        <v>976.8</v>
      </c>
      <c r="D8554" t="str">
        <f t="shared" si="281"/>
        <v>278</v>
      </c>
    </row>
    <row r="8555" spans="1:4" x14ac:dyDescent="0.25">
      <c r="A8555" t="str">
        <f>"838946524"</f>
        <v>838946524</v>
      </c>
      <c r="B8555" t="s">
        <v>7786</v>
      </c>
      <c r="C8555" s="1">
        <v>3273.6</v>
      </c>
      <c r="D8555" t="str">
        <f t="shared" si="281"/>
        <v>278</v>
      </c>
    </row>
    <row r="8556" spans="1:4" x14ac:dyDescent="0.25">
      <c r="A8556" t="str">
        <f>"838946525"</f>
        <v>838946525</v>
      </c>
      <c r="B8556" t="s">
        <v>7787</v>
      </c>
      <c r="C8556" s="1">
        <v>4785</v>
      </c>
      <c r="D8556" t="str">
        <f t="shared" si="281"/>
        <v>278</v>
      </c>
    </row>
    <row r="8557" spans="1:4" x14ac:dyDescent="0.25">
      <c r="A8557" t="str">
        <f>"838946526"</f>
        <v>838946526</v>
      </c>
      <c r="B8557" t="s">
        <v>7788</v>
      </c>
      <c r="C8557">
        <v>792</v>
      </c>
      <c r="D8557" t="str">
        <f t="shared" si="281"/>
        <v>278</v>
      </c>
    </row>
    <row r="8558" spans="1:4" x14ac:dyDescent="0.25">
      <c r="A8558" t="str">
        <f>"838946527"</f>
        <v>838946527</v>
      </c>
      <c r="B8558" t="s">
        <v>7789</v>
      </c>
      <c r="C8558" s="1">
        <v>6336</v>
      </c>
      <c r="D8558" t="str">
        <f t="shared" si="281"/>
        <v>278</v>
      </c>
    </row>
    <row r="8559" spans="1:4" x14ac:dyDescent="0.25">
      <c r="A8559" t="str">
        <f>"838946528"</f>
        <v>838946528</v>
      </c>
      <c r="B8559" t="s">
        <v>7790</v>
      </c>
      <c r="C8559">
        <v>792</v>
      </c>
      <c r="D8559" t="str">
        <f t="shared" si="281"/>
        <v>278</v>
      </c>
    </row>
    <row r="8560" spans="1:4" x14ac:dyDescent="0.25">
      <c r="A8560" t="str">
        <f>"838946529"</f>
        <v>838946529</v>
      </c>
      <c r="B8560" t="s">
        <v>7791</v>
      </c>
      <c r="C8560">
        <v>151.80000000000001</v>
      </c>
      <c r="D8560" t="str">
        <f t="shared" si="281"/>
        <v>278</v>
      </c>
    </row>
    <row r="8561" spans="1:4" x14ac:dyDescent="0.25">
      <c r="A8561" t="str">
        <f>"838946530"</f>
        <v>838946530</v>
      </c>
      <c r="B8561" t="s">
        <v>7792</v>
      </c>
      <c r="C8561">
        <v>554.4</v>
      </c>
      <c r="D8561" t="str">
        <f t="shared" si="281"/>
        <v>278</v>
      </c>
    </row>
    <row r="8562" spans="1:4" x14ac:dyDescent="0.25">
      <c r="A8562" t="str">
        <f>"838946531"</f>
        <v>838946531</v>
      </c>
      <c r="B8562" t="s">
        <v>7793</v>
      </c>
      <c r="C8562">
        <v>580.79999999999995</v>
      </c>
      <c r="D8562" t="str">
        <f t="shared" si="281"/>
        <v>278</v>
      </c>
    </row>
    <row r="8563" spans="1:4" x14ac:dyDescent="0.25">
      <c r="A8563" t="str">
        <f>"838946532"</f>
        <v>838946532</v>
      </c>
      <c r="B8563" t="s">
        <v>7794</v>
      </c>
      <c r="C8563">
        <v>871.2</v>
      </c>
      <c r="D8563" t="str">
        <f t="shared" si="281"/>
        <v>278</v>
      </c>
    </row>
    <row r="8564" spans="1:4" x14ac:dyDescent="0.25">
      <c r="A8564" t="str">
        <f>"838946533"</f>
        <v>838946533</v>
      </c>
      <c r="B8564" t="s">
        <v>7795</v>
      </c>
      <c r="C8564">
        <v>871.2</v>
      </c>
      <c r="D8564" t="str">
        <f t="shared" si="281"/>
        <v>278</v>
      </c>
    </row>
    <row r="8565" spans="1:4" x14ac:dyDescent="0.25">
      <c r="A8565" t="str">
        <f>"838946534"</f>
        <v>838946534</v>
      </c>
      <c r="B8565" t="s">
        <v>7796</v>
      </c>
      <c r="C8565">
        <v>871.2</v>
      </c>
      <c r="D8565" t="str">
        <f t="shared" si="281"/>
        <v>278</v>
      </c>
    </row>
    <row r="8566" spans="1:4" x14ac:dyDescent="0.25">
      <c r="A8566" t="str">
        <f>"838946535"</f>
        <v>838946535</v>
      </c>
      <c r="B8566" t="s">
        <v>7797</v>
      </c>
      <c r="C8566">
        <v>871.2</v>
      </c>
      <c r="D8566" t="str">
        <f t="shared" si="281"/>
        <v>278</v>
      </c>
    </row>
    <row r="8567" spans="1:4" x14ac:dyDescent="0.25">
      <c r="A8567" t="str">
        <f>"838946536"</f>
        <v>838946536</v>
      </c>
      <c r="B8567" t="s">
        <v>7798</v>
      </c>
      <c r="C8567">
        <v>871.2</v>
      </c>
      <c r="D8567" t="str">
        <f t="shared" si="281"/>
        <v>278</v>
      </c>
    </row>
    <row r="8568" spans="1:4" x14ac:dyDescent="0.25">
      <c r="A8568" t="str">
        <f>"838946537"</f>
        <v>838946537</v>
      </c>
      <c r="B8568" t="s">
        <v>4135</v>
      </c>
      <c r="C8568">
        <v>255.2</v>
      </c>
      <c r="D8568" t="str">
        <f t="shared" si="281"/>
        <v>278</v>
      </c>
    </row>
    <row r="8569" spans="1:4" x14ac:dyDescent="0.25">
      <c r="A8569" t="str">
        <f>"838946538"</f>
        <v>838946538</v>
      </c>
      <c r="B8569" t="s">
        <v>7799</v>
      </c>
      <c r="C8569" s="1">
        <v>7128</v>
      </c>
      <c r="D8569" t="str">
        <f t="shared" si="281"/>
        <v>278</v>
      </c>
    </row>
    <row r="8570" spans="1:4" x14ac:dyDescent="0.25">
      <c r="A8570" t="str">
        <f>"838946539"</f>
        <v>838946539</v>
      </c>
      <c r="B8570" t="s">
        <v>7800</v>
      </c>
      <c r="C8570">
        <v>475.2</v>
      </c>
      <c r="D8570" t="str">
        <f t="shared" si="281"/>
        <v>278</v>
      </c>
    </row>
    <row r="8571" spans="1:4" x14ac:dyDescent="0.25">
      <c r="A8571" t="str">
        <f>"838946540"</f>
        <v>838946540</v>
      </c>
      <c r="B8571" t="s">
        <v>7801</v>
      </c>
      <c r="C8571">
        <v>184.8</v>
      </c>
      <c r="D8571" t="str">
        <f t="shared" si="281"/>
        <v>278</v>
      </c>
    </row>
    <row r="8572" spans="1:4" x14ac:dyDescent="0.25">
      <c r="A8572" t="str">
        <f>"838946541"</f>
        <v>838946541</v>
      </c>
      <c r="B8572" t="s">
        <v>7802</v>
      </c>
      <c r="C8572" s="1">
        <v>31271.63</v>
      </c>
      <c r="D8572" t="str">
        <f t="shared" si="281"/>
        <v>278</v>
      </c>
    </row>
    <row r="8573" spans="1:4" x14ac:dyDescent="0.25">
      <c r="A8573" t="str">
        <f>"838946542"</f>
        <v>838946542</v>
      </c>
      <c r="B8573" t="s">
        <v>7803</v>
      </c>
      <c r="C8573" s="1">
        <v>20361.830000000002</v>
      </c>
      <c r="D8573" t="str">
        <f t="shared" si="281"/>
        <v>278</v>
      </c>
    </row>
    <row r="8574" spans="1:4" x14ac:dyDescent="0.25">
      <c r="A8574" t="str">
        <f>"838946543"</f>
        <v>838946543</v>
      </c>
      <c r="B8574" t="s">
        <v>7762</v>
      </c>
      <c r="C8574" s="1">
        <v>14577.75</v>
      </c>
      <c r="D8574" t="str">
        <f t="shared" si="281"/>
        <v>278</v>
      </c>
    </row>
    <row r="8575" spans="1:4" x14ac:dyDescent="0.25">
      <c r="A8575" t="str">
        <f>"838946544"</f>
        <v>838946544</v>
      </c>
      <c r="B8575" t="s">
        <v>7804</v>
      </c>
      <c r="C8575" s="1">
        <v>15596.63</v>
      </c>
      <c r="D8575" t="str">
        <f t="shared" si="281"/>
        <v>278</v>
      </c>
    </row>
    <row r="8576" spans="1:4" x14ac:dyDescent="0.25">
      <c r="A8576" t="str">
        <f>"838946545"</f>
        <v>838946545</v>
      </c>
      <c r="B8576" t="s">
        <v>7805</v>
      </c>
      <c r="C8576" s="1">
        <v>2475</v>
      </c>
      <c r="D8576" t="str">
        <f t="shared" si="281"/>
        <v>278</v>
      </c>
    </row>
    <row r="8577" spans="1:4" x14ac:dyDescent="0.25">
      <c r="A8577" t="str">
        <f>"838946546"</f>
        <v>838946546</v>
      </c>
      <c r="B8577" t="s">
        <v>7806</v>
      </c>
      <c r="C8577" s="1">
        <v>13200</v>
      </c>
      <c r="D8577" t="str">
        <f t="shared" si="281"/>
        <v>278</v>
      </c>
    </row>
    <row r="8578" spans="1:4" x14ac:dyDescent="0.25">
      <c r="A8578" t="str">
        <f>"838946547"</f>
        <v>838946547</v>
      </c>
      <c r="B8578" t="s">
        <v>7807</v>
      </c>
      <c r="C8578" s="1">
        <v>1237.5</v>
      </c>
      <c r="D8578" t="str">
        <f t="shared" si="281"/>
        <v>278</v>
      </c>
    </row>
    <row r="8579" spans="1:4" x14ac:dyDescent="0.25">
      <c r="A8579" t="str">
        <f>"838946548"</f>
        <v>838946548</v>
      </c>
      <c r="B8579" t="s">
        <v>7808</v>
      </c>
      <c r="C8579" s="1">
        <v>1650</v>
      </c>
      <c r="D8579" t="str">
        <f t="shared" si="281"/>
        <v>278</v>
      </c>
    </row>
    <row r="8580" spans="1:4" x14ac:dyDescent="0.25">
      <c r="A8580" t="str">
        <f>"838946549"</f>
        <v>838946549</v>
      </c>
      <c r="B8580" t="s">
        <v>7809</v>
      </c>
      <c r="C8580" s="1">
        <v>2640</v>
      </c>
      <c r="D8580" t="str">
        <f t="shared" si="281"/>
        <v>278</v>
      </c>
    </row>
    <row r="8581" spans="1:4" x14ac:dyDescent="0.25">
      <c r="A8581" t="str">
        <f>"838946550"</f>
        <v>838946550</v>
      </c>
      <c r="B8581" t="s">
        <v>7810</v>
      </c>
      <c r="C8581">
        <v>990</v>
      </c>
      <c r="D8581" t="str">
        <f t="shared" si="281"/>
        <v>278</v>
      </c>
    </row>
    <row r="8582" spans="1:4" x14ac:dyDescent="0.25">
      <c r="A8582" t="str">
        <f>"838946551"</f>
        <v>838946551</v>
      </c>
      <c r="B8582" t="s">
        <v>7811</v>
      </c>
      <c r="C8582">
        <v>990</v>
      </c>
      <c r="D8582" t="str">
        <f t="shared" si="281"/>
        <v>278</v>
      </c>
    </row>
    <row r="8583" spans="1:4" x14ac:dyDescent="0.25">
      <c r="A8583" t="str">
        <f>"838946552"</f>
        <v>838946552</v>
      </c>
      <c r="B8583" t="s">
        <v>7812</v>
      </c>
      <c r="C8583">
        <v>412.5</v>
      </c>
      <c r="D8583" t="str">
        <f t="shared" si="281"/>
        <v>278</v>
      </c>
    </row>
    <row r="8584" spans="1:4" x14ac:dyDescent="0.25">
      <c r="A8584" t="str">
        <f>"838946553"</f>
        <v>838946553</v>
      </c>
      <c r="B8584" t="s">
        <v>7813</v>
      </c>
      <c r="C8584" s="1">
        <v>1485</v>
      </c>
      <c r="D8584" t="str">
        <f t="shared" si="281"/>
        <v>278</v>
      </c>
    </row>
    <row r="8585" spans="1:4" x14ac:dyDescent="0.25">
      <c r="A8585" t="str">
        <f>"838946554"</f>
        <v>838946554</v>
      </c>
      <c r="B8585" t="s">
        <v>7814</v>
      </c>
      <c r="C8585">
        <v>495</v>
      </c>
      <c r="D8585" t="str">
        <f t="shared" si="281"/>
        <v>278</v>
      </c>
    </row>
    <row r="8586" spans="1:4" x14ac:dyDescent="0.25">
      <c r="A8586" t="str">
        <f>"838946555"</f>
        <v>838946555</v>
      </c>
      <c r="B8586" t="s">
        <v>7815</v>
      </c>
      <c r="C8586" s="1">
        <v>3465</v>
      </c>
      <c r="D8586" t="str">
        <f t="shared" si="281"/>
        <v>278</v>
      </c>
    </row>
    <row r="8587" spans="1:4" x14ac:dyDescent="0.25">
      <c r="A8587" t="str">
        <f>"838946556"</f>
        <v>838946556</v>
      </c>
      <c r="B8587" t="s">
        <v>7816</v>
      </c>
      <c r="C8587">
        <v>68.430000000000007</v>
      </c>
      <c r="D8587" t="str">
        <f t="shared" si="281"/>
        <v>278</v>
      </c>
    </row>
    <row r="8588" spans="1:4" x14ac:dyDescent="0.25">
      <c r="A8588" t="str">
        <f>"838946557"</f>
        <v>838946557</v>
      </c>
      <c r="B8588" t="s">
        <v>7817</v>
      </c>
      <c r="C8588">
        <v>858</v>
      </c>
      <c r="D8588" t="str">
        <f t="shared" si="281"/>
        <v>278</v>
      </c>
    </row>
    <row r="8589" spans="1:4" x14ac:dyDescent="0.25">
      <c r="A8589" t="str">
        <f>"838946558"</f>
        <v>838946558</v>
      </c>
      <c r="B8589" t="s">
        <v>7818</v>
      </c>
      <c r="C8589">
        <v>858</v>
      </c>
      <c r="D8589" t="str">
        <f t="shared" si="281"/>
        <v>278</v>
      </c>
    </row>
    <row r="8590" spans="1:4" x14ac:dyDescent="0.25">
      <c r="A8590" t="str">
        <f>"838946559"</f>
        <v>838946559</v>
      </c>
      <c r="B8590" t="s">
        <v>7819</v>
      </c>
      <c r="C8590">
        <v>875.16</v>
      </c>
      <c r="D8590" t="str">
        <f t="shared" si="281"/>
        <v>278</v>
      </c>
    </row>
    <row r="8591" spans="1:4" x14ac:dyDescent="0.25">
      <c r="A8591" t="str">
        <f>"838946560"</f>
        <v>838946560</v>
      </c>
      <c r="B8591" t="s">
        <v>7820</v>
      </c>
      <c r="C8591" s="1">
        <v>1320</v>
      </c>
      <c r="D8591" t="str">
        <f t="shared" si="281"/>
        <v>278</v>
      </c>
    </row>
    <row r="8592" spans="1:4" x14ac:dyDescent="0.25">
      <c r="A8592" t="str">
        <f>"838946561"</f>
        <v>838946561</v>
      </c>
      <c r="B8592" t="s">
        <v>7821</v>
      </c>
      <c r="C8592">
        <v>330</v>
      </c>
      <c r="D8592" t="str">
        <f t="shared" si="281"/>
        <v>278</v>
      </c>
    </row>
    <row r="8593" spans="1:4" x14ac:dyDescent="0.25">
      <c r="A8593" t="str">
        <f>"838946562"</f>
        <v>838946562</v>
      </c>
      <c r="B8593" t="s">
        <v>7822</v>
      </c>
      <c r="C8593" s="1">
        <v>2640</v>
      </c>
      <c r="D8593" t="str">
        <f t="shared" si="281"/>
        <v>278</v>
      </c>
    </row>
    <row r="8594" spans="1:4" x14ac:dyDescent="0.25">
      <c r="A8594" t="str">
        <f>"838946563"</f>
        <v>838946563</v>
      </c>
      <c r="B8594" t="s">
        <v>7823</v>
      </c>
      <c r="C8594" s="1">
        <v>1155</v>
      </c>
      <c r="D8594" t="str">
        <f t="shared" si="281"/>
        <v>278</v>
      </c>
    </row>
    <row r="8595" spans="1:4" x14ac:dyDescent="0.25">
      <c r="A8595" t="str">
        <f>"838946564"</f>
        <v>838946564</v>
      </c>
      <c r="B8595" t="s">
        <v>2249</v>
      </c>
      <c r="C8595">
        <v>165</v>
      </c>
      <c r="D8595" t="str">
        <f t="shared" si="281"/>
        <v>278</v>
      </c>
    </row>
    <row r="8596" spans="1:4" x14ac:dyDescent="0.25">
      <c r="A8596" t="str">
        <f>"838946565"</f>
        <v>838946565</v>
      </c>
      <c r="B8596" t="s">
        <v>7824</v>
      </c>
      <c r="C8596">
        <v>660</v>
      </c>
      <c r="D8596" t="str">
        <f t="shared" si="281"/>
        <v>278</v>
      </c>
    </row>
    <row r="8597" spans="1:4" x14ac:dyDescent="0.25">
      <c r="A8597" t="str">
        <f>"838946566"</f>
        <v>838946566</v>
      </c>
      <c r="B8597" t="s">
        <v>7825</v>
      </c>
      <c r="C8597" s="1">
        <v>1650</v>
      </c>
      <c r="D8597" t="str">
        <f t="shared" si="281"/>
        <v>278</v>
      </c>
    </row>
    <row r="8598" spans="1:4" x14ac:dyDescent="0.25">
      <c r="A8598" t="str">
        <f>"838946567"</f>
        <v>838946567</v>
      </c>
      <c r="B8598" t="s">
        <v>7826</v>
      </c>
      <c r="C8598" s="1">
        <v>3283.5</v>
      </c>
      <c r="D8598" t="str">
        <f t="shared" si="281"/>
        <v>278</v>
      </c>
    </row>
    <row r="8599" spans="1:4" x14ac:dyDescent="0.25">
      <c r="A8599" t="str">
        <f>"838946568"</f>
        <v>838946568</v>
      </c>
      <c r="B8599" t="s">
        <v>7827</v>
      </c>
      <c r="C8599" s="1">
        <v>11225.78</v>
      </c>
      <c r="D8599" t="str">
        <f t="shared" si="281"/>
        <v>278</v>
      </c>
    </row>
    <row r="8600" spans="1:4" x14ac:dyDescent="0.25">
      <c r="A8600" t="str">
        <f>"838946569"</f>
        <v>838946569</v>
      </c>
      <c r="B8600" t="s">
        <v>7828</v>
      </c>
      <c r="C8600" s="1">
        <v>18885.080000000002</v>
      </c>
      <c r="D8600" t="str">
        <f t="shared" si="281"/>
        <v>278</v>
      </c>
    </row>
    <row r="8601" spans="1:4" x14ac:dyDescent="0.25">
      <c r="A8601" t="str">
        <f>"838946570"</f>
        <v>838946570</v>
      </c>
      <c r="B8601" t="s">
        <v>7829</v>
      </c>
      <c r="C8601" s="1">
        <v>7577.63</v>
      </c>
      <c r="D8601" t="str">
        <f t="shared" si="281"/>
        <v>278</v>
      </c>
    </row>
    <row r="8602" spans="1:4" x14ac:dyDescent="0.25">
      <c r="A8602" t="str">
        <f>"838946571"</f>
        <v>838946571</v>
      </c>
      <c r="B8602" t="s">
        <v>7830</v>
      </c>
      <c r="C8602" s="1">
        <v>1057.29</v>
      </c>
      <c r="D8602" t="str">
        <f t="shared" si="281"/>
        <v>278</v>
      </c>
    </row>
    <row r="8603" spans="1:4" x14ac:dyDescent="0.25">
      <c r="A8603" t="str">
        <f>"838946572"</f>
        <v>838946572</v>
      </c>
      <c r="B8603" t="s">
        <v>7831</v>
      </c>
      <c r="C8603" s="1">
        <v>1186.71</v>
      </c>
      <c r="D8603" t="str">
        <f t="shared" si="281"/>
        <v>278</v>
      </c>
    </row>
    <row r="8604" spans="1:4" x14ac:dyDescent="0.25">
      <c r="A8604" t="str">
        <f>"838946573"</f>
        <v>838946573</v>
      </c>
      <c r="B8604" t="s">
        <v>7832</v>
      </c>
      <c r="C8604" s="1">
        <v>6006</v>
      </c>
      <c r="D8604" t="str">
        <f t="shared" si="281"/>
        <v>278</v>
      </c>
    </row>
    <row r="8605" spans="1:4" x14ac:dyDescent="0.25">
      <c r="A8605" t="str">
        <f>"838946574"</f>
        <v>838946574</v>
      </c>
      <c r="B8605" t="s">
        <v>7833</v>
      </c>
      <c r="C8605" s="1">
        <v>1166</v>
      </c>
      <c r="D8605" t="str">
        <f t="shared" si="281"/>
        <v>278</v>
      </c>
    </row>
    <row r="8606" spans="1:4" x14ac:dyDescent="0.25">
      <c r="A8606" t="str">
        <f>"838946575"</f>
        <v>838946575</v>
      </c>
      <c r="B8606" t="s">
        <v>7834</v>
      </c>
      <c r="C8606">
        <v>707.26</v>
      </c>
      <c r="D8606" t="str">
        <f t="shared" si="281"/>
        <v>278</v>
      </c>
    </row>
    <row r="8607" spans="1:4" x14ac:dyDescent="0.25">
      <c r="A8607" t="str">
        <f>"838946576"</f>
        <v>838946576</v>
      </c>
      <c r="B8607" t="s">
        <v>7835</v>
      </c>
      <c r="C8607" s="1">
        <v>3448.5</v>
      </c>
      <c r="D8607" t="str">
        <f t="shared" si="281"/>
        <v>278</v>
      </c>
    </row>
    <row r="8608" spans="1:4" x14ac:dyDescent="0.25">
      <c r="A8608" t="str">
        <f>"838946577"</f>
        <v>838946577</v>
      </c>
      <c r="B8608" t="s">
        <v>7836</v>
      </c>
      <c r="C8608" s="1">
        <v>3620.1</v>
      </c>
      <c r="D8608" t="str">
        <f t="shared" si="281"/>
        <v>278</v>
      </c>
    </row>
    <row r="8609" spans="1:4" x14ac:dyDescent="0.25">
      <c r="A8609" t="str">
        <f>"838946578"</f>
        <v>838946578</v>
      </c>
      <c r="B8609" t="s">
        <v>7837</v>
      </c>
      <c r="C8609">
        <v>330</v>
      </c>
      <c r="D8609" t="str">
        <f t="shared" si="281"/>
        <v>278</v>
      </c>
    </row>
    <row r="8610" spans="1:4" x14ac:dyDescent="0.25">
      <c r="A8610" t="str">
        <f>"838946579"</f>
        <v>838946579</v>
      </c>
      <c r="B8610" t="s">
        <v>7838</v>
      </c>
      <c r="C8610">
        <v>495</v>
      </c>
      <c r="D8610" t="str">
        <f t="shared" si="281"/>
        <v>278</v>
      </c>
    </row>
    <row r="8611" spans="1:4" x14ac:dyDescent="0.25">
      <c r="A8611" t="str">
        <f>"838946580"</f>
        <v>838946580</v>
      </c>
      <c r="B8611" t="s">
        <v>7839</v>
      </c>
      <c r="C8611" s="1">
        <v>13200</v>
      </c>
      <c r="D8611" t="str">
        <f t="shared" si="281"/>
        <v>278</v>
      </c>
    </row>
    <row r="8612" spans="1:4" x14ac:dyDescent="0.25">
      <c r="A8612" t="str">
        <f>"838946581"</f>
        <v>838946581</v>
      </c>
      <c r="B8612" t="s">
        <v>7840</v>
      </c>
      <c r="C8612">
        <v>660</v>
      </c>
      <c r="D8612" t="str">
        <f t="shared" ref="D8612:D8656" si="282">"278"</f>
        <v>278</v>
      </c>
    </row>
    <row r="8613" spans="1:4" x14ac:dyDescent="0.25">
      <c r="A8613" t="str">
        <f>"838946582"</f>
        <v>838946582</v>
      </c>
      <c r="B8613" t="s">
        <v>7841</v>
      </c>
      <c r="C8613" s="1">
        <v>7590</v>
      </c>
      <c r="D8613" t="str">
        <f t="shared" si="282"/>
        <v>278</v>
      </c>
    </row>
    <row r="8614" spans="1:4" x14ac:dyDescent="0.25">
      <c r="A8614" t="str">
        <f>"838946583"</f>
        <v>838946583</v>
      </c>
      <c r="B8614" t="s">
        <v>7842</v>
      </c>
      <c r="C8614">
        <v>660</v>
      </c>
      <c r="D8614" t="str">
        <f t="shared" si="282"/>
        <v>278</v>
      </c>
    </row>
    <row r="8615" spans="1:4" x14ac:dyDescent="0.25">
      <c r="A8615" t="str">
        <f>"838946584"</f>
        <v>838946584</v>
      </c>
      <c r="B8615" t="s">
        <v>7843</v>
      </c>
      <c r="C8615" s="1">
        <v>7590</v>
      </c>
      <c r="D8615" t="str">
        <f t="shared" si="282"/>
        <v>278</v>
      </c>
    </row>
    <row r="8616" spans="1:4" x14ac:dyDescent="0.25">
      <c r="A8616" t="str">
        <f>"838946585"</f>
        <v>838946585</v>
      </c>
      <c r="B8616" t="s">
        <v>7844</v>
      </c>
      <c r="C8616" s="1">
        <v>4785</v>
      </c>
      <c r="D8616" t="str">
        <f t="shared" si="282"/>
        <v>278</v>
      </c>
    </row>
    <row r="8617" spans="1:4" x14ac:dyDescent="0.25">
      <c r="A8617" t="str">
        <f>"838946586"</f>
        <v>838946586</v>
      </c>
      <c r="B8617" t="s">
        <v>7845</v>
      </c>
      <c r="C8617" s="1">
        <v>4785</v>
      </c>
      <c r="D8617" t="str">
        <f t="shared" si="282"/>
        <v>278</v>
      </c>
    </row>
    <row r="8618" spans="1:4" x14ac:dyDescent="0.25">
      <c r="A8618" t="str">
        <f>"838946587"</f>
        <v>838946587</v>
      </c>
      <c r="B8618" t="s">
        <v>7846</v>
      </c>
      <c r="C8618" s="1">
        <v>2230.8000000000002</v>
      </c>
      <c r="D8618" t="str">
        <f t="shared" si="282"/>
        <v>278</v>
      </c>
    </row>
    <row r="8619" spans="1:4" x14ac:dyDescent="0.25">
      <c r="A8619" t="str">
        <f>"838946588"</f>
        <v>838946588</v>
      </c>
      <c r="B8619" t="s">
        <v>7847</v>
      </c>
      <c r="C8619">
        <v>825</v>
      </c>
      <c r="D8619" t="str">
        <f t="shared" si="282"/>
        <v>278</v>
      </c>
    </row>
    <row r="8620" spans="1:4" x14ac:dyDescent="0.25">
      <c r="A8620" t="str">
        <f>"838946589"</f>
        <v>838946589</v>
      </c>
      <c r="B8620" t="s">
        <v>7848</v>
      </c>
      <c r="C8620" s="1">
        <v>11880</v>
      </c>
      <c r="D8620" t="str">
        <f t="shared" si="282"/>
        <v>278</v>
      </c>
    </row>
    <row r="8621" spans="1:4" x14ac:dyDescent="0.25">
      <c r="A8621" t="str">
        <f>"838946590"</f>
        <v>838946590</v>
      </c>
      <c r="B8621" t="s">
        <v>7849</v>
      </c>
      <c r="C8621" s="1">
        <v>11880</v>
      </c>
      <c r="D8621" t="str">
        <f t="shared" si="282"/>
        <v>278</v>
      </c>
    </row>
    <row r="8622" spans="1:4" x14ac:dyDescent="0.25">
      <c r="A8622" t="str">
        <f>"838946591"</f>
        <v>838946591</v>
      </c>
      <c r="B8622" t="s">
        <v>7850</v>
      </c>
      <c r="C8622" s="1">
        <v>11550</v>
      </c>
      <c r="D8622" t="str">
        <f t="shared" si="282"/>
        <v>278</v>
      </c>
    </row>
    <row r="8623" spans="1:4" x14ac:dyDescent="0.25">
      <c r="A8623" t="str">
        <f>"838946592"</f>
        <v>838946592</v>
      </c>
      <c r="B8623" t="s">
        <v>7851</v>
      </c>
      <c r="C8623" s="1">
        <v>3135</v>
      </c>
      <c r="D8623" t="str">
        <f t="shared" si="282"/>
        <v>278</v>
      </c>
    </row>
    <row r="8624" spans="1:4" x14ac:dyDescent="0.25">
      <c r="A8624" t="str">
        <f>"838946593"</f>
        <v>838946593</v>
      </c>
      <c r="B8624" t="s">
        <v>7852</v>
      </c>
      <c r="C8624" s="1">
        <v>27555</v>
      </c>
      <c r="D8624" t="str">
        <f t="shared" si="282"/>
        <v>278</v>
      </c>
    </row>
    <row r="8625" spans="1:4" x14ac:dyDescent="0.25">
      <c r="A8625" t="str">
        <f>"838946594"</f>
        <v>838946594</v>
      </c>
      <c r="B8625" t="s">
        <v>7853</v>
      </c>
      <c r="C8625">
        <v>554.4</v>
      </c>
      <c r="D8625" t="str">
        <f t="shared" si="282"/>
        <v>278</v>
      </c>
    </row>
    <row r="8626" spans="1:4" x14ac:dyDescent="0.25">
      <c r="A8626" t="str">
        <f>"838946595"</f>
        <v>838946595</v>
      </c>
      <c r="B8626" t="s">
        <v>7854</v>
      </c>
      <c r="C8626">
        <v>237.6</v>
      </c>
      <c r="D8626" t="str">
        <f t="shared" si="282"/>
        <v>278</v>
      </c>
    </row>
    <row r="8627" spans="1:4" x14ac:dyDescent="0.25">
      <c r="A8627" t="str">
        <f>"838946596"</f>
        <v>838946596</v>
      </c>
      <c r="B8627" t="s">
        <v>7855</v>
      </c>
      <c r="C8627">
        <v>396</v>
      </c>
      <c r="D8627" t="str">
        <f t="shared" si="282"/>
        <v>278</v>
      </c>
    </row>
    <row r="8628" spans="1:4" x14ac:dyDescent="0.25">
      <c r="A8628" t="str">
        <f>"838946597"</f>
        <v>838946597</v>
      </c>
      <c r="B8628" t="s">
        <v>7856</v>
      </c>
      <c r="C8628" s="1">
        <v>2302.91</v>
      </c>
      <c r="D8628" t="str">
        <f t="shared" si="282"/>
        <v>278</v>
      </c>
    </row>
    <row r="8629" spans="1:4" x14ac:dyDescent="0.25">
      <c r="A8629" t="str">
        <f>"838946598"</f>
        <v>838946598</v>
      </c>
      <c r="B8629" t="s">
        <v>7857</v>
      </c>
      <c r="C8629" s="1">
        <v>6600</v>
      </c>
      <c r="D8629" t="str">
        <f t="shared" si="282"/>
        <v>278</v>
      </c>
    </row>
    <row r="8630" spans="1:4" x14ac:dyDescent="0.25">
      <c r="A8630" t="str">
        <f>"838946599"</f>
        <v>838946599</v>
      </c>
      <c r="B8630" t="s">
        <v>7858</v>
      </c>
      <c r="C8630" s="1">
        <v>4950</v>
      </c>
      <c r="D8630" t="str">
        <f t="shared" si="282"/>
        <v>278</v>
      </c>
    </row>
    <row r="8631" spans="1:4" x14ac:dyDescent="0.25">
      <c r="A8631" t="str">
        <f>"838946600"</f>
        <v>838946600</v>
      </c>
      <c r="B8631" t="s">
        <v>7859</v>
      </c>
      <c r="C8631">
        <v>330</v>
      </c>
      <c r="D8631" t="str">
        <f t="shared" si="282"/>
        <v>278</v>
      </c>
    </row>
    <row r="8632" spans="1:4" x14ac:dyDescent="0.25">
      <c r="A8632" t="str">
        <f>"838946601"</f>
        <v>838946601</v>
      </c>
      <c r="B8632" t="s">
        <v>7860</v>
      </c>
      <c r="C8632">
        <v>412.5</v>
      </c>
      <c r="D8632" t="str">
        <f t="shared" si="282"/>
        <v>278</v>
      </c>
    </row>
    <row r="8633" spans="1:4" x14ac:dyDescent="0.25">
      <c r="A8633" t="str">
        <f>"838946602"</f>
        <v>838946602</v>
      </c>
      <c r="B8633" t="s">
        <v>7861</v>
      </c>
      <c r="C8633" s="1">
        <v>18150</v>
      </c>
      <c r="D8633" t="str">
        <f t="shared" si="282"/>
        <v>278</v>
      </c>
    </row>
    <row r="8634" spans="1:4" x14ac:dyDescent="0.25">
      <c r="A8634" t="str">
        <f>"838946603"</f>
        <v>838946603</v>
      </c>
      <c r="B8634" t="s">
        <v>7862</v>
      </c>
      <c r="C8634">
        <v>412.5</v>
      </c>
      <c r="D8634" t="str">
        <f t="shared" si="282"/>
        <v>278</v>
      </c>
    </row>
    <row r="8635" spans="1:4" x14ac:dyDescent="0.25">
      <c r="A8635" t="str">
        <f>"838946604"</f>
        <v>838946604</v>
      </c>
      <c r="B8635" t="s">
        <v>7863</v>
      </c>
      <c r="C8635" s="1">
        <v>7425</v>
      </c>
      <c r="D8635" t="str">
        <f t="shared" si="282"/>
        <v>278</v>
      </c>
    </row>
    <row r="8636" spans="1:4" x14ac:dyDescent="0.25">
      <c r="A8636" t="str">
        <f>"838946605"</f>
        <v>838946605</v>
      </c>
      <c r="B8636" t="s">
        <v>7864</v>
      </c>
      <c r="C8636" s="1">
        <v>14850</v>
      </c>
      <c r="D8636" t="str">
        <f t="shared" si="282"/>
        <v>278</v>
      </c>
    </row>
    <row r="8637" spans="1:4" x14ac:dyDescent="0.25">
      <c r="A8637" t="str">
        <f>"838946606"</f>
        <v>838946606</v>
      </c>
      <c r="B8637" t="s">
        <v>7865</v>
      </c>
      <c r="C8637" s="1">
        <v>4785</v>
      </c>
      <c r="D8637" t="str">
        <f t="shared" si="282"/>
        <v>278</v>
      </c>
    </row>
    <row r="8638" spans="1:4" x14ac:dyDescent="0.25">
      <c r="A8638" t="str">
        <f>"838946607"</f>
        <v>838946607</v>
      </c>
      <c r="B8638" t="s">
        <v>7866</v>
      </c>
      <c r="C8638" s="1">
        <v>4785</v>
      </c>
      <c r="D8638" t="str">
        <f t="shared" si="282"/>
        <v>278</v>
      </c>
    </row>
    <row r="8639" spans="1:4" x14ac:dyDescent="0.25">
      <c r="A8639" t="str">
        <f>"838946608"</f>
        <v>838946608</v>
      </c>
      <c r="B8639" t="s">
        <v>7867</v>
      </c>
      <c r="C8639" s="1">
        <v>2640</v>
      </c>
      <c r="D8639" t="str">
        <f t="shared" si="282"/>
        <v>278</v>
      </c>
    </row>
    <row r="8640" spans="1:4" x14ac:dyDescent="0.25">
      <c r="A8640" t="str">
        <f>"838946609"</f>
        <v>838946609</v>
      </c>
      <c r="B8640" t="s">
        <v>7868</v>
      </c>
      <c r="C8640" s="1">
        <v>2640</v>
      </c>
      <c r="D8640" t="str">
        <f t="shared" si="282"/>
        <v>278</v>
      </c>
    </row>
    <row r="8641" spans="1:4" x14ac:dyDescent="0.25">
      <c r="A8641" t="str">
        <f>"838946610"</f>
        <v>838946610</v>
      </c>
      <c r="B8641" t="s">
        <v>7869</v>
      </c>
      <c r="C8641" s="1">
        <v>1864.5</v>
      </c>
      <c r="D8641" t="str">
        <f t="shared" si="282"/>
        <v>278</v>
      </c>
    </row>
    <row r="8642" spans="1:4" x14ac:dyDescent="0.25">
      <c r="A8642" t="str">
        <f>"838946611"</f>
        <v>838946611</v>
      </c>
      <c r="B8642" t="s">
        <v>7870</v>
      </c>
      <c r="C8642" s="1">
        <v>13167</v>
      </c>
      <c r="D8642" t="str">
        <f t="shared" si="282"/>
        <v>278</v>
      </c>
    </row>
    <row r="8643" spans="1:4" x14ac:dyDescent="0.25">
      <c r="A8643" t="str">
        <f>"838946612"</f>
        <v>838946612</v>
      </c>
      <c r="B8643" t="s">
        <v>7871</v>
      </c>
      <c r="C8643" s="1">
        <v>1138.5</v>
      </c>
      <c r="D8643" t="str">
        <f t="shared" si="282"/>
        <v>278</v>
      </c>
    </row>
    <row r="8644" spans="1:4" x14ac:dyDescent="0.25">
      <c r="A8644" t="str">
        <f>"838946613"</f>
        <v>838946613</v>
      </c>
      <c r="B8644" t="s">
        <v>7872</v>
      </c>
      <c r="C8644">
        <v>891</v>
      </c>
      <c r="D8644" t="str">
        <f t="shared" si="282"/>
        <v>278</v>
      </c>
    </row>
    <row r="8645" spans="1:4" x14ac:dyDescent="0.25">
      <c r="A8645" t="str">
        <f>"838946614"</f>
        <v>838946614</v>
      </c>
      <c r="B8645" t="s">
        <v>7873</v>
      </c>
      <c r="C8645">
        <v>396</v>
      </c>
      <c r="D8645" t="str">
        <f t="shared" si="282"/>
        <v>278</v>
      </c>
    </row>
    <row r="8646" spans="1:4" x14ac:dyDescent="0.25">
      <c r="A8646" t="str">
        <f>"838946615"</f>
        <v>838946615</v>
      </c>
      <c r="B8646" t="s">
        <v>7874</v>
      </c>
      <c r="C8646" s="1">
        <v>1138.5</v>
      </c>
      <c r="D8646" t="str">
        <f t="shared" si="282"/>
        <v>278</v>
      </c>
    </row>
    <row r="8647" spans="1:4" x14ac:dyDescent="0.25">
      <c r="A8647" t="str">
        <f>"838946616"</f>
        <v>838946616</v>
      </c>
      <c r="B8647" t="s">
        <v>7875</v>
      </c>
      <c r="C8647">
        <v>138.6</v>
      </c>
      <c r="D8647" t="str">
        <f t="shared" si="282"/>
        <v>278</v>
      </c>
    </row>
    <row r="8648" spans="1:4" x14ac:dyDescent="0.25">
      <c r="A8648" t="str">
        <f>"838946617"</f>
        <v>838946617</v>
      </c>
      <c r="B8648" t="s">
        <v>7876</v>
      </c>
      <c r="C8648" s="1">
        <v>10533.6</v>
      </c>
      <c r="D8648" t="str">
        <f t="shared" si="282"/>
        <v>278</v>
      </c>
    </row>
    <row r="8649" spans="1:4" x14ac:dyDescent="0.25">
      <c r="A8649" t="str">
        <f>"838946618"</f>
        <v>838946618</v>
      </c>
      <c r="B8649" t="s">
        <v>7877</v>
      </c>
      <c r="C8649">
        <v>481.8</v>
      </c>
      <c r="D8649" t="str">
        <f t="shared" si="282"/>
        <v>278</v>
      </c>
    </row>
    <row r="8650" spans="1:4" x14ac:dyDescent="0.25">
      <c r="A8650" t="str">
        <f>"838946619"</f>
        <v>838946619</v>
      </c>
      <c r="B8650" t="s">
        <v>7878</v>
      </c>
      <c r="C8650" s="1">
        <v>1138.5</v>
      </c>
      <c r="D8650" t="str">
        <f t="shared" si="282"/>
        <v>278</v>
      </c>
    </row>
    <row r="8651" spans="1:4" x14ac:dyDescent="0.25">
      <c r="A8651" t="str">
        <f>"838946620"</f>
        <v>838946620</v>
      </c>
      <c r="B8651" t="s">
        <v>7879</v>
      </c>
      <c r="C8651" s="1">
        <v>1138.5</v>
      </c>
      <c r="D8651" t="str">
        <f t="shared" si="282"/>
        <v>278</v>
      </c>
    </row>
    <row r="8652" spans="1:4" x14ac:dyDescent="0.25">
      <c r="A8652" t="str">
        <f>"838946621"</f>
        <v>838946621</v>
      </c>
      <c r="B8652" t="s">
        <v>7880</v>
      </c>
      <c r="C8652">
        <v>481.8</v>
      </c>
      <c r="D8652" t="str">
        <f t="shared" si="282"/>
        <v>278</v>
      </c>
    </row>
    <row r="8653" spans="1:4" x14ac:dyDescent="0.25">
      <c r="A8653" t="str">
        <f>"838946622"</f>
        <v>838946622</v>
      </c>
      <c r="B8653" t="s">
        <v>7881</v>
      </c>
      <c r="C8653">
        <v>891</v>
      </c>
      <c r="D8653" t="str">
        <f t="shared" si="282"/>
        <v>278</v>
      </c>
    </row>
    <row r="8654" spans="1:4" x14ac:dyDescent="0.25">
      <c r="A8654" t="str">
        <f>"838946623"</f>
        <v>838946623</v>
      </c>
      <c r="B8654" t="s">
        <v>7882</v>
      </c>
      <c r="C8654">
        <v>481.8</v>
      </c>
      <c r="D8654" t="str">
        <f t="shared" si="282"/>
        <v>278</v>
      </c>
    </row>
    <row r="8655" spans="1:4" x14ac:dyDescent="0.25">
      <c r="A8655" t="str">
        <f>"838946624"</f>
        <v>838946624</v>
      </c>
      <c r="B8655" t="s">
        <v>7883</v>
      </c>
      <c r="C8655" s="1">
        <v>1138.5</v>
      </c>
      <c r="D8655" t="str">
        <f t="shared" si="282"/>
        <v>278</v>
      </c>
    </row>
    <row r="8656" spans="1:4" x14ac:dyDescent="0.25">
      <c r="A8656" t="str">
        <f>"838946625"</f>
        <v>838946625</v>
      </c>
      <c r="B8656" t="s">
        <v>7884</v>
      </c>
      <c r="C8656" s="1">
        <v>4950</v>
      </c>
      <c r="D8656" t="str">
        <f t="shared" si="282"/>
        <v>278</v>
      </c>
    </row>
    <row r="8657" spans="1:4" x14ac:dyDescent="0.25">
      <c r="A8657" t="str">
        <f>"838946626"</f>
        <v>838946626</v>
      </c>
      <c r="B8657" t="s">
        <v>7885</v>
      </c>
      <c r="C8657">
        <v>842.6</v>
      </c>
      <c r="D8657" t="str">
        <f>"272"</f>
        <v>272</v>
      </c>
    </row>
    <row r="8658" spans="1:4" x14ac:dyDescent="0.25">
      <c r="A8658" t="str">
        <f>"838946627"</f>
        <v>838946627</v>
      </c>
      <c r="B8658" t="s">
        <v>7886</v>
      </c>
      <c r="C8658" s="1">
        <v>3630</v>
      </c>
      <c r="D8658" t="str">
        <f t="shared" ref="D8658:D8703" si="283">"278"</f>
        <v>278</v>
      </c>
    </row>
    <row r="8659" spans="1:4" x14ac:dyDescent="0.25">
      <c r="A8659" t="str">
        <f>"838946628"</f>
        <v>838946628</v>
      </c>
      <c r="B8659" t="s">
        <v>7887</v>
      </c>
      <c r="C8659">
        <v>495</v>
      </c>
      <c r="D8659" t="str">
        <f t="shared" si="283"/>
        <v>278</v>
      </c>
    </row>
    <row r="8660" spans="1:4" x14ac:dyDescent="0.25">
      <c r="A8660" t="str">
        <f>"838946629"</f>
        <v>838946629</v>
      </c>
      <c r="B8660" t="s">
        <v>7888</v>
      </c>
      <c r="C8660" s="1">
        <v>4026</v>
      </c>
      <c r="D8660" t="str">
        <f t="shared" si="283"/>
        <v>278</v>
      </c>
    </row>
    <row r="8661" spans="1:4" x14ac:dyDescent="0.25">
      <c r="A8661" t="str">
        <f>"838946630"</f>
        <v>838946630</v>
      </c>
      <c r="B8661" t="s">
        <v>7889</v>
      </c>
      <c r="C8661">
        <v>907.5</v>
      </c>
      <c r="D8661" t="str">
        <f t="shared" si="283"/>
        <v>278</v>
      </c>
    </row>
    <row r="8662" spans="1:4" x14ac:dyDescent="0.25">
      <c r="A8662" t="str">
        <f>"838946631"</f>
        <v>838946631</v>
      </c>
      <c r="B8662" t="s">
        <v>7890</v>
      </c>
      <c r="C8662" s="1">
        <v>4771.8</v>
      </c>
      <c r="D8662" t="str">
        <f t="shared" si="283"/>
        <v>278</v>
      </c>
    </row>
    <row r="8663" spans="1:4" x14ac:dyDescent="0.25">
      <c r="A8663" t="str">
        <f>"838946632"</f>
        <v>838946632</v>
      </c>
      <c r="B8663" t="s">
        <v>7891</v>
      </c>
      <c r="C8663">
        <v>933.9</v>
      </c>
      <c r="D8663" t="str">
        <f t="shared" si="283"/>
        <v>278</v>
      </c>
    </row>
    <row r="8664" spans="1:4" x14ac:dyDescent="0.25">
      <c r="A8664" t="str">
        <f>"838946633"</f>
        <v>838946633</v>
      </c>
      <c r="B8664" t="s">
        <v>7892</v>
      </c>
      <c r="C8664" s="1">
        <v>3547.5</v>
      </c>
      <c r="D8664" t="str">
        <f t="shared" si="283"/>
        <v>278</v>
      </c>
    </row>
    <row r="8665" spans="1:4" x14ac:dyDescent="0.25">
      <c r="A8665" t="str">
        <f>"838946634"</f>
        <v>838946634</v>
      </c>
      <c r="B8665" t="s">
        <v>7893</v>
      </c>
      <c r="C8665" s="1">
        <v>12533.4</v>
      </c>
      <c r="D8665" t="str">
        <f t="shared" si="283"/>
        <v>278</v>
      </c>
    </row>
    <row r="8666" spans="1:4" x14ac:dyDescent="0.25">
      <c r="A8666" t="str">
        <f>"838946635"</f>
        <v>838946635</v>
      </c>
      <c r="B8666" t="s">
        <v>7894</v>
      </c>
      <c r="C8666" s="1">
        <v>3564</v>
      </c>
      <c r="D8666" t="str">
        <f t="shared" si="283"/>
        <v>278</v>
      </c>
    </row>
    <row r="8667" spans="1:4" x14ac:dyDescent="0.25">
      <c r="A8667" t="str">
        <f>"838946636"</f>
        <v>838946636</v>
      </c>
      <c r="B8667" t="s">
        <v>7895</v>
      </c>
      <c r="C8667" s="1">
        <v>16500</v>
      </c>
      <c r="D8667" t="str">
        <f t="shared" si="283"/>
        <v>278</v>
      </c>
    </row>
    <row r="8668" spans="1:4" x14ac:dyDescent="0.25">
      <c r="A8668" t="str">
        <f>"838946637"</f>
        <v>838946637</v>
      </c>
      <c r="B8668" t="s">
        <v>7896</v>
      </c>
      <c r="C8668" s="1">
        <v>4125</v>
      </c>
      <c r="D8668" t="str">
        <f t="shared" si="283"/>
        <v>278</v>
      </c>
    </row>
    <row r="8669" spans="1:4" x14ac:dyDescent="0.25">
      <c r="A8669" t="str">
        <f>"838946638"</f>
        <v>838946638</v>
      </c>
      <c r="B8669" t="s">
        <v>7897</v>
      </c>
      <c r="C8669">
        <v>503.98</v>
      </c>
      <c r="D8669" t="str">
        <f t="shared" si="283"/>
        <v>278</v>
      </c>
    </row>
    <row r="8670" spans="1:4" x14ac:dyDescent="0.25">
      <c r="A8670" t="str">
        <f>"838946640"</f>
        <v>838946640</v>
      </c>
      <c r="B8670" t="s">
        <v>7898</v>
      </c>
      <c r="C8670" s="1">
        <v>1171.5</v>
      </c>
      <c r="D8670" t="str">
        <f t="shared" si="283"/>
        <v>278</v>
      </c>
    </row>
    <row r="8671" spans="1:4" x14ac:dyDescent="0.25">
      <c r="A8671" t="str">
        <f>"838946641"</f>
        <v>838946641</v>
      </c>
      <c r="B8671" t="s">
        <v>7899</v>
      </c>
      <c r="C8671" s="1">
        <v>1136.8800000000001</v>
      </c>
      <c r="D8671" t="str">
        <f t="shared" si="283"/>
        <v>278</v>
      </c>
    </row>
    <row r="8672" spans="1:4" x14ac:dyDescent="0.25">
      <c r="A8672" t="str">
        <f>"838946642"</f>
        <v>838946642</v>
      </c>
      <c r="B8672" t="s">
        <v>7900</v>
      </c>
      <c r="C8672" s="1">
        <v>6600</v>
      </c>
      <c r="D8672" t="str">
        <f t="shared" si="283"/>
        <v>278</v>
      </c>
    </row>
    <row r="8673" spans="1:4" x14ac:dyDescent="0.25">
      <c r="A8673" t="str">
        <f>"838946643"</f>
        <v>838946643</v>
      </c>
      <c r="B8673" t="s">
        <v>7901</v>
      </c>
      <c r="C8673" s="1">
        <v>4125</v>
      </c>
      <c r="D8673" t="str">
        <f t="shared" si="283"/>
        <v>278</v>
      </c>
    </row>
    <row r="8674" spans="1:4" x14ac:dyDescent="0.25">
      <c r="A8674" t="str">
        <f>"838946644"</f>
        <v>838946644</v>
      </c>
      <c r="B8674" t="s">
        <v>7902</v>
      </c>
      <c r="C8674" s="1">
        <v>2970</v>
      </c>
      <c r="D8674" t="str">
        <f t="shared" si="283"/>
        <v>278</v>
      </c>
    </row>
    <row r="8675" spans="1:4" x14ac:dyDescent="0.25">
      <c r="A8675" t="str">
        <f>"838946645"</f>
        <v>838946645</v>
      </c>
      <c r="B8675" t="s">
        <v>7386</v>
      </c>
      <c r="C8675" s="1">
        <v>2970</v>
      </c>
      <c r="D8675" t="str">
        <f t="shared" si="283"/>
        <v>278</v>
      </c>
    </row>
    <row r="8676" spans="1:4" x14ac:dyDescent="0.25">
      <c r="A8676" t="str">
        <f>"838946646"</f>
        <v>838946646</v>
      </c>
      <c r="B8676" t="s">
        <v>7903</v>
      </c>
      <c r="C8676">
        <v>742.5</v>
      </c>
      <c r="D8676" t="str">
        <f t="shared" si="283"/>
        <v>278</v>
      </c>
    </row>
    <row r="8677" spans="1:4" x14ac:dyDescent="0.25">
      <c r="A8677" t="str">
        <f>"838946647"</f>
        <v>838946647</v>
      </c>
      <c r="B8677" t="s">
        <v>7904</v>
      </c>
      <c r="C8677" s="1">
        <v>7841.08</v>
      </c>
      <c r="D8677" t="str">
        <f t="shared" si="283"/>
        <v>278</v>
      </c>
    </row>
    <row r="8678" spans="1:4" x14ac:dyDescent="0.25">
      <c r="A8678" t="str">
        <f>"838946648"</f>
        <v>838946648</v>
      </c>
      <c r="B8678" t="s">
        <v>7905</v>
      </c>
      <c r="C8678" s="1">
        <v>1051.8800000000001</v>
      </c>
      <c r="D8678" t="str">
        <f t="shared" si="283"/>
        <v>278</v>
      </c>
    </row>
    <row r="8679" spans="1:4" x14ac:dyDescent="0.25">
      <c r="A8679" t="str">
        <f>"838946649"</f>
        <v>838946649</v>
      </c>
      <c r="B8679" t="s">
        <v>7906</v>
      </c>
      <c r="C8679" s="1">
        <v>1051.8800000000001</v>
      </c>
      <c r="D8679" t="str">
        <f t="shared" si="283"/>
        <v>278</v>
      </c>
    </row>
    <row r="8680" spans="1:4" x14ac:dyDescent="0.25">
      <c r="A8680" t="str">
        <f>"838946650"</f>
        <v>838946650</v>
      </c>
      <c r="B8680" t="s">
        <v>7907</v>
      </c>
      <c r="C8680">
        <v>827.48</v>
      </c>
      <c r="D8680" t="str">
        <f t="shared" si="283"/>
        <v>278</v>
      </c>
    </row>
    <row r="8681" spans="1:4" x14ac:dyDescent="0.25">
      <c r="A8681" t="str">
        <f>"838946651"</f>
        <v>838946651</v>
      </c>
      <c r="B8681" t="s">
        <v>7908</v>
      </c>
      <c r="C8681" s="1">
        <v>5907</v>
      </c>
      <c r="D8681" t="str">
        <f t="shared" si="283"/>
        <v>278</v>
      </c>
    </row>
    <row r="8682" spans="1:4" x14ac:dyDescent="0.25">
      <c r="A8682" t="str">
        <f>"838946652"</f>
        <v>838946652</v>
      </c>
      <c r="B8682" t="s">
        <v>7909</v>
      </c>
      <c r="C8682">
        <v>981.75</v>
      </c>
      <c r="D8682" t="str">
        <f t="shared" si="283"/>
        <v>278</v>
      </c>
    </row>
    <row r="8683" spans="1:4" x14ac:dyDescent="0.25">
      <c r="A8683" t="str">
        <f>"838946653"</f>
        <v>838946653</v>
      </c>
      <c r="B8683" t="s">
        <v>7910</v>
      </c>
      <c r="C8683">
        <v>981.75</v>
      </c>
      <c r="D8683" t="str">
        <f t="shared" si="283"/>
        <v>278</v>
      </c>
    </row>
    <row r="8684" spans="1:4" x14ac:dyDescent="0.25">
      <c r="A8684" t="str">
        <f>"838946655"</f>
        <v>838946655</v>
      </c>
      <c r="B8684" t="s">
        <v>7911</v>
      </c>
      <c r="C8684" s="1">
        <v>1155</v>
      </c>
      <c r="D8684" t="str">
        <f t="shared" si="283"/>
        <v>278</v>
      </c>
    </row>
    <row r="8685" spans="1:4" x14ac:dyDescent="0.25">
      <c r="A8685" t="str">
        <f>"838946656"</f>
        <v>838946656</v>
      </c>
      <c r="B8685" t="s">
        <v>7912</v>
      </c>
      <c r="C8685" s="1">
        <v>1155</v>
      </c>
      <c r="D8685" t="str">
        <f t="shared" si="283"/>
        <v>278</v>
      </c>
    </row>
    <row r="8686" spans="1:4" x14ac:dyDescent="0.25">
      <c r="A8686" t="str">
        <f>"838946657"</f>
        <v>838946657</v>
      </c>
      <c r="B8686" t="s">
        <v>7913</v>
      </c>
      <c r="C8686" s="1">
        <v>5940</v>
      </c>
      <c r="D8686" t="str">
        <f t="shared" si="283"/>
        <v>278</v>
      </c>
    </row>
    <row r="8687" spans="1:4" x14ac:dyDescent="0.25">
      <c r="A8687" t="str">
        <f>"838946658"</f>
        <v>838946658</v>
      </c>
      <c r="B8687" t="s">
        <v>7914</v>
      </c>
      <c r="C8687">
        <v>594</v>
      </c>
      <c r="D8687" t="str">
        <f t="shared" si="283"/>
        <v>278</v>
      </c>
    </row>
    <row r="8688" spans="1:4" x14ac:dyDescent="0.25">
      <c r="A8688" t="str">
        <f>"838946659"</f>
        <v>838946659</v>
      </c>
      <c r="B8688" t="s">
        <v>7915</v>
      </c>
      <c r="C8688">
        <v>742.5</v>
      </c>
      <c r="D8688" t="str">
        <f t="shared" si="283"/>
        <v>278</v>
      </c>
    </row>
    <row r="8689" spans="1:4" x14ac:dyDescent="0.25">
      <c r="A8689" t="str">
        <f>"838946660"</f>
        <v>838946660</v>
      </c>
      <c r="B8689" t="s">
        <v>7916</v>
      </c>
      <c r="C8689" s="1">
        <v>2970</v>
      </c>
      <c r="D8689" t="str">
        <f t="shared" si="283"/>
        <v>278</v>
      </c>
    </row>
    <row r="8690" spans="1:4" x14ac:dyDescent="0.25">
      <c r="A8690" t="str">
        <f>"838946661"</f>
        <v>838946661</v>
      </c>
      <c r="B8690" t="s">
        <v>7917</v>
      </c>
      <c r="C8690" s="1">
        <v>2402.4</v>
      </c>
      <c r="D8690" t="str">
        <f t="shared" si="283"/>
        <v>278</v>
      </c>
    </row>
    <row r="8691" spans="1:4" x14ac:dyDescent="0.25">
      <c r="A8691" t="str">
        <f>"838946662"</f>
        <v>838946662</v>
      </c>
      <c r="B8691" t="s">
        <v>7918</v>
      </c>
      <c r="C8691" s="1">
        <v>1056</v>
      </c>
      <c r="D8691" t="str">
        <f t="shared" si="283"/>
        <v>278</v>
      </c>
    </row>
    <row r="8692" spans="1:4" x14ac:dyDescent="0.25">
      <c r="A8692" t="str">
        <f>"838946663"</f>
        <v>838946663</v>
      </c>
      <c r="B8692" t="s">
        <v>7919</v>
      </c>
      <c r="C8692" s="1">
        <v>3960</v>
      </c>
      <c r="D8692" t="str">
        <f t="shared" si="283"/>
        <v>278</v>
      </c>
    </row>
    <row r="8693" spans="1:4" x14ac:dyDescent="0.25">
      <c r="A8693" t="str">
        <f>"838946664"</f>
        <v>838946664</v>
      </c>
      <c r="B8693" t="s">
        <v>7920</v>
      </c>
      <c r="C8693">
        <v>343.2</v>
      </c>
      <c r="D8693" t="str">
        <f t="shared" si="283"/>
        <v>278</v>
      </c>
    </row>
    <row r="8694" spans="1:4" x14ac:dyDescent="0.25">
      <c r="A8694" t="str">
        <f>"838946665"</f>
        <v>838946665</v>
      </c>
      <c r="B8694" t="s">
        <v>7921</v>
      </c>
      <c r="C8694">
        <v>554.4</v>
      </c>
      <c r="D8694" t="str">
        <f t="shared" si="283"/>
        <v>278</v>
      </c>
    </row>
    <row r="8695" spans="1:4" x14ac:dyDescent="0.25">
      <c r="A8695" t="str">
        <f>"838946666"</f>
        <v>838946666</v>
      </c>
      <c r="B8695" t="s">
        <v>7922</v>
      </c>
      <c r="C8695">
        <v>554.4</v>
      </c>
      <c r="D8695" t="str">
        <f t="shared" si="283"/>
        <v>278</v>
      </c>
    </row>
    <row r="8696" spans="1:4" x14ac:dyDescent="0.25">
      <c r="A8696" t="str">
        <f>"838946667"</f>
        <v>838946667</v>
      </c>
      <c r="B8696" t="s">
        <v>7923</v>
      </c>
      <c r="C8696">
        <v>554.4</v>
      </c>
      <c r="D8696" t="str">
        <f t="shared" si="283"/>
        <v>278</v>
      </c>
    </row>
    <row r="8697" spans="1:4" x14ac:dyDescent="0.25">
      <c r="A8697" t="str">
        <f>"838946668"</f>
        <v>838946668</v>
      </c>
      <c r="B8697" t="s">
        <v>7924</v>
      </c>
      <c r="C8697">
        <v>580.79999999999995</v>
      </c>
      <c r="D8697" t="str">
        <f t="shared" si="283"/>
        <v>278</v>
      </c>
    </row>
    <row r="8698" spans="1:4" x14ac:dyDescent="0.25">
      <c r="A8698" t="str">
        <f>"838946669"</f>
        <v>838946669</v>
      </c>
      <c r="B8698" t="s">
        <v>7854</v>
      </c>
      <c r="C8698">
        <v>237.6</v>
      </c>
      <c r="D8698" t="str">
        <f t="shared" si="283"/>
        <v>278</v>
      </c>
    </row>
    <row r="8699" spans="1:4" x14ac:dyDescent="0.25">
      <c r="A8699" t="str">
        <f>"838946670"</f>
        <v>838946670</v>
      </c>
      <c r="B8699" t="s">
        <v>7925</v>
      </c>
      <c r="C8699">
        <v>237.6</v>
      </c>
      <c r="D8699" t="str">
        <f t="shared" si="283"/>
        <v>278</v>
      </c>
    </row>
    <row r="8700" spans="1:4" x14ac:dyDescent="0.25">
      <c r="A8700" t="str">
        <f>"838946671"</f>
        <v>838946671</v>
      </c>
      <c r="B8700" t="s">
        <v>7926</v>
      </c>
      <c r="C8700" s="1">
        <v>8250</v>
      </c>
      <c r="D8700" t="str">
        <f t="shared" si="283"/>
        <v>278</v>
      </c>
    </row>
    <row r="8701" spans="1:4" x14ac:dyDescent="0.25">
      <c r="A8701" t="str">
        <f>"838946672"</f>
        <v>838946672</v>
      </c>
      <c r="B8701" t="s">
        <v>7927</v>
      </c>
      <c r="C8701" s="1">
        <v>2475</v>
      </c>
      <c r="D8701" t="str">
        <f t="shared" si="283"/>
        <v>278</v>
      </c>
    </row>
    <row r="8702" spans="1:4" x14ac:dyDescent="0.25">
      <c r="A8702" t="str">
        <f>"838946673"</f>
        <v>838946673</v>
      </c>
      <c r="B8702" t="s">
        <v>7928</v>
      </c>
      <c r="C8702" s="1">
        <v>7755</v>
      </c>
      <c r="D8702" t="str">
        <f t="shared" si="283"/>
        <v>278</v>
      </c>
    </row>
    <row r="8703" spans="1:4" x14ac:dyDescent="0.25">
      <c r="A8703" t="str">
        <f>"838946674"</f>
        <v>838946674</v>
      </c>
      <c r="B8703" t="s">
        <v>7929</v>
      </c>
      <c r="C8703" s="1">
        <v>64406.1</v>
      </c>
      <c r="D8703" t="str">
        <f t="shared" si="283"/>
        <v>278</v>
      </c>
    </row>
    <row r="8704" spans="1:4" x14ac:dyDescent="0.25">
      <c r="A8704" t="str">
        <f>"838946675"</f>
        <v>838946675</v>
      </c>
      <c r="B8704" t="s">
        <v>7930</v>
      </c>
      <c r="C8704" s="1">
        <v>6118.42</v>
      </c>
      <c r="D8704" t="str">
        <f>"272"</f>
        <v>272</v>
      </c>
    </row>
    <row r="8705" spans="1:4" x14ac:dyDescent="0.25">
      <c r="A8705" t="str">
        <f>"838946676"</f>
        <v>838946676</v>
      </c>
      <c r="B8705" t="s">
        <v>7931</v>
      </c>
      <c r="C8705" s="1">
        <v>5872.79</v>
      </c>
      <c r="D8705" t="str">
        <f>"272"</f>
        <v>272</v>
      </c>
    </row>
    <row r="8706" spans="1:4" x14ac:dyDescent="0.25">
      <c r="A8706" t="str">
        <f>"838946677"</f>
        <v>838946677</v>
      </c>
      <c r="B8706" t="s">
        <v>7932</v>
      </c>
      <c r="C8706" s="1">
        <v>3174.6</v>
      </c>
      <c r="D8706" t="str">
        <f t="shared" ref="D8706:D8748" si="284">"278"</f>
        <v>278</v>
      </c>
    </row>
    <row r="8707" spans="1:4" x14ac:dyDescent="0.25">
      <c r="A8707" t="str">
        <f>"838946678"</f>
        <v>838946678</v>
      </c>
      <c r="B8707" t="s">
        <v>7933</v>
      </c>
      <c r="C8707">
        <v>891</v>
      </c>
      <c r="D8707" t="str">
        <f t="shared" si="284"/>
        <v>278</v>
      </c>
    </row>
    <row r="8708" spans="1:4" x14ac:dyDescent="0.25">
      <c r="A8708" t="str">
        <f>"838946679"</f>
        <v>838946679</v>
      </c>
      <c r="B8708" t="s">
        <v>7934</v>
      </c>
      <c r="C8708" s="1">
        <v>1290.3</v>
      </c>
      <c r="D8708" t="str">
        <f t="shared" si="284"/>
        <v>278</v>
      </c>
    </row>
    <row r="8709" spans="1:4" x14ac:dyDescent="0.25">
      <c r="A8709" t="str">
        <f>"838946680"</f>
        <v>838946680</v>
      </c>
      <c r="B8709" t="s">
        <v>7935</v>
      </c>
      <c r="C8709" s="1">
        <v>1366.2</v>
      </c>
      <c r="D8709" t="str">
        <f t="shared" si="284"/>
        <v>278</v>
      </c>
    </row>
    <row r="8710" spans="1:4" x14ac:dyDescent="0.25">
      <c r="A8710" t="str">
        <f>"838946681"</f>
        <v>838946681</v>
      </c>
      <c r="B8710" t="s">
        <v>7936</v>
      </c>
      <c r="C8710" s="1">
        <v>1329.9</v>
      </c>
      <c r="D8710" t="str">
        <f t="shared" si="284"/>
        <v>278</v>
      </c>
    </row>
    <row r="8711" spans="1:4" x14ac:dyDescent="0.25">
      <c r="A8711" t="str">
        <f>"838946682"</f>
        <v>838946682</v>
      </c>
      <c r="B8711" t="s">
        <v>7937</v>
      </c>
      <c r="C8711" s="1">
        <v>1320</v>
      </c>
      <c r="D8711" t="str">
        <f t="shared" si="284"/>
        <v>278</v>
      </c>
    </row>
    <row r="8712" spans="1:4" x14ac:dyDescent="0.25">
      <c r="A8712" t="str">
        <f>"838946683"</f>
        <v>838946683</v>
      </c>
      <c r="B8712" t="s">
        <v>7938</v>
      </c>
      <c r="C8712" s="1">
        <v>3775.2</v>
      </c>
      <c r="D8712" t="str">
        <f t="shared" si="284"/>
        <v>278</v>
      </c>
    </row>
    <row r="8713" spans="1:4" x14ac:dyDescent="0.25">
      <c r="A8713" t="str">
        <f>"838946684"</f>
        <v>838946684</v>
      </c>
      <c r="B8713" t="s">
        <v>7939</v>
      </c>
      <c r="C8713" s="1">
        <v>15879.6</v>
      </c>
      <c r="D8713" t="str">
        <f t="shared" si="284"/>
        <v>278</v>
      </c>
    </row>
    <row r="8714" spans="1:4" x14ac:dyDescent="0.25">
      <c r="A8714" t="str">
        <f>"838946685"</f>
        <v>838946685</v>
      </c>
      <c r="B8714" t="s">
        <v>7940</v>
      </c>
      <c r="C8714" s="1">
        <v>3702.6</v>
      </c>
      <c r="D8714" t="str">
        <f t="shared" si="284"/>
        <v>278</v>
      </c>
    </row>
    <row r="8715" spans="1:4" x14ac:dyDescent="0.25">
      <c r="A8715" t="str">
        <f>"838946686"</f>
        <v>838946686</v>
      </c>
      <c r="B8715" t="s">
        <v>7941</v>
      </c>
      <c r="C8715">
        <v>729.3</v>
      </c>
      <c r="D8715" t="str">
        <f t="shared" si="284"/>
        <v>278</v>
      </c>
    </row>
    <row r="8716" spans="1:4" x14ac:dyDescent="0.25">
      <c r="A8716" t="str">
        <f>"838946687"</f>
        <v>838946687</v>
      </c>
      <c r="B8716" t="s">
        <v>7942</v>
      </c>
      <c r="C8716">
        <v>953.7</v>
      </c>
      <c r="D8716" t="str">
        <f t="shared" si="284"/>
        <v>278</v>
      </c>
    </row>
    <row r="8717" spans="1:4" x14ac:dyDescent="0.25">
      <c r="A8717" t="str">
        <f>"838946688"</f>
        <v>838946688</v>
      </c>
      <c r="B8717" t="s">
        <v>7943</v>
      </c>
      <c r="C8717">
        <v>640.20000000000005</v>
      </c>
      <c r="D8717" t="str">
        <f t="shared" si="284"/>
        <v>278</v>
      </c>
    </row>
    <row r="8718" spans="1:4" x14ac:dyDescent="0.25">
      <c r="A8718" t="str">
        <f>"838946689"</f>
        <v>838946689</v>
      </c>
      <c r="B8718" t="s">
        <v>7944</v>
      </c>
      <c r="C8718" s="1">
        <v>2640</v>
      </c>
      <c r="D8718" t="str">
        <f t="shared" si="284"/>
        <v>278</v>
      </c>
    </row>
    <row r="8719" spans="1:4" x14ac:dyDescent="0.25">
      <c r="A8719" t="str">
        <f>"838946690"</f>
        <v>838946690</v>
      </c>
      <c r="B8719" t="s">
        <v>7746</v>
      </c>
      <c r="C8719">
        <v>412.5</v>
      </c>
      <c r="D8719" t="str">
        <f t="shared" si="284"/>
        <v>278</v>
      </c>
    </row>
    <row r="8720" spans="1:4" x14ac:dyDescent="0.25">
      <c r="A8720" t="str">
        <f>"838946691"</f>
        <v>838946691</v>
      </c>
      <c r="B8720" t="s">
        <v>7945</v>
      </c>
      <c r="C8720" s="1">
        <v>9900</v>
      </c>
      <c r="D8720" t="str">
        <f t="shared" si="284"/>
        <v>278</v>
      </c>
    </row>
    <row r="8721" spans="1:4" x14ac:dyDescent="0.25">
      <c r="A8721" t="str">
        <f>"838946692"</f>
        <v>838946692</v>
      </c>
      <c r="B8721" t="s">
        <v>7946</v>
      </c>
      <c r="C8721" s="1">
        <v>9900</v>
      </c>
      <c r="D8721" t="str">
        <f t="shared" si="284"/>
        <v>278</v>
      </c>
    </row>
    <row r="8722" spans="1:4" x14ac:dyDescent="0.25">
      <c r="A8722" t="str">
        <f>"838946693"</f>
        <v>838946693</v>
      </c>
      <c r="B8722" t="s">
        <v>7947</v>
      </c>
      <c r="C8722" s="1">
        <v>9306</v>
      </c>
      <c r="D8722" t="str">
        <f t="shared" si="284"/>
        <v>278</v>
      </c>
    </row>
    <row r="8723" spans="1:4" x14ac:dyDescent="0.25">
      <c r="A8723" t="str">
        <f>"838946694"</f>
        <v>838946694</v>
      </c>
      <c r="B8723" t="s">
        <v>7948</v>
      </c>
      <c r="C8723">
        <v>412.5</v>
      </c>
      <c r="D8723" t="str">
        <f t="shared" si="284"/>
        <v>278</v>
      </c>
    </row>
    <row r="8724" spans="1:4" x14ac:dyDescent="0.25">
      <c r="A8724" t="str">
        <f>"838946695"</f>
        <v>838946695</v>
      </c>
      <c r="B8724" t="s">
        <v>7949</v>
      </c>
      <c r="C8724" s="1">
        <v>2970</v>
      </c>
      <c r="D8724" t="str">
        <f t="shared" si="284"/>
        <v>278</v>
      </c>
    </row>
    <row r="8725" spans="1:4" x14ac:dyDescent="0.25">
      <c r="A8725" t="str">
        <f>"838946696"</f>
        <v>838946696</v>
      </c>
      <c r="B8725" t="s">
        <v>7950</v>
      </c>
      <c r="C8725" s="1">
        <v>2970</v>
      </c>
      <c r="D8725" t="str">
        <f t="shared" si="284"/>
        <v>278</v>
      </c>
    </row>
    <row r="8726" spans="1:4" x14ac:dyDescent="0.25">
      <c r="A8726" t="str">
        <f>"838946697"</f>
        <v>838946697</v>
      </c>
      <c r="B8726" t="s">
        <v>7951</v>
      </c>
      <c r="C8726" s="1">
        <v>2640</v>
      </c>
      <c r="D8726" t="str">
        <f t="shared" si="284"/>
        <v>278</v>
      </c>
    </row>
    <row r="8727" spans="1:4" x14ac:dyDescent="0.25">
      <c r="A8727" t="str">
        <f>"838946698"</f>
        <v>838946698</v>
      </c>
      <c r="B8727" t="s">
        <v>7952</v>
      </c>
      <c r="C8727" s="1">
        <v>2640</v>
      </c>
      <c r="D8727" t="str">
        <f t="shared" si="284"/>
        <v>278</v>
      </c>
    </row>
    <row r="8728" spans="1:4" x14ac:dyDescent="0.25">
      <c r="A8728" t="str">
        <f>"838946699"</f>
        <v>838946699</v>
      </c>
      <c r="B8728" t="s">
        <v>7953</v>
      </c>
      <c r="C8728">
        <v>495</v>
      </c>
      <c r="D8728" t="str">
        <f t="shared" si="284"/>
        <v>278</v>
      </c>
    </row>
    <row r="8729" spans="1:4" x14ac:dyDescent="0.25">
      <c r="A8729" t="str">
        <f>"838946700"</f>
        <v>838946700</v>
      </c>
      <c r="B8729" t="s">
        <v>7954</v>
      </c>
      <c r="C8729">
        <v>495</v>
      </c>
      <c r="D8729" t="str">
        <f t="shared" si="284"/>
        <v>278</v>
      </c>
    </row>
    <row r="8730" spans="1:4" x14ac:dyDescent="0.25">
      <c r="A8730" t="str">
        <f>"838946701"</f>
        <v>838946701</v>
      </c>
      <c r="B8730" t="s">
        <v>7375</v>
      </c>
      <c r="C8730">
        <v>165</v>
      </c>
      <c r="D8730" t="str">
        <f t="shared" si="284"/>
        <v>278</v>
      </c>
    </row>
    <row r="8731" spans="1:4" x14ac:dyDescent="0.25">
      <c r="A8731" t="str">
        <f>"838946702"</f>
        <v>838946702</v>
      </c>
      <c r="B8731" t="s">
        <v>7955</v>
      </c>
      <c r="C8731" s="1">
        <v>8833</v>
      </c>
      <c r="D8731" t="str">
        <f t="shared" si="284"/>
        <v>278</v>
      </c>
    </row>
    <row r="8732" spans="1:4" x14ac:dyDescent="0.25">
      <c r="A8732" t="str">
        <f>"838946703"</f>
        <v>838946703</v>
      </c>
      <c r="B8732" t="s">
        <v>7956</v>
      </c>
      <c r="C8732" s="1">
        <v>4290</v>
      </c>
      <c r="D8732" t="str">
        <f t="shared" si="284"/>
        <v>278</v>
      </c>
    </row>
    <row r="8733" spans="1:4" x14ac:dyDescent="0.25">
      <c r="A8733" t="str">
        <f>"838946704"</f>
        <v>838946704</v>
      </c>
      <c r="B8733" t="s">
        <v>7957</v>
      </c>
      <c r="C8733" s="1">
        <v>4675</v>
      </c>
      <c r="D8733" t="str">
        <f t="shared" si="284"/>
        <v>278</v>
      </c>
    </row>
    <row r="8734" spans="1:4" x14ac:dyDescent="0.25">
      <c r="A8734" t="str">
        <f>"838946705"</f>
        <v>838946705</v>
      </c>
      <c r="B8734" t="s">
        <v>7958</v>
      </c>
      <c r="C8734" s="1">
        <v>1870</v>
      </c>
      <c r="D8734" t="str">
        <f t="shared" si="284"/>
        <v>278</v>
      </c>
    </row>
    <row r="8735" spans="1:4" x14ac:dyDescent="0.25">
      <c r="A8735" t="str">
        <f>"838946706"</f>
        <v>838946706</v>
      </c>
      <c r="B8735" t="s">
        <v>7959</v>
      </c>
      <c r="C8735" s="1">
        <v>9900</v>
      </c>
      <c r="D8735" t="str">
        <f t="shared" si="284"/>
        <v>278</v>
      </c>
    </row>
    <row r="8736" spans="1:4" x14ac:dyDescent="0.25">
      <c r="A8736" t="str">
        <f>"838946707"</f>
        <v>838946707</v>
      </c>
      <c r="B8736" t="s">
        <v>7960</v>
      </c>
      <c r="C8736" s="1">
        <v>6270</v>
      </c>
      <c r="D8736" t="str">
        <f t="shared" si="284"/>
        <v>278</v>
      </c>
    </row>
    <row r="8737" spans="1:4" x14ac:dyDescent="0.25">
      <c r="A8737" t="str">
        <f>"838946708"</f>
        <v>838946708</v>
      </c>
      <c r="B8737" t="s">
        <v>7961</v>
      </c>
      <c r="C8737">
        <v>907.5</v>
      </c>
      <c r="D8737" t="str">
        <f t="shared" si="284"/>
        <v>278</v>
      </c>
    </row>
    <row r="8738" spans="1:4" x14ac:dyDescent="0.25">
      <c r="A8738" t="str">
        <f>"838946709"</f>
        <v>838946709</v>
      </c>
      <c r="B8738" t="s">
        <v>7962</v>
      </c>
      <c r="C8738">
        <v>907.5</v>
      </c>
      <c r="D8738" t="str">
        <f t="shared" si="284"/>
        <v>278</v>
      </c>
    </row>
    <row r="8739" spans="1:4" x14ac:dyDescent="0.25">
      <c r="A8739" t="str">
        <f>"838946710"</f>
        <v>838946710</v>
      </c>
      <c r="B8739" t="s">
        <v>7963</v>
      </c>
      <c r="C8739">
        <v>302.5</v>
      </c>
      <c r="D8739" t="str">
        <f t="shared" si="284"/>
        <v>278</v>
      </c>
    </row>
    <row r="8740" spans="1:4" x14ac:dyDescent="0.25">
      <c r="A8740" t="str">
        <f>"838946712"</f>
        <v>838946712</v>
      </c>
      <c r="B8740" t="s">
        <v>7964</v>
      </c>
      <c r="C8740">
        <v>907.5</v>
      </c>
      <c r="D8740" t="str">
        <f t="shared" si="284"/>
        <v>278</v>
      </c>
    </row>
    <row r="8741" spans="1:4" x14ac:dyDescent="0.25">
      <c r="A8741" t="str">
        <f>"838946713"</f>
        <v>838946713</v>
      </c>
      <c r="B8741" t="s">
        <v>7965</v>
      </c>
      <c r="C8741">
        <v>907.5</v>
      </c>
      <c r="D8741" t="str">
        <f t="shared" si="284"/>
        <v>278</v>
      </c>
    </row>
    <row r="8742" spans="1:4" x14ac:dyDescent="0.25">
      <c r="A8742" t="str">
        <f>"838946714"</f>
        <v>838946714</v>
      </c>
      <c r="B8742" t="s">
        <v>7966</v>
      </c>
      <c r="C8742">
        <v>643.5</v>
      </c>
      <c r="D8742" t="str">
        <f t="shared" si="284"/>
        <v>278</v>
      </c>
    </row>
    <row r="8743" spans="1:4" x14ac:dyDescent="0.25">
      <c r="A8743" t="str">
        <f>"838946715"</f>
        <v>838946715</v>
      </c>
      <c r="B8743" t="s">
        <v>7967</v>
      </c>
      <c r="C8743" s="1">
        <v>59218.5</v>
      </c>
      <c r="D8743" t="str">
        <f t="shared" si="284"/>
        <v>278</v>
      </c>
    </row>
    <row r="8744" spans="1:4" x14ac:dyDescent="0.25">
      <c r="A8744" t="str">
        <f>"838946716"</f>
        <v>838946716</v>
      </c>
      <c r="B8744" t="s">
        <v>7968</v>
      </c>
      <c r="C8744" s="1">
        <v>2928.64</v>
      </c>
      <c r="D8744" t="str">
        <f t="shared" si="284"/>
        <v>278</v>
      </c>
    </row>
    <row r="8745" spans="1:4" x14ac:dyDescent="0.25">
      <c r="A8745" t="str">
        <f>"838946717"</f>
        <v>838946717</v>
      </c>
      <c r="B8745" t="s">
        <v>7969</v>
      </c>
      <c r="C8745" s="1">
        <v>2145</v>
      </c>
      <c r="D8745" t="str">
        <f t="shared" si="284"/>
        <v>278</v>
      </c>
    </row>
    <row r="8746" spans="1:4" x14ac:dyDescent="0.25">
      <c r="A8746" t="str">
        <f>"838946718"</f>
        <v>838946718</v>
      </c>
      <c r="B8746" t="s">
        <v>7970</v>
      </c>
      <c r="C8746" s="1">
        <v>2145</v>
      </c>
      <c r="D8746" t="str">
        <f t="shared" si="284"/>
        <v>278</v>
      </c>
    </row>
    <row r="8747" spans="1:4" x14ac:dyDescent="0.25">
      <c r="A8747" t="str">
        <f>"838946719"</f>
        <v>838946719</v>
      </c>
      <c r="B8747" t="s">
        <v>7971</v>
      </c>
      <c r="C8747" s="1">
        <v>9058.5</v>
      </c>
      <c r="D8747" t="str">
        <f t="shared" si="284"/>
        <v>278</v>
      </c>
    </row>
    <row r="8748" spans="1:4" x14ac:dyDescent="0.25">
      <c r="A8748" t="str">
        <f>"838946720"</f>
        <v>838946720</v>
      </c>
      <c r="B8748" t="s">
        <v>7972</v>
      </c>
      <c r="C8748" s="1">
        <v>16335</v>
      </c>
      <c r="D8748" t="str">
        <f t="shared" si="284"/>
        <v>278</v>
      </c>
    </row>
    <row r="8749" spans="1:4" x14ac:dyDescent="0.25">
      <c r="A8749" t="str">
        <f>"838946721"</f>
        <v>838946721</v>
      </c>
      <c r="B8749" t="s">
        <v>7973</v>
      </c>
      <c r="C8749" s="1">
        <v>5225</v>
      </c>
      <c r="D8749" t="str">
        <f>"272"</f>
        <v>272</v>
      </c>
    </row>
    <row r="8750" spans="1:4" x14ac:dyDescent="0.25">
      <c r="A8750" t="str">
        <f>"838946722"</f>
        <v>838946722</v>
      </c>
      <c r="B8750" t="s">
        <v>7974</v>
      </c>
      <c r="C8750" s="1">
        <v>2941.84</v>
      </c>
      <c r="D8750" t="str">
        <f>"272"</f>
        <v>272</v>
      </c>
    </row>
    <row r="8751" spans="1:4" x14ac:dyDescent="0.25">
      <c r="A8751" t="str">
        <f>"838946723"</f>
        <v>838946723</v>
      </c>
      <c r="B8751" t="s">
        <v>7975</v>
      </c>
      <c r="C8751" s="1">
        <v>5775</v>
      </c>
      <c r="D8751" t="str">
        <f t="shared" ref="D8751:D8776" si="285">"278"</f>
        <v>278</v>
      </c>
    </row>
    <row r="8752" spans="1:4" x14ac:dyDescent="0.25">
      <c r="A8752" t="str">
        <f>"838946724"</f>
        <v>838946724</v>
      </c>
      <c r="B8752" t="s">
        <v>7976</v>
      </c>
      <c r="C8752" s="1">
        <v>6105</v>
      </c>
      <c r="D8752" t="str">
        <f t="shared" si="285"/>
        <v>278</v>
      </c>
    </row>
    <row r="8753" spans="1:4" x14ac:dyDescent="0.25">
      <c r="A8753" t="str">
        <f>"838946725"</f>
        <v>838946725</v>
      </c>
      <c r="B8753" t="s">
        <v>7977</v>
      </c>
      <c r="C8753" s="1">
        <v>3300</v>
      </c>
      <c r="D8753" t="str">
        <f t="shared" si="285"/>
        <v>278</v>
      </c>
    </row>
    <row r="8754" spans="1:4" x14ac:dyDescent="0.25">
      <c r="A8754" t="str">
        <f>"838946726"</f>
        <v>838946726</v>
      </c>
      <c r="B8754" t="s">
        <v>7978</v>
      </c>
      <c r="C8754" s="1">
        <v>9900</v>
      </c>
      <c r="D8754" t="str">
        <f t="shared" si="285"/>
        <v>278</v>
      </c>
    </row>
    <row r="8755" spans="1:4" x14ac:dyDescent="0.25">
      <c r="A8755" t="str">
        <f>"838946727"</f>
        <v>838946727</v>
      </c>
      <c r="B8755" t="s">
        <v>7979</v>
      </c>
      <c r="C8755" s="1">
        <v>2640</v>
      </c>
      <c r="D8755" t="str">
        <f t="shared" si="285"/>
        <v>278</v>
      </c>
    </row>
    <row r="8756" spans="1:4" x14ac:dyDescent="0.25">
      <c r="A8756" t="str">
        <f>"838946728"</f>
        <v>838946728</v>
      </c>
      <c r="B8756" t="s">
        <v>7980</v>
      </c>
      <c r="C8756" s="1">
        <v>2640</v>
      </c>
      <c r="D8756" t="str">
        <f t="shared" si="285"/>
        <v>278</v>
      </c>
    </row>
    <row r="8757" spans="1:4" x14ac:dyDescent="0.25">
      <c r="A8757" t="str">
        <f>"838946729"</f>
        <v>838946729</v>
      </c>
      <c r="B8757" t="s">
        <v>7981</v>
      </c>
      <c r="C8757">
        <v>495</v>
      </c>
      <c r="D8757" t="str">
        <f t="shared" si="285"/>
        <v>278</v>
      </c>
    </row>
    <row r="8758" spans="1:4" x14ac:dyDescent="0.25">
      <c r="A8758" t="str">
        <f>"838946730"</f>
        <v>838946730</v>
      </c>
      <c r="B8758" t="s">
        <v>7982</v>
      </c>
      <c r="C8758">
        <v>495</v>
      </c>
      <c r="D8758" t="str">
        <f t="shared" si="285"/>
        <v>278</v>
      </c>
    </row>
    <row r="8759" spans="1:4" x14ac:dyDescent="0.25">
      <c r="A8759" t="str">
        <f>"838946731"</f>
        <v>838946731</v>
      </c>
      <c r="B8759" t="s">
        <v>7983</v>
      </c>
      <c r="C8759" s="1">
        <v>1003.2</v>
      </c>
      <c r="D8759" t="str">
        <f t="shared" si="285"/>
        <v>278</v>
      </c>
    </row>
    <row r="8760" spans="1:4" x14ac:dyDescent="0.25">
      <c r="A8760" t="str">
        <f>"838946732"</f>
        <v>838946732</v>
      </c>
      <c r="B8760" t="s">
        <v>7984</v>
      </c>
      <c r="C8760" s="1">
        <v>4620</v>
      </c>
      <c r="D8760" t="str">
        <f t="shared" si="285"/>
        <v>278</v>
      </c>
    </row>
    <row r="8761" spans="1:4" x14ac:dyDescent="0.25">
      <c r="A8761" t="str">
        <f>"838946733"</f>
        <v>838946733</v>
      </c>
      <c r="B8761" t="s">
        <v>7985</v>
      </c>
      <c r="C8761" s="1">
        <v>3108.6</v>
      </c>
      <c r="D8761" t="str">
        <f t="shared" si="285"/>
        <v>278</v>
      </c>
    </row>
    <row r="8762" spans="1:4" x14ac:dyDescent="0.25">
      <c r="A8762" t="str">
        <f>"838946734"</f>
        <v>838946734</v>
      </c>
      <c r="B8762" t="s">
        <v>7986</v>
      </c>
      <c r="C8762" s="1">
        <v>1155</v>
      </c>
      <c r="D8762" t="str">
        <f t="shared" si="285"/>
        <v>278</v>
      </c>
    </row>
    <row r="8763" spans="1:4" x14ac:dyDescent="0.25">
      <c r="A8763" t="str">
        <f>"838946735"</f>
        <v>838946735</v>
      </c>
      <c r="B8763" t="s">
        <v>7987</v>
      </c>
      <c r="C8763" s="1">
        <v>5197.5</v>
      </c>
      <c r="D8763" t="str">
        <f t="shared" si="285"/>
        <v>278</v>
      </c>
    </row>
    <row r="8764" spans="1:4" x14ac:dyDescent="0.25">
      <c r="A8764" t="str">
        <f>"838946736"</f>
        <v>838946736</v>
      </c>
      <c r="B8764" t="s">
        <v>7988</v>
      </c>
      <c r="C8764" s="1">
        <v>5197.5</v>
      </c>
      <c r="D8764" t="str">
        <f t="shared" si="285"/>
        <v>278</v>
      </c>
    </row>
    <row r="8765" spans="1:4" x14ac:dyDescent="0.25">
      <c r="A8765" t="str">
        <f>"838946737"</f>
        <v>838946737</v>
      </c>
      <c r="B8765" t="s">
        <v>7989</v>
      </c>
      <c r="C8765">
        <v>422.4</v>
      </c>
      <c r="D8765" t="str">
        <f t="shared" si="285"/>
        <v>278</v>
      </c>
    </row>
    <row r="8766" spans="1:4" x14ac:dyDescent="0.25">
      <c r="A8766" t="str">
        <f>"838946738"</f>
        <v>838946738</v>
      </c>
      <c r="B8766" t="s">
        <v>7990</v>
      </c>
      <c r="C8766" s="1">
        <v>3216.25</v>
      </c>
      <c r="D8766" t="str">
        <f t="shared" si="285"/>
        <v>278</v>
      </c>
    </row>
    <row r="8767" spans="1:4" x14ac:dyDescent="0.25">
      <c r="A8767" t="str">
        <f>"838946739"</f>
        <v>838946739</v>
      </c>
      <c r="B8767" t="s">
        <v>7991</v>
      </c>
      <c r="C8767">
        <v>660</v>
      </c>
      <c r="D8767" t="str">
        <f t="shared" si="285"/>
        <v>278</v>
      </c>
    </row>
    <row r="8768" spans="1:4" x14ac:dyDescent="0.25">
      <c r="A8768" t="str">
        <f>"838946740"</f>
        <v>838946740</v>
      </c>
      <c r="B8768" t="s">
        <v>7992</v>
      </c>
      <c r="C8768">
        <v>660</v>
      </c>
      <c r="D8768" t="str">
        <f t="shared" si="285"/>
        <v>278</v>
      </c>
    </row>
    <row r="8769" spans="1:4" x14ac:dyDescent="0.25">
      <c r="A8769" t="str">
        <f>"838946741"</f>
        <v>838946741</v>
      </c>
      <c r="B8769" t="s">
        <v>7993</v>
      </c>
      <c r="C8769">
        <v>660</v>
      </c>
      <c r="D8769" t="str">
        <f t="shared" si="285"/>
        <v>278</v>
      </c>
    </row>
    <row r="8770" spans="1:4" x14ac:dyDescent="0.25">
      <c r="A8770" t="str">
        <f>"838946742"</f>
        <v>838946742</v>
      </c>
      <c r="B8770" t="s">
        <v>7994</v>
      </c>
      <c r="C8770" s="1">
        <v>3300</v>
      </c>
      <c r="D8770" t="str">
        <f t="shared" si="285"/>
        <v>278</v>
      </c>
    </row>
    <row r="8771" spans="1:4" x14ac:dyDescent="0.25">
      <c r="A8771" t="str">
        <f>"838946743"</f>
        <v>838946743</v>
      </c>
      <c r="B8771" t="s">
        <v>7995</v>
      </c>
      <c r="C8771">
        <v>412.5</v>
      </c>
      <c r="D8771" t="str">
        <f t="shared" si="285"/>
        <v>278</v>
      </c>
    </row>
    <row r="8772" spans="1:4" x14ac:dyDescent="0.25">
      <c r="A8772" t="str">
        <f>"838946744"</f>
        <v>838946744</v>
      </c>
      <c r="B8772" t="s">
        <v>7996</v>
      </c>
      <c r="C8772" s="1">
        <v>2310</v>
      </c>
      <c r="D8772" t="str">
        <f t="shared" si="285"/>
        <v>278</v>
      </c>
    </row>
    <row r="8773" spans="1:4" x14ac:dyDescent="0.25">
      <c r="A8773" t="str">
        <f>"838946745"</f>
        <v>838946745</v>
      </c>
      <c r="B8773" t="s">
        <v>7997</v>
      </c>
      <c r="C8773" s="1">
        <v>3547.5</v>
      </c>
      <c r="D8773" t="str">
        <f t="shared" si="285"/>
        <v>278</v>
      </c>
    </row>
    <row r="8774" spans="1:4" x14ac:dyDescent="0.25">
      <c r="A8774" t="str">
        <f>"838946746"</f>
        <v>838946746</v>
      </c>
      <c r="B8774" t="s">
        <v>7998</v>
      </c>
      <c r="C8774">
        <v>188.1</v>
      </c>
      <c r="D8774" t="str">
        <f t="shared" si="285"/>
        <v>278</v>
      </c>
    </row>
    <row r="8775" spans="1:4" x14ac:dyDescent="0.25">
      <c r="A8775" t="str">
        <f>"838946747"</f>
        <v>838946747</v>
      </c>
      <c r="B8775" t="s">
        <v>7999</v>
      </c>
      <c r="C8775">
        <v>235.95</v>
      </c>
      <c r="D8775" t="str">
        <f t="shared" si="285"/>
        <v>278</v>
      </c>
    </row>
    <row r="8776" spans="1:4" x14ac:dyDescent="0.25">
      <c r="A8776" t="str">
        <f>"838946748"</f>
        <v>838946748</v>
      </c>
      <c r="B8776" t="s">
        <v>8000</v>
      </c>
      <c r="C8776" s="1">
        <v>7590</v>
      </c>
      <c r="D8776" t="str">
        <f t="shared" si="285"/>
        <v>278</v>
      </c>
    </row>
    <row r="8777" spans="1:4" x14ac:dyDescent="0.25">
      <c r="A8777" t="str">
        <f>"838946749"</f>
        <v>838946749</v>
      </c>
      <c r="B8777" t="s">
        <v>8001</v>
      </c>
      <c r="C8777" s="1">
        <v>1980</v>
      </c>
      <c r="D8777" t="str">
        <f>"270"</f>
        <v>270</v>
      </c>
    </row>
    <row r="8778" spans="1:4" x14ac:dyDescent="0.25">
      <c r="A8778" t="str">
        <f>"838946750"</f>
        <v>838946750</v>
      </c>
      <c r="B8778" t="s">
        <v>8002</v>
      </c>
      <c r="C8778">
        <v>132</v>
      </c>
      <c r="D8778" t="str">
        <f t="shared" ref="D8778:D8793" si="286">"278"</f>
        <v>278</v>
      </c>
    </row>
    <row r="8779" spans="1:4" x14ac:dyDescent="0.25">
      <c r="A8779" t="str">
        <f>"838946751"</f>
        <v>838946751</v>
      </c>
      <c r="B8779" t="s">
        <v>8003</v>
      </c>
      <c r="C8779">
        <v>660</v>
      </c>
      <c r="D8779" t="str">
        <f t="shared" si="286"/>
        <v>278</v>
      </c>
    </row>
    <row r="8780" spans="1:4" x14ac:dyDescent="0.25">
      <c r="A8780" t="str">
        <f>"838946752"</f>
        <v>838946752</v>
      </c>
      <c r="B8780" t="s">
        <v>8004</v>
      </c>
      <c r="C8780" s="1">
        <v>1980</v>
      </c>
      <c r="D8780" t="str">
        <f t="shared" si="286"/>
        <v>278</v>
      </c>
    </row>
    <row r="8781" spans="1:4" x14ac:dyDescent="0.25">
      <c r="A8781" t="str">
        <f>"838946753"</f>
        <v>838946753</v>
      </c>
      <c r="B8781" t="s">
        <v>8005</v>
      </c>
      <c r="C8781">
        <v>165</v>
      </c>
      <c r="D8781" t="str">
        <f t="shared" si="286"/>
        <v>278</v>
      </c>
    </row>
    <row r="8782" spans="1:4" x14ac:dyDescent="0.25">
      <c r="A8782" t="str">
        <f>"838946754"</f>
        <v>838946754</v>
      </c>
      <c r="B8782" t="s">
        <v>7926</v>
      </c>
      <c r="C8782" s="1">
        <v>7150</v>
      </c>
      <c r="D8782" t="str">
        <f t="shared" si="286"/>
        <v>278</v>
      </c>
    </row>
    <row r="8783" spans="1:4" x14ac:dyDescent="0.25">
      <c r="A8783" t="str">
        <f>"838946755"</f>
        <v>838946755</v>
      </c>
      <c r="B8783" t="s">
        <v>7375</v>
      </c>
      <c r="C8783">
        <v>297</v>
      </c>
      <c r="D8783" t="str">
        <f t="shared" si="286"/>
        <v>278</v>
      </c>
    </row>
    <row r="8784" spans="1:4" x14ac:dyDescent="0.25">
      <c r="A8784" t="str">
        <f>"838946756"</f>
        <v>838946756</v>
      </c>
      <c r="B8784" t="s">
        <v>8006</v>
      </c>
      <c r="C8784">
        <v>528</v>
      </c>
      <c r="D8784" t="str">
        <f t="shared" si="286"/>
        <v>278</v>
      </c>
    </row>
    <row r="8785" spans="1:4" x14ac:dyDescent="0.25">
      <c r="A8785" t="str">
        <f>"838946757"</f>
        <v>838946757</v>
      </c>
      <c r="B8785" t="s">
        <v>8007</v>
      </c>
      <c r="C8785">
        <v>528</v>
      </c>
      <c r="D8785" t="str">
        <f t="shared" si="286"/>
        <v>278</v>
      </c>
    </row>
    <row r="8786" spans="1:4" x14ac:dyDescent="0.25">
      <c r="A8786" t="str">
        <f>"838946758"</f>
        <v>838946758</v>
      </c>
      <c r="B8786" t="s">
        <v>8008</v>
      </c>
      <c r="C8786">
        <v>51.94</v>
      </c>
      <c r="D8786" t="str">
        <f t="shared" si="286"/>
        <v>278</v>
      </c>
    </row>
    <row r="8787" spans="1:4" x14ac:dyDescent="0.25">
      <c r="A8787" t="str">
        <f>"838946759"</f>
        <v>838946759</v>
      </c>
      <c r="B8787" t="s">
        <v>8009</v>
      </c>
      <c r="C8787" s="1">
        <v>1171.5</v>
      </c>
      <c r="D8787" t="str">
        <f t="shared" si="286"/>
        <v>278</v>
      </c>
    </row>
    <row r="8788" spans="1:4" x14ac:dyDescent="0.25">
      <c r="A8788" t="str">
        <f>"838946760"</f>
        <v>838946760</v>
      </c>
      <c r="B8788" t="s">
        <v>8010</v>
      </c>
      <c r="C8788" s="1">
        <v>1136.8800000000001</v>
      </c>
      <c r="D8788" t="str">
        <f t="shared" si="286"/>
        <v>278</v>
      </c>
    </row>
    <row r="8789" spans="1:4" x14ac:dyDescent="0.25">
      <c r="A8789" t="str">
        <f>"838946761"</f>
        <v>838946761</v>
      </c>
      <c r="B8789" t="s">
        <v>8011</v>
      </c>
      <c r="C8789">
        <v>635.98</v>
      </c>
      <c r="D8789" t="str">
        <f t="shared" si="286"/>
        <v>278</v>
      </c>
    </row>
    <row r="8790" spans="1:4" x14ac:dyDescent="0.25">
      <c r="A8790" t="str">
        <f>"838946762"</f>
        <v>838946762</v>
      </c>
      <c r="B8790" t="s">
        <v>8012</v>
      </c>
      <c r="C8790">
        <v>51.94</v>
      </c>
      <c r="D8790" t="str">
        <f t="shared" si="286"/>
        <v>278</v>
      </c>
    </row>
    <row r="8791" spans="1:4" x14ac:dyDescent="0.25">
      <c r="A8791" t="str">
        <f>"838946763"</f>
        <v>838946763</v>
      </c>
      <c r="B8791" t="s">
        <v>8013</v>
      </c>
      <c r="C8791" s="1">
        <v>1171.5</v>
      </c>
      <c r="D8791" t="str">
        <f t="shared" si="286"/>
        <v>278</v>
      </c>
    </row>
    <row r="8792" spans="1:4" x14ac:dyDescent="0.25">
      <c r="A8792" t="str">
        <f>"838946764"</f>
        <v>838946764</v>
      </c>
      <c r="B8792" t="s">
        <v>8014</v>
      </c>
      <c r="C8792" s="1">
        <v>1136.8800000000001</v>
      </c>
      <c r="D8792" t="str">
        <f t="shared" si="286"/>
        <v>278</v>
      </c>
    </row>
    <row r="8793" spans="1:4" x14ac:dyDescent="0.25">
      <c r="A8793" t="str">
        <f>"838946765"</f>
        <v>838946765</v>
      </c>
      <c r="B8793" t="s">
        <v>8015</v>
      </c>
      <c r="C8793">
        <v>503.98</v>
      </c>
      <c r="D8793" t="str">
        <f t="shared" si="286"/>
        <v>278</v>
      </c>
    </row>
    <row r="8794" spans="1:4" x14ac:dyDescent="0.25">
      <c r="A8794" t="str">
        <f>"838946766"</f>
        <v>838946766</v>
      </c>
      <c r="B8794" t="s">
        <v>8016</v>
      </c>
      <c r="C8794">
        <v>4.4000000000000004</v>
      </c>
      <c r="D8794" t="str">
        <f>"272"</f>
        <v>272</v>
      </c>
    </row>
    <row r="8795" spans="1:4" x14ac:dyDescent="0.25">
      <c r="A8795" t="str">
        <f>"838946767"</f>
        <v>838946767</v>
      </c>
      <c r="B8795" t="s">
        <v>8017</v>
      </c>
      <c r="C8795" s="1">
        <v>2145</v>
      </c>
      <c r="D8795" t="str">
        <f t="shared" ref="D8795:D8855" si="287">"278"</f>
        <v>278</v>
      </c>
    </row>
    <row r="8796" spans="1:4" x14ac:dyDescent="0.25">
      <c r="A8796" t="str">
        <f>"838946768"</f>
        <v>838946768</v>
      </c>
      <c r="B8796" t="s">
        <v>8018</v>
      </c>
      <c r="C8796" s="1">
        <v>2145</v>
      </c>
      <c r="D8796" t="str">
        <f t="shared" si="287"/>
        <v>278</v>
      </c>
    </row>
    <row r="8797" spans="1:4" x14ac:dyDescent="0.25">
      <c r="A8797" t="str">
        <f>"838946769"</f>
        <v>838946769</v>
      </c>
      <c r="B8797" t="s">
        <v>8019</v>
      </c>
      <c r="C8797">
        <v>594</v>
      </c>
      <c r="D8797" t="str">
        <f t="shared" si="287"/>
        <v>278</v>
      </c>
    </row>
    <row r="8798" spans="1:4" x14ac:dyDescent="0.25">
      <c r="A8798" t="str">
        <f>"838946770"</f>
        <v>838946770</v>
      </c>
      <c r="B8798" t="s">
        <v>8020</v>
      </c>
      <c r="C8798" s="1">
        <v>1818.3</v>
      </c>
      <c r="D8798" t="str">
        <f t="shared" si="287"/>
        <v>278</v>
      </c>
    </row>
    <row r="8799" spans="1:4" x14ac:dyDescent="0.25">
      <c r="A8799" t="str">
        <f>"838946771"</f>
        <v>838946771</v>
      </c>
      <c r="B8799" t="s">
        <v>8021</v>
      </c>
      <c r="C8799" s="1">
        <v>4290</v>
      </c>
      <c r="D8799" t="str">
        <f t="shared" si="287"/>
        <v>278</v>
      </c>
    </row>
    <row r="8800" spans="1:4" x14ac:dyDescent="0.25">
      <c r="A8800" t="str">
        <f>"838946772"</f>
        <v>838946772</v>
      </c>
      <c r="B8800" t="s">
        <v>8022</v>
      </c>
      <c r="C8800" s="1">
        <v>2970</v>
      </c>
      <c r="D8800" t="str">
        <f t="shared" si="287"/>
        <v>278</v>
      </c>
    </row>
    <row r="8801" spans="1:4" x14ac:dyDescent="0.25">
      <c r="A8801" t="str">
        <f>"838946773"</f>
        <v>838946773</v>
      </c>
      <c r="B8801" t="s">
        <v>8023</v>
      </c>
      <c r="C8801" s="1">
        <v>2970</v>
      </c>
      <c r="D8801" t="str">
        <f t="shared" si="287"/>
        <v>278</v>
      </c>
    </row>
    <row r="8802" spans="1:4" x14ac:dyDescent="0.25">
      <c r="A8802" t="str">
        <f>"838946774"</f>
        <v>838946774</v>
      </c>
      <c r="B8802" t="s">
        <v>8024</v>
      </c>
      <c r="C8802" s="1">
        <v>2970</v>
      </c>
      <c r="D8802" t="str">
        <f t="shared" si="287"/>
        <v>278</v>
      </c>
    </row>
    <row r="8803" spans="1:4" x14ac:dyDescent="0.25">
      <c r="A8803" t="str">
        <f>"838946775"</f>
        <v>838946775</v>
      </c>
      <c r="B8803" t="s">
        <v>8025</v>
      </c>
      <c r="C8803">
        <v>371.25</v>
      </c>
      <c r="D8803" t="str">
        <f t="shared" si="287"/>
        <v>278</v>
      </c>
    </row>
    <row r="8804" spans="1:4" x14ac:dyDescent="0.25">
      <c r="A8804" t="str">
        <f>"838946776"</f>
        <v>838946776</v>
      </c>
      <c r="B8804" t="s">
        <v>8026</v>
      </c>
      <c r="C8804">
        <v>742.5</v>
      </c>
      <c r="D8804" t="str">
        <f t="shared" si="287"/>
        <v>278</v>
      </c>
    </row>
    <row r="8805" spans="1:4" x14ac:dyDescent="0.25">
      <c r="A8805" t="str">
        <f>"838946777"</f>
        <v>838946777</v>
      </c>
      <c r="B8805" t="s">
        <v>8027</v>
      </c>
      <c r="C8805" s="1">
        <v>6864</v>
      </c>
      <c r="D8805" t="str">
        <f t="shared" si="287"/>
        <v>278</v>
      </c>
    </row>
    <row r="8806" spans="1:4" x14ac:dyDescent="0.25">
      <c r="A8806" t="str">
        <f>"838946778"</f>
        <v>838946778</v>
      </c>
      <c r="B8806" t="s">
        <v>8028</v>
      </c>
      <c r="C8806" s="1">
        <v>15345</v>
      </c>
      <c r="D8806" t="str">
        <f t="shared" si="287"/>
        <v>278</v>
      </c>
    </row>
    <row r="8807" spans="1:4" x14ac:dyDescent="0.25">
      <c r="A8807" t="str">
        <f>"838946779"</f>
        <v>838946779</v>
      </c>
      <c r="B8807" t="s">
        <v>8029</v>
      </c>
      <c r="C8807" s="1">
        <v>16500</v>
      </c>
      <c r="D8807" t="str">
        <f t="shared" si="287"/>
        <v>278</v>
      </c>
    </row>
    <row r="8808" spans="1:4" x14ac:dyDescent="0.25">
      <c r="A8808" t="str">
        <f>"838946780"</f>
        <v>838946780</v>
      </c>
      <c r="B8808" t="s">
        <v>8030</v>
      </c>
      <c r="C8808" s="1">
        <v>5610</v>
      </c>
      <c r="D8808" t="str">
        <f t="shared" si="287"/>
        <v>278</v>
      </c>
    </row>
    <row r="8809" spans="1:4" x14ac:dyDescent="0.25">
      <c r="A8809" t="str">
        <f>"838946781"</f>
        <v>838946781</v>
      </c>
      <c r="B8809" t="s">
        <v>8031</v>
      </c>
      <c r="C8809" s="1">
        <v>1815</v>
      </c>
      <c r="D8809" t="str">
        <f t="shared" si="287"/>
        <v>278</v>
      </c>
    </row>
    <row r="8810" spans="1:4" x14ac:dyDescent="0.25">
      <c r="A8810" t="str">
        <f>"838946782"</f>
        <v>838946782</v>
      </c>
      <c r="B8810" t="s">
        <v>8032</v>
      </c>
      <c r="C8810">
        <v>907.5</v>
      </c>
      <c r="D8810" t="str">
        <f t="shared" si="287"/>
        <v>278</v>
      </c>
    </row>
    <row r="8811" spans="1:4" x14ac:dyDescent="0.25">
      <c r="A8811" t="str">
        <f>"838946783"</f>
        <v>838946783</v>
      </c>
      <c r="B8811" t="s">
        <v>8033</v>
      </c>
      <c r="C8811">
        <v>643.5</v>
      </c>
      <c r="D8811" t="str">
        <f t="shared" si="287"/>
        <v>278</v>
      </c>
    </row>
    <row r="8812" spans="1:4" x14ac:dyDescent="0.25">
      <c r="A8812" t="str">
        <f>"838946784"</f>
        <v>838946784</v>
      </c>
      <c r="B8812" t="s">
        <v>8034</v>
      </c>
      <c r="C8812" s="1">
        <v>1214.4000000000001</v>
      </c>
      <c r="D8812" t="str">
        <f t="shared" si="287"/>
        <v>278</v>
      </c>
    </row>
    <row r="8813" spans="1:4" x14ac:dyDescent="0.25">
      <c r="A8813" t="str">
        <f>"838946785"</f>
        <v>838946785</v>
      </c>
      <c r="B8813" t="s">
        <v>8035</v>
      </c>
      <c r="C8813">
        <v>174.9</v>
      </c>
      <c r="D8813" t="str">
        <f t="shared" si="287"/>
        <v>278</v>
      </c>
    </row>
    <row r="8814" spans="1:4" x14ac:dyDescent="0.25">
      <c r="A8814" t="str">
        <f>"838946786"</f>
        <v>838946786</v>
      </c>
      <c r="B8814" t="s">
        <v>8036</v>
      </c>
      <c r="C8814" s="1">
        <v>1006.5</v>
      </c>
      <c r="D8814" t="str">
        <f t="shared" si="287"/>
        <v>278</v>
      </c>
    </row>
    <row r="8815" spans="1:4" x14ac:dyDescent="0.25">
      <c r="A8815" t="str">
        <f>"838946787"</f>
        <v>838946787</v>
      </c>
      <c r="B8815" t="s">
        <v>8037</v>
      </c>
      <c r="C8815" s="1">
        <v>2036.1</v>
      </c>
      <c r="D8815" t="str">
        <f t="shared" si="287"/>
        <v>278</v>
      </c>
    </row>
    <row r="8816" spans="1:4" x14ac:dyDescent="0.25">
      <c r="A8816" t="str">
        <f>"838946788"</f>
        <v>838946788</v>
      </c>
      <c r="B8816" t="s">
        <v>8038</v>
      </c>
      <c r="C8816" s="1">
        <v>6857.4</v>
      </c>
      <c r="D8816" t="str">
        <f t="shared" si="287"/>
        <v>278</v>
      </c>
    </row>
    <row r="8817" spans="1:4" x14ac:dyDescent="0.25">
      <c r="A8817" t="str">
        <f>"838946789"</f>
        <v>838946789</v>
      </c>
      <c r="B8817" t="s">
        <v>8039</v>
      </c>
      <c r="C8817" s="1">
        <v>16500</v>
      </c>
      <c r="D8817" t="str">
        <f t="shared" si="287"/>
        <v>278</v>
      </c>
    </row>
    <row r="8818" spans="1:4" x14ac:dyDescent="0.25">
      <c r="A8818" t="str">
        <f>"838946790"</f>
        <v>838946790</v>
      </c>
      <c r="B8818" t="s">
        <v>8040</v>
      </c>
      <c r="C8818" s="1">
        <v>6600</v>
      </c>
      <c r="D8818" t="str">
        <f t="shared" si="287"/>
        <v>278</v>
      </c>
    </row>
    <row r="8819" spans="1:4" x14ac:dyDescent="0.25">
      <c r="A8819" t="str">
        <f>"838946791"</f>
        <v>838946791</v>
      </c>
      <c r="B8819" t="s">
        <v>8041</v>
      </c>
      <c r="C8819" s="1">
        <v>16500</v>
      </c>
      <c r="D8819" t="str">
        <f t="shared" si="287"/>
        <v>278</v>
      </c>
    </row>
    <row r="8820" spans="1:4" x14ac:dyDescent="0.25">
      <c r="A8820" t="str">
        <f>"838946792"</f>
        <v>838946792</v>
      </c>
      <c r="B8820" t="s">
        <v>8042</v>
      </c>
      <c r="C8820" s="1">
        <v>4725.6000000000004</v>
      </c>
      <c r="D8820" t="str">
        <f t="shared" si="287"/>
        <v>278</v>
      </c>
    </row>
    <row r="8821" spans="1:4" x14ac:dyDescent="0.25">
      <c r="A8821" t="str">
        <f>"838946793"</f>
        <v>838946793</v>
      </c>
      <c r="B8821" t="s">
        <v>8043</v>
      </c>
      <c r="C8821">
        <v>369.6</v>
      </c>
      <c r="D8821" t="str">
        <f t="shared" si="287"/>
        <v>278</v>
      </c>
    </row>
    <row r="8822" spans="1:4" x14ac:dyDescent="0.25">
      <c r="A8822" t="str">
        <f>"838946794"</f>
        <v>838946794</v>
      </c>
      <c r="B8822" t="s">
        <v>8044</v>
      </c>
      <c r="C8822">
        <v>369.6</v>
      </c>
      <c r="D8822" t="str">
        <f t="shared" si="287"/>
        <v>278</v>
      </c>
    </row>
    <row r="8823" spans="1:4" x14ac:dyDescent="0.25">
      <c r="A8823" t="str">
        <f>"838946795"</f>
        <v>838946795</v>
      </c>
      <c r="B8823" t="s">
        <v>8045</v>
      </c>
      <c r="C8823">
        <v>369.6</v>
      </c>
      <c r="D8823" t="str">
        <f t="shared" si="287"/>
        <v>278</v>
      </c>
    </row>
    <row r="8824" spans="1:4" x14ac:dyDescent="0.25">
      <c r="A8824" t="str">
        <f>"838946796"</f>
        <v>838946796</v>
      </c>
      <c r="B8824" t="s">
        <v>8046</v>
      </c>
      <c r="C8824">
        <v>369.6</v>
      </c>
      <c r="D8824" t="str">
        <f t="shared" si="287"/>
        <v>278</v>
      </c>
    </row>
    <row r="8825" spans="1:4" x14ac:dyDescent="0.25">
      <c r="A8825" t="str">
        <f>"838946797"</f>
        <v>838946797</v>
      </c>
      <c r="B8825" t="s">
        <v>8047</v>
      </c>
      <c r="C8825">
        <v>580.79999999999995</v>
      </c>
      <c r="D8825" t="str">
        <f t="shared" si="287"/>
        <v>278</v>
      </c>
    </row>
    <row r="8826" spans="1:4" x14ac:dyDescent="0.25">
      <c r="A8826" t="str">
        <f>"838946798"</f>
        <v>838946798</v>
      </c>
      <c r="B8826" t="s">
        <v>8048</v>
      </c>
      <c r="C8826" s="1">
        <v>7243.5</v>
      </c>
      <c r="D8826" t="str">
        <f t="shared" si="287"/>
        <v>278</v>
      </c>
    </row>
    <row r="8827" spans="1:4" x14ac:dyDescent="0.25">
      <c r="A8827" t="str">
        <f>"838946799"</f>
        <v>838946799</v>
      </c>
      <c r="B8827" t="s">
        <v>8049</v>
      </c>
      <c r="C8827" s="1">
        <v>2475</v>
      </c>
      <c r="D8827" t="str">
        <f t="shared" si="287"/>
        <v>278</v>
      </c>
    </row>
    <row r="8828" spans="1:4" x14ac:dyDescent="0.25">
      <c r="A8828" t="str">
        <f>"838946800"</f>
        <v>838946800</v>
      </c>
      <c r="B8828" t="s">
        <v>8050</v>
      </c>
      <c r="C8828" s="1">
        <v>1155</v>
      </c>
      <c r="D8828" t="str">
        <f t="shared" si="287"/>
        <v>278</v>
      </c>
    </row>
    <row r="8829" spans="1:4" x14ac:dyDescent="0.25">
      <c r="A8829" t="str">
        <f>"838946801"</f>
        <v>838946801</v>
      </c>
      <c r="B8829" t="s">
        <v>8051</v>
      </c>
      <c r="C8829" s="1">
        <v>11550</v>
      </c>
      <c r="D8829" t="str">
        <f t="shared" si="287"/>
        <v>278</v>
      </c>
    </row>
    <row r="8830" spans="1:4" x14ac:dyDescent="0.25">
      <c r="A8830" t="str">
        <f>"838946802"</f>
        <v>838946802</v>
      </c>
      <c r="B8830" t="s">
        <v>8052</v>
      </c>
      <c r="C8830" s="1">
        <v>4630.3599999999997</v>
      </c>
      <c r="D8830" t="str">
        <f t="shared" si="287"/>
        <v>278</v>
      </c>
    </row>
    <row r="8831" spans="1:4" x14ac:dyDescent="0.25">
      <c r="A8831" t="str">
        <f>"838946803"</f>
        <v>838946803</v>
      </c>
      <c r="B8831" t="s">
        <v>8053</v>
      </c>
      <c r="C8831" s="1">
        <v>1441.98</v>
      </c>
      <c r="D8831" t="str">
        <f t="shared" si="287"/>
        <v>278</v>
      </c>
    </row>
    <row r="8832" spans="1:4" x14ac:dyDescent="0.25">
      <c r="A8832" t="str">
        <f>"838946804"</f>
        <v>838946804</v>
      </c>
      <c r="B8832" t="s">
        <v>8054</v>
      </c>
      <c r="C8832" s="1">
        <v>3435.43</v>
      </c>
      <c r="D8832" t="str">
        <f t="shared" si="287"/>
        <v>278</v>
      </c>
    </row>
    <row r="8833" spans="1:4" x14ac:dyDescent="0.25">
      <c r="A8833" t="str">
        <f>"838946805"</f>
        <v>838946805</v>
      </c>
      <c r="B8833" t="s">
        <v>8055</v>
      </c>
      <c r="C8833" s="1">
        <v>8551.2199999999993</v>
      </c>
      <c r="D8833" t="str">
        <f t="shared" si="287"/>
        <v>278</v>
      </c>
    </row>
    <row r="8834" spans="1:4" x14ac:dyDescent="0.25">
      <c r="A8834" t="str">
        <f>"838946806"</f>
        <v>838946806</v>
      </c>
      <c r="B8834" t="s">
        <v>8056</v>
      </c>
      <c r="C8834" s="1">
        <v>1401.74</v>
      </c>
      <c r="D8834" t="str">
        <f t="shared" si="287"/>
        <v>278</v>
      </c>
    </row>
    <row r="8835" spans="1:4" x14ac:dyDescent="0.25">
      <c r="A8835" t="str">
        <f>"838946807"</f>
        <v>838946807</v>
      </c>
      <c r="B8835" t="s">
        <v>8057</v>
      </c>
      <c r="C8835">
        <v>669.27</v>
      </c>
      <c r="D8835" t="str">
        <f t="shared" si="287"/>
        <v>278</v>
      </c>
    </row>
    <row r="8836" spans="1:4" x14ac:dyDescent="0.25">
      <c r="A8836" t="str">
        <f>"838946808"</f>
        <v>838946808</v>
      </c>
      <c r="B8836" t="s">
        <v>8058</v>
      </c>
      <c r="C8836" s="1">
        <v>8250</v>
      </c>
      <c r="D8836" t="str">
        <f t="shared" si="287"/>
        <v>278</v>
      </c>
    </row>
    <row r="8837" spans="1:4" x14ac:dyDescent="0.25">
      <c r="A8837" t="str">
        <f>"838946809"</f>
        <v>838946809</v>
      </c>
      <c r="B8837" t="s">
        <v>8059</v>
      </c>
      <c r="C8837" s="1">
        <v>2310</v>
      </c>
      <c r="D8837" t="str">
        <f t="shared" si="287"/>
        <v>278</v>
      </c>
    </row>
    <row r="8838" spans="1:4" x14ac:dyDescent="0.25">
      <c r="A8838" t="str">
        <f>"838946810"</f>
        <v>838946810</v>
      </c>
      <c r="B8838" t="s">
        <v>8060</v>
      </c>
      <c r="C8838" s="1">
        <v>2310</v>
      </c>
      <c r="D8838" t="str">
        <f t="shared" si="287"/>
        <v>278</v>
      </c>
    </row>
    <row r="8839" spans="1:4" x14ac:dyDescent="0.25">
      <c r="A8839" t="str">
        <f>"838946811"</f>
        <v>838946811</v>
      </c>
      <c r="B8839" t="s">
        <v>8061</v>
      </c>
      <c r="C8839" s="1">
        <v>2310</v>
      </c>
      <c r="D8839" t="str">
        <f t="shared" si="287"/>
        <v>278</v>
      </c>
    </row>
    <row r="8840" spans="1:4" x14ac:dyDescent="0.25">
      <c r="A8840" t="str">
        <f>"838946812"</f>
        <v>838946812</v>
      </c>
      <c r="B8840" t="s">
        <v>8062</v>
      </c>
      <c r="C8840" s="1">
        <v>2310</v>
      </c>
      <c r="D8840" t="str">
        <f t="shared" si="287"/>
        <v>278</v>
      </c>
    </row>
    <row r="8841" spans="1:4" x14ac:dyDescent="0.25">
      <c r="A8841" t="str">
        <f>"838946813"</f>
        <v>838946813</v>
      </c>
      <c r="B8841" t="s">
        <v>8063</v>
      </c>
      <c r="C8841" s="1">
        <v>2310</v>
      </c>
      <c r="D8841" t="str">
        <f t="shared" si="287"/>
        <v>278</v>
      </c>
    </row>
    <row r="8842" spans="1:4" x14ac:dyDescent="0.25">
      <c r="A8842" t="str">
        <f>"838946814"</f>
        <v>838946814</v>
      </c>
      <c r="B8842" t="s">
        <v>8064</v>
      </c>
      <c r="C8842">
        <v>165</v>
      </c>
      <c r="D8842" t="str">
        <f t="shared" si="287"/>
        <v>278</v>
      </c>
    </row>
    <row r="8843" spans="1:4" x14ac:dyDescent="0.25">
      <c r="A8843" t="str">
        <f>"838946815"</f>
        <v>838946815</v>
      </c>
      <c r="B8843" t="s">
        <v>8065</v>
      </c>
      <c r="C8843">
        <v>495</v>
      </c>
      <c r="D8843" t="str">
        <f t="shared" si="287"/>
        <v>278</v>
      </c>
    </row>
    <row r="8844" spans="1:4" x14ac:dyDescent="0.25">
      <c r="A8844" t="str">
        <f>"838946816"</f>
        <v>838946816</v>
      </c>
      <c r="B8844" t="s">
        <v>8066</v>
      </c>
      <c r="C8844" s="1">
        <v>3795</v>
      </c>
      <c r="D8844" t="str">
        <f t="shared" si="287"/>
        <v>278</v>
      </c>
    </row>
    <row r="8845" spans="1:4" x14ac:dyDescent="0.25">
      <c r="A8845" t="str">
        <f>"838946817"</f>
        <v>838946817</v>
      </c>
      <c r="B8845" t="s">
        <v>8067</v>
      </c>
      <c r="C8845" s="1">
        <v>4620</v>
      </c>
      <c r="D8845" t="str">
        <f t="shared" si="287"/>
        <v>278</v>
      </c>
    </row>
    <row r="8846" spans="1:4" x14ac:dyDescent="0.25">
      <c r="A8846" t="str">
        <f>"838946818"</f>
        <v>838946818</v>
      </c>
      <c r="B8846" t="s">
        <v>8068</v>
      </c>
      <c r="C8846" s="1">
        <v>2970</v>
      </c>
      <c r="D8846" t="str">
        <f t="shared" si="287"/>
        <v>278</v>
      </c>
    </row>
    <row r="8847" spans="1:4" x14ac:dyDescent="0.25">
      <c r="A8847" t="str">
        <f>"838946819"</f>
        <v>838946819</v>
      </c>
      <c r="B8847" t="s">
        <v>8069</v>
      </c>
      <c r="C8847" s="1">
        <v>2970</v>
      </c>
      <c r="D8847" t="str">
        <f t="shared" si="287"/>
        <v>278</v>
      </c>
    </row>
    <row r="8848" spans="1:4" x14ac:dyDescent="0.25">
      <c r="A8848" t="str">
        <f>"838946820"</f>
        <v>838946820</v>
      </c>
      <c r="B8848" t="s">
        <v>8070</v>
      </c>
      <c r="C8848">
        <v>640.20000000000005</v>
      </c>
      <c r="D8848" t="str">
        <f t="shared" si="287"/>
        <v>278</v>
      </c>
    </row>
    <row r="8849" spans="1:4" x14ac:dyDescent="0.25">
      <c r="A8849" t="str">
        <f>"838946821"</f>
        <v>838946821</v>
      </c>
      <c r="B8849" t="s">
        <v>8071</v>
      </c>
      <c r="C8849">
        <v>640.20000000000005</v>
      </c>
      <c r="D8849" t="str">
        <f t="shared" si="287"/>
        <v>278</v>
      </c>
    </row>
    <row r="8850" spans="1:4" x14ac:dyDescent="0.25">
      <c r="A8850" t="str">
        <f>"838946822"</f>
        <v>838946822</v>
      </c>
      <c r="B8850" t="s">
        <v>8072</v>
      </c>
      <c r="C8850">
        <v>640.20000000000005</v>
      </c>
      <c r="D8850" t="str">
        <f t="shared" si="287"/>
        <v>278</v>
      </c>
    </row>
    <row r="8851" spans="1:4" x14ac:dyDescent="0.25">
      <c r="A8851" t="str">
        <f>"838946823"</f>
        <v>838946823</v>
      </c>
      <c r="B8851" t="s">
        <v>8073</v>
      </c>
      <c r="C8851">
        <v>640.20000000000005</v>
      </c>
      <c r="D8851" t="str">
        <f t="shared" si="287"/>
        <v>278</v>
      </c>
    </row>
    <row r="8852" spans="1:4" x14ac:dyDescent="0.25">
      <c r="A8852" t="str">
        <f>"838946824"</f>
        <v>838946824</v>
      </c>
      <c r="B8852" t="s">
        <v>8074</v>
      </c>
      <c r="C8852">
        <v>640.20000000000005</v>
      </c>
      <c r="D8852" t="str">
        <f t="shared" si="287"/>
        <v>278</v>
      </c>
    </row>
    <row r="8853" spans="1:4" x14ac:dyDescent="0.25">
      <c r="A8853" t="str">
        <f>"838946825"</f>
        <v>838946825</v>
      </c>
      <c r="B8853" t="s">
        <v>8075</v>
      </c>
      <c r="C8853" s="1">
        <v>1518</v>
      </c>
      <c r="D8853" t="str">
        <f t="shared" si="287"/>
        <v>278</v>
      </c>
    </row>
    <row r="8854" spans="1:4" x14ac:dyDescent="0.25">
      <c r="A8854" t="str">
        <f>"838946826"</f>
        <v>838946826</v>
      </c>
      <c r="B8854" t="s">
        <v>8076</v>
      </c>
      <c r="C8854" s="1">
        <v>1518</v>
      </c>
      <c r="D8854" t="str">
        <f t="shared" si="287"/>
        <v>278</v>
      </c>
    </row>
    <row r="8855" spans="1:4" x14ac:dyDescent="0.25">
      <c r="A8855" t="str">
        <f>"838946827"</f>
        <v>838946827</v>
      </c>
      <c r="B8855" t="s">
        <v>8077</v>
      </c>
      <c r="C8855" s="1">
        <v>3688.74</v>
      </c>
      <c r="D8855" t="str">
        <f t="shared" si="287"/>
        <v>278</v>
      </c>
    </row>
    <row r="8856" spans="1:4" x14ac:dyDescent="0.25">
      <c r="A8856" t="str">
        <f>"838946828"</f>
        <v>838946828</v>
      </c>
      <c r="B8856" t="s">
        <v>8078</v>
      </c>
      <c r="C8856">
        <v>35.159999999999997</v>
      </c>
      <c r="D8856" t="str">
        <f>"272"</f>
        <v>272</v>
      </c>
    </row>
    <row r="8857" spans="1:4" x14ac:dyDescent="0.25">
      <c r="A8857" t="str">
        <f>"838946829"</f>
        <v>838946829</v>
      </c>
      <c r="B8857" t="s">
        <v>8079</v>
      </c>
      <c r="C8857" s="1">
        <v>3465</v>
      </c>
      <c r="D8857" t="str">
        <f t="shared" ref="D8857:D8920" si="288">"278"</f>
        <v>278</v>
      </c>
    </row>
    <row r="8858" spans="1:4" x14ac:dyDescent="0.25">
      <c r="A8858" t="str">
        <f>"838946830"</f>
        <v>838946830</v>
      </c>
      <c r="B8858" t="s">
        <v>8080</v>
      </c>
      <c r="C8858">
        <v>495</v>
      </c>
      <c r="D8858" t="str">
        <f t="shared" si="288"/>
        <v>278</v>
      </c>
    </row>
    <row r="8859" spans="1:4" x14ac:dyDescent="0.25">
      <c r="A8859" t="str">
        <f>"838946831"</f>
        <v>838946831</v>
      </c>
      <c r="B8859" t="s">
        <v>8081</v>
      </c>
      <c r="C8859">
        <v>825</v>
      </c>
      <c r="D8859" t="str">
        <f t="shared" si="288"/>
        <v>278</v>
      </c>
    </row>
    <row r="8860" spans="1:4" x14ac:dyDescent="0.25">
      <c r="A8860" t="str">
        <f>"838946832"</f>
        <v>838946832</v>
      </c>
      <c r="B8860" t="s">
        <v>8082</v>
      </c>
      <c r="C8860">
        <v>495</v>
      </c>
      <c r="D8860" t="str">
        <f t="shared" si="288"/>
        <v>278</v>
      </c>
    </row>
    <row r="8861" spans="1:4" x14ac:dyDescent="0.25">
      <c r="A8861" t="str">
        <f>"838946833"</f>
        <v>838946833</v>
      </c>
      <c r="B8861" t="s">
        <v>8083</v>
      </c>
      <c r="C8861">
        <v>495</v>
      </c>
      <c r="D8861" t="str">
        <f t="shared" si="288"/>
        <v>278</v>
      </c>
    </row>
    <row r="8862" spans="1:4" x14ac:dyDescent="0.25">
      <c r="A8862" t="str">
        <f>"838946834"</f>
        <v>838946834</v>
      </c>
      <c r="B8862" t="s">
        <v>8084</v>
      </c>
      <c r="C8862" s="1">
        <v>6435</v>
      </c>
      <c r="D8862" t="str">
        <f t="shared" si="288"/>
        <v>278</v>
      </c>
    </row>
    <row r="8863" spans="1:4" x14ac:dyDescent="0.25">
      <c r="A8863" t="str">
        <f>"838946835"</f>
        <v>838946835</v>
      </c>
      <c r="B8863" t="s">
        <v>8085</v>
      </c>
      <c r="C8863" s="1">
        <v>1980</v>
      </c>
      <c r="D8863" t="str">
        <f t="shared" si="288"/>
        <v>278</v>
      </c>
    </row>
    <row r="8864" spans="1:4" x14ac:dyDescent="0.25">
      <c r="A8864" t="str">
        <f>"838946836"</f>
        <v>838946836</v>
      </c>
      <c r="B8864" t="s">
        <v>8086</v>
      </c>
      <c r="C8864" s="1">
        <v>2244</v>
      </c>
      <c r="D8864" t="str">
        <f t="shared" si="288"/>
        <v>278</v>
      </c>
    </row>
    <row r="8865" spans="1:4" x14ac:dyDescent="0.25">
      <c r="A8865" t="str">
        <f>"838946837"</f>
        <v>838946837</v>
      </c>
      <c r="B8865" t="s">
        <v>8087</v>
      </c>
      <c r="C8865" s="1">
        <v>1650</v>
      </c>
      <c r="D8865" t="str">
        <f t="shared" si="288"/>
        <v>278</v>
      </c>
    </row>
    <row r="8866" spans="1:4" x14ac:dyDescent="0.25">
      <c r="A8866" t="str">
        <f>"838946838"</f>
        <v>838946838</v>
      </c>
      <c r="B8866" t="s">
        <v>8088</v>
      </c>
      <c r="C8866" s="1">
        <v>3300</v>
      </c>
      <c r="D8866" t="str">
        <f t="shared" si="288"/>
        <v>278</v>
      </c>
    </row>
    <row r="8867" spans="1:4" x14ac:dyDescent="0.25">
      <c r="A8867" t="str">
        <f>"838946840"</f>
        <v>838946840</v>
      </c>
      <c r="B8867" t="s">
        <v>8089</v>
      </c>
      <c r="C8867" s="1">
        <v>6600</v>
      </c>
      <c r="D8867" t="str">
        <f t="shared" si="288"/>
        <v>278</v>
      </c>
    </row>
    <row r="8868" spans="1:4" x14ac:dyDescent="0.25">
      <c r="A8868" t="str">
        <f>"838946841"</f>
        <v>838946841</v>
      </c>
      <c r="B8868" t="s">
        <v>8090</v>
      </c>
      <c r="C8868" s="1">
        <v>4620</v>
      </c>
      <c r="D8868" t="str">
        <f t="shared" si="288"/>
        <v>278</v>
      </c>
    </row>
    <row r="8869" spans="1:4" x14ac:dyDescent="0.25">
      <c r="A8869" t="str">
        <f>"838946842"</f>
        <v>838946842</v>
      </c>
      <c r="B8869" t="s">
        <v>8091</v>
      </c>
      <c r="C8869" s="1">
        <v>3216.25</v>
      </c>
      <c r="D8869" t="str">
        <f t="shared" si="288"/>
        <v>278</v>
      </c>
    </row>
    <row r="8870" spans="1:4" x14ac:dyDescent="0.25">
      <c r="A8870" t="str">
        <f>"838946843"</f>
        <v>838946843</v>
      </c>
      <c r="B8870" t="s">
        <v>8092</v>
      </c>
      <c r="C8870">
        <v>660</v>
      </c>
      <c r="D8870" t="str">
        <f t="shared" si="288"/>
        <v>278</v>
      </c>
    </row>
    <row r="8871" spans="1:4" x14ac:dyDescent="0.25">
      <c r="A8871" t="str">
        <f>"838946844"</f>
        <v>838946844</v>
      </c>
      <c r="B8871" t="s">
        <v>8093</v>
      </c>
      <c r="C8871">
        <v>422.4</v>
      </c>
      <c r="D8871" t="str">
        <f t="shared" si="288"/>
        <v>278</v>
      </c>
    </row>
    <row r="8872" spans="1:4" x14ac:dyDescent="0.25">
      <c r="A8872" t="str">
        <f>"838946845"</f>
        <v>838946845</v>
      </c>
      <c r="B8872" t="s">
        <v>8094</v>
      </c>
      <c r="C8872" s="1">
        <v>5197.5</v>
      </c>
      <c r="D8872" t="str">
        <f t="shared" si="288"/>
        <v>278</v>
      </c>
    </row>
    <row r="8873" spans="1:4" x14ac:dyDescent="0.25">
      <c r="A8873" t="str">
        <f>"838946846"</f>
        <v>838946846</v>
      </c>
      <c r="B8873" t="s">
        <v>8095</v>
      </c>
      <c r="C8873" s="1">
        <v>2433.75</v>
      </c>
      <c r="D8873" t="str">
        <f t="shared" si="288"/>
        <v>278</v>
      </c>
    </row>
    <row r="8874" spans="1:4" x14ac:dyDescent="0.25">
      <c r="A8874" t="str">
        <f>"838946847"</f>
        <v>838946847</v>
      </c>
      <c r="B8874" t="s">
        <v>8096</v>
      </c>
      <c r="C8874" s="1">
        <v>3555.19</v>
      </c>
      <c r="D8874" t="str">
        <f t="shared" si="288"/>
        <v>278</v>
      </c>
    </row>
    <row r="8875" spans="1:4" x14ac:dyDescent="0.25">
      <c r="A8875" t="str">
        <f>"838946848"</f>
        <v>838946848</v>
      </c>
      <c r="B8875" t="s">
        <v>8097</v>
      </c>
      <c r="C8875">
        <v>160.22</v>
      </c>
      <c r="D8875" t="str">
        <f t="shared" si="288"/>
        <v>278</v>
      </c>
    </row>
    <row r="8876" spans="1:4" x14ac:dyDescent="0.25">
      <c r="A8876" t="str">
        <f>"838946849"</f>
        <v>838946849</v>
      </c>
      <c r="B8876" t="s">
        <v>8098</v>
      </c>
      <c r="C8876" s="1">
        <v>1171.5</v>
      </c>
      <c r="D8876" t="str">
        <f t="shared" si="288"/>
        <v>278</v>
      </c>
    </row>
    <row r="8877" spans="1:4" x14ac:dyDescent="0.25">
      <c r="A8877" t="str">
        <f>"838946850"</f>
        <v>838946850</v>
      </c>
      <c r="B8877" t="s">
        <v>8099</v>
      </c>
      <c r="C8877">
        <v>920.7</v>
      </c>
      <c r="D8877" t="str">
        <f t="shared" si="288"/>
        <v>278</v>
      </c>
    </row>
    <row r="8878" spans="1:4" x14ac:dyDescent="0.25">
      <c r="A8878" t="str">
        <f>"838946851"</f>
        <v>838946851</v>
      </c>
      <c r="B8878" t="s">
        <v>8100</v>
      </c>
      <c r="C8878" s="1">
        <v>1392.6</v>
      </c>
      <c r="D8878" t="str">
        <f t="shared" si="288"/>
        <v>278</v>
      </c>
    </row>
    <row r="8879" spans="1:4" x14ac:dyDescent="0.25">
      <c r="A8879" t="str">
        <f>"838946852"</f>
        <v>838946852</v>
      </c>
      <c r="B8879" t="s">
        <v>8101</v>
      </c>
      <c r="C8879" s="1">
        <v>5187.6000000000004</v>
      </c>
      <c r="D8879" t="str">
        <f t="shared" si="288"/>
        <v>278</v>
      </c>
    </row>
    <row r="8880" spans="1:4" x14ac:dyDescent="0.25">
      <c r="A8880" t="str">
        <f>"838946853"</f>
        <v>838946853</v>
      </c>
      <c r="B8880" t="s">
        <v>8102</v>
      </c>
      <c r="C8880">
        <v>495</v>
      </c>
      <c r="D8880" t="str">
        <f t="shared" si="288"/>
        <v>278</v>
      </c>
    </row>
    <row r="8881" spans="1:4" x14ac:dyDescent="0.25">
      <c r="A8881" t="str">
        <f>"838946854"</f>
        <v>838946854</v>
      </c>
      <c r="B8881" t="s">
        <v>8103</v>
      </c>
      <c r="C8881">
        <v>495</v>
      </c>
      <c r="D8881" t="str">
        <f t="shared" si="288"/>
        <v>278</v>
      </c>
    </row>
    <row r="8882" spans="1:4" x14ac:dyDescent="0.25">
      <c r="A8882" t="str">
        <f>"838946855"</f>
        <v>838946855</v>
      </c>
      <c r="B8882" t="s">
        <v>8104</v>
      </c>
      <c r="C8882" s="1">
        <v>3300</v>
      </c>
      <c r="D8882" t="str">
        <f t="shared" si="288"/>
        <v>278</v>
      </c>
    </row>
    <row r="8883" spans="1:4" x14ac:dyDescent="0.25">
      <c r="A8883" t="str">
        <f>"838946856"</f>
        <v>838946856</v>
      </c>
      <c r="B8883" t="s">
        <v>8105</v>
      </c>
      <c r="C8883">
        <v>495</v>
      </c>
      <c r="D8883" t="str">
        <f t="shared" si="288"/>
        <v>278</v>
      </c>
    </row>
    <row r="8884" spans="1:4" x14ac:dyDescent="0.25">
      <c r="A8884" t="str">
        <f>"838946857"</f>
        <v>838946857</v>
      </c>
      <c r="B8884" t="s">
        <v>8106</v>
      </c>
      <c r="C8884">
        <v>330</v>
      </c>
      <c r="D8884" t="str">
        <f t="shared" si="288"/>
        <v>278</v>
      </c>
    </row>
    <row r="8885" spans="1:4" x14ac:dyDescent="0.25">
      <c r="A8885" t="str">
        <f>"838946859"</f>
        <v>838946859</v>
      </c>
      <c r="B8885" t="s">
        <v>8107</v>
      </c>
      <c r="C8885">
        <v>742.5</v>
      </c>
      <c r="D8885" t="str">
        <f t="shared" si="288"/>
        <v>278</v>
      </c>
    </row>
    <row r="8886" spans="1:4" x14ac:dyDescent="0.25">
      <c r="A8886" t="str">
        <f>"838946860"</f>
        <v>838946860</v>
      </c>
      <c r="B8886" t="s">
        <v>7426</v>
      </c>
      <c r="C8886">
        <v>330</v>
      </c>
      <c r="D8886" t="str">
        <f t="shared" si="288"/>
        <v>278</v>
      </c>
    </row>
    <row r="8887" spans="1:4" x14ac:dyDescent="0.25">
      <c r="A8887" t="str">
        <f>"838946862"</f>
        <v>838946862</v>
      </c>
      <c r="B8887" t="s">
        <v>8108</v>
      </c>
      <c r="C8887" s="1">
        <v>7839.98</v>
      </c>
      <c r="D8887" t="str">
        <f t="shared" si="288"/>
        <v>278</v>
      </c>
    </row>
    <row r="8888" spans="1:4" x14ac:dyDescent="0.25">
      <c r="A8888" t="str">
        <f>"838946863"</f>
        <v>838946863</v>
      </c>
      <c r="B8888" t="s">
        <v>8109</v>
      </c>
      <c r="C8888" s="1">
        <v>2953.5</v>
      </c>
      <c r="D8888" t="str">
        <f t="shared" si="288"/>
        <v>278</v>
      </c>
    </row>
    <row r="8889" spans="1:4" x14ac:dyDescent="0.25">
      <c r="A8889" t="str">
        <f>"838946864"</f>
        <v>838946864</v>
      </c>
      <c r="B8889" t="s">
        <v>8110</v>
      </c>
      <c r="C8889" s="1">
        <v>1617</v>
      </c>
      <c r="D8889" t="str">
        <f t="shared" si="288"/>
        <v>278</v>
      </c>
    </row>
    <row r="8890" spans="1:4" x14ac:dyDescent="0.25">
      <c r="A8890" t="str">
        <f>"838946865"</f>
        <v>838946865</v>
      </c>
      <c r="B8890" t="s">
        <v>8111</v>
      </c>
      <c r="C8890" s="1">
        <v>6930</v>
      </c>
      <c r="D8890" t="str">
        <f t="shared" si="288"/>
        <v>278</v>
      </c>
    </row>
    <row r="8891" spans="1:4" x14ac:dyDescent="0.25">
      <c r="A8891" t="str">
        <f>"838946866"</f>
        <v>838946866</v>
      </c>
      <c r="B8891" t="s">
        <v>8112</v>
      </c>
      <c r="C8891" s="1">
        <v>2145</v>
      </c>
      <c r="D8891" t="str">
        <f t="shared" si="288"/>
        <v>278</v>
      </c>
    </row>
    <row r="8892" spans="1:4" x14ac:dyDescent="0.25">
      <c r="A8892" t="str">
        <f>"838946867"</f>
        <v>838946867</v>
      </c>
      <c r="B8892" t="s">
        <v>8113</v>
      </c>
      <c r="C8892" s="1">
        <v>5775</v>
      </c>
      <c r="D8892" t="str">
        <f t="shared" si="288"/>
        <v>278</v>
      </c>
    </row>
    <row r="8893" spans="1:4" x14ac:dyDescent="0.25">
      <c r="A8893" t="str">
        <f>"838946868"</f>
        <v>838946868</v>
      </c>
      <c r="B8893" t="s">
        <v>8114</v>
      </c>
      <c r="C8893" s="1">
        <v>10480.799999999999</v>
      </c>
      <c r="D8893" t="str">
        <f t="shared" si="288"/>
        <v>278</v>
      </c>
    </row>
    <row r="8894" spans="1:4" x14ac:dyDescent="0.25">
      <c r="A8894" t="str">
        <f>"838946869"</f>
        <v>838946869</v>
      </c>
      <c r="B8894" t="s">
        <v>8115</v>
      </c>
      <c r="C8894">
        <v>897.6</v>
      </c>
      <c r="D8894" t="str">
        <f t="shared" si="288"/>
        <v>278</v>
      </c>
    </row>
    <row r="8895" spans="1:4" x14ac:dyDescent="0.25">
      <c r="A8895" t="str">
        <f>"838946870"</f>
        <v>838946870</v>
      </c>
      <c r="B8895" t="s">
        <v>8116</v>
      </c>
      <c r="C8895" s="1">
        <v>19140</v>
      </c>
      <c r="D8895" t="str">
        <f t="shared" si="288"/>
        <v>278</v>
      </c>
    </row>
    <row r="8896" spans="1:4" x14ac:dyDescent="0.25">
      <c r="A8896" t="str">
        <f>"838946871"</f>
        <v>838946871</v>
      </c>
      <c r="B8896" t="s">
        <v>8117</v>
      </c>
      <c r="C8896">
        <v>402.6</v>
      </c>
      <c r="D8896" t="str">
        <f t="shared" si="288"/>
        <v>278</v>
      </c>
    </row>
    <row r="8897" spans="1:4" x14ac:dyDescent="0.25">
      <c r="A8897" t="str">
        <f>"838946872"</f>
        <v>838946872</v>
      </c>
      <c r="B8897" t="s">
        <v>8118</v>
      </c>
      <c r="C8897">
        <v>660</v>
      </c>
      <c r="D8897" t="str">
        <f t="shared" si="288"/>
        <v>278</v>
      </c>
    </row>
    <row r="8898" spans="1:4" x14ac:dyDescent="0.25">
      <c r="A8898" t="str">
        <f>"838946873"</f>
        <v>838946873</v>
      </c>
      <c r="B8898" t="s">
        <v>8119</v>
      </c>
      <c r="C8898">
        <v>412.5</v>
      </c>
      <c r="D8898" t="str">
        <f t="shared" si="288"/>
        <v>278</v>
      </c>
    </row>
    <row r="8899" spans="1:4" x14ac:dyDescent="0.25">
      <c r="A8899" t="str">
        <f>"838946874"</f>
        <v>838946874</v>
      </c>
      <c r="B8899" t="s">
        <v>7509</v>
      </c>
      <c r="C8899">
        <v>330</v>
      </c>
      <c r="D8899" t="str">
        <f t="shared" si="288"/>
        <v>278</v>
      </c>
    </row>
    <row r="8900" spans="1:4" x14ac:dyDescent="0.25">
      <c r="A8900" t="str">
        <f>"838946875"</f>
        <v>838946875</v>
      </c>
      <c r="B8900" t="s">
        <v>8120</v>
      </c>
      <c r="C8900" s="1">
        <v>2310</v>
      </c>
      <c r="D8900" t="str">
        <f t="shared" si="288"/>
        <v>278</v>
      </c>
    </row>
    <row r="8901" spans="1:4" x14ac:dyDescent="0.25">
      <c r="A8901" t="str">
        <f>"838946876"</f>
        <v>838946876</v>
      </c>
      <c r="B8901" t="s">
        <v>8121</v>
      </c>
      <c r="C8901" s="1">
        <v>2821.5</v>
      </c>
      <c r="D8901" t="str">
        <f t="shared" si="288"/>
        <v>278</v>
      </c>
    </row>
    <row r="8902" spans="1:4" x14ac:dyDescent="0.25">
      <c r="A8902" t="str">
        <f>"838946877"</f>
        <v>838946877</v>
      </c>
      <c r="B8902" t="s">
        <v>8122</v>
      </c>
      <c r="C8902" s="1">
        <v>4279.28</v>
      </c>
      <c r="D8902" t="str">
        <f t="shared" si="288"/>
        <v>278</v>
      </c>
    </row>
    <row r="8903" spans="1:4" x14ac:dyDescent="0.25">
      <c r="A8903" t="str">
        <f>"838946878"</f>
        <v>838946878</v>
      </c>
      <c r="B8903" t="s">
        <v>8123</v>
      </c>
      <c r="C8903" s="1">
        <v>15097.5</v>
      </c>
      <c r="D8903" t="str">
        <f t="shared" si="288"/>
        <v>278</v>
      </c>
    </row>
    <row r="8904" spans="1:4" x14ac:dyDescent="0.25">
      <c r="A8904" t="str">
        <f>"838946879"</f>
        <v>838946879</v>
      </c>
      <c r="B8904" t="s">
        <v>8124</v>
      </c>
      <c r="C8904" s="1">
        <v>4950</v>
      </c>
      <c r="D8904" t="str">
        <f t="shared" si="288"/>
        <v>278</v>
      </c>
    </row>
    <row r="8905" spans="1:4" x14ac:dyDescent="0.25">
      <c r="A8905" t="str">
        <f>"838946880"</f>
        <v>838946880</v>
      </c>
      <c r="B8905" t="s">
        <v>8125</v>
      </c>
      <c r="C8905">
        <v>165</v>
      </c>
      <c r="D8905" t="str">
        <f t="shared" si="288"/>
        <v>278</v>
      </c>
    </row>
    <row r="8906" spans="1:4" x14ac:dyDescent="0.25">
      <c r="A8906" t="str">
        <f>"838946881"</f>
        <v>838946881</v>
      </c>
      <c r="B8906" t="s">
        <v>8126</v>
      </c>
      <c r="C8906" s="1">
        <v>3300</v>
      </c>
      <c r="D8906" t="str">
        <f t="shared" si="288"/>
        <v>278</v>
      </c>
    </row>
    <row r="8907" spans="1:4" x14ac:dyDescent="0.25">
      <c r="A8907" t="str">
        <f>"838946882"</f>
        <v>838946882</v>
      </c>
      <c r="B8907" t="s">
        <v>8127</v>
      </c>
      <c r="C8907" s="1">
        <v>1650</v>
      </c>
      <c r="D8907" t="str">
        <f t="shared" si="288"/>
        <v>278</v>
      </c>
    </row>
    <row r="8908" spans="1:4" x14ac:dyDescent="0.25">
      <c r="A8908" t="str">
        <f>"838946883"</f>
        <v>838946883</v>
      </c>
      <c r="B8908" t="s">
        <v>8128</v>
      </c>
      <c r="C8908" s="1">
        <v>3960</v>
      </c>
      <c r="D8908" t="str">
        <f t="shared" si="288"/>
        <v>278</v>
      </c>
    </row>
    <row r="8909" spans="1:4" x14ac:dyDescent="0.25">
      <c r="A8909" t="str">
        <f>"838946884"</f>
        <v>838946884</v>
      </c>
      <c r="B8909" t="s">
        <v>8129</v>
      </c>
      <c r="C8909" s="1">
        <v>4290</v>
      </c>
      <c r="D8909" t="str">
        <f t="shared" si="288"/>
        <v>278</v>
      </c>
    </row>
    <row r="8910" spans="1:4" x14ac:dyDescent="0.25">
      <c r="A8910" t="str">
        <f>"838946885"</f>
        <v>838946885</v>
      </c>
      <c r="B8910" t="s">
        <v>8130</v>
      </c>
      <c r="C8910">
        <v>577.5</v>
      </c>
      <c r="D8910" t="str">
        <f t="shared" si="288"/>
        <v>278</v>
      </c>
    </row>
    <row r="8911" spans="1:4" x14ac:dyDescent="0.25">
      <c r="A8911" t="str">
        <f>"838946886"</f>
        <v>838946886</v>
      </c>
      <c r="B8911" t="s">
        <v>8131</v>
      </c>
      <c r="C8911">
        <v>577.5</v>
      </c>
      <c r="D8911" t="str">
        <f t="shared" si="288"/>
        <v>278</v>
      </c>
    </row>
    <row r="8912" spans="1:4" x14ac:dyDescent="0.25">
      <c r="A8912" t="str">
        <f>"838946887"</f>
        <v>838946887</v>
      </c>
      <c r="B8912" t="s">
        <v>8132</v>
      </c>
      <c r="C8912" s="1">
        <v>16500</v>
      </c>
      <c r="D8912" t="str">
        <f t="shared" si="288"/>
        <v>278</v>
      </c>
    </row>
    <row r="8913" spans="1:4" x14ac:dyDescent="0.25">
      <c r="A8913" t="str">
        <f>"838946888"</f>
        <v>838946888</v>
      </c>
      <c r="B8913" t="s">
        <v>8133</v>
      </c>
      <c r="C8913" s="1">
        <v>16500</v>
      </c>
      <c r="D8913" t="str">
        <f t="shared" si="288"/>
        <v>278</v>
      </c>
    </row>
    <row r="8914" spans="1:4" x14ac:dyDescent="0.25">
      <c r="A8914" t="str">
        <f>"838946889"</f>
        <v>838946889</v>
      </c>
      <c r="B8914" t="s">
        <v>8134</v>
      </c>
      <c r="C8914" s="1">
        <v>5148</v>
      </c>
      <c r="D8914" t="str">
        <f t="shared" si="288"/>
        <v>278</v>
      </c>
    </row>
    <row r="8915" spans="1:4" x14ac:dyDescent="0.25">
      <c r="A8915" t="str">
        <f>"838946890"</f>
        <v>838946890</v>
      </c>
      <c r="B8915" t="s">
        <v>8135</v>
      </c>
      <c r="C8915" s="1">
        <v>6138</v>
      </c>
      <c r="D8915" t="str">
        <f t="shared" si="288"/>
        <v>278</v>
      </c>
    </row>
    <row r="8916" spans="1:4" x14ac:dyDescent="0.25">
      <c r="A8916" t="str">
        <f>"838946891"</f>
        <v>838946891</v>
      </c>
      <c r="B8916" t="s">
        <v>8136</v>
      </c>
      <c r="C8916" s="1">
        <v>20460</v>
      </c>
      <c r="D8916" t="str">
        <f t="shared" si="288"/>
        <v>278</v>
      </c>
    </row>
    <row r="8917" spans="1:4" x14ac:dyDescent="0.25">
      <c r="A8917" t="str">
        <f>"838946892"</f>
        <v>838946892</v>
      </c>
      <c r="B8917" t="s">
        <v>8137</v>
      </c>
      <c r="C8917" s="1">
        <v>1448.7</v>
      </c>
      <c r="D8917" t="str">
        <f t="shared" si="288"/>
        <v>278</v>
      </c>
    </row>
    <row r="8918" spans="1:4" x14ac:dyDescent="0.25">
      <c r="A8918" t="str">
        <f>"838946893"</f>
        <v>838946893</v>
      </c>
      <c r="B8918" t="s">
        <v>8138</v>
      </c>
      <c r="C8918" s="1">
        <v>7672.5</v>
      </c>
      <c r="D8918" t="str">
        <f t="shared" si="288"/>
        <v>278</v>
      </c>
    </row>
    <row r="8919" spans="1:4" x14ac:dyDescent="0.25">
      <c r="A8919" t="str">
        <f>"838946894"</f>
        <v>838946894</v>
      </c>
      <c r="B8919" t="s">
        <v>8139</v>
      </c>
      <c r="C8919" s="1">
        <v>1956.9</v>
      </c>
      <c r="D8919" t="str">
        <f t="shared" si="288"/>
        <v>278</v>
      </c>
    </row>
    <row r="8920" spans="1:4" x14ac:dyDescent="0.25">
      <c r="A8920" t="str">
        <f>"838946895"</f>
        <v>838946895</v>
      </c>
      <c r="B8920" t="s">
        <v>8140</v>
      </c>
      <c r="C8920" s="1">
        <v>1650</v>
      </c>
      <c r="D8920" t="str">
        <f t="shared" si="288"/>
        <v>278</v>
      </c>
    </row>
    <row r="8921" spans="1:4" x14ac:dyDescent="0.25">
      <c r="A8921" t="str">
        <f>"838946896"</f>
        <v>838946896</v>
      </c>
      <c r="B8921" t="s">
        <v>8141</v>
      </c>
      <c r="C8921" s="1">
        <v>1392.6</v>
      </c>
      <c r="D8921" t="str">
        <f t="shared" ref="D8921:D8958" si="289">"278"</f>
        <v>278</v>
      </c>
    </row>
    <row r="8922" spans="1:4" x14ac:dyDescent="0.25">
      <c r="A8922" t="str">
        <f>"838946897"</f>
        <v>838946897</v>
      </c>
      <c r="B8922" t="s">
        <v>8142</v>
      </c>
      <c r="C8922" s="1">
        <v>1155</v>
      </c>
      <c r="D8922" t="str">
        <f t="shared" si="289"/>
        <v>278</v>
      </c>
    </row>
    <row r="8923" spans="1:4" x14ac:dyDescent="0.25">
      <c r="A8923" t="str">
        <f>"838946898"</f>
        <v>838946898</v>
      </c>
      <c r="B8923" t="s">
        <v>8143</v>
      </c>
      <c r="C8923">
        <v>957</v>
      </c>
      <c r="D8923" t="str">
        <f t="shared" si="289"/>
        <v>278</v>
      </c>
    </row>
    <row r="8924" spans="1:4" x14ac:dyDescent="0.25">
      <c r="A8924" t="str">
        <f>"838946899"</f>
        <v>838946899</v>
      </c>
      <c r="B8924" t="s">
        <v>8144</v>
      </c>
      <c r="C8924" s="1">
        <v>6930</v>
      </c>
      <c r="D8924" t="str">
        <f t="shared" si="289"/>
        <v>278</v>
      </c>
    </row>
    <row r="8925" spans="1:4" x14ac:dyDescent="0.25">
      <c r="A8925" t="str">
        <f>"838946900"</f>
        <v>838946900</v>
      </c>
      <c r="B8925" t="s">
        <v>8145</v>
      </c>
      <c r="C8925" s="1">
        <v>2145</v>
      </c>
      <c r="D8925" t="str">
        <f t="shared" si="289"/>
        <v>278</v>
      </c>
    </row>
    <row r="8926" spans="1:4" x14ac:dyDescent="0.25">
      <c r="A8926" t="str">
        <f>"838946901"</f>
        <v>838946901</v>
      </c>
      <c r="B8926" t="s">
        <v>8113</v>
      </c>
      <c r="C8926" s="1">
        <v>5775</v>
      </c>
      <c r="D8926" t="str">
        <f t="shared" si="289"/>
        <v>278</v>
      </c>
    </row>
    <row r="8927" spans="1:4" x14ac:dyDescent="0.25">
      <c r="A8927" t="str">
        <f>"838946902"</f>
        <v>838946902</v>
      </c>
      <c r="B8927" t="s">
        <v>8146</v>
      </c>
      <c r="C8927" s="1">
        <v>6930</v>
      </c>
      <c r="D8927" t="str">
        <f t="shared" si="289"/>
        <v>278</v>
      </c>
    </row>
    <row r="8928" spans="1:4" x14ac:dyDescent="0.25">
      <c r="A8928" t="str">
        <f>"838946903"</f>
        <v>838946903</v>
      </c>
      <c r="B8928" t="s">
        <v>8147</v>
      </c>
      <c r="C8928" s="1">
        <v>3300</v>
      </c>
      <c r="D8928" t="str">
        <f t="shared" si="289"/>
        <v>278</v>
      </c>
    </row>
    <row r="8929" spans="1:4" x14ac:dyDescent="0.25">
      <c r="A8929" t="str">
        <f>"838946904"</f>
        <v>838946904</v>
      </c>
      <c r="B8929" t="s">
        <v>8148</v>
      </c>
      <c r="C8929" s="1">
        <v>3300</v>
      </c>
      <c r="D8929" t="str">
        <f t="shared" si="289"/>
        <v>278</v>
      </c>
    </row>
    <row r="8930" spans="1:4" x14ac:dyDescent="0.25">
      <c r="A8930" t="str">
        <f>"838946905"</f>
        <v>838946905</v>
      </c>
      <c r="B8930" t="s">
        <v>8149</v>
      </c>
      <c r="C8930" s="1">
        <v>2310</v>
      </c>
      <c r="D8930" t="str">
        <f t="shared" si="289"/>
        <v>278</v>
      </c>
    </row>
    <row r="8931" spans="1:4" x14ac:dyDescent="0.25">
      <c r="A8931" t="str">
        <f>"838946906"</f>
        <v>838946906</v>
      </c>
      <c r="B8931" t="s">
        <v>8150</v>
      </c>
      <c r="C8931">
        <v>660</v>
      </c>
      <c r="D8931" t="str">
        <f t="shared" si="289"/>
        <v>278</v>
      </c>
    </row>
    <row r="8932" spans="1:4" x14ac:dyDescent="0.25">
      <c r="A8932" t="str">
        <f>"838946907"</f>
        <v>838946907</v>
      </c>
      <c r="B8932" t="s">
        <v>7375</v>
      </c>
      <c r="C8932">
        <v>247.5</v>
      </c>
      <c r="D8932" t="str">
        <f t="shared" si="289"/>
        <v>278</v>
      </c>
    </row>
    <row r="8933" spans="1:4" x14ac:dyDescent="0.25">
      <c r="A8933" t="str">
        <f>"838946908"</f>
        <v>838946908</v>
      </c>
      <c r="B8933" t="s">
        <v>8151</v>
      </c>
      <c r="C8933" s="1">
        <v>4125</v>
      </c>
      <c r="D8933" t="str">
        <f t="shared" si="289"/>
        <v>278</v>
      </c>
    </row>
    <row r="8934" spans="1:4" x14ac:dyDescent="0.25">
      <c r="A8934" t="str">
        <f>"838946909"</f>
        <v>838946909</v>
      </c>
      <c r="B8934" t="s">
        <v>8152</v>
      </c>
      <c r="C8934" s="1">
        <v>7425</v>
      </c>
      <c r="D8934" t="str">
        <f t="shared" si="289"/>
        <v>278</v>
      </c>
    </row>
    <row r="8935" spans="1:4" x14ac:dyDescent="0.25">
      <c r="A8935" t="str">
        <f>"838946910"</f>
        <v>838946910</v>
      </c>
      <c r="B8935" t="s">
        <v>8153</v>
      </c>
      <c r="C8935">
        <v>667.69</v>
      </c>
      <c r="D8935" t="str">
        <f t="shared" si="289"/>
        <v>278</v>
      </c>
    </row>
    <row r="8936" spans="1:4" x14ac:dyDescent="0.25">
      <c r="A8936" t="str">
        <f>"838946911"</f>
        <v>838946911</v>
      </c>
      <c r="B8936" t="s">
        <v>8154</v>
      </c>
      <c r="C8936">
        <v>449.03</v>
      </c>
      <c r="D8936" t="str">
        <f t="shared" si="289"/>
        <v>278</v>
      </c>
    </row>
    <row r="8937" spans="1:4" x14ac:dyDescent="0.25">
      <c r="A8937" t="str">
        <f>"838946912"</f>
        <v>838946912</v>
      </c>
      <c r="B8937" t="s">
        <v>8155</v>
      </c>
      <c r="C8937">
        <v>650.1</v>
      </c>
      <c r="D8937" t="str">
        <f t="shared" si="289"/>
        <v>278</v>
      </c>
    </row>
    <row r="8938" spans="1:4" x14ac:dyDescent="0.25">
      <c r="A8938" t="str">
        <f>"838946913"</f>
        <v>838946913</v>
      </c>
      <c r="B8938" t="s">
        <v>8156</v>
      </c>
      <c r="C8938">
        <v>675.48</v>
      </c>
      <c r="D8938" t="str">
        <f t="shared" si="289"/>
        <v>278</v>
      </c>
    </row>
    <row r="8939" spans="1:4" x14ac:dyDescent="0.25">
      <c r="A8939" t="str">
        <f>"838946914"</f>
        <v>838946914</v>
      </c>
      <c r="B8939" t="s">
        <v>8157</v>
      </c>
      <c r="C8939">
        <v>675.48</v>
      </c>
      <c r="D8939" t="str">
        <f t="shared" si="289"/>
        <v>278</v>
      </c>
    </row>
    <row r="8940" spans="1:4" x14ac:dyDescent="0.25">
      <c r="A8940" t="str">
        <f>"838946915"</f>
        <v>838946915</v>
      </c>
      <c r="B8940" t="s">
        <v>8158</v>
      </c>
      <c r="C8940" s="1">
        <v>1083.52</v>
      </c>
      <c r="D8940" t="str">
        <f t="shared" si="289"/>
        <v>278</v>
      </c>
    </row>
    <row r="8941" spans="1:4" x14ac:dyDescent="0.25">
      <c r="A8941" t="str">
        <f>"838946916"</f>
        <v>838946916</v>
      </c>
      <c r="B8941" t="s">
        <v>8159</v>
      </c>
      <c r="C8941" s="1">
        <v>6933.3</v>
      </c>
      <c r="D8941" t="str">
        <f t="shared" si="289"/>
        <v>278</v>
      </c>
    </row>
    <row r="8942" spans="1:4" x14ac:dyDescent="0.25">
      <c r="A8942" t="str">
        <f>"838946917"</f>
        <v>838946917</v>
      </c>
      <c r="B8942" t="s">
        <v>8160</v>
      </c>
      <c r="C8942">
        <v>706.86</v>
      </c>
      <c r="D8942" t="str">
        <f t="shared" si="289"/>
        <v>278</v>
      </c>
    </row>
    <row r="8943" spans="1:4" x14ac:dyDescent="0.25">
      <c r="A8943" t="str">
        <f>"838946918"</f>
        <v>838946918</v>
      </c>
      <c r="B8943" t="s">
        <v>8161</v>
      </c>
      <c r="C8943" s="1">
        <v>4131.6000000000004</v>
      </c>
      <c r="D8943" t="str">
        <f t="shared" si="289"/>
        <v>278</v>
      </c>
    </row>
    <row r="8944" spans="1:4" x14ac:dyDescent="0.25">
      <c r="A8944" t="str">
        <f>"8389469189"</f>
        <v>8389469189</v>
      </c>
      <c r="B8944" t="s">
        <v>8161</v>
      </c>
      <c r="C8944" s="1">
        <v>4131.6000000000004</v>
      </c>
      <c r="D8944" t="str">
        <f t="shared" si="289"/>
        <v>278</v>
      </c>
    </row>
    <row r="8945" spans="1:4" x14ac:dyDescent="0.25">
      <c r="A8945" t="str">
        <f>"838946919"</f>
        <v>838946919</v>
      </c>
      <c r="B8945" t="s">
        <v>8162</v>
      </c>
      <c r="C8945">
        <v>330</v>
      </c>
      <c r="D8945" t="str">
        <f t="shared" si="289"/>
        <v>278</v>
      </c>
    </row>
    <row r="8946" spans="1:4" x14ac:dyDescent="0.25">
      <c r="A8946" t="str">
        <f>"838946920"</f>
        <v>838946920</v>
      </c>
      <c r="B8946" t="s">
        <v>8163</v>
      </c>
      <c r="C8946" s="1">
        <v>3630</v>
      </c>
      <c r="D8946" t="str">
        <f t="shared" si="289"/>
        <v>278</v>
      </c>
    </row>
    <row r="8947" spans="1:4" x14ac:dyDescent="0.25">
      <c r="A8947" t="str">
        <f>"838946921"</f>
        <v>838946921</v>
      </c>
      <c r="B8947" t="s">
        <v>8164</v>
      </c>
      <c r="C8947">
        <v>495</v>
      </c>
      <c r="D8947" t="str">
        <f t="shared" si="289"/>
        <v>278</v>
      </c>
    </row>
    <row r="8948" spans="1:4" x14ac:dyDescent="0.25">
      <c r="A8948" t="str">
        <f>"838946922"</f>
        <v>838946922</v>
      </c>
      <c r="B8948" t="s">
        <v>8165</v>
      </c>
      <c r="C8948">
        <v>746.68</v>
      </c>
      <c r="D8948" t="str">
        <f t="shared" si="289"/>
        <v>278</v>
      </c>
    </row>
    <row r="8949" spans="1:4" x14ac:dyDescent="0.25">
      <c r="A8949" t="str">
        <f>"838946923"</f>
        <v>838946923</v>
      </c>
      <c r="B8949" t="s">
        <v>8166</v>
      </c>
      <c r="C8949" s="1">
        <v>6435</v>
      </c>
      <c r="D8949" t="str">
        <f t="shared" si="289"/>
        <v>278</v>
      </c>
    </row>
    <row r="8950" spans="1:4" x14ac:dyDescent="0.25">
      <c r="A8950" t="str">
        <f>"838946924"</f>
        <v>838946924</v>
      </c>
      <c r="B8950" t="s">
        <v>8167</v>
      </c>
      <c r="C8950" s="1">
        <v>11550</v>
      </c>
      <c r="D8950" t="str">
        <f t="shared" si="289"/>
        <v>278</v>
      </c>
    </row>
    <row r="8951" spans="1:4" x14ac:dyDescent="0.25">
      <c r="A8951" t="str">
        <f>"838946925"</f>
        <v>838946925</v>
      </c>
      <c r="B8951" t="s">
        <v>8168</v>
      </c>
      <c r="C8951" s="1">
        <v>4131.6000000000004</v>
      </c>
      <c r="D8951" t="str">
        <f t="shared" si="289"/>
        <v>278</v>
      </c>
    </row>
    <row r="8952" spans="1:4" x14ac:dyDescent="0.25">
      <c r="A8952" t="str">
        <f>"838946926"</f>
        <v>838946926</v>
      </c>
      <c r="B8952" t="s">
        <v>8169</v>
      </c>
      <c r="C8952" s="1">
        <v>3798.3</v>
      </c>
      <c r="D8952" t="str">
        <f t="shared" si="289"/>
        <v>278</v>
      </c>
    </row>
    <row r="8953" spans="1:4" x14ac:dyDescent="0.25">
      <c r="A8953" t="str">
        <f>"838946927"</f>
        <v>838946927</v>
      </c>
      <c r="B8953" t="s">
        <v>8170</v>
      </c>
      <c r="C8953" s="1">
        <v>12153.9</v>
      </c>
      <c r="D8953" t="str">
        <f t="shared" si="289"/>
        <v>278</v>
      </c>
    </row>
    <row r="8954" spans="1:4" x14ac:dyDescent="0.25">
      <c r="A8954" t="str">
        <f>"838946928"</f>
        <v>838946928</v>
      </c>
      <c r="B8954" t="s">
        <v>8171</v>
      </c>
      <c r="C8954">
        <v>427.25</v>
      </c>
      <c r="D8954" t="str">
        <f t="shared" si="289"/>
        <v>278</v>
      </c>
    </row>
    <row r="8955" spans="1:4" x14ac:dyDescent="0.25">
      <c r="A8955" t="str">
        <f>"838946929"</f>
        <v>838946929</v>
      </c>
      <c r="B8955" t="s">
        <v>8172</v>
      </c>
      <c r="C8955">
        <v>670.49</v>
      </c>
      <c r="D8955" t="str">
        <f t="shared" si="289"/>
        <v>278</v>
      </c>
    </row>
    <row r="8956" spans="1:4" x14ac:dyDescent="0.25">
      <c r="A8956" t="str">
        <f>"838946930"</f>
        <v>838946930</v>
      </c>
      <c r="B8956" t="s">
        <v>8173</v>
      </c>
      <c r="C8956" s="1">
        <v>5592.28</v>
      </c>
      <c r="D8956" t="str">
        <f t="shared" si="289"/>
        <v>278</v>
      </c>
    </row>
    <row r="8957" spans="1:4" x14ac:dyDescent="0.25">
      <c r="A8957" t="str">
        <f>"838946931"</f>
        <v>838946931</v>
      </c>
      <c r="B8957" t="s">
        <v>8174</v>
      </c>
      <c r="C8957">
        <v>716.96</v>
      </c>
      <c r="D8957" t="str">
        <f t="shared" si="289"/>
        <v>278</v>
      </c>
    </row>
    <row r="8958" spans="1:4" x14ac:dyDescent="0.25">
      <c r="A8958" t="str">
        <f>"838946932"</f>
        <v>838946932</v>
      </c>
      <c r="B8958" t="s">
        <v>8175</v>
      </c>
      <c r="C8958">
        <v>165</v>
      </c>
      <c r="D8958" t="str">
        <f t="shared" si="289"/>
        <v>278</v>
      </c>
    </row>
    <row r="8959" spans="1:4" x14ac:dyDescent="0.25">
      <c r="A8959" t="str">
        <f>"838946933"</f>
        <v>838946933</v>
      </c>
      <c r="B8959" t="s">
        <v>8176</v>
      </c>
      <c r="C8959">
        <v>15.4</v>
      </c>
      <c r="D8959" t="str">
        <f>"270"</f>
        <v>270</v>
      </c>
    </row>
    <row r="8960" spans="1:4" x14ac:dyDescent="0.25">
      <c r="A8960" t="str">
        <f>"838946934"</f>
        <v>838946934</v>
      </c>
      <c r="B8960" t="s">
        <v>8177</v>
      </c>
      <c r="C8960">
        <v>161.37</v>
      </c>
      <c r="D8960" t="str">
        <f>"270"</f>
        <v>270</v>
      </c>
    </row>
    <row r="8961" spans="1:4" x14ac:dyDescent="0.25">
      <c r="A8961" t="str">
        <f>"838946935"</f>
        <v>838946935</v>
      </c>
      <c r="B8961" t="s">
        <v>8178</v>
      </c>
      <c r="C8961" s="1">
        <v>22572</v>
      </c>
      <c r="D8961" t="str">
        <f t="shared" ref="D8961:D8994" si="290">"278"</f>
        <v>278</v>
      </c>
    </row>
    <row r="8962" spans="1:4" x14ac:dyDescent="0.25">
      <c r="A8962" t="str">
        <f>"838946936"</f>
        <v>838946936</v>
      </c>
      <c r="B8962" t="s">
        <v>8179</v>
      </c>
      <c r="C8962" s="1">
        <v>1237.5</v>
      </c>
      <c r="D8962" t="str">
        <f t="shared" si="290"/>
        <v>278</v>
      </c>
    </row>
    <row r="8963" spans="1:4" x14ac:dyDescent="0.25">
      <c r="A8963" t="str">
        <f>"838946937"</f>
        <v>838946937</v>
      </c>
      <c r="B8963" t="s">
        <v>8180</v>
      </c>
      <c r="C8963" s="1">
        <v>7342.5</v>
      </c>
      <c r="D8963" t="str">
        <f t="shared" si="290"/>
        <v>278</v>
      </c>
    </row>
    <row r="8964" spans="1:4" x14ac:dyDescent="0.25">
      <c r="A8964" t="str">
        <f>"838946938"</f>
        <v>838946938</v>
      </c>
      <c r="B8964" t="s">
        <v>8024</v>
      </c>
      <c r="C8964" s="1">
        <v>2970</v>
      </c>
      <c r="D8964" t="str">
        <f t="shared" si="290"/>
        <v>278</v>
      </c>
    </row>
    <row r="8965" spans="1:4" x14ac:dyDescent="0.25">
      <c r="A8965" t="str">
        <f>"838946939"</f>
        <v>838946939</v>
      </c>
      <c r="B8965" t="s">
        <v>8181</v>
      </c>
      <c r="C8965" s="1">
        <v>4431.8999999999996</v>
      </c>
      <c r="D8965" t="str">
        <f t="shared" si="290"/>
        <v>278</v>
      </c>
    </row>
    <row r="8966" spans="1:4" x14ac:dyDescent="0.25">
      <c r="A8966" t="str">
        <f>"838946940"</f>
        <v>838946940</v>
      </c>
      <c r="B8966" t="s">
        <v>8182</v>
      </c>
      <c r="C8966" s="1">
        <v>2112</v>
      </c>
      <c r="D8966" t="str">
        <f t="shared" si="290"/>
        <v>278</v>
      </c>
    </row>
    <row r="8967" spans="1:4" x14ac:dyDescent="0.25">
      <c r="A8967" t="str">
        <f>"838946941"</f>
        <v>838946941</v>
      </c>
      <c r="B8967" t="s">
        <v>8183</v>
      </c>
      <c r="C8967" s="1">
        <v>6685.8</v>
      </c>
      <c r="D8967" t="str">
        <f t="shared" si="290"/>
        <v>278</v>
      </c>
    </row>
    <row r="8968" spans="1:4" x14ac:dyDescent="0.25">
      <c r="A8968" t="str">
        <f>"838946942"</f>
        <v>838946942</v>
      </c>
      <c r="B8968" t="s">
        <v>8184</v>
      </c>
      <c r="C8968" s="1">
        <v>1894.2</v>
      </c>
      <c r="D8968" t="str">
        <f t="shared" si="290"/>
        <v>278</v>
      </c>
    </row>
    <row r="8969" spans="1:4" x14ac:dyDescent="0.25">
      <c r="A8969" t="str">
        <f>"838946943"</f>
        <v>838946943</v>
      </c>
      <c r="B8969" t="s">
        <v>8185</v>
      </c>
      <c r="C8969" s="1">
        <v>4950</v>
      </c>
      <c r="D8969" t="str">
        <f t="shared" si="290"/>
        <v>278</v>
      </c>
    </row>
    <row r="8970" spans="1:4" x14ac:dyDescent="0.25">
      <c r="A8970" t="str">
        <f>"838946944"</f>
        <v>838946944</v>
      </c>
      <c r="B8970" t="s">
        <v>8186</v>
      </c>
      <c r="C8970" s="1">
        <v>1650</v>
      </c>
      <c r="D8970" t="str">
        <f t="shared" si="290"/>
        <v>278</v>
      </c>
    </row>
    <row r="8971" spans="1:4" x14ac:dyDescent="0.25">
      <c r="A8971" t="str">
        <f>"838946945"</f>
        <v>838946945</v>
      </c>
      <c r="B8971" t="s">
        <v>8187</v>
      </c>
      <c r="C8971" s="1">
        <v>2970</v>
      </c>
      <c r="D8971" t="str">
        <f t="shared" si="290"/>
        <v>278</v>
      </c>
    </row>
    <row r="8972" spans="1:4" x14ac:dyDescent="0.25">
      <c r="A8972" t="str">
        <f>"838946946"</f>
        <v>838946946</v>
      </c>
      <c r="B8972" t="s">
        <v>8188</v>
      </c>
      <c r="C8972" s="1">
        <v>4933.5</v>
      </c>
      <c r="D8972" t="str">
        <f t="shared" si="290"/>
        <v>278</v>
      </c>
    </row>
    <row r="8973" spans="1:4" x14ac:dyDescent="0.25">
      <c r="A8973" t="str">
        <f>"838946947"</f>
        <v>838946947</v>
      </c>
      <c r="B8973" t="s">
        <v>8189</v>
      </c>
      <c r="C8973" s="1">
        <v>6435</v>
      </c>
      <c r="D8973" t="str">
        <f t="shared" si="290"/>
        <v>278</v>
      </c>
    </row>
    <row r="8974" spans="1:4" x14ac:dyDescent="0.25">
      <c r="A8974" t="str">
        <f>"838946948"</f>
        <v>838946948</v>
      </c>
      <c r="B8974" t="s">
        <v>8190</v>
      </c>
      <c r="C8974" s="1">
        <v>5214</v>
      </c>
      <c r="D8974" t="str">
        <f t="shared" si="290"/>
        <v>278</v>
      </c>
    </row>
    <row r="8975" spans="1:4" x14ac:dyDescent="0.25">
      <c r="A8975" t="str">
        <f>"838946949"</f>
        <v>838946949</v>
      </c>
      <c r="B8975" t="s">
        <v>8191</v>
      </c>
      <c r="C8975" s="1">
        <v>11863.5</v>
      </c>
      <c r="D8975" t="str">
        <f t="shared" si="290"/>
        <v>278</v>
      </c>
    </row>
    <row r="8976" spans="1:4" x14ac:dyDescent="0.25">
      <c r="A8976" t="str">
        <f>"838946950"</f>
        <v>838946950</v>
      </c>
      <c r="B8976" t="s">
        <v>8192</v>
      </c>
      <c r="C8976" s="1">
        <v>5940</v>
      </c>
      <c r="D8976" t="str">
        <f t="shared" si="290"/>
        <v>278</v>
      </c>
    </row>
    <row r="8977" spans="1:4" x14ac:dyDescent="0.25">
      <c r="A8977" t="str">
        <f>"838946951"</f>
        <v>838946951</v>
      </c>
      <c r="B8977" t="s">
        <v>8193</v>
      </c>
      <c r="C8977">
        <v>396</v>
      </c>
      <c r="D8977" t="str">
        <f t="shared" si="290"/>
        <v>278</v>
      </c>
    </row>
    <row r="8978" spans="1:4" x14ac:dyDescent="0.25">
      <c r="A8978" t="str">
        <f>"838946952"</f>
        <v>838946952</v>
      </c>
      <c r="B8978" t="s">
        <v>8194</v>
      </c>
      <c r="C8978">
        <v>640.20000000000005</v>
      </c>
      <c r="D8978" t="str">
        <f t="shared" si="290"/>
        <v>278</v>
      </c>
    </row>
    <row r="8979" spans="1:4" x14ac:dyDescent="0.25">
      <c r="A8979" t="str">
        <f>"838946953"</f>
        <v>838946953</v>
      </c>
      <c r="B8979" t="s">
        <v>8195</v>
      </c>
      <c r="C8979">
        <v>660</v>
      </c>
      <c r="D8979" t="str">
        <f t="shared" si="290"/>
        <v>278</v>
      </c>
    </row>
    <row r="8980" spans="1:4" x14ac:dyDescent="0.25">
      <c r="A8980" t="str">
        <f>"838946954"</f>
        <v>838946954</v>
      </c>
      <c r="B8980" t="s">
        <v>8196</v>
      </c>
      <c r="C8980" s="1">
        <v>4950</v>
      </c>
      <c r="D8980" t="str">
        <f t="shared" si="290"/>
        <v>278</v>
      </c>
    </row>
    <row r="8981" spans="1:4" x14ac:dyDescent="0.25">
      <c r="A8981" t="str">
        <f>"838946955"</f>
        <v>838946955</v>
      </c>
      <c r="B8981" t="s">
        <v>8197</v>
      </c>
      <c r="C8981" s="1">
        <v>4950</v>
      </c>
      <c r="D8981" t="str">
        <f t="shared" si="290"/>
        <v>278</v>
      </c>
    </row>
    <row r="8982" spans="1:4" x14ac:dyDescent="0.25">
      <c r="A8982" t="str">
        <f>"838946956"</f>
        <v>838946956</v>
      </c>
      <c r="B8982" t="s">
        <v>8198</v>
      </c>
      <c r="C8982" s="1">
        <v>3300</v>
      </c>
      <c r="D8982" t="str">
        <f t="shared" si="290"/>
        <v>278</v>
      </c>
    </row>
    <row r="8983" spans="1:4" x14ac:dyDescent="0.25">
      <c r="A8983" t="str">
        <f>"838946957"</f>
        <v>838946957</v>
      </c>
      <c r="B8983" t="s">
        <v>8199</v>
      </c>
      <c r="C8983" s="1">
        <v>6600</v>
      </c>
      <c r="D8983" t="str">
        <f t="shared" si="290"/>
        <v>278</v>
      </c>
    </row>
    <row r="8984" spans="1:4" x14ac:dyDescent="0.25">
      <c r="A8984" t="str">
        <f>"838946958"</f>
        <v>838946958</v>
      </c>
      <c r="B8984" t="s">
        <v>8200</v>
      </c>
      <c r="C8984" s="1">
        <v>5115</v>
      </c>
      <c r="D8984" t="str">
        <f t="shared" si="290"/>
        <v>278</v>
      </c>
    </row>
    <row r="8985" spans="1:4" x14ac:dyDescent="0.25">
      <c r="A8985" t="str">
        <f>"838946959"</f>
        <v>838946959</v>
      </c>
      <c r="B8985" t="s">
        <v>8201</v>
      </c>
      <c r="C8985" s="1">
        <v>1136.8800000000001</v>
      </c>
      <c r="D8985" t="str">
        <f t="shared" si="290"/>
        <v>278</v>
      </c>
    </row>
    <row r="8986" spans="1:4" x14ac:dyDescent="0.25">
      <c r="A8986" t="str">
        <f>"838946960"</f>
        <v>838946960</v>
      </c>
      <c r="B8986" t="s">
        <v>8202</v>
      </c>
      <c r="C8986">
        <v>173.14</v>
      </c>
      <c r="D8986" t="str">
        <f t="shared" si="290"/>
        <v>278</v>
      </c>
    </row>
    <row r="8987" spans="1:4" x14ac:dyDescent="0.25">
      <c r="A8987" t="str">
        <f>"838946961"</f>
        <v>838946961</v>
      </c>
      <c r="B8987" t="s">
        <v>8203</v>
      </c>
      <c r="C8987" s="1">
        <v>1171.5</v>
      </c>
      <c r="D8987" t="str">
        <f t="shared" si="290"/>
        <v>278</v>
      </c>
    </row>
    <row r="8988" spans="1:4" x14ac:dyDescent="0.25">
      <c r="A8988" t="str">
        <f>"838946962"</f>
        <v>838946962</v>
      </c>
      <c r="B8988" t="s">
        <v>8204</v>
      </c>
      <c r="C8988" s="1">
        <v>8250</v>
      </c>
      <c r="D8988" t="str">
        <f t="shared" si="290"/>
        <v>278</v>
      </c>
    </row>
    <row r="8989" spans="1:4" x14ac:dyDescent="0.25">
      <c r="A8989" t="str">
        <f>"838946963"</f>
        <v>838946963</v>
      </c>
      <c r="B8989" t="s">
        <v>8205</v>
      </c>
      <c r="C8989" s="1">
        <v>13200</v>
      </c>
      <c r="D8989" t="str">
        <f t="shared" si="290"/>
        <v>278</v>
      </c>
    </row>
    <row r="8990" spans="1:4" x14ac:dyDescent="0.25">
      <c r="A8990" t="str">
        <f>"838946964"</f>
        <v>838946964</v>
      </c>
      <c r="B8990" t="s">
        <v>7375</v>
      </c>
      <c r="C8990" s="1">
        <v>1650</v>
      </c>
      <c r="D8990" t="str">
        <f t="shared" si="290"/>
        <v>278</v>
      </c>
    </row>
    <row r="8991" spans="1:4" x14ac:dyDescent="0.25">
      <c r="A8991" t="str">
        <f>"838946965"</f>
        <v>838946965</v>
      </c>
      <c r="B8991" t="s">
        <v>8206</v>
      </c>
      <c r="C8991" s="1">
        <v>21450</v>
      </c>
      <c r="D8991" t="str">
        <f t="shared" si="290"/>
        <v>278</v>
      </c>
    </row>
    <row r="8992" spans="1:4" x14ac:dyDescent="0.25">
      <c r="A8992" t="str">
        <f>"838946966"</f>
        <v>838946966</v>
      </c>
      <c r="B8992" t="s">
        <v>8207</v>
      </c>
      <c r="C8992" s="1">
        <v>6600</v>
      </c>
      <c r="D8992" t="str">
        <f t="shared" si="290"/>
        <v>278</v>
      </c>
    </row>
    <row r="8993" spans="1:4" x14ac:dyDescent="0.25">
      <c r="A8993" t="str">
        <f>"838946967"</f>
        <v>838946967</v>
      </c>
      <c r="B8993" t="s">
        <v>8208</v>
      </c>
      <c r="C8993">
        <v>990</v>
      </c>
      <c r="D8993" t="str">
        <f t="shared" si="290"/>
        <v>278</v>
      </c>
    </row>
    <row r="8994" spans="1:4" x14ac:dyDescent="0.25">
      <c r="A8994" t="str">
        <f>"838946968"</f>
        <v>838946968</v>
      </c>
      <c r="B8994" t="s">
        <v>8209</v>
      </c>
      <c r="C8994" s="1">
        <v>8250</v>
      </c>
      <c r="D8994" t="str">
        <f t="shared" si="290"/>
        <v>278</v>
      </c>
    </row>
    <row r="8995" spans="1:4" x14ac:dyDescent="0.25">
      <c r="A8995" t="str">
        <f>"838946969"</f>
        <v>838946969</v>
      </c>
      <c r="B8995" t="s">
        <v>8210</v>
      </c>
      <c r="C8995" s="1">
        <v>3517.03</v>
      </c>
      <c r="D8995" t="str">
        <f>"272"</f>
        <v>272</v>
      </c>
    </row>
    <row r="8996" spans="1:4" x14ac:dyDescent="0.25">
      <c r="A8996" t="str">
        <f>"838946970"</f>
        <v>838946970</v>
      </c>
      <c r="B8996" t="s">
        <v>8211</v>
      </c>
      <c r="C8996" s="1">
        <v>5757.18</v>
      </c>
      <c r="D8996" t="str">
        <f t="shared" ref="D8996:D9054" si="291">"278"</f>
        <v>278</v>
      </c>
    </row>
    <row r="8997" spans="1:4" x14ac:dyDescent="0.25">
      <c r="A8997" t="str">
        <f>"838946971"</f>
        <v>838946971</v>
      </c>
      <c r="B8997" t="s">
        <v>8195</v>
      </c>
      <c r="C8997">
        <v>514.79999999999995</v>
      </c>
      <c r="D8997" t="str">
        <f t="shared" si="291"/>
        <v>278</v>
      </c>
    </row>
    <row r="8998" spans="1:4" x14ac:dyDescent="0.25">
      <c r="A8998" t="str">
        <f>"838946972"</f>
        <v>838946972</v>
      </c>
      <c r="B8998" t="s">
        <v>8212</v>
      </c>
      <c r="C8998">
        <v>99</v>
      </c>
      <c r="D8998" t="str">
        <f t="shared" si="291"/>
        <v>278</v>
      </c>
    </row>
    <row r="8999" spans="1:4" x14ac:dyDescent="0.25">
      <c r="A8999" t="str">
        <f>"838946973"</f>
        <v>838946973</v>
      </c>
      <c r="B8999" t="s">
        <v>8213</v>
      </c>
      <c r="C8999">
        <v>664.29</v>
      </c>
      <c r="D8999" t="str">
        <f t="shared" si="291"/>
        <v>278</v>
      </c>
    </row>
    <row r="9000" spans="1:4" x14ac:dyDescent="0.25">
      <c r="A9000" t="str">
        <f>"838946974"</f>
        <v>838946974</v>
      </c>
      <c r="B9000" t="s">
        <v>8214</v>
      </c>
      <c r="C9000">
        <v>365.34</v>
      </c>
      <c r="D9000" t="str">
        <f t="shared" si="291"/>
        <v>278</v>
      </c>
    </row>
    <row r="9001" spans="1:4" x14ac:dyDescent="0.25">
      <c r="A9001" t="str">
        <f>"838946975"</f>
        <v>838946975</v>
      </c>
      <c r="B9001" t="s">
        <v>8215</v>
      </c>
      <c r="C9001" s="1">
        <v>3214.2</v>
      </c>
      <c r="D9001" t="str">
        <f t="shared" si="291"/>
        <v>278</v>
      </c>
    </row>
    <row r="9002" spans="1:4" x14ac:dyDescent="0.25">
      <c r="A9002" t="str">
        <f>"838946976"</f>
        <v>838946976</v>
      </c>
      <c r="B9002" t="s">
        <v>8216</v>
      </c>
      <c r="C9002">
        <v>660</v>
      </c>
      <c r="D9002" t="str">
        <f t="shared" si="291"/>
        <v>278</v>
      </c>
    </row>
    <row r="9003" spans="1:4" x14ac:dyDescent="0.25">
      <c r="A9003" t="str">
        <f>"838946977"</f>
        <v>838946977</v>
      </c>
      <c r="B9003" t="s">
        <v>8217</v>
      </c>
      <c r="C9003" s="1">
        <v>5197.5</v>
      </c>
      <c r="D9003" t="str">
        <f t="shared" si="291"/>
        <v>278</v>
      </c>
    </row>
    <row r="9004" spans="1:4" x14ac:dyDescent="0.25">
      <c r="A9004" t="str">
        <f>"838946978"</f>
        <v>838946978</v>
      </c>
      <c r="B9004" t="s">
        <v>8218</v>
      </c>
      <c r="C9004">
        <v>198</v>
      </c>
      <c r="D9004" t="str">
        <f t="shared" si="291"/>
        <v>278</v>
      </c>
    </row>
    <row r="9005" spans="1:4" x14ac:dyDescent="0.25">
      <c r="A9005" t="str">
        <f>"838946979"</f>
        <v>838946979</v>
      </c>
      <c r="B9005" t="s">
        <v>8219</v>
      </c>
      <c r="C9005">
        <v>112.2</v>
      </c>
      <c r="D9005" t="str">
        <f t="shared" si="291"/>
        <v>278</v>
      </c>
    </row>
    <row r="9006" spans="1:4" x14ac:dyDescent="0.25">
      <c r="A9006" t="str">
        <f>"838946980"</f>
        <v>838946980</v>
      </c>
      <c r="B9006" t="s">
        <v>8220</v>
      </c>
      <c r="C9006">
        <v>891</v>
      </c>
      <c r="D9006" t="str">
        <f t="shared" si="291"/>
        <v>278</v>
      </c>
    </row>
    <row r="9007" spans="1:4" x14ac:dyDescent="0.25">
      <c r="A9007" t="str">
        <f>"838946981"</f>
        <v>838946981</v>
      </c>
      <c r="B9007" t="s">
        <v>8221</v>
      </c>
      <c r="C9007">
        <v>320.10000000000002</v>
      </c>
      <c r="D9007" t="str">
        <f t="shared" si="291"/>
        <v>278</v>
      </c>
    </row>
    <row r="9008" spans="1:4" x14ac:dyDescent="0.25">
      <c r="A9008" t="str">
        <f>"838946982"</f>
        <v>838946982</v>
      </c>
      <c r="B9008" t="s">
        <v>8222</v>
      </c>
      <c r="C9008">
        <v>633.6</v>
      </c>
      <c r="D9008" t="str">
        <f t="shared" si="291"/>
        <v>278</v>
      </c>
    </row>
    <row r="9009" spans="1:4" x14ac:dyDescent="0.25">
      <c r="A9009" t="str">
        <f>"838946983"</f>
        <v>838946983</v>
      </c>
      <c r="B9009" t="s">
        <v>8223</v>
      </c>
      <c r="C9009" s="1">
        <v>11550</v>
      </c>
      <c r="D9009" t="str">
        <f t="shared" si="291"/>
        <v>278</v>
      </c>
    </row>
    <row r="9010" spans="1:4" x14ac:dyDescent="0.25">
      <c r="A9010" t="str">
        <f>"838946984"</f>
        <v>838946984</v>
      </c>
      <c r="B9010" t="s">
        <v>8224</v>
      </c>
      <c r="C9010">
        <v>478.5</v>
      </c>
      <c r="D9010" t="str">
        <f t="shared" si="291"/>
        <v>278</v>
      </c>
    </row>
    <row r="9011" spans="1:4" x14ac:dyDescent="0.25">
      <c r="A9011" t="str">
        <f>"838946985"</f>
        <v>838946985</v>
      </c>
      <c r="B9011" t="s">
        <v>8225</v>
      </c>
      <c r="C9011" s="1">
        <v>2095.5</v>
      </c>
      <c r="D9011" t="str">
        <f t="shared" si="291"/>
        <v>278</v>
      </c>
    </row>
    <row r="9012" spans="1:4" x14ac:dyDescent="0.25">
      <c r="A9012" t="str">
        <f>"838946986"</f>
        <v>838946986</v>
      </c>
      <c r="B9012" t="s">
        <v>8226</v>
      </c>
      <c r="C9012" s="1">
        <v>1798.5</v>
      </c>
      <c r="D9012" t="str">
        <f t="shared" si="291"/>
        <v>278</v>
      </c>
    </row>
    <row r="9013" spans="1:4" x14ac:dyDescent="0.25">
      <c r="A9013" t="str">
        <f>"838946987"</f>
        <v>838946987</v>
      </c>
      <c r="B9013" t="s">
        <v>8227</v>
      </c>
      <c r="C9013" s="1">
        <v>8910</v>
      </c>
      <c r="D9013" t="str">
        <f t="shared" si="291"/>
        <v>278</v>
      </c>
    </row>
    <row r="9014" spans="1:4" x14ac:dyDescent="0.25">
      <c r="A9014" t="str">
        <f>"838946988"</f>
        <v>838946988</v>
      </c>
      <c r="B9014" t="s">
        <v>8228</v>
      </c>
      <c r="C9014" s="1">
        <v>6270</v>
      </c>
      <c r="D9014" t="str">
        <f t="shared" si="291"/>
        <v>278</v>
      </c>
    </row>
    <row r="9015" spans="1:4" x14ac:dyDescent="0.25">
      <c r="A9015" t="str">
        <f>"838946989"</f>
        <v>838946989</v>
      </c>
      <c r="B9015" t="s">
        <v>8229</v>
      </c>
      <c r="C9015">
        <v>744.48</v>
      </c>
      <c r="D9015" t="str">
        <f t="shared" si="291"/>
        <v>278</v>
      </c>
    </row>
    <row r="9016" spans="1:4" x14ac:dyDescent="0.25">
      <c r="A9016" t="str">
        <f>"838946990"</f>
        <v>838946990</v>
      </c>
      <c r="B9016" t="s">
        <v>8230</v>
      </c>
      <c r="C9016">
        <v>495</v>
      </c>
      <c r="D9016" t="str">
        <f t="shared" si="291"/>
        <v>278</v>
      </c>
    </row>
    <row r="9017" spans="1:4" x14ac:dyDescent="0.25">
      <c r="A9017" t="str">
        <f>"838946991"</f>
        <v>838946991</v>
      </c>
      <c r="B9017" t="s">
        <v>8231</v>
      </c>
      <c r="C9017" s="1">
        <v>2475</v>
      </c>
      <c r="D9017" t="str">
        <f t="shared" si="291"/>
        <v>278</v>
      </c>
    </row>
    <row r="9018" spans="1:4" x14ac:dyDescent="0.25">
      <c r="A9018" t="str">
        <f>"838946992"</f>
        <v>838946992</v>
      </c>
      <c r="B9018" t="s">
        <v>8232</v>
      </c>
      <c r="C9018" s="1">
        <v>3773</v>
      </c>
      <c r="D9018" t="str">
        <f t="shared" si="291"/>
        <v>278</v>
      </c>
    </row>
    <row r="9019" spans="1:4" x14ac:dyDescent="0.25">
      <c r="A9019" t="str">
        <f>"838946993"</f>
        <v>838946993</v>
      </c>
      <c r="B9019" t="s">
        <v>8233</v>
      </c>
      <c r="C9019" s="1">
        <v>6669.3</v>
      </c>
      <c r="D9019" t="str">
        <f t="shared" si="291"/>
        <v>278</v>
      </c>
    </row>
    <row r="9020" spans="1:4" x14ac:dyDescent="0.25">
      <c r="A9020" t="str">
        <f>"838946994"</f>
        <v>838946994</v>
      </c>
      <c r="B9020" t="s">
        <v>8234</v>
      </c>
      <c r="C9020" s="1">
        <v>16500</v>
      </c>
      <c r="D9020" t="str">
        <f t="shared" si="291"/>
        <v>278</v>
      </c>
    </row>
    <row r="9021" spans="1:4" x14ac:dyDescent="0.25">
      <c r="A9021" t="str">
        <f>"838946995"</f>
        <v>838946995</v>
      </c>
      <c r="B9021" t="s">
        <v>8235</v>
      </c>
      <c r="C9021" s="1">
        <v>16500</v>
      </c>
      <c r="D9021" t="str">
        <f t="shared" si="291"/>
        <v>278</v>
      </c>
    </row>
    <row r="9022" spans="1:4" x14ac:dyDescent="0.25">
      <c r="A9022" t="str">
        <f>"838946996"</f>
        <v>838946996</v>
      </c>
      <c r="B9022" t="s">
        <v>8236</v>
      </c>
      <c r="C9022" s="1">
        <v>6600</v>
      </c>
      <c r="D9022" t="str">
        <f t="shared" si="291"/>
        <v>278</v>
      </c>
    </row>
    <row r="9023" spans="1:4" x14ac:dyDescent="0.25">
      <c r="A9023" t="str">
        <f>"838946997"</f>
        <v>838946997</v>
      </c>
      <c r="B9023" t="s">
        <v>8237</v>
      </c>
      <c r="C9023">
        <v>712.8</v>
      </c>
      <c r="D9023" t="str">
        <f t="shared" si="291"/>
        <v>278</v>
      </c>
    </row>
    <row r="9024" spans="1:4" x14ac:dyDescent="0.25">
      <c r="A9024" t="str">
        <f>"838946998"</f>
        <v>838946998</v>
      </c>
      <c r="B9024" t="s">
        <v>8238</v>
      </c>
      <c r="C9024">
        <v>247.5</v>
      </c>
      <c r="D9024" t="str">
        <f t="shared" si="291"/>
        <v>278</v>
      </c>
    </row>
    <row r="9025" spans="1:4" x14ac:dyDescent="0.25">
      <c r="A9025" t="str">
        <f>"838946999"</f>
        <v>838946999</v>
      </c>
      <c r="B9025" t="s">
        <v>8239</v>
      </c>
      <c r="C9025">
        <v>990</v>
      </c>
      <c r="D9025" t="str">
        <f t="shared" si="291"/>
        <v>278</v>
      </c>
    </row>
    <row r="9026" spans="1:4" x14ac:dyDescent="0.25">
      <c r="A9026" t="str">
        <f>"838947000"</f>
        <v>838947000</v>
      </c>
      <c r="B9026" t="s">
        <v>8240</v>
      </c>
      <c r="C9026" s="1">
        <v>1303.5</v>
      </c>
      <c r="D9026" t="str">
        <f t="shared" si="291"/>
        <v>278</v>
      </c>
    </row>
    <row r="9027" spans="1:4" x14ac:dyDescent="0.25">
      <c r="A9027" t="str">
        <f>"838947001"</f>
        <v>838947001</v>
      </c>
      <c r="B9027" t="s">
        <v>8241</v>
      </c>
      <c r="C9027" s="1">
        <v>2310</v>
      </c>
      <c r="D9027" t="str">
        <f t="shared" si="291"/>
        <v>278</v>
      </c>
    </row>
    <row r="9028" spans="1:4" x14ac:dyDescent="0.25">
      <c r="A9028" t="str">
        <f>"838947002"</f>
        <v>838947002</v>
      </c>
      <c r="B9028" t="s">
        <v>8242</v>
      </c>
      <c r="C9028" s="1">
        <v>2310</v>
      </c>
      <c r="D9028" t="str">
        <f t="shared" si="291"/>
        <v>278</v>
      </c>
    </row>
    <row r="9029" spans="1:4" x14ac:dyDescent="0.25">
      <c r="A9029" t="str">
        <f>"838947003"</f>
        <v>838947003</v>
      </c>
      <c r="B9029" t="s">
        <v>8243</v>
      </c>
      <c r="C9029" s="1">
        <v>2310</v>
      </c>
      <c r="D9029" t="str">
        <f t="shared" si="291"/>
        <v>278</v>
      </c>
    </row>
    <row r="9030" spans="1:4" x14ac:dyDescent="0.25">
      <c r="A9030" t="str">
        <f>"838947006"</f>
        <v>838947006</v>
      </c>
      <c r="B9030" t="s">
        <v>7375</v>
      </c>
      <c r="C9030">
        <v>247.5</v>
      </c>
      <c r="D9030" t="str">
        <f t="shared" si="291"/>
        <v>278</v>
      </c>
    </row>
    <row r="9031" spans="1:4" x14ac:dyDescent="0.25">
      <c r="A9031" t="str">
        <f>"838947007"</f>
        <v>838947007</v>
      </c>
      <c r="B9031" t="s">
        <v>8244</v>
      </c>
      <c r="C9031">
        <v>577.5</v>
      </c>
      <c r="D9031" t="str">
        <f t="shared" si="291"/>
        <v>278</v>
      </c>
    </row>
    <row r="9032" spans="1:4" x14ac:dyDescent="0.25">
      <c r="A9032" t="str">
        <f>"838947008"</f>
        <v>838947008</v>
      </c>
      <c r="B9032" t="s">
        <v>8245</v>
      </c>
      <c r="C9032" s="1">
        <v>11589.6</v>
      </c>
      <c r="D9032" t="str">
        <f t="shared" si="291"/>
        <v>278</v>
      </c>
    </row>
    <row r="9033" spans="1:4" x14ac:dyDescent="0.25">
      <c r="A9033" t="str">
        <f>"838947009"</f>
        <v>838947009</v>
      </c>
      <c r="B9033" t="s">
        <v>8246</v>
      </c>
      <c r="C9033" s="1">
        <v>1346.4</v>
      </c>
      <c r="D9033" t="str">
        <f t="shared" si="291"/>
        <v>278</v>
      </c>
    </row>
    <row r="9034" spans="1:4" x14ac:dyDescent="0.25">
      <c r="A9034" t="str">
        <f>"838947010"</f>
        <v>838947010</v>
      </c>
      <c r="B9034" t="s">
        <v>8247</v>
      </c>
      <c r="C9034">
        <v>633.6</v>
      </c>
      <c r="D9034" t="str">
        <f t="shared" si="291"/>
        <v>278</v>
      </c>
    </row>
    <row r="9035" spans="1:4" x14ac:dyDescent="0.25">
      <c r="A9035" t="str">
        <f>"838947011"</f>
        <v>838947011</v>
      </c>
      <c r="B9035" t="s">
        <v>8248</v>
      </c>
      <c r="C9035" s="1">
        <v>16500</v>
      </c>
      <c r="D9035" t="str">
        <f t="shared" si="291"/>
        <v>278</v>
      </c>
    </row>
    <row r="9036" spans="1:4" x14ac:dyDescent="0.25">
      <c r="A9036" t="str">
        <f>"838947012"</f>
        <v>838947012</v>
      </c>
      <c r="B9036" t="s">
        <v>8249</v>
      </c>
      <c r="C9036" s="1">
        <v>11965.8</v>
      </c>
      <c r="D9036" t="str">
        <f t="shared" si="291"/>
        <v>278</v>
      </c>
    </row>
    <row r="9037" spans="1:4" x14ac:dyDescent="0.25">
      <c r="A9037" t="str">
        <f>"838947013"</f>
        <v>838947013</v>
      </c>
      <c r="B9037" t="s">
        <v>8250</v>
      </c>
      <c r="C9037" s="1">
        <v>3216.25</v>
      </c>
      <c r="D9037" t="str">
        <f t="shared" si="291"/>
        <v>278</v>
      </c>
    </row>
    <row r="9038" spans="1:4" x14ac:dyDescent="0.25">
      <c r="A9038" t="str">
        <f>"838947014"</f>
        <v>838947014</v>
      </c>
      <c r="B9038" t="s">
        <v>8251</v>
      </c>
      <c r="C9038" s="1">
        <v>5197.5</v>
      </c>
      <c r="D9038" t="str">
        <f t="shared" si="291"/>
        <v>278</v>
      </c>
    </row>
    <row r="9039" spans="1:4" x14ac:dyDescent="0.25">
      <c r="A9039" t="str">
        <f>"838947015"</f>
        <v>838947015</v>
      </c>
      <c r="B9039" t="s">
        <v>8252</v>
      </c>
      <c r="C9039" s="1">
        <v>5197.5</v>
      </c>
      <c r="D9039" t="str">
        <f t="shared" si="291"/>
        <v>278</v>
      </c>
    </row>
    <row r="9040" spans="1:4" x14ac:dyDescent="0.25">
      <c r="A9040" t="str">
        <f>"838947016"</f>
        <v>838947016</v>
      </c>
      <c r="B9040" t="s">
        <v>8253</v>
      </c>
      <c r="C9040">
        <v>670.49</v>
      </c>
      <c r="D9040" t="str">
        <f t="shared" si="291"/>
        <v>278</v>
      </c>
    </row>
    <row r="9041" spans="1:4" x14ac:dyDescent="0.25">
      <c r="A9041" t="str">
        <f>"838947017"</f>
        <v>838947017</v>
      </c>
      <c r="B9041" t="s">
        <v>8254</v>
      </c>
      <c r="C9041" s="1">
        <v>5592.28</v>
      </c>
      <c r="D9041" t="str">
        <f t="shared" si="291"/>
        <v>278</v>
      </c>
    </row>
    <row r="9042" spans="1:4" x14ac:dyDescent="0.25">
      <c r="A9042" t="str">
        <f>"838947018"</f>
        <v>838947018</v>
      </c>
      <c r="B9042" t="s">
        <v>8255</v>
      </c>
      <c r="C9042">
        <v>525.79999999999995</v>
      </c>
      <c r="D9042" t="str">
        <f t="shared" si="291"/>
        <v>278</v>
      </c>
    </row>
    <row r="9043" spans="1:4" x14ac:dyDescent="0.25">
      <c r="A9043" t="str">
        <f>"838947019"</f>
        <v>838947019</v>
      </c>
      <c r="B9043" t="s">
        <v>8256</v>
      </c>
      <c r="C9043" s="1">
        <v>1586.2</v>
      </c>
      <c r="D9043" t="str">
        <f t="shared" si="291"/>
        <v>278</v>
      </c>
    </row>
    <row r="9044" spans="1:4" x14ac:dyDescent="0.25">
      <c r="A9044" t="str">
        <f>"838947020"</f>
        <v>838947020</v>
      </c>
      <c r="B9044" t="s">
        <v>8257</v>
      </c>
      <c r="C9044" s="1">
        <v>9405</v>
      </c>
      <c r="D9044" t="str">
        <f t="shared" si="291"/>
        <v>278</v>
      </c>
    </row>
    <row r="9045" spans="1:4" x14ac:dyDescent="0.25">
      <c r="A9045" t="str">
        <f>"838947021"</f>
        <v>838947021</v>
      </c>
      <c r="B9045" t="s">
        <v>8258</v>
      </c>
      <c r="C9045" s="1">
        <v>7590</v>
      </c>
      <c r="D9045" t="str">
        <f t="shared" si="291"/>
        <v>278</v>
      </c>
    </row>
    <row r="9046" spans="1:4" x14ac:dyDescent="0.25">
      <c r="A9046" t="str">
        <f>"838947022"</f>
        <v>838947022</v>
      </c>
      <c r="B9046" t="s">
        <v>8259</v>
      </c>
      <c r="C9046" s="1">
        <v>3960</v>
      </c>
      <c r="D9046" t="str">
        <f t="shared" si="291"/>
        <v>278</v>
      </c>
    </row>
    <row r="9047" spans="1:4" x14ac:dyDescent="0.25">
      <c r="A9047" t="str">
        <f>"838947023"</f>
        <v>838947023</v>
      </c>
      <c r="B9047" t="s">
        <v>8260</v>
      </c>
      <c r="C9047" s="1">
        <v>4950</v>
      </c>
      <c r="D9047" t="str">
        <f t="shared" si="291"/>
        <v>278</v>
      </c>
    </row>
    <row r="9048" spans="1:4" x14ac:dyDescent="0.25">
      <c r="A9048" t="str">
        <f>"838947024"</f>
        <v>838947024</v>
      </c>
      <c r="B9048" t="s">
        <v>8261</v>
      </c>
      <c r="C9048" s="1">
        <v>5940</v>
      </c>
      <c r="D9048" t="str">
        <f t="shared" si="291"/>
        <v>278</v>
      </c>
    </row>
    <row r="9049" spans="1:4" x14ac:dyDescent="0.25">
      <c r="A9049" t="str">
        <f>"838947025"</f>
        <v>838947025</v>
      </c>
      <c r="B9049" t="s">
        <v>8262</v>
      </c>
      <c r="C9049">
        <v>825</v>
      </c>
      <c r="D9049" t="str">
        <f t="shared" si="291"/>
        <v>278</v>
      </c>
    </row>
    <row r="9050" spans="1:4" x14ac:dyDescent="0.25">
      <c r="A9050" t="str">
        <f>"838947026"</f>
        <v>838947026</v>
      </c>
      <c r="B9050" t="s">
        <v>8263</v>
      </c>
      <c r="C9050">
        <v>165</v>
      </c>
      <c r="D9050" t="str">
        <f t="shared" si="291"/>
        <v>278</v>
      </c>
    </row>
    <row r="9051" spans="1:4" x14ac:dyDescent="0.25">
      <c r="A9051" t="str">
        <f>"838947027"</f>
        <v>838947027</v>
      </c>
      <c r="B9051" t="s">
        <v>8264</v>
      </c>
      <c r="C9051">
        <v>330</v>
      </c>
      <c r="D9051" t="str">
        <f t="shared" si="291"/>
        <v>278</v>
      </c>
    </row>
    <row r="9052" spans="1:4" x14ac:dyDescent="0.25">
      <c r="A9052" t="str">
        <f>"838947028"</f>
        <v>838947028</v>
      </c>
      <c r="B9052" t="s">
        <v>8265</v>
      </c>
      <c r="C9052">
        <v>825</v>
      </c>
      <c r="D9052" t="str">
        <f t="shared" si="291"/>
        <v>278</v>
      </c>
    </row>
    <row r="9053" spans="1:4" x14ac:dyDescent="0.25">
      <c r="A9053" t="str">
        <f>"838947029"</f>
        <v>838947029</v>
      </c>
      <c r="B9053" t="s">
        <v>8266</v>
      </c>
      <c r="C9053">
        <v>495</v>
      </c>
      <c r="D9053" t="str">
        <f t="shared" si="291"/>
        <v>278</v>
      </c>
    </row>
    <row r="9054" spans="1:4" x14ac:dyDescent="0.25">
      <c r="A9054" t="str">
        <f>"838947030"</f>
        <v>838947030</v>
      </c>
      <c r="B9054" t="s">
        <v>8267</v>
      </c>
      <c r="C9054">
        <v>495</v>
      </c>
      <c r="D9054" t="str">
        <f t="shared" si="291"/>
        <v>278</v>
      </c>
    </row>
    <row r="9055" spans="1:4" x14ac:dyDescent="0.25">
      <c r="A9055" t="str">
        <f>"838947031"</f>
        <v>838947031</v>
      </c>
      <c r="B9055" t="s">
        <v>8268</v>
      </c>
      <c r="C9055">
        <v>11.44</v>
      </c>
      <c r="D9055" t="str">
        <f>"270"</f>
        <v>270</v>
      </c>
    </row>
    <row r="9056" spans="1:4" x14ac:dyDescent="0.25">
      <c r="A9056" t="str">
        <f>"838947032"</f>
        <v>838947032</v>
      </c>
      <c r="B9056" t="s">
        <v>8269</v>
      </c>
      <c r="C9056" s="1">
        <v>3373.81</v>
      </c>
      <c r="D9056" t="str">
        <f t="shared" ref="D9056:D9096" si="292">"278"</f>
        <v>278</v>
      </c>
    </row>
    <row r="9057" spans="1:4" x14ac:dyDescent="0.25">
      <c r="A9057" t="str">
        <f>"838947033"</f>
        <v>838947033</v>
      </c>
      <c r="B9057" t="s">
        <v>8270</v>
      </c>
      <c r="C9057" s="1">
        <v>5610</v>
      </c>
      <c r="D9057" t="str">
        <f t="shared" si="292"/>
        <v>278</v>
      </c>
    </row>
    <row r="9058" spans="1:4" x14ac:dyDescent="0.25">
      <c r="A9058" t="str">
        <f>"838947034"</f>
        <v>838947034</v>
      </c>
      <c r="B9058" t="s">
        <v>8271</v>
      </c>
      <c r="C9058">
        <v>511.5</v>
      </c>
      <c r="D9058" t="str">
        <f t="shared" si="292"/>
        <v>278</v>
      </c>
    </row>
    <row r="9059" spans="1:4" x14ac:dyDescent="0.25">
      <c r="A9059" t="str">
        <f>"838947035"</f>
        <v>838947035</v>
      </c>
      <c r="B9059" t="s">
        <v>8272</v>
      </c>
      <c r="C9059">
        <v>742.5</v>
      </c>
      <c r="D9059" t="str">
        <f t="shared" si="292"/>
        <v>278</v>
      </c>
    </row>
    <row r="9060" spans="1:4" x14ac:dyDescent="0.25">
      <c r="A9060" t="str">
        <f>"838947036"</f>
        <v>838947036</v>
      </c>
      <c r="B9060" t="s">
        <v>2046</v>
      </c>
      <c r="C9060" s="1">
        <v>15048</v>
      </c>
      <c r="D9060" t="str">
        <f t="shared" si="292"/>
        <v>278</v>
      </c>
    </row>
    <row r="9061" spans="1:4" x14ac:dyDescent="0.25">
      <c r="A9061" t="str">
        <f>"838947037"</f>
        <v>838947037</v>
      </c>
      <c r="B9061" t="s">
        <v>8273</v>
      </c>
      <c r="C9061" s="1">
        <v>1577.4</v>
      </c>
      <c r="D9061" t="str">
        <f t="shared" si="292"/>
        <v>278</v>
      </c>
    </row>
    <row r="9062" spans="1:4" x14ac:dyDescent="0.25">
      <c r="A9062" t="str">
        <f>"838947038"</f>
        <v>838947038</v>
      </c>
      <c r="B9062" t="s">
        <v>2048</v>
      </c>
      <c r="C9062">
        <v>165</v>
      </c>
      <c r="D9062" t="str">
        <f t="shared" si="292"/>
        <v>278</v>
      </c>
    </row>
    <row r="9063" spans="1:4" x14ac:dyDescent="0.25">
      <c r="A9063" t="str">
        <f>"838947039"</f>
        <v>838947039</v>
      </c>
      <c r="B9063" t="s">
        <v>8274</v>
      </c>
      <c r="C9063">
        <v>686.4</v>
      </c>
      <c r="D9063" t="str">
        <f t="shared" si="292"/>
        <v>278</v>
      </c>
    </row>
    <row r="9064" spans="1:4" x14ac:dyDescent="0.25">
      <c r="A9064" t="str">
        <f>"8389470843"</f>
        <v>8389470843</v>
      </c>
      <c r="B9064" t="s">
        <v>8275</v>
      </c>
      <c r="C9064" s="1">
        <v>4125</v>
      </c>
      <c r="D9064" t="str">
        <f t="shared" si="292"/>
        <v>278</v>
      </c>
    </row>
    <row r="9065" spans="1:4" x14ac:dyDescent="0.25">
      <c r="A9065" t="str">
        <f>"838947840"</f>
        <v>838947840</v>
      </c>
      <c r="B9065" t="s">
        <v>8276</v>
      </c>
      <c r="C9065" s="1">
        <v>2570.6999999999998</v>
      </c>
      <c r="D9065" t="str">
        <f t="shared" si="292"/>
        <v>278</v>
      </c>
    </row>
    <row r="9066" spans="1:4" x14ac:dyDescent="0.25">
      <c r="A9066" t="str">
        <f>"838947841"</f>
        <v>838947841</v>
      </c>
      <c r="B9066" t="s">
        <v>8277</v>
      </c>
      <c r="C9066" s="1">
        <v>1650</v>
      </c>
      <c r="D9066" t="str">
        <f t="shared" si="292"/>
        <v>278</v>
      </c>
    </row>
    <row r="9067" spans="1:4" x14ac:dyDescent="0.25">
      <c r="A9067" t="str">
        <f>"838947842"</f>
        <v>838947842</v>
      </c>
      <c r="B9067" t="s">
        <v>8278</v>
      </c>
      <c r="C9067" s="1">
        <v>3771.9</v>
      </c>
      <c r="D9067" t="str">
        <f t="shared" si="292"/>
        <v>278</v>
      </c>
    </row>
    <row r="9068" spans="1:4" x14ac:dyDescent="0.25">
      <c r="A9068" t="str">
        <f>"838947843"</f>
        <v>838947843</v>
      </c>
      <c r="B9068" t="s">
        <v>8279</v>
      </c>
      <c r="C9068" s="1">
        <v>1567.5</v>
      </c>
      <c r="D9068" t="str">
        <f t="shared" si="292"/>
        <v>278</v>
      </c>
    </row>
    <row r="9069" spans="1:4" x14ac:dyDescent="0.25">
      <c r="A9069" t="str">
        <f>"838947844"</f>
        <v>838947844</v>
      </c>
      <c r="B9069" t="s">
        <v>8280</v>
      </c>
      <c r="C9069" s="1">
        <v>36867.269999999997</v>
      </c>
      <c r="D9069" t="str">
        <f t="shared" si="292"/>
        <v>278</v>
      </c>
    </row>
    <row r="9070" spans="1:4" x14ac:dyDescent="0.25">
      <c r="A9070" t="str">
        <f>"838947845"</f>
        <v>838947845</v>
      </c>
      <c r="B9070" t="s">
        <v>8281</v>
      </c>
      <c r="C9070" s="1">
        <v>7072.56</v>
      </c>
      <c r="D9070" t="str">
        <f t="shared" si="292"/>
        <v>278</v>
      </c>
    </row>
    <row r="9071" spans="1:4" x14ac:dyDescent="0.25">
      <c r="A9071" t="str">
        <f>"838947846"</f>
        <v>838947846</v>
      </c>
      <c r="B9071" t="s">
        <v>8282</v>
      </c>
      <c r="C9071" s="1">
        <v>7188.89</v>
      </c>
      <c r="D9071" t="str">
        <f t="shared" si="292"/>
        <v>278</v>
      </c>
    </row>
    <row r="9072" spans="1:4" x14ac:dyDescent="0.25">
      <c r="A9072" t="str">
        <f>"838947847"</f>
        <v>838947847</v>
      </c>
      <c r="B9072" t="s">
        <v>8283</v>
      </c>
      <c r="C9072" s="1">
        <v>9414.57</v>
      </c>
      <c r="D9072" t="str">
        <f t="shared" si="292"/>
        <v>278</v>
      </c>
    </row>
    <row r="9073" spans="1:4" x14ac:dyDescent="0.25">
      <c r="A9073" t="str">
        <f>"838947848"</f>
        <v>838947848</v>
      </c>
      <c r="B9073" t="s">
        <v>8284</v>
      </c>
      <c r="C9073">
        <v>738.28</v>
      </c>
      <c r="D9073" t="str">
        <f t="shared" si="292"/>
        <v>278</v>
      </c>
    </row>
    <row r="9074" spans="1:4" x14ac:dyDescent="0.25">
      <c r="A9074" t="str">
        <f>"838947849"</f>
        <v>838947849</v>
      </c>
      <c r="B9074" t="s">
        <v>8285</v>
      </c>
      <c r="C9074">
        <v>165</v>
      </c>
      <c r="D9074" t="str">
        <f t="shared" si="292"/>
        <v>278</v>
      </c>
    </row>
    <row r="9075" spans="1:4" x14ac:dyDescent="0.25">
      <c r="A9075" t="str">
        <f>"838947850"</f>
        <v>838947850</v>
      </c>
      <c r="B9075" t="s">
        <v>8286</v>
      </c>
      <c r="C9075" s="1">
        <v>9193.7999999999993</v>
      </c>
      <c r="D9075" t="str">
        <f t="shared" si="292"/>
        <v>278</v>
      </c>
    </row>
    <row r="9076" spans="1:4" x14ac:dyDescent="0.25">
      <c r="A9076" t="str">
        <f>"838947851"</f>
        <v>838947851</v>
      </c>
      <c r="B9076" t="s">
        <v>8287</v>
      </c>
      <c r="C9076">
        <v>396</v>
      </c>
      <c r="D9076" t="str">
        <f t="shared" si="292"/>
        <v>278</v>
      </c>
    </row>
    <row r="9077" spans="1:4" x14ac:dyDescent="0.25">
      <c r="A9077" t="str">
        <f>"838947852"</f>
        <v>838947852</v>
      </c>
      <c r="B9077" t="s">
        <v>8288</v>
      </c>
      <c r="C9077">
        <v>396</v>
      </c>
      <c r="D9077" t="str">
        <f t="shared" si="292"/>
        <v>278</v>
      </c>
    </row>
    <row r="9078" spans="1:4" x14ac:dyDescent="0.25">
      <c r="A9078" t="str">
        <f>"838947853"</f>
        <v>838947853</v>
      </c>
      <c r="B9078" t="s">
        <v>8289</v>
      </c>
      <c r="C9078">
        <v>640.20000000000005</v>
      </c>
      <c r="D9078" t="str">
        <f t="shared" si="292"/>
        <v>278</v>
      </c>
    </row>
    <row r="9079" spans="1:4" x14ac:dyDescent="0.25">
      <c r="A9079" t="str">
        <f>"838947854"</f>
        <v>838947854</v>
      </c>
      <c r="B9079" t="s">
        <v>8290</v>
      </c>
      <c r="C9079">
        <v>640.20000000000005</v>
      </c>
      <c r="D9079" t="str">
        <f t="shared" si="292"/>
        <v>278</v>
      </c>
    </row>
    <row r="9080" spans="1:4" x14ac:dyDescent="0.25">
      <c r="A9080" t="str">
        <f>"838947855"</f>
        <v>838947855</v>
      </c>
      <c r="B9080" t="s">
        <v>8291</v>
      </c>
      <c r="C9080">
        <v>640.20000000000005</v>
      </c>
      <c r="D9080" t="str">
        <f t="shared" si="292"/>
        <v>278</v>
      </c>
    </row>
    <row r="9081" spans="1:4" x14ac:dyDescent="0.25">
      <c r="A9081" t="str">
        <f>"838947856"</f>
        <v>838947856</v>
      </c>
      <c r="B9081" t="s">
        <v>8292</v>
      </c>
      <c r="C9081">
        <v>660</v>
      </c>
      <c r="D9081" t="str">
        <f t="shared" si="292"/>
        <v>278</v>
      </c>
    </row>
    <row r="9082" spans="1:4" x14ac:dyDescent="0.25">
      <c r="A9082" t="str">
        <f>"838947857"</f>
        <v>838947857</v>
      </c>
      <c r="B9082" t="s">
        <v>8291</v>
      </c>
      <c r="C9082">
        <v>426.8</v>
      </c>
      <c r="D9082" t="str">
        <f t="shared" si="292"/>
        <v>278</v>
      </c>
    </row>
    <row r="9083" spans="1:4" x14ac:dyDescent="0.25">
      <c r="A9083" t="str">
        <f>"838947858"</f>
        <v>838947858</v>
      </c>
      <c r="B9083" t="s">
        <v>8287</v>
      </c>
      <c r="C9083">
        <v>396</v>
      </c>
      <c r="D9083" t="str">
        <f t="shared" si="292"/>
        <v>278</v>
      </c>
    </row>
    <row r="9084" spans="1:4" x14ac:dyDescent="0.25">
      <c r="A9084" t="str">
        <f>"838947859"</f>
        <v>838947859</v>
      </c>
      <c r="B9084" t="s">
        <v>8293</v>
      </c>
      <c r="C9084">
        <v>396</v>
      </c>
      <c r="D9084" t="str">
        <f t="shared" si="292"/>
        <v>278</v>
      </c>
    </row>
    <row r="9085" spans="1:4" x14ac:dyDescent="0.25">
      <c r="A9085" t="str">
        <f>"838947860"</f>
        <v>838947860</v>
      </c>
      <c r="B9085" t="s">
        <v>8294</v>
      </c>
      <c r="C9085">
        <v>577.5</v>
      </c>
      <c r="D9085" t="str">
        <f t="shared" si="292"/>
        <v>278</v>
      </c>
    </row>
    <row r="9086" spans="1:4" x14ac:dyDescent="0.25">
      <c r="A9086" t="str">
        <f>"838947861"</f>
        <v>838947861</v>
      </c>
      <c r="B9086" t="s">
        <v>8295</v>
      </c>
      <c r="C9086">
        <v>392.7</v>
      </c>
      <c r="D9086" t="str">
        <f t="shared" si="292"/>
        <v>278</v>
      </c>
    </row>
    <row r="9087" spans="1:4" x14ac:dyDescent="0.25">
      <c r="A9087" t="str">
        <f>"838947862"</f>
        <v>838947862</v>
      </c>
      <c r="B9087" t="s">
        <v>8296</v>
      </c>
      <c r="C9087" s="1">
        <v>12266.1</v>
      </c>
      <c r="D9087" t="str">
        <f t="shared" si="292"/>
        <v>278</v>
      </c>
    </row>
    <row r="9088" spans="1:4" x14ac:dyDescent="0.25">
      <c r="A9088" t="str">
        <f>"838947863"</f>
        <v>838947863</v>
      </c>
      <c r="B9088" t="s">
        <v>8297</v>
      </c>
      <c r="C9088" s="1">
        <v>12540</v>
      </c>
      <c r="D9088" t="str">
        <f t="shared" si="292"/>
        <v>278</v>
      </c>
    </row>
    <row r="9089" spans="1:4" x14ac:dyDescent="0.25">
      <c r="A9089" t="str">
        <f>"838947864"</f>
        <v>838947864</v>
      </c>
      <c r="B9089" t="s">
        <v>8298</v>
      </c>
      <c r="C9089" s="1">
        <v>1412.4</v>
      </c>
      <c r="D9089" t="str">
        <f t="shared" si="292"/>
        <v>278</v>
      </c>
    </row>
    <row r="9090" spans="1:4" x14ac:dyDescent="0.25">
      <c r="A9090" t="str">
        <f>"838947865"</f>
        <v>838947865</v>
      </c>
      <c r="B9090" t="s">
        <v>8059</v>
      </c>
      <c r="C9090" s="1">
        <v>2310</v>
      </c>
      <c r="D9090" t="str">
        <f t="shared" si="292"/>
        <v>278</v>
      </c>
    </row>
    <row r="9091" spans="1:4" x14ac:dyDescent="0.25">
      <c r="A9091" t="str">
        <f>"838947866"</f>
        <v>838947866</v>
      </c>
      <c r="B9091" t="s">
        <v>8299</v>
      </c>
      <c r="C9091" s="1">
        <v>2310</v>
      </c>
      <c r="D9091" t="str">
        <f t="shared" si="292"/>
        <v>278</v>
      </c>
    </row>
    <row r="9092" spans="1:4" x14ac:dyDescent="0.25">
      <c r="A9092" t="str">
        <f>"838947867"</f>
        <v>838947867</v>
      </c>
      <c r="B9092" t="s">
        <v>8300</v>
      </c>
      <c r="C9092" s="1">
        <v>3547.5</v>
      </c>
      <c r="D9092" t="str">
        <f t="shared" si="292"/>
        <v>278</v>
      </c>
    </row>
    <row r="9093" spans="1:4" x14ac:dyDescent="0.25">
      <c r="A9093" t="str">
        <f>"838947868"</f>
        <v>838947868</v>
      </c>
      <c r="B9093" t="s">
        <v>8301</v>
      </c>
      <c r="C9093" s="1">
        <v>6930</v>
      </c>
      <c r="D9093" t="str">
        <f t="shared" si="292"/>
        <v>278</v>
      </c>
    </row>
    <row r="9094" spans="1:4" x14ac:dyDescent="0.25">
      <c r="A9094" t="str">
        <f>"838947869"</f>
        <v>838947869</v>
      </c>
      <c r="B9094" t="s">
        <v>8302</v>
      </c>
      <c r="C9094" s="1">
        <v>2145</v>
      </c>
      <c r="D9094" t="str">
        <f t="shared" si="292"/>
        <v>278</v>
      </c>
    </row>
    <row r="9095" spans="1:4" x14ac:dyDescent="0.25">
      <c r="A9095" t="str">
        <f>"838947870"</f>
        <v>838947870</v>
      </c>
      <c r="B9095" t="s">
        <v>8303</v>
      </c>
      <c r="C9095" s="1">
        <v>12540</v>
      </c>
      <c r="D9095" t="str">
        <f t="shared" si="292"/>
        <v>278</v>
      </c>
    </row>
    <row r="9096" spans="1:4" x14ac:dyDescent="0.25">
      <c r="A9096" t="str">
        <f>"838947871"</f>
        <v>838947871</v>
      </c>
      <c r="B9096" t="s">
        <v>8304</v>
      </c>
      <c r="C9096">
        <v>610.5</v>
      </c>
      <c r="D9096" t="str">
        <f t="shared" si="292"/>
        <v>278</v>
      </c>
    </row>
    <row r="9097" spans="1:4" x14ac:dyDescent="0.25">
      <c r="A9097" t="str">
        <f>"838947872"</f>
        <v>838947872</v>
      </c>
      <c r="B9097" t="s">
        <v>8305</v>
      </c>
      <c r="C9097">
        <v>15.18</v>
      </c>
      <c r="D9097" t="str">
        <f>"272"</f>
        <v>272</v>
      </c>
    </row>
    <row r="9098" spans="1:4" x14ac:dyDescent="0.25">
      <c r="A9098" t="str">
        <f>"838947873"</f>
        <v>838947873</v>
      </c>
      <c r="B9098" t="s">
        <v>8306</v>
      </c>
      <c r="C9098">
        <v>907.5</v>
      </c>
      <c r="D9098" t="str">
        <f t="shared" ref="D9098:D9132" si="293">"278"</f>
        <v>278</v>
      </c>
    </row>
    <row r="9099" spans="1:4" x14ac:dyDescent="0.25">
      <c r="A9099" t="str">
        <f>"838947874"</f>
        <v>838947874</v>
      </c>
      <c r="B9099" t="s">
        <v>8307</v>
      </c>
      <c r="C9099" s="1">
        <v>3613.5</v>
      </c>
      <c r="D9099" t="str">
        <f t="shared" si="293"/>
        <v>278</v>
      </c>
    </row>
    <row r="9100" spans="1:4" x14ac:dyDescent="0.25">
      <c r="A9100" t="str">
        <f>"838947875"</f>
        <v>838947875</v>
      </c>
      <c r="B9100" t="s">
        <v>8308</v>
      </c>
      <c r="C9100">
        <v>907.5</v>
      </c>
      <c r="D9100" t="str">
        <f t="shared" si="293"/>
        <v>278</v>
      </c>
    </row>
    <row r="9101" spans="1:4" x14ac:dyDescent="0.25">
      <c r="A9101" t="str">
        <f>"838947876"</f>
        <v>838947876</v>
      </c>
      <c r="B9101" t="s">
        <v>8309</v>
      </c>
      <c r="C9101" s="1">
        <v>3613.5</v>
      </c>
      <c r="D9101" t="str">
        <f t="shared" si="293"/>
        <v>278</v>
      </c>
    </row>
    <row r="9102" spans="1:4" x14ac:dyDescent="0.25">
      <c r="A9102" t="str">
        <f>"838947877"</f>
        <v>838947877</v>
      </c>
      <c r="B9102" t="s">
        <v>8310</v>
      </c>
      <c r="C9102" s="1">
        <v>6930</v>
      </c>
      <c r="D9102" t="str">
        <f t="shared" si="293"/>
        <v>278</v>
      </c>
    </row>
    <row r="9103" spans="1:4" x14ac:dyDescent="0.25">
      <c r="A9103" t="str">
        <f>"838947878"</f>
        <v>838947878</v>
      </c>
      <c r="B9103" t="s">
        <v>8311</v>
      </c>
      <c r="C9103" s="1">
        <v>2145</v>
      </c>
      <c r="D9103" t="str">
        <f t="shared" si="293"/>
        <v>278</v>
      </c>
    </row>
    <row r="9104" spans="1:4" x14ac:dyDescent="0.25">
      <c r="A9104" t="str">
        <f>"838947879"</f>
        <v>838947879</v>
      </c>
      <c r="B9104" t="s">
        <v>8312</v>
      </c>
      <c r="C9104" s="1">
        <v>5775</v>
      </c>
      <c r="D9104" t="str">
        <f t="shared" si="293"/>
        <v>278</v>
      </c>
    </row>
    <row r="9105" spans="1:4" x14ac:dyDescent="0.25">
      <c r="A9105" t="str">
        <f>"838947880"</f>
        <v>838947880</v>
      </c>
      <c r="B9105" t="s">
        <v>8313</v>
      </c>
      <c r="C9105" s="1">
        <v>3613.5</v>
      </c>
      <c r="D9105" t="str">
        <f t="shared" si="293"/>
        <v>278</v>
      </c>
    </row>
    <row r="9106" spans="1:4" x14ac:dyDescent="0.25">
      <c r="A9106" t="str">
        <f>"838947881"</f>
        <v>838947881</v>
      </c>
      <c r="B9106" t="s">
        <v>8314</v>
      </c>
      <c r="C9106" s="1">
        <v>4691.12</v>
      </c>
      <c r="D9106" t="str">
        <f t="shared" si="293"/>
        <v>278</v>
      </c>
    </row>
    <row r="9107" spans="1:4" x14ac:dyDescent="0.25">
      <c r="A9107" t="str">
        <f>"838947882"</f>
        <v>838947882</v>
      </c>
      <c r="B9107" t="s">
        <v>8315</v>
      </c>
      <c r="C9107" s="1">
        <v>1757.03</v>
      </c>
      <c r="D9107" t="str">
        <f t="shared" si="293"/>
        <v>278</v>
      </c>
    </row>
    <row r="9108" spans="1:4" x14ac:dyDescent="0.25">
      <c r="A9108" t="str">
        <f>"838947883"</f>
        <v>838947883</v>
      </c>
      <c r="B9108" t="s">
        <v>8316</v>
      </c>
      <c r="C9108" s="1">
        <v>4785</v>
      </c>
      <c r="D9108" t="str">
        <f t="shared" si="293"/>
        <v>278</v>
      </c>
    </row>
    <row r="9109" spans="1:4" x14ac:dyDescent="0.25">
      <c r="A9109" t="str">
        <f>"838947884"</f>
        <v>838947884</v>
      </c>
      <c r="B9109" t="s">
        <v>8317</v>
      </c>
      <c r="C9109" s="1">
        <v>4125</v>
      </c>
      <c r="D9109" t="str">
        <f t="shared" si="293"/>
        <v>278</v>
      </c>
    </row>
    <row r="9110" spans="1:4" x14ac:dyDescent="0.25">
      <c r="A9110" t="str">
        <f>"838947885"</f>
        <v>838947885</v>
      </c>
      <c r="B9110" t="s">
        <v>8318</v>
      </c>
      <c r="C9110" s="1">
        <v>4620</v>
      </c>
      <c r="D9110" t="str">
        <f t="shared" si="293"/>
        <v>278</v>
      </c>
    </row>
    <row r="9111" spans="1:4" x14ac:dyDescent="0.25">
      <c r="A9111" t="str">
        <f>"838947886"</f>
        <v>838947886</v>
      </c>
      <c r="B9111" t="s">
        <v>8319</v>
      </c>
      <c r="C9111">
        <v>825</v>
      </c>
      <c r="D9111" t="str">
        <f t="shared" si="293"/>
        <v>278</v>
      </c>
    </row>
    <row r="9112" spans="1:4" x14ac:dyDescent="0.25">
      <c r="A9112" t="str">
        <f>"838947887"</f>
        <v>838947887</v>
      </c>
      <c r="B9112" t="s">
        <v>8320</v>
      </c>
      <c r="C9112" s="1">
        <v>1217.7</v>
      </c>
      <c r="D9112" t="str">
        <f t="shared" si="293"/>
        <v>278</v>
      </c>
    </row>
    <row r="9113" spans="1:4" x14ac:dyDescent="0.25">
      <c r="A9113" t="str">
        <f>"838947888"</f>
        <v>838947888</v>
      </c>
      <c r="B9113" t="s">
        <v>8321</v>
      </c>
      <c r="C9113" s="1">
        <v>2557.5</v>
      </c>
      <c r="D9113" t="str">
        <f t="shared" si="293"/>
        <v>278</v>
      </c>
    </row>
    <row r="9114" spans="1:4" x14ac:dyDescent="0.25">
      <c r="A9114" t="str">
        <f>"838947889"</f>
        <v>838947889</v>
      </c>
      <c r="B9114" t="s">
        <v>8322</v>
      </c>
      <c r="C9114">
        <v>627</v>
      </c>
      <c r="D9114" t="str">
        <f t="shared" si="293"/>
        <v>278</v>
      </c>
    </row>
    <row r="9115" spans="1:4" x14ac:dyDescent="0.25">
      <c r="A9115" t="str">
        <f>"838947890"</f>
        <v>838947890</v>
      </c>
      <c r="B9115" t="s">
        <v>8323</v>
      </c>
      <c r="C9115">
        <v>744.48</v>
      </c>
      <c r="D9115" t="str">
        <f t="shared" si="293"/>
        <v>278</v>
      </c>
    </row>
    <row r="9116" spans="1:4" x14ac:dyDescent="0.25">
      <c r="A9116" t="str">
        <f>"838947891"</f>
        <v>838947891</v>
      </c>
      <c r="B9116" t="s">
        <v>8324</v>
      </c>
      <c r="C9116">
        <v>742.5</v>
      </c>
      <c r="D9116" t="str">
        <f t="shared" si="293"/>
        <v>278</v>
      </c>
    </row>
    <row r="9117" spans="1:4" x14ac:dyDescent="0.25">
      <c r="A9117" t="str">
        <f>"838947892"</f>
        <v>838947892</v>
      </c>
      <c r="B9117" t="s">
        <v>8325</v>
      </c>
      <c r="C9117" s="1">
        <v>1501.5</v>
      </c>
      <c r="D9117" t="str">
        <f t="shared" si="293"/>
        <v>278</v>
      </c>
    </row>
    <row r="9118" spans="1:4" x14ac:dyDescent="0.25">
      <c r="A9118" t="str">
        <f>"838947894"</f>
        <v>838947894</v>
      </c>
      <c r="B9118" t="s">
        <v>8326</v>
      </c>
      <c r="C9118" s="1">
        <v>8250</v>
      </c>
      <c r="D9118" t="str">
        <f t="shared" si="293"/>
        <v>278</v>
      </c>
    </row>
    <row r="9119" spans="1:4" x14ac:dyDescent="0.25">
      <c r="A9119" t="str">
        <f>"838947895"</f>
        <v>838947895</v>
      </c>
      <c r="B9119" t="s">
        <v>8327</v>
      </c>
      <c r="C9119" s="1">
        <v>19800</v>
      </c>
      <c r="D9119" t="str">
        <f t="shared" si="293"/>
        <v>278</v>
      </c>
    </row>
    <row r="9120" spans="1:4" x14ac:dyDescent="0.25">
      <c r="A9120" t="str">
        <f>"838947983"</f>
        <v>838947983</v>
      </c>
      <c r="B9120" t="s">
        <v>8328</v>
      </c>
      <c r="C9120">
        <v>907.5</v>
      </c>
      <c r="D9120" t="str">
        <f t="shared" si="293"/>
        <v>278</v>
      </c>
    </row>
    <row r="9121" spans="1:4" x14ac:dyDescent="0.25">
      <c r="A9121" t="str">
        <f>"838947984"</f>
        <v>838947984</v>
      </c>
      <c r="B9121" t="s">
        <v>8329</v>
      </c>
      <c r="C9121" s="1">
        <v>1320</v>
      </c>
      <c r="D9121" t="str">
        <f t="shared" si="293"/>
        <v>278</v>
      </c>
    </row>
    <row r="9122" spans="1:4" x14ac:dyDescent="0.25">
      <c r="A9122" t="str">
        <f>"838947985"</f>
        <v>838947985</v>
      </c>
      <c r="B9122" t="s">
        <v>7375</v>
      </c>
      <c r="C9122">
        <v>165</v>
      </c>
      <c r="D9122" t="str">
        <f t="shared" si="293"/>
        <v>278</v>
      </c>
    </row>
    <row r="9123" spans="1:4" x14ac:dyDescent="0.25">
      <c r="A9123" t="str">
        <f>"838947986"</f>
        <v>838947986</v>
      </c>
      <c r="B9123" t="s">
        <v>8330</v>
      </c>
      <c r="C9123">
        <v>990</v>
      </c>
      <c r="D9123" t="str">
        <f t="shared" si="293"/>
        <v>278</v>
      </c>
    </row>
    <row r="9124" spans="1:4" x14ac:dyDescent="0.25">
      <c r="A9124" t="str">
        <f>"838947987"</f>
        <v>838947987</v>
      </c>
      <c r="B9124" t="s">
        <v>8331</v>
      </c>
      <c r="C9124" s="1">
        <v>8250</v>
      </c>
      <c r="D9124" t="str">
        <f t="shared" si="293"/>
        <v>278</v>
      </c>
    </row>
    <row r="9125" spans="1:4" x14ac:dyDescent="0.25">
      <c r="A9125" t="str">
        <f>"838947988"</f>
        <v>838947988</v>
      </c>
      <c r="B9125" t="s">
        <v>8332</v>
      </c>
      <c r="C9125" s="1">
        <v>1320</v>
      </c>
      <c r="D9125" t="str">
        <f t="shared" si="293"/>
        <v>278</v>
      </c>
    </row>
    <row r="9126" spans="1:4" x14ac:dyDescent="0.25">
      <c r="A9126" t="str">
        <f>"838947989"</f>
        <v>838947989</v>
      </c>
      <c r="B9126" t="s">
        <v>8333</v>
      </c>
      <c r="C9126" s="1">
        <v>11550</v>
      </c>
      <c r="D9126" t="str">
        <f t="shared" si="293"/>
        <v>278</v>
      </c>
    </row>
    <row r="9127" spans="1:4" x14ac:dyDescent="0.25">
      <c r="A9127" t="str">
        <f>"838947990"</f>
        <v>838947990</v>
      </c>
      <c r="B9127" t="s">
        <v>8334</v>
      </c>
      <c r="C9127" s="1">
        <v>6831</v>
      </c>
      <c r="D9127" t="str">
        <f t="shared" si="293"/>
        <v>278</v>
      </c>
    </row>
    <row r="9128" spans="1:4" x14ac:dyDescent="0.25">
      <c r="A9128" t="str">
        <f>"838947991"</f>
        <v>838947991</v>
      </c>
      <c r="B9128" t="s">
        <v>8335</v>
      </c>
      <c r="C9128" s="1">
        <v>15097.5</v>
      </c>
      <c r="D9128" t="str">
        <f t="shared" si="293"/>
        <v>278</v>
      </c>
    </row>
    <row r="9129" spans="1:4" x14ac:dyDescent="0.25">
      <c r="A9129" t="str">
        <f>"838947992"</f>
        <v>838947992</v>
      </c>
      <c r="B9129" t="s">
        <v>8336</v>
      </c>
      <c r="C9129" s="1">
        <v>8226.9</v>
      </c>
      <c r="D9129" t="str">
        <f t="shared" si="293"/>
        <v>278</v>
      </c>
    </row>
    <row r="9130" spans="1:4" x14ac:dyDescent="0.25">
      <c r="A9130" t="str">
        <f>"838947993"</f>
        <v>838947993</v>
      </c>
      <c r="B9130" t="s">
        <v>8337</v>
      </c>
      <c r="C9130" s="1">
        <v>8032.2</v>
      </c>
      <c r="D9130" t="str">
        <f t="shared" si="293"/>
        <v>278</v>
      </c>
    </row>
    <row r="9131" spans="1:4" x14ac:dyDescent="0.25">
      <c r="A9131" t="str">
        <f>"838947994"</f>
        <v>838947994</v>
      </c>
      <c r="B9131" t="s">
        <v>8338</v>
      </c>
      <c r="C9131" s="1">
        <v>2541</v>
      </c>
      <c r="D9131" t="str">
        <f t="shared" si="293"/>
        <v>278</v>
      </c>
    </row>
    <row r="9132" spans="1:4" x14ac:dyDescent="0.25">
      <c r="A9132" t="str">
        <f>"838947995"</f>
        <v>838947995</v>
      </c>
      <c r="B9132" t="s">
        <v>8339</v>
      </c>
      <c r="C9132" s="1">
        <v>3039.3</v>
      </c>
      <c r="D9132" t="str">
        <f t="shared" si="293"/>
        <v>278</v>
      </c>
    </row>
    <row r="9133" spans="1:4" x14ac:dyDescent="0.25">
      <c r="A9133" t="str">
        <f>"838947996"</f>
        <v>838947996</v>
      </c>
      <c r="B9133" t="s">
        <v>8340</v>
      </c>
      <c r="C9133">
        <v>10.199999999999999</v>
      </c>
      <c r="D9133" t="str">
        <f>"270"</f>
        <v>270</v>
      </c>
    </row>
    <row r="9134" spans="1:4" x14ac:dyDescent="0.25">
      <c r="A9134" t="str">
        <f>"838947997"</f>
        <v>838947997</v>
      </c>
      <c r="B9134" t="s">
        <v>8341</v>
      </c>
      <c r="C9134" s="1">
        <v>1881</v>
      </c>
      <c r="D9134" t="str">
        <f>"278"</f>
        <v>278</v>
      </c>
    </row>
    <row r="9135" spans="1:4" x14ac:dyDescent="0.25">
      <c r="A9135" t="str">
        <f>"838947998"</f>
        <v>838947998</v>
      </c>
      <c r="B9135" t="s">
        <v>8342</v>
      </c>
      <c r="C9135" s="1">
        <v>9570</v>
      </c>
      <c r="D9135" t="str">
        <f>"278"</f>
        <v>278</v>
      </c>
    </row>
    <row r="9136" spans="1:4" x14ac:dyDescent="0.25">
      <c r="A9136" t="str">
        <f>"838947999"</f>
        <v>838947999</v>
      </c>
      <c r="B9136" t="s">
        <v>8343</v>
      </c>
      <c r="C9136" s="1">
        <v>9570</v>
      </c>
      <c r="D9136" t="str">
        <f>"278"</f>
        <v>278</v>
      </c>
    </row>
    <row r="9137" spans="1:4" x14ac:dyDescent="0.25">
      <c r="A9137" t="str">
        <f>"838948000"</f>
        <v>838948000</v>
      </c>
      <c r="B9137" t="s">
        <v>8344</v>
      </c>
      <c r="C9137" s="1">
        <v>2311.1</v>
      </c>
      <c r="D9137" t="str">
        <f>"272"</f>
        <v>272</v>
      </c>
    </row>
    <row r="9138" spans="1:4" x14ac:dyDescent="0.25">
      <c r="A9138" t="str">
        <f>"838948001"</f>
        <v>838948001</v>
      </c>
      <c r="B9138" t="s">
        <v>8345</v>
      </c>
      <c r="C9138" s="1">
        <v>1159.4000000000001</v>
      </c>
      <c r="D9138" t="str">
        <f>"272"</f>
        <v>272</v>
      </c>
    </row>
    <row r="9139" spans="1:4" x14ac:dyDescent="0.25">
      <c r="A9139" t="str">
        <f>"838948002"</f>
        <v>838948002</v>
      </c>
      <c r="B9139" t="s">
        <v>8346</v>
      </c>
      <c r="C9139" s="1">
        <v>1485</v>
      </c>
      <c r="D9139" t="str">
        <f>"278"</f>
        <v>278</v>
      </c>
    </row>
    <row r="9140" spans="1:4" x14ac:dyDescent="0.25">
      <c r="A9140" t="str">
        <f>"838948003"</f>
        <v>838948003</v>
      </c>
      <c r="B9140" t="s">
        <v>8347</v>
      </c>
      <c r="C9140">
        <v>880</v>
      </c>
      <c r="D9140" t="str">
        <f>"278"</f>
        <v>278</v>
      </c>
    </row>
    <row r="9141" spans="1:4" x14ac:dyDescent="0.25">
      <c r="A9141" t="str">
        <f>"838948004"</f>
        <v>838948004</v>
      </c>
      <c r="B9141" t="s">
        <v>8348</v>
      </c>
      <c r="C9141" s="1">
        <v>1485</v>
      </c>
      <c r="D9141" t="str">
        <f>"278"</f>
        <v>278</v>
      </c>
    </row>
    <row r="9142" spans="1:4" x14ac:dyDescent="0.25">
      <c r="A9142" t="str">
        <f>"838948005"</f>
        <v>838948005</v>
      </c>
      <c r="B9142" t="s">
        <v>8349</v>
      </c>
      <c r="C9142" s="1">
        <v>2475</v>
      </c>
      <c r="D9142" t="str">
        <f>"278"</f>
        <v>278</v>
      </c>
    </row>
    <row r="9143" spans="1:4" x14ac:dyDescent="0.25">
      <c r="A9143" t="str">
        <f>"838948006"</f>
        <v>838948006</v>
      </c>
      <c r="B9143" t="s">
        <v>8350</v>
      </c>
      <c r="C9143">
        <v>477.4</v>
      </c>
      <c r="D9143" t="str">
        <f>"278"</f>
        <v>278</v>
      </c>
    </row>
    <row r="9144" spans="1:4" x14ac:dyDescent="0.25">
      <c r="A9144" t="str">
        <f>"838948007"</f>
        <v>838948007</v>
      </c>
      <c r="B9144" t="s">
        <v>8351</v>
      </c>
      <c r="C9144">
        <v>659.45</v>
      </c>
      <c r="D9144" t="str">
        <f>"272"</f>
        <v>272</v>
      </c>
    </row>
    <row r="9145" spans="1:4" x14ac:dyDescent="0.25">
      <c r="A9145" t="str">
        <f>"838948008"</f>
        <v>838948008</v>
      </c>
      <c r="B9145" t="s">
        <v>8352</v>
      </c>
      <c r="C9145" s="1">
        <v>2964.5</v>
      </c>
      <c r="D9145" t="str">
        <f>"278"</f>
        <v>278</v>
      </c>
    </row>
    <row r="9146" spans="1:4" x14ac:dyDescent="0.25">
      <c r="A9146" t="str">
        <f>"838948009"</f>
        <v>838948009</v>
      </c>
      <c r="B9146" t="s">
        <v>8353</v>
      </c>
      <c r="C9146">
        <v>803</v>
      </c>
      <c r="D9146" t="str">
        <f>"272"</f>
        <v>272</v>
      </c>
    </row>
    <row r="9147" spans="1:4" x14ac:dyDescent="0.25">
      <c r="A9147" t="str">
        <f>"838948910"</f>
        <v>838948910</v>
      </c>
      <c r="B9147" t="s">
        <v>8354</v>
      </c>
      <c r="C9147">
        <v>803</v>
      </c>
      <c r="D9147" t="str">
        <f>"272"</f>
        <v>272</v>
      </c>
    </row>
    <row r="9148" spans="1:4" x14ac:dyDescent="0.25">
      <c r="A9148" t="str">
        <f>"838948911"</f>
        <v>838948911</v>
      </c>
      <c r="B9148" t="s">
        <v>8355</v>
      </c>
      <c r="C9148">
        <v>203.5</v>
      </c>
      <c r="D9148" t="str">
        <f>"272"</f>
        <v>272</v>
      </c>
    </row>
    <row r="9149" spans="1:4" x14ac:dyDescent="0.25">
      <c r="A9149" t="str">
        <f>"838948912"</f>
        <v>838948912</v>
      </c>
      <c r="B9149" t="s">
        <v>8356</v>
      </c>
      <c r="C9149">
        <v>825</v>
      </c>
      <c r="D9149" t="str">
        <f>"272"</f>
        <v>272</v>
      </c>
    </row>
    <row r="9150" spans="1:4" x14ac:dyDescent="0.25">
      <c r="A9150" t="str">
        <f>"838948913"</f>
        <v>838948913</v>
      </c>
      <c r="B9150" t="s">
        <v>8357</v>
      </c>
      <c r="C9150" s="1">
        <v>4290</v>
      </c>
      <c r="D9150" t="str">
        <f>"278"</f>
        <v>278</v>
      </c>
    </row>
    <row r="9151" spans="1:4" x14ac:dyDescent="0.25">
      <c r="A9151" t="str">
        <f>"838948914"</f>
        <v>838948914</v>
      </c>
      <c r="B9151" t="s">
        <v>8358</v>
      </c>
      <c r="C9151" s="1">
        <v>2214.3000000000002</v>
      </c>
      <c r="D9151" t="str">
        <f>"272"</f>
        <v>272</v>
      </c>
    </row>
    <row r="9152" spans="1:4" x14ac:dyDescent="0.25">
      <c r="A9152" t="str">
        <f>"838948915"</f>
        <v>838948915</v>
      </c>
      <c r="B9152" t="s">
        <v>8359</v>
      </c>
      <c r="C9152" s="1">
        <v>3217.5</v>
      </c>
      <c r="D9152" t="str">
        <f t="shared" ref="D9152:D9163" si="294">"278"</f>
        <v>278</v>
      </c>
    </row>
    <row r="9153" spans="1:4" x14ac:dyDescent="0.25">
      <c r="A9153" t="str">
        <f>"838948916"</f>
        <v>838948916</v>
      </c>
      <c r="B9153" t="s">
        <v>8360</v>
      </c>
      <c r="C9153" s="1">
        <v>3412.2</v>
      </c>
      <c r="D9153" t="str">
        <f t="shared" si="294"/>
        <v>278</v>
      </c>
    </row>
    <row r="9154" spans="1:4" x14ac:dyDescent="0.25">
      <c r="A9154" t="str">
        <f>"838948917"</f>
        <v>838948917</v>
      </c>
      <c r="B9154" t="s">
        <v>8361</v>
      </c>
      <c r="C9154" s="1">
        <v>3547.5</v>
      </c>
      <c r="D9154" t="str">
        <f t="shared" si="294"/>
        <v>278</v>
      </c>
    </row>
    <row r="9155" spans="1:4" x14ac:dyDescent="0.25">
      <c r="A9155" t="str">
        <f>"838948918"</f>
        <v>838948918</v>
      </c>
      <c r="B9155" t="s">
        <v>8362</v>
      </c>
      <c r="C9155" s="1">
        <v>1727</v>
      </c>
      <c r="D9155" t="str">
        <f t="shared" si="294"/>
        <v>278</v>
      </c>
    </row>
    <row r="9156" spans="1:4" x14ac:dyDescent="0.25">
      <c r="A9156" t="str">
        <f>"838948919"</f>
        <v>838948919</v>
      </c>
      <c r="B9156" t="s">
        <v>8363</v>
      </c>
      <c r="C9156" s="1">
        <v>1683</v>
      </c>
      <c r="D9156" t="str">
        <f t="shared" si="294"/>
        <v>278</v>
      </c>
    </row>
    <row r="9157" spans="1:4" x14ac:dyDescent="0.25">
      <c r="A9157" t="str">
        <f>"838948920"</f>
        <v>838948920</v>
      </c>
      <c r="B9157" t="s">
        <v>8364</v>
      </c>
      <c r="C9157" s="1">
        <v>2200</v>
      </c>
      <c r="D9157" t="str">
        <f t="shared" si="294"/>
        <v>278</v>
      </c>
    </row>
    <row r="9158" spans="1:4" x14ac:dyDescent="0.25">
      <c r="A9158" t="str">
        <f>"838948921"</f>
        <v>838948921</v>
      </c>
      <c r="B9158" t="s">
        <v>8365</v>
      </c>
      <c r="C9158" s="1">
        <v>2244</v>
      </c>
      <c r="D9158" t="str">
        <f t="shared" si="294"/>
        <v>278</v>
      </c>
    </row>
    <row r="9159" spans="1:4" x14ac:dyDescent="0.25">
      <c r="A9159" t="str">
        <f>"838948922"</f>
        <v>838948922</v>
      </c>
      <c r="B9159" t="s">
        <v>8366</v>
      </c>
      <c r="C9159" s="1">
        <v>2970</v>
      </c>
      <c r="D9159" t="str">
        <f t="shared" si="294"/>
        <v>278</v>
      </c>
    </row>
    <row r="9160" spans="1:4" x14ac:dyDescent="0.25">
      <c r="A9160" t="str">
        <f>"838948923"</f>
        <v>838948923</v>
      </c>
      <c r="B9160" t="s">
        <v>8367</v>
      </c>
      <c r="C9160" s="1">
        <v>2750</v>
      </c>
      <c r="D9160" t="str">
        <f t="shared" si="294"/>
        <v>278</v>
      </c>
    </row>
    <row r="9161" spans="1:4" x14ac:dyDescent="0.25">
      <c r="A9161" t="str">
        <f>"838948924"</f>
        <v>838948924</v>
      </c>
      <c r="B9161" t="s">
        <v>8368</v>
      </c>
      <c r="C9161" s="1">
        <v>24750</v>
      </c>
      <c r="D9161" t="str">
        <f t="shared" si="294"/>
        <v>278</v>
      </c>
    </row>
    <row r="9162" spans="1:4" x14ac:dyDescent="0.25">
      <c r="A9162" t="str">
        <f>"838948925"</f>
        <v>838948925</v>
      </c>
      <c r="B9162" t="s">
        <v>8369</v>
      </c>
      <c r="C9162" s="1">
        <v>1650</v>
      </c>
      <c r="D9162" t="str">
        <f t="shared" si="294"/>
        <v>278</v>
      </c>
    </row>
    <row r="9163" spans="1:4" x14ac:dyDescent="0.25">
      <c r="A9163" t="str">
        <f>"838948926"</f>
        <v>838948926</v>
      </c>
      <c r="B9163" t="s">
        <v>8370</v>
      </c>
      <c r="C9163" s="1">
        <v>1650</v>
      </c>
      <c r="D9163" t="str">
        <f t="shared" si="294"/>
        <v>278</v>
      </c>
    </row>
    <row r="9164" spans="1:4" x14ac:dyDescent="0.25">
      <c r="A9164" t="str">
        <f>"838948927"</f>
        <v>838948927</v>
      </c>
      <c r="B9164" t="s">
        <v>8371</v>
      </c>
      <c r="C9164">
        <v>880</v>
      </c>
      <c r="D9164" t="str">
        <f>"270"</f>
        <v>270</v>
      </c>
    </row>
    <row r="9165" spans="1:4" x14ac:dyDescent="0.25">
      <c r="A9165" t="str">
        <f>"838948928"</f>
        <v>838948928</v>
      </c>
      <c r="B9165" t="s">
        <v>8372</v>
      </c>
      <c r="C9165">
        <v>742.5</v>
      </c>
      <c r="D9165" t="str">
        <f>"278"</f>
        <v>278</v>
      </c>
    </row>
    <row r="9166" spans="1:4" x14ac:dyDescent="0.25">
      <c r="A9166" t="str">
        <f>"838948929"</f>
        <v>838948929</v>
      </c>
      <c r="B9166" t="s">
        <v>8373</v>
      </c>
      <c r="C9166">
        <v>841.5</v>
      </c>
      <c r="D9166" t="str">
        <f>"270"</f>
        <v>270</v>
      </c>
    </row>
    <row r="9167" spans="1:4" x14ac:dyDescent="0.25">
      <c r="A9167" t="str">
        <f>"838948930"</f>
        <v>838948930</v>
      </c>
      <c r="B9167" t="s">
        <v>8374</v>
      </c>
      <c r="C9167" s="1">
        <v>12005.4</v>
      </c>
      <c r="D9167" t="str">
        <f t="shared" ref="D9167:D9182" si="295">"278"</f>
        <v>278</v>
      </c>
    </row>
    <row r="9168" spans="1:4" x14ac:dyDescent="0.25">
      <c r="A9168" t="str">
        <f>"838948931"</f>
        <v>838948931</v>
      </c>
      <c r="B9168" t="s">
        <v>8375</v>
      </c>
      <c r="C9168">
        <v>184.8</v>
      </c>
      <c r="D9168" t="str">
        <f t="shared" si="295"/>
        <v>278</v>
      </c>
    </row>
    <row r="9169" spans="1:4" x14ac:dyDescent="0.25">
      <c r="A9169" t="str">
        <f>"838948932"</f>
        <v>838948932</v>
      </c>
      <c r="B9169" t="s">
        <v>8375</v>
      </c>
      <c r="C9169">
        <v>184.8</v>
      </c>
      <c r="D9169" t="str">
        <f t="shared" si="295"/>
        <v>278</v>
      </c>
    </row>
    <row r="9170" spans="1:4" x14ac:dyDescent="0.25">
      <c r="A9170" t="str">
        <f>"838948933"</f>
        <v>838948933</v>
      </c>
      <c r="B9170" t="s">
        <v>8376</v>
      </c>
      <c r="C9170">
        <v>924</v>
      </c>
      <c r="D9170" t="str">
        <f t="shared" si="295"/>
        <v>278</v>
      </c>
    </row>
    <row r="9171" spans="1:4" x14ac:dyDescent="0.25">
      <c r="A9171" t="str">
        <f>"838948934"</f>
        <v>838948934</v>
      </c>
      <c r="B9171" t="s">
        <v>8377</v>
      </c>
      <c r="C9171" s="1">
        <v>1214.4000000000001</v>
      </c>
      <c r="D9171" t="str">
        <f t="shared" si="295"/>
        <v>278</v>
      </c>
    </row>
    <row r="9172" spans="1:4" x14ac:dyDescent="0.25">
      <c r="A9172" t="str">
        <f>"838948935"</f>
        <v>838948935</v>
      </c>
      <c r="B9172" t="s">
        <v>8378</v>
      </c>
      <c r="C9172">
        <v>207.9</v>
      </c>
      <c r="D9172" t="str">
        <f t="shared" si="295"/>
        <v>278</v>
      </c>
    </row>
    <row r="9173" spans="1:4" x14ac:dyDescent="0.25">
      <c r="A9173" t="str">
        <f>"838948936"</f>
        <v>838948936</v>
      </c>
      <c r="B9173" t="s">
        <v>8379</v>
      </c>
      <c r="C9173" s="1">
        <v>3607.13</v>
      </c>
      <c r="D9173" t="str">
        <f t="shared" si="295"/>
        <v>278</v>
      </c>
    </row>
    <row r="9174" spans="1:4" x14ac:dyDescent="0.25">
      <c r="A9174" t="str">
        <f>"838948937"</f>
        <v>838948937</v>
      </c>
      <c r="B9174" t="s">
        <v>8380</v>
      </c>
      <c r="C9174">
        <v>495</v>
      </c>
      <c r="D9174" t="str">
        <f t="shared" si="295"/>
        <v>278</v>
      </c>
    </row>
    <row r="9175" spans="1:4" x14ac:dyDescent="0.25">
      <c r="A9175" t="str">
        <f>"838948938"</f>
        <v>838948938</v>
      </c>
      <c r="B9175" t="s">
        <v>8381</v>
      </c>
      <c r="C9175">
        <v>825</v>
      </c>
      <c r="D9175" t="str">
        <f t="shared" si="295"/>
        <v>278</v>
      </c>
    </row>
    <row r="9176" spans="1:4" x14ac:dyDescent="0.25">
      <c r="A9176" t="str">
        <f>"838948939"</f>
        <v>838948939</v>
      </c>
      <c r="B9176" t="s">
        <v>8382</v>
      </c>
      <c r="C9176">
        <v>825</v>
      </c>
      <c r="D9176" t="str">
        <f t="shared" si="295"/>
        <v>278</v>
      </c>
    </row>
    <row r="9177" spans="1:4" x14ac:dyDescent="0.25">
      <c r="A9177" t="str">
        <f>"838948940"</f>
        <v>838948940</v>
      </c>
      <c r="B9177" t="s">
        <v>8383</v>
      </c>
      <c r="C9177" s="1">
        <v>11442.75</v>
      </c>
      <c r="D9177" t="str">
        <f t="shared" si="295"/>
        <v>278</v>
      </c>
    </row>
    <row r="9178" spans="1:4" x14ac:dyDescent="0.25">
      <c r="A9178" t="str">
        <f>"838948941"</f>
        <v>838948941</v>
      </c>
      <c r="B9178" t="s">
        <v>8384</v>
      </c>
      <c r="C9178">
        <v>227.7</v>
      </c>
      <c r="D9178" t="str">
        <f t="shared" si="295"/>
        <v>278</v>
      </c>
    </row>
    <row r="9179" spans="1:4" x14ac:dyDescent="0.25">
      <c r="A9179" t="str">
        <f>"838948942"</f>
        <v>838948942</v>
      </c>
      <c r="B9179" t="s">
        <v>8385</v>
      </c>
      <c r="C9179">
        <v>445.5</v>
      </c>
      <c r="D9179" t="str">
        <f t="shared" si="295"/>
        <v>278</v>
      </c>
    </row>
    <row r="9180" spans="1:4" x14ac:dyDescent="0.25">
      <c r="A9180" t="str">
        <f>"838948943"</f>
        <v>838948943</v>
      </c>
      <c r="B9180" t="s">
        <v>8386</v>
      </c>
      <c r="C9180" s="1">
        <v>2468.4</v>
      </c>
      <c r="D9180" t="str">
        <f t="shared" si="295"/>
        <v>278</v>
      </c>
    </row>
    <row r="9181" spans="1:4" x14ac:dyDescent="0.25">
      <c r="A9181" t="str">
        <f>"838948944"</f>
        <v>838948944</v>
      </c>
      <c r="B9181" t="s">
        <v>8387</v>
      </c>
      <c r="C9181">
        <v>514.79999999999995</v>
      </c>
      <c r="D9181" t="str">
        <f t="shared" si="295"/>
        <v>278</v>
      </c>
    </row>
    <row r="9182" spans="1:4" x14ac:dyDescent="0.25">
      <c r="A9182" t="str">
        <f>"838948945"</f>
        <v>838948945</v>
      </c>
      <c r="B9182" t="s">
        <v>8388</v>
      </c>
      <c r="C9182">
        <v>108.9</v>
      </c>
      <c r="D9182" t="str">
        <f t="shared" si="295"/>
        <v>278</v>
      </c>
    </row>
    <row r="9183" spans="1:4" x14ac:dyDescent="0.25">
      <c r="A9183" t="str">
        <f>"838948956"</f>
        <v>838948956</v>
      </c>
      <c r="B9183" t="s">
        <v>8389</v>
      </c>
      <c r="C9183">
        <v>7.7</v>
      </c>
      <c r="D9183" t="str">
        <f>"270"</f>
        <v>270</v>
      </c>
    </row>
    <row r="9184" spans="1:4" x14ac:dyDescent="0.25">
      <c r="A9184" t="str">
        <f>"838948957"</f>
        <v>838948957</v>
      </c>
      <c r="B9184" t="s">
        <v>8390</v>
      </c>
      <c r="C9184">
        <v>26.94</v>
      </c>
      <c r="D9184" t="str">
        <f>"270"</f>
        <v>270</v>
      </c>
    </row>
    <row r="9185" spans="1:4" x14ac:dyDescent="0.25">
      <c r="A9185" t="str">
        <f>"838948958"</f>
        <v>838948958</v>
      </c>
      <c r="B9185" t="s">
        <v>8391</v>
      </c>
      <c r="C9185">
        <v>240.9</v>
      </c>
      <c r="D9185" t="str">
        <f>"278"</f>
        <v>278</v>
      </c>
    </row>
    <row r="9186" spans="1:4" x14ac:dyDescent="0.25">
      <c r="A9186" t="str">
        <f>"838948959"</f>
        <v>838948959</v>
      </c>
      <c r="B9186" t="s">
        <v>8392</v>
      </c>
      <c r="C9186">
        <v>114.4</v>
      </c>
      <c r="D9186" t="str">
        <f>"270"</f>
        <v>270</v>
      </c>
    </row>
    <row r="9187" spans="1:4" x14ac:dyDescent="0.25">
      <c r="A9187" t="str">
        <f>"838948960"</f>
        <v>838948960</v>
      </c>
      <c r="B9187" t="s">
        <v>8393</v>
      </c>
      <c r="C9187" s="1">
        <v>12980</v>
      </c>
      <c r="D9187" t="str">
        <f t="shared" ref="D9187:D9248" si="296">"278"</f>
        <v>278</v>
      </c>
    </row>
    <row r="9188" spans="1:4" x14ac:dyDescent="0.25">
      <c r="A9188" t="str">
        <f>"838948961"</f>
        <v>838948961</v>
      </c>
      <c r="B9188" t="s">
        <v>8394</v>
      </c>
      <c r="C9188" s="1">
        <v>3520</v>
      </c>
      <c r="D9188" t="str">
        <f t="shared" si="296"/>
        <v>278</v>
      </c>
    </row>
    <row r="9189" spans="1:4" x14ac:dyDescent="0.25">
      <c r="A9189" t="str">
        <f>"838948962"</f>
        <v>838948962</v>
      </c>
      <c r="B9189" t="s">
        <v>8395</v>
      </c>
      <c r="C9189">
        <v>275</v>
      </c>
      <c r="D9189" t="str">
        <f t="shared" si="296"/>
        <v>278</v>
      </c>
    </row>
    <row r="9190" spans="1:4" x14ac:dyDescent="0.25">
      <c r="A9190" t="str">
        <f>"838948963"</f>
        <v>838948963</v>
      </c>
      <c r="B9190" t="s">
        <v>8396</v>
      </c>
      <c r="C9190">
        <v>330</v>
      </c>
      <c r="D9190" t="str">
        <f t="shared" si="296"/>
        <v>278</v>
      </c>
    </row>
    <row r="9191" spans="1:4" x14ac:dyDescent="0.25">
      <c r="A9191" t="str">
        <f>"838948964"</f>
        <v>838948964</v>
      </c>
      <c r="B9191" t="s">
        <v>8397</v>
      </c>
      <c r="C9191">
        <v>880</v>
      </c>
      <c r="D9191" t="str">
        <f t="shared" si="296"/>
        <v>278</v>
      </c>
    </row>
    <row r="9192" spans="1:4" x14ac:dyDescent="0.25">
      <c r="A9192" t="str">
        <f>"838948965"</f>
        <v>838948965</v>
      </c>
      <c r="B9192" t="s">
        <v>8398</v>
      </c>
      <c r="C9192" s="1">
        <v>6600</v>
      </c>
      <c r="D9192" t="str">
        <f t="shared" si="296"/>
        <v>278</v>
      </c>
    </row>
    <row r="9193" spans="1:4" x14ac:dyDescent="0.25">
      <c r="A9193" t="str">
        <f>"838948966"</f>
        <v>838948966</v>
      </c>
      <c r="B9193" t="s">
        <v>8399</v>
      </c>
      <c r="C9193" s="1">
        <v>2398</v>
      </c>
      <c r="D9193" t="str">
        <f t="shared" si="296"/>
        <v>278</v>
      </c>
    </row>
    <row r="9194" spans="1:4" x14ac:dyDescent="0.25">
      <c r="A9194" t="str">
        <f>"838948967"</f>
        <v>838948967</v>
      </c>
      <c r="B9194" t="s">
        <v>8400</v>
      </c>
      <c r="C9194">
        <v>211.2</v>
      </c>
      <c r="D9194" t="str">
        <f t="shared" si="296"/>
        <v>278</v>
      </c>
    </row>
    <row r="9195" spans="1:4" x14ac:dyDescent="0.25">
      <c r="A9195" t="str">
        <f>"838948968"</f>
        <v>838948968</v>
      </c>
      <c r="B9195" t="s">
        <v>8401</v>
      </c>
      <c r="C9195" s="1">
        <v>14410</v>
      </c>
      <c r="D9195" t="str">
        <f t="shared" si="296"/>
        <v>278</v>
      </c>
    </row>
    <row r="9196" spans="1:4" x14ac:dyDescent="0.25">
      <c r="A9196" t="str">
        <f>"838948969"</f>
        <v>838948969</v>
      </c>
      <c r="B9196" t="s">
        <v>8402</v>
      </c>
      <c r="C9196" s="1">
        <v>6600</v>
      </c>
      <c r="D9196" t="str">
        <f t="shared" si="296"/>
        <v>278</v>
      </c>
    </row>
    <row r="9197" spans="1:4" x14ac:dyDescent="0.25">
      <c r="A9197" t="str">
        <f>"838948970"</f>
        <v>838948970</v>
      </c>
      <c r="B9197" t="s">
        <v>8403</v>
      </c>
      <c r="C9197">
        <v>550</v>
      </c>
      <c r="D9197" t="str">
        <f t="shared" si="296"/>
        <v>278</v>
      </c>
    </row>
    <row r="9198" spans="1:4" x14ac:dyDescent="0.25">
      <c r="A9198" t="str">
        <f>"838948971"</f>
        <v>838948971</v>
      </c>
      <c r="B9198" t="s">
        <v>8404</v>
      </c>
      <c r="C9198" s="1">
        <v>18480</v>
      </c>
      <c r="D9198" t="str">
        <f t="shared" si="296"/>
        <v>278</v>
      </c>
    </row>
    <row r="9199" spans="1:4" x14ac:dyDescent="0.25">
      <c r="A9199" t="str">
        <f>"838948972"</f>
        <v>838948972</v>
      </c>
      <c r="B9199" t="s">
        <v>8405</v>
      </c>
      <c r="C9199">
        <v>825</v>
      </c>
      <c r="D9199" t="str">
        <f t="shared" si="296"/>
        <v>278</v>
      </c>
    </row>
    <row r="9200" spans="1:4" x14ac:dyDescent="0.25">
      <c r="A9200" t="str">
        <f>"838948973"</f>
        <v>838948973</v>
      </c>
      <c r="B9200" t="s">
        <v>8406</v>
      </c>
      <c r="C9200" s="1">
        <v>2750</v>
      </c>
      <c r="D9200" t="str">
        <f t="shared" si="296"/>
        <v>278</v>
      </c>
    </row>
    <row r="9201" spans="1:5" x14ac:dyDescent="0.25">
      <c r="A9201" t="str">
        <f>"838948974"</f>
        <v>838948974</v>
      </c>
      <c r="B9201" t="s">
        <v>8404</v>
      </c>
      <c r="C9201" s="1">
        <v>5280</v>
      </c>
      <c r="D9201" t="str">
        <f t="shared" si="296"/>
        <v>278</v>
      </c>
    </row>
    <row r="9202" spans="1:5" x14ac:dyDescent="0.25">
      <c r="A9202" t="str">
        <f>"838948975"</f>
        <v>838948975</v>
      </c>
      <c r="B9202" t="s">
        <v>8407</v>
      </c>
      <c r="C9202" s="1">
        <v>19800</v>
      </c>
      <c r="D9202" t="str">
        <f t="shared" si="296"/>
        <v>278</v>
      </c>
    </row>
    <row r="9203" spans="1:5" x14ac:dyDescent="0.25">
      <c r="A9203" t="str">
        <f>"838948976"</f>
        <v>838948976</v>
      </c>
      <c r="B9203" t="s">
        <v>8408</v>
      </c>
      <c r="C9203">
        <v>275</v>
      </c>
      <c r="D9203" t="str">
        <f t="shared" si="296"/>
        <v>278</v>
      </c>
    </row>
    <row r="9204" spans="1:5" x14ac:dyDescent="0.25">
      <c r="A9204" t="str">
        <f>"838948977"</f>
        <v>838948977</v>
      </c>
      <c r="B9204" t="s">
        <v>8409</v>
      </c>
      <c r="C9204">
        <v>825</v>
      </c>
      <c r="D9204" t="str">
        <f t="shared" si="296"/>
        <v>278</v>
      </c>
    </row>
    <row r="9205" spans="1:5" x14ac:dyDescent="0.25">
      <c r="A9205" t="str">
        <f>"838948978"</f>
        <v>838948978</v>
      </c>
      <c r="B9205" t="s">
        <v>8410</v>
      </c>
      <c r="C9205" s="1">
        <v>19800</v>
      </c>
      <c r="D9205" t="str">
        <f t="shared" si="296"/>
        <v>278</v>
      </c>
    </row>
    <row r="9206" spans="1:5" x14ac:dyDescent="0.25">
      <c r="A9206" t="str">
        <f>"838948979"</f>
        <v>838948979</v>
      </c>
      <c r="B9206" t="s">
        <v>8411</v>
      </c>
      <c r="C9206" s="1">
        <v>1760</v>
      </c>
      <c r="D9206" t="str">
        <f t="shared" si="296"/>
        <v>278</v>
      </c>
    </row>
    <row r="9207" spans="1:5" x14ac:dyDescent="0.25">
      <c r="A9207" t="str">
        <f>"838948980"</f>
        <v>838948980</v>
      </c>
      <c r="B9207" t="s">
        <v>8412</v>
      </c>
      <c r="C9207" s="1">
        <v>1760</v>
      </c>
      <c r="D9207" t="str">
        <f t="shared" si="296"/>
        <v>278</v>
      </c>
    </row>
    <row r="9208" spans="1:5" x14ac:dyDescent="0.25">
      <c r="A9208" t="str">
        <f>"838948981"</f>
        <v>838948981</v>
      </c>
      <c r="B9208" t="s">
        <v>8413</v>
      </c>
      <c r="C9208">
        <v>660</v>
      </c>
      <c r="D9208" t="str">
        <f t="shared" si="296"/>
        <v>278</v>
      </c>
    </row>
    <row r="9209" spans="1:5" x14ac:dyDescent="0.25">
      <c r="A9209" t="str">
        <f>"838948982"</f>
        <v>838948982</v>
      </c>
      <c r="B9209" t="s">
        <v>8414</v>
      </c>
      <c r="C9209" s="1">
        <v>1870</v>
      </c>
      <c r="D9209" t="str">
        <f t="shared" si="296"/>
        <v>278</v>
      </c>
    </row>
    <row r="9210" spans="1:5" x14ac:dyDescent="0.25">
      <c r="A9210" t="str">
        <f>"838948983"</f>
        <v>838948983</v>
      </c>
      <c r="B9210" t="s">
        <v>8415</v>
      </c>
      <c r="C9210" s="1">
        <v>1534.5</v>
      </c>
      <c r="D9210" t="str">
        <f t="shared" si="296"/>
        <v>278</v>
      </c>
    </row>
    <row r="9211" spans="1:5" x14ac:dyDescent="0.25">
      <c r="A9211" t="str">
        <f>"838948984"</f>
        <v>838948984</v>
      </c>
      <c r="B9211" t="s">
        <v>8416</v>
      </c>
      <c r="C9211" s="1">
        <v>2310</v>
      </c>
      <c r="D9211" t="str">
        <f t="shared" si="296"/>
        <v>278</v>
      </c>
    </row>
    <row r="9212" spans="1:5" x14ac:dyDescent="0.25">
      <c r="A9212" t="str">
        <f>"868278667"</f>
        <v>868278667</v>
      </c>
      <c r="B9212" t="s">
        <v>8405</v>
      </c>
      <c r="C9212">
        <v>825</v>
      </c>
      <c r="D9212" t="str">
        <f t="shared" si="296"/>
        <v>278</v>
      </c>
    </row>
    <row r="9213" spans="1:5" x14ac:dyDescent="0.25">
      <c r="A9213" t="str">
        <f>"868278678"</f>
        <v>868278678</v>
      </c>
      <c r="B9213" t="s">
        <v>8417</v>
      </c>
      <c r="C9213" s="1">
        <v>1815</v>
      </c>
      <c r="D9213" t="str">
        <f t="shared" si="296"/>
        <v>278</v>
      </c>
      <c r="E9213" t="str">
        <f>"C1776"</f>
        <v>C1776</v>
      </c>
    </row>
    <row r="9214" spans="1:5" x14ac:dyDescent="0.25">
      <c r="A9214" t="str">
        <f>"868278679"</f>
        <v>868278679</v>
      </c>
      <c r="B9214" t="s">
        <v>8418</v>
      </c>
      <c r="C9214" s="1">
        <v>6613.2</v>
      </c>
      <c r="D9214" t="str">
        <f t="shared" si="296"/>
        <v>278</v>
      </c>
    </row>
    <row r="9215" spans="1:5" x14ac:dyDescent="0.25">
      <c r="A9215" t="str">
        <f>"868278680"</f>
        <v>868278680</v>
      </c>
      <c r="B9215" t="s">
        <v>8419</v>
      </c>
      <c r="C9215" s="1">
        <v>6930</v>
      </c>
      <c r="D9215" t="str">
        <f t="shared" si="296"/>
        <v>278</v>
      </c>
    </row>
    <row r="9216" spans="1:5" x14ac:dyDescent="0.25">
      <c r="A9216" t="str">
        <f>"868278682"</f>
        <v>868278682</v>
      </c>
      <c r="B9216" t="s">
        <v>8420</v>
      </c>
      <c r="C9216" s="1">
        <v>1650</v>
      </c>
      <c r="D9216" t="str">
        <f t="shared" si="296"/>
        <v>278</v>
      </c>
      <c r="E9216" t="str">
        <f>"C1776"</f>
        <v>C1776</v>
      </c>
    </row>
    <row r="9217" spans="1:5" x14ac:dyDescent="0.25">
      <c r="A9217" t="str">
        <f>"868647848"</f>
        <v>868647848</v>
      </c>
      <c r="B9217" t="s">
        <v>8421</v>
      </c>
      <c r="C9217">
        <v>550</v>
      </c>
      <c r="D9217" t="str">
        <f t="shared" si="296"/>
        <v>278</v>
      </c>
    </row>
    <row r="9218" spans="1:5" x14ac:dyDescent="0.25">
      <c r="A9218" t="str">
        <f>"868674845"</f>
        <v>868674845</v>
      </c>
      <c r="B9218" t="s">
        <v>8422</v>
      </c>
      <c r="C9218" s="1">
        <v>6682.5</v>
      </c>
      <c r="D9218" t="str">
        <f t="shared" si="296"/>
        <v>278</v>
      </c>
    </row>
    <row r="9219" spans="1:5" x14ac:dyDescent="0.25">
      <c r="A9219" t="str">
        <f>"868674847"</f>
        <v>868674847</v>
      </c>
      <c r="B9219" t="s">
        <v>8423</v>
      </c>
      <c r="C9219">
        <v>550</v>
      </c>
      <c r="D9219" t="str">
        <f t="shared" si="296"/>
        <v>278</v>
      </c>
    </row>
    <row r="9220" spans="1:5" x14ac:dyDescent="0.25">
      <c r="A9220" t="str">
        <f>"868674849"</f>
        <v>868674849</v>
      </c>
      <c r="B9220" t="s">
        <v>8424</v>
      </c>
      <c r="C9220" s="1">
        <v>1815</v>
      </c>
      <c r="D9220" t="str">
        <f t="shared" si="296"/>
        <v>278</v>
      </c>
      <c r="E9220" t="str">
        <f>"C1776"</f>
        <v>C1776</v>
      </c>
    </row>
    <row r="9221" spans="1:5" x14ac:dyDescent="0.25">
      <c r="A9221" t="str">
        <f>"868674850"</f>
        <v>868674850</v>
      </c>
      <c r="B9221" t="s">
        <v>4264</v>
      </c>
      <c r="C9221">
        <v>616</v>
      </c>
      <c r="D9221" t="str">
        <f t="shared" si="296"/>
        <v>278</v>
      </c>
    </row>
    <row r="9222" spans="1:5" x14ac:dyDescent="0.25">
      <c r="A9222" t="str">
        <f>"868674851"</f>
        <v>868674851</v>
      </c>
      <c r="B9222" t="s">
        <v>8425</v>
      </c>
      <c r="C9222" s="1">
        <v>1045</v>
      </c>
      <c r="D9222" t="str">
        <f t="shared" si="296"/>
        <v>278</v>
      </c>
    </row>
    <row r="9223" spans="1:5" x14ac:dyDescent="0.25">
      <c r="A9223" t="str">
        <f>"868674856"</f>
        <v>868674856</v>
      </c>
      <c r="B9223" t="s">
        <v>8426</v>
      </c>
      <c r="C9223">
        <v>935</v>
      </c>
      <c r="D9223" t="str">
        <f t="shared" si="296"/>
        <v>278</v>
      </c>
    </row>
    <row r="9224" spans="1:5" x14ac:dyDescent="0.25">
      <c r="A9224" t="str">
        <f>"868675723"</f>
        <v>868675723</v>
      </c>
      <c r="B9224" t="s">
        <v>8427</v>
      </c>
      <c r="C9224">
        <v>825</v>
      </c>
      <c r="D9224" t="str">
        <f t="shared" si="296"/>
        <v>278</v>
      </c>
    </row>
    <row r="9225" spans="1:5" x14ac:dyDescent="0.25">
      <c r="A9225" t="str">
        <f>"868678002"</f>
        <v>868678002</v>
      </c>
      <c r="B9225" t="s">
        <v>8428</v>
      </c>
      <c r="C9225" s="1">
        <v>9350</v>
      </c>
      <c r="D9225" t="str">
        <f t="shared" si="296"/>
        <v>278</v>
      </c>
    </row>
    <row r="9226" spans="1:5" x14ac:dyDescent="0.25">
      <c r="A9226" t="str">
        <f>"86867810"</f>
        <v>86867810</v>
      </c>
      <c r="B9226" t="s">
        <v>8429</v>
      </c>
      <c r="C9226" s="1">
        <v>3712.5</v>
      </c>
      <c r="D9226" t="str">
        <f t="shared" si="296"/>
        <v>278</v>
      </c>
    </row>
    <row r="9227" spans="1:5" x14ac:dyDescent="0.25">
      <c r="A9227" t="str">
        <f>"868678100"</f>
        <v>868678100</v>
      </c>
      <c r="B9227" t="s">
        <v>8430</v>
      </c>
      <c r="C9227" s="1">
        <v>3465</v>
      </c>
      <c r="D9227" t="str">
        <f t="shared" si="296"/>
        <v>278</v>
      </c>
    </row>
    <row r="9228" spans="1:5" x14ac:dyDescent="0.25">
      <c r="A9228" t="str">
        <f>"868678101"</f>
        <v>868678101</v>
      </c>
      <c r="B9228" t="s">
        <v>8431</v>
      </c>
      <c r="C9228" s="1">
        <v>1347.5</v>
      </c>
      <c r="D9228" t="str">
        <f t="shared" si="296"/>
        <v>278</v>
      </c>
    </row>
    <row r="9229" spans="1:5" x14ac:dyDescent="0.25">
      <c r="A9229" t="str">
        <f>"868678102"</f>
        <v>868678102</v>
      </c>
      <c r="B9229" t="s">
        <v>8432</v>
      </c>
      <c r="C9229" s="1">
        <v>15097.5</v>
      </c>
      <c r="D9229" t="str">
        <f t="shared" si="296"/>
        <v>278</v>
      </c>
    </row>
    <row r="9230" spans="1:5" x14ac:dyDescent="0.25">
      <c r="A9230" t="str">
        <f>"868678103"</f>
        <v>868678103</v>
      </c>
      <c r="B9230" t="s">
        <v>8433</v>
      </c>
      <c r="C9230" s="1">
        <v>2579.5</v>
      </c>
      <c r="D9230" t="str">
        <f t="shared" si="296"/>
        <v>278</v>
      </c>
    </row>
    <row r="9231" spans="1:5" x14ac:dyDescent="0.25">
      <c r="A9231" t="str">
        <f>"868678104"</f>
        <v>868678104</v>
      </c>
      <c r="B9231" t="s">
        <v>8434</v>
      </c>
      <c r="C9231" s="1">
        <v>1208.9000000000001</v>
      </c>
      <c r="D9231" t="str">
        <f t="shared" si="296"/>
        <v>278</v>
      </c>
    </row>
    <row r="9232" spans="1:5" x14ac:dyDescent="0.25">
      <c r="A9232" t="str">
        <f>"868678105"</f>
        <v>868678105</v>
      </c>
      <c r="B9232" t="s">
        <v>8435</v>
      </c>
      <c r="C9232" s="1">
        <v>5445</v>
      </c>
      <c r="D9232" t="str">
        <f t="shared" si="296"/>
        <v>278</v>
      </c>
    </row>
    <row r="9233" spans="1:4" x14ac:dyDescent="0.25">
      <c r="A9233" t="str">
        <f>"868678106"</f>
        <v>868678106</v>
      </c>
      <c r="B9233" t="s">
        <v>8436</v>
      </c>
      <c r="C9233" s="1">
        <v>4125</v>
      </c>
      <c r="D9233" t="str">
        <f t="shared" si="296"/>
        <v>278</v>
      </c>
    </row>
    <row r="9234" spans="1:4" x14ac:dyDescent="0.25">
      <c r="A9234" t="str">
        <f>"868678107"</f>
        <v>868678107</v>
      </c>
      <c r="B9234" t="s">
        <v>8437</v>
      </c>
      <c r="C9234" s="1">
        <v>3465</v>
      </c>
      <c r="D9234" t="str">
        <f t="shared" si="296"/>
        <v>278</v>
      </c>
    </row>
    <row r="9235" spans="1:4" x14ac:dyDescent="0.25">
      <c r="A9235" t="str">
        <f>"868678108"</f>
        <v>868678108</v>
      </c>
      <c r="B9235" t="s">
        <v>8438</v>
      </c>
      <c r="C9235" s="1">
        <v>4125</v>
      </c>
      <c r="D9235" t="str">
        <f t="shared" si="296"/>
        <v>278</v>
      </c>
    </row>
    <row r="9236" spans="1:4" x14ac:dyDescent="0.25">
      <c r="A9236" t="str">
        <f>"868678110"</f>
        <v>868678110</v>
      </c>
      <c r="B9236" t="s">
        <v>8439</v>
      </c>
      <c r="C9236" s="1">
        <v>3184.5</v>
      </c>
      <c r="D9236" t="str">
        <f t="shared" si="296"/>
        <v>278</v>
      </c>
    </row>
    <row r="9237" spans="1:4" x14ac:dyDescent="0.25">
      <c r="A9237" t="str">
        <f>"868678120"</f>
        <v>868678120</v>
      </c>
      <c r="B9237" t="s">
        <v>8440</v>
      </c>
      <c r="C9237" s="1">
        <v>2530</v>
      </c>
      <c r="D9237" t="str">
        <f t="shared" si="296"/>
        <v>278</v>
      </c>
    </row>
    <row r="9238" spans="1:4" x14ac:dyDescent="0.25">
      <c r="A9238" t="str">
        <f>"868678121"</f>
        <v>868678121</v>
      </c>
      <c r="B9238" t="s">
        <v>8441</v>
      </c>
      <c r="C9238">
        <v>814</v>
      </c>
      <c r="D9238" t="str">
        <f t="shared" si="296"/>
        <v>278</v>
      </c>
    </row>
    <row r="9239" spans="1:4" x14ac:dyDescent="0.25">
      <c r="A9239" t="str">
        <f>"868678122"</f>
        <v>868678122</v>
      </c>
      <c r="B9239" t="s">
        <v>8442</v>
      </c>
      <c r="C9239" s="1">
        <v>1237.5</v>
      </c>
      <c r="D9239" t="str">
        <f t="shared" si="296"/>
        <v>278</v>
      </c>
    </row>
    <row r="9240" spans="1:4" x14ac:dyDescent="0.25">
      <c r="A9240" t="str">
        <f>"868678123"</f>
        <v>868678123</v>
      </c>
      <c r="B9240" t="s">
        <v>8443</v>
      </c>
      <c r="C9240">
        <v>154</v>
      </c>
      <c r="D9240" t="str">
        <f t="shared" si="296"/>
        <v>278</v>
      </c>
    </row>
    <row r="9241" spans="1:4" x14ac:dyDescent="0.25">
      <c r="A9241" t="str">
        <f>"868678124"</f>
        <v>868678124</v>
      </c>
      <c r="B9241" t="s">
        <v>8444</v>
      </c>
      <c r="C9241">
        <v>478.5</v>
      </c>
      <c r="D9241" t="str">
        <f t="shared" si="296"/>
        <v>278</v>
      </c>
    </row>
    <row r="9242" spans="1:4" x14ac:dyDescent="0.25">
      <c r="A9242" t="str">
        <f>"868678125"</f>
        <v>868678125</v>
      </c>
      <c r="B9242" t="s">
        <v>8445</v>
      </c>
      <c r="C9242">
        <v>123.2</v>
      </c>
      <c r="D9242" t="str">
        <f t="shared" si="296"/>
        <v>278</v>
      </c>
    </row>
    <row r="9243" spans="1:4" x14ac:dyDescent="0.25">
      <c r="A9243" t="str">
        <f>"868678126"</f>
        <v>868678126</v>
      </c>
      <c r="B9243" t="s">
        <v>8446</v>
      </c>
      <c r="C9243">
        <v>762.3</v>
      </c>
      <c r="D9243" t="str">
        <f t="shared" si="296"/>
        <v>278</v>
      </c>
    </row>
    <row r="9244" spans="1:4" x14ac:dyDescent="0.25">
      <c r="A9244" t="str">
        <f>"868678127"</f>
        <v>868678127</v>
      </c>
      <c r="B9244" t="s">
        <v>8447</v>
      </c>
      <c r="C9244" s="1">
        <v>1486.1</v>
      </c>
      <c r="D9244" t="str">
        <f t="shared" si="296"/>
        <v>278</v>
      </c>
    </row>
    <row r="9245" spans="1:4" x14ac:dyDescent="0.25">
      <c r="A9245" t="str">
        <f>"868678128"</f>
        <v>868678128</v>
      </c>
      <c r="B9245" t="s">
        <v>8137</v>
      </c>
      <c r="C9245">
        <v>685.3</v>
      </c>
      <c r="D9245" t="str">
        <f t="shared" si="296"/>
        <v>278</v>
      </c>
    </row>
    <row r="9246" spans="1:4" x14ac:dyDescent="0.25">
      <c r="A9246" t="str">
        <f>"868678129"</f>
        <v>868678129</v>
      </c>
      <c r="B9246" t="s">
        <v>8448</v>
      </c>
      <c r="C9246" s="1">
        <v>6107.15</v>
      </c>
      <c r="D9246" t="str">
        <f t="shared" si="296"/>
        <v>278</v>
      </c>
    </row>
    <row r="9247" spans="1:4" x14ac:dyDescent="0.25">
      <c r="A9247" t="str">
        <f>"868678130"</f>
        <v>868678130</v>
      </c>
      <c r="B9247" t="s">
        <v>8449</v>
      </c>
      <c r="C9247" s="1">
        <v>5698</v>
      </c>
      <c r="D9247" t="str">
        <f t="shared" si="296"/>
        <v>278</v>
      </c>
    </row>
    <row r="9248" spans="1:4" x14ac:dyDescent="0.25">
      <c r="A9248" t="str">
        <f>"868678131"</f>
        <v>868678131</v>
      </c>
      <c r="B9248" t="s">
        <v>8450</v>
      </c>
      <c r="C9248" s="1">
        <v>3670.39</v>
      </c>
      <c r="D9248" t="str">
        <f t="shared" si="296"/>
        <v>278</v>
      </c>
    </row>
    <row r="9249" spans="1:5" x14ac:dyDescent="0.25">
      <c r="A9249" t="str">
        <f>"868678133"</f>
        <v>868678133</v>
      </c>
      <c r="B9249" t="s">
        <v>8451</v>
      </c>
      <c r="C9249" s="1">
        <v>3626.7</v>
      </c>
      <c r="D9249" t="str">
        <f t="shared" ref="D9249:D9256" si="297">"278"</f>
        <v>278</v>
      </c>
    </row>
    <row r="9250" spans="1:5" x14ac:dyDescent="0.25">
      <c r="A9250" t="str">
        <f>"868678187"</f>
        <v>868678187</v>
      </c>
      <c r="B9250" t="s">
        <v>8452</v>
      </c>
      <c r="C9250">
        <v>600.6</v>
      </c>
      <c r="D9250" t="str">
        <f t="shared" si="297"/>
        <v>278</v>
      </c>
    </row>
    <row r="9251" spans="1:5" x14ac:dyDescent="0.25">
      <c r="A9251" t="str">
        <f>"86867831"</f>
        <v>86867831</v>
      </c>
      <c r="B9251" t="s">
        <v>8453</v>
      </c>
      <c r="C9251" s="1">
        <v>8032.2</v>
      </c>
      <c r="D9251" t="str">
        <f t="shared" si="297"/>
        <v>278</v>
      </c>
    </row>
    <row r="9252" spans="1:5" x14ac:dyDescent="0.25">
      <c r="A9252" t="str">
        <f>"86867864"</f>
        <v>86867864</v>
      </c>
      <c r="B9252" t="s">
        <v>8454</v>
      </c>
      <c r="C9252" s="1">
        <v>6600</v>
      </c>
      <c r="D9252" t="str">
        <f t="shared" si="297"/>
        <v>278</v>
      </c>
      <c r="E9252" t="str">
        <f>"C1776"</f>
        <v>C1776</v>
      </c>
    </row>
    <row r="9253" spans="1:5" x14ac:dyDescent="0.25">
      <c r="A9253" t="str">
        <f>"868678681"</f>
        <v>868678681</v>
      </c>
      <c r="B9253" t="s">
        <v>8455</v>
      </c>
      <c r="C9253" s="1">
        <v>5500</v>
      </c>
      <c r="D9253" t="str">
        <f t="shared" si="297"/>
        <v>278</v>
      </c>
    </row>
    <row r="9254" spans="1:5" x14ac:dyDescent="0.25">
      <c r="A9254" t="str">
        <f>"868678683"</f>
        <v>868678683</v>
      </c>
      <c r="B9254" t="s">
        <v>8456</v>
      </c>
      <c r="C9254" s="1">
        <v>1650</v>
      </c>
      <c r="D9254" t="str">
        <f t="shared" si="297"/>
        <v>278</v>
      </c>
      <c r="E9254" t="str">
        <f>"C1776"</f>
        <v>C1776</v>
      </c>
    </row>
    <row r="9255" spans="1:5" x14ac:dyDescent="0.25">
      <c r="A9255" t="str">
        <f>"868678685"</f>
        <v>868678685</v>
      </c>
      <c r="B9255" t="s">
        <v>8457</v>
      </c>
      <c r="C9255">
        <v>687.5</v>
      </c>
      <c r="D9255" t="str">
        <f t="shared" si="297"/>
        <v>278</v>
      </c>
      <c r="E9255" t="str">
        <f>"C1776"</f>
        <v>C1776</v>
      </c>
    </row>
    <row r="9256" spans="1:5" x14ac:dyDescent="0.25">
      <c r="A9256" t="str">
        <f>"868678686"</f>
        <v>868678686</v>
      </c>
      <c r="B9256" t="s">
        <v>8458</v>
      </c>
      <c r="C9256" s="1">
        <v>1320</v>
      </c>
      <c r="D9256" t="str">
        <f t="shared" si="297"/>
        <v>278</v>
      </c>
      <c r="E9256" t="str">
        <f>"C1776"</f>
        <v>C1776</v>
      </c>
    </row>
    <row r="9257" spans="1:5" x14ac:dyDescent="0.25">
      <c r="A9257" t="str">
        <f>"868678687"</f>
        <v>868678687</v>
      </c>
      <c r="B9257" t="s">
        <v>8459</v>
      </c>
      <c r="C9257">
        <v>779.9</v>
      </c>
      <c r="D9257" t="str">
        <f>"270"</f>
        <v>270</v>
      </c>
    </row>
    <row r="9258" spans="1:5" x14ac:dyDescent="0.25">
      <c r="A9258" t="str">
        <f>"868678688"</f>
        <v>868678688</v>
      </c>
      <c r="B9258" t="s">
        <v>8460</v>
      </c>
      <c r="C9258">
        <v>500.5</v>
      </c>
      <c r="D9258" t="str">
        <f>"270"</f>
        <v>270</v>
      </c>
      <c r="E9258" t="str">
        <f t="shared" ref="E9258:E9268" si="298">"C1776"</f>
        <v>C1776</v>
      </c>
    </row>
    <row r="9259" spans="1:5" x14ac:dyDescent="0.25">
      <c r="A9259" t="str">
        <f>"868678689"</f>
        <v>868678689</v>
      </c>
      <c r="B9259" t="s">
        <v>8461</v>
      </c>
      <c r="C9259" s="1">
        <v>7373.52</v>
      </c>
      <c r="D9259" t="str">
        <f t="shared" ref="D9259:D9268" si="299">"278"</f>
        <v>278</v>
      </c>
      <c r="E9259" t="str">
        <f t="shared" si="298"/>
        <v>C1776</v>
      </c>
    </row>
    <row r="9260" spans="1:5" x14ac:dyDescent="0.25">
      <c r="A9260" t="str">
        <f>"868678690"</f>
        <v>868678690</v>
      </c>
      <c r="B9260" t="s">
        <v>8462</v>
      </c>
      <c r="C9260" s="1">
        <v>7373.52</v>
      </c>
      <c r="D9260" t="str">
        <f t="shared" si="299"/>
        <v>278</v>
      </c>
      <c r="E9260" t="str">
        <f t="shared" si="298"/>
        <v>C1776</v>
      </c>
    </row>
    <row r="9261" spans="1:5" x14ac:dyDescent="0.25">
      <c r="A9261" t="str">
        <f>"868678691"</f>
        <v>868678691</v>
      </c>
      <c r="B9261" t="s">
        <v>8463</v>
      </c>
      <c r="C9261" s="1">
        <v>5005</v>
      </c>
      <c r="D9261" t="str">
        <f t="shared" si="299"/>
        <v>278</v>
      </c>
      <c r="E9261" t="str">
        <f t="shared" si="298"/>
        <v>C1776</v>
      </c>
    </row>
    <row r="9262" spans="1:5" x14ac:dyDescent="0.25">
      <c r="A9262" t="str">
        <f>"868678692"</f>
        <v>868678692</v>
      </c>
      <c r="B9262" t="s">
        <v>8464</v>
      </c>
      <c r="C9262">
        <v>357.5</v>
      </c>
      <c r="D9262" t="str">
        <f t="shared" si="299"/>
        <v>278</v>
      </c>
      <c r="E9262" t="str">
        <f t="shared" si="298"/>
        <v>C1776</v>
      </c>
    </row>
    <row r="9263" spans="1:5" x14ac:dyDescent="0.25">
      <c r="A9263" t="str">
        <f>"868678693"</f>
        <v>868678693</v>
      </c>
      <c r="B9263" t="s">
        <v>8465</v>
      </c>
      <c r="C9263" s="1">
        <v>2255</v>
      </c>
      <c r="D9263" t="str">
        <f t="shared" si="299"/>
        <v>278</v>
      </c>
      <c r="E9263" t="str">
        <f t="shared" si="298"/>
        <v>C1776</v>
      </c>
    </row>
    <row r="9264" spans="1:5" x14ac:dyDescent="0.25">
      <c r="A9264" t="str">
        <f>"868678694"</f>
        <v>868678694</v>
      </c>
      <c r="B9264" t="s">
        <v>8466</v>
      </c>
      <c r="C9264" s="1">
        <v>8791.2000000000007</v>
      </c>
      <c r="D9264" t="str">
        <f t="shared" si="299"/>
        <v>278</v>
      </c>
      <c r="E9264" t="str">
        <f t="shared" si="298"/>
        <v>C1776</v>
      </c>
    </row>
    <row r="9265" spans="1:5" x14ac:dyDescent="0.25">
      <c r="A9265" t="str">
        <f>"868678695"</f>
        <v>868678695</v>
      </c>
      <c r="B9265" t="s">
        <v>8467</v>
      </c>
      <c r="C9265">
        <v>704</v>
      </c>
      <c r="D9265" t="str">
        <f t="shared" si="299"/>
        <v>278</v>
      </c>
      <c r="E9265" t="str">
        <f t="shared" si="298"/>
        <v>C1776</v>
      </c>
    </row>
    <row r="9266" spans="1:5" x14ac:dyDescent="0.25">
      <c r="A9266" t="str">
        <f>"868678696"</f>
        <v>868678696</v>
      </c>
      <c r="B9266" t="s">
        <v>8468</v>
      </c>
      <c r="C9266" s="1">
        <v>3216.25</v>
      </c>
      <c r="D9266" t="str">
        <f t="shared" si="299"/>
        <v>278</v>
      </c>
      <c r="E9266" t="str">
        <f t="shared" si="298"/>
        <v>C1776</v>
      </c>
    </row>
    <row r="9267" spans="1:5" x14ac:dyDescent="0.25">
      <c r="A9267" t="str">
        <f>"868678697"</f>
        <v>868678697</v>
      </c>
      <c r="B9267" t="s">
        <v>8469</v>
      </c>
      <c r="C9267" s="1">
        <v>1540</v>
      </c>
      <c r="D9267" t="str">
        <f t="shared" si="299"/>
        <v>278</v>
      </c>
      <c r="E9267" t="str">
        <f t="shared" si="298"/>
        <v>C1776</v>
      </c>
    </row>
    <row r="9268" spans="1:5" x14ac:dyDescent="0.25">
      <c r="A9268" t="str">
        <f>"868678698"</f>
        <v>868678698</v>
      </c>
      <c r="B9268" t="s">
        <v>8470</v>
      </c>
      <c r="C9268" s="1">
        <v>5197.5</v>
      </c>
      <c r="D9268" t="str">
        <f t="shared" si="299"/>
        <v>278</v>
      </c>
      <c r="E9268" t="str">
        <f t="shared" si="298"/>
        <v>C1776</v>
      </c>
    </row>
    <row r="9269" spans="1:5" x14ac:dyDescent="0.25">
      <c r="A9269" t="str">
        <f>"868678700"</f>
        <v>868678700</v>
      </c>
      <c r="B9269" t="s">
        <v>8471</v>
      </c>
      <c r="C9269">
        <v>66.83</v>
      </c>
      <c r="D9269" t="str">
        <f>"270"</f>
        <v>270</v>
      </c>
    </row>
    <row r="9270" spans="1:5" x14ac:dyDescent="0.25">
      <c r="A9270" t="str">
        <f>"868678701"</f>
        <v>868678701</v>
      </c>
      <c r="B9270" t="s">
        <v>8472</v>
      </c>
      <c r="C9270">
        <v>7.92</v>
      </c>
      <c r="D9270" t="str">
        <f t="shared" ref="D9270:D9304" si="300">"278"</f>
        <v>278</v>
      </c>
    </row>
    <row r="9271" spans="1:5" x14ac:dyDescent="0.25">
      <c r="A9271" t="str">
        <f>"868678702"</f>
        <v>868678702</v>
      </c>
      <c r="B9271" t="s">
        <v>8473</v>
      </c>
      <c r="C9271">
        <v>2.2000000000000002</v>
      </c>
      <c r="D9271" t="str">
        <f t="shared" si="300"/>
        <v>278</v>
      </c>
    </row>
    <row r="9272" spans="1:5" x14ac:dyDescent="0.25">
      <c r="A9272" t="str">
        <f>"868678703"</f>
        <v>868678703</v>
      </c>
      <c r="B9272" t="s">
        <v>8474</v>
      </c>
      <c r="C9272">
        <v>17.38</v>
      </c>
      <c r="D9272" t="str">
        <f t="shared" si="300"/>
        <v>278</v>
      </c>
    </row>
    <row r="9273" spans="1:5" x14ac:dyDescent="0.25">
      <c r="A9273" t="str">
        <f>"868678704"</f>
        <v>868678704</v>
      </c>
      <c r="B9273" t="s">
        <v>8475</v>
      </c>
      <c r="C9273">
        <v>72.88</v>
      </c>
      <c r="D9273" t="str">
        <f t="shared" si="300"/>
        <v>278</v>
      </c>
    </row>
    <row r="9274" spans="1:5" x14ac:dyDescent="0.25">
      <c r="A9274" t="str">
        <f>"868678705"</f>
        <v>868678705</v>
      </c>
      <c r="B9274" t="s">
        <v>8476</v>
      </c>
      <c r="C9274">
        <v>49.5</v>
      </c>
      <c r="D9274" t="str">
        <f t="shared" si="300"/>
        <v>278</v>
      </c>
    </row>
    <row r="9275" spans="1:5" x14ac:dyDescent="0.25">
      <c r="A9275" t="str">
        <f>"868678706"</f>
        <v>868678706</v>
      </c>
      <c r="B9275" t="s">
        <v>8477</v>
      </c>
      <c r="C9275">
        <v>49.5</v>
      </c>
      <c r="D9275" t="str">
        <f t="shared" si="300"/>
        <v>278</v>
      </c>
    </row>
    <row r="9276" spans="1:5" x14ac:dyDescent="0.25">
      <c r="A9276" t="str">
        <f>"868678707"</f>
        <v>868678707</v>
      </c>
      <c r="B9276" t="s">
        <v>8478</v>
      </c>
      <c r="C9276">
        <v>42.19</v>
      </c>
      <c r="D9276" t="str">
        <f t="shared" si="300"/>
        <v>278</v>
      </c>
    </row>
    <row r="9277" spans="1:5" x14ac:dyDescent="0.25">
      <c r="A9277" t="str">
        <f>"868678708"</f>
        <v>868678708</v>
      </c>
      <c r="B9277" t="s">
        <v>8479</v>
      </c>
      <c r="C9277">
        <v>104.9</v>
      </c>
      <c r="D9277" t="str">
        <f t="shared" si="300"/>
        <v>278</v>
      </c>
    </row>
    <row r="9278" spans="1:5" x14ac:dyDescent="0.25">
      <c r="A9278" t="str">
        <f>"868678709"</f>
        <v>868678709</v>
      </c>
      <c r="B9278" t="s">
        <v>8480</v>
      </c>
      <c r="C9278">
        <v>104.57</v>
      </c>
      <c r="D9278" t="str">
        <f t="shared" si="300"/>
        <v>278</v>
      </c>
    </row>
    <row r="9279" spans="1:5" x14ac:dyDescent="0.25">
      <c r="A9279" t="str">
        <f>"868678710"</f>
        <v>868678710</v>
      </c>
      <c r="B9279" t="s">
        <v>8481</v>
      </c>
      <c r="C9279">
        <v>46.33</v>
      </c>
      <c r="D9279" t="str">
        <f t="shared" si="300"/>
        <v>278</v>
      </c>
    </row>
    <row r="9280" spans="1:5" x14ac:dyDescent="0.25">
      <c r="A9280" t="str">
        <f>"868678711"</f>
        <v>868678711</v>
      </c>
      <c r="B9280" t="s">
        <v>8482</v>
      </c>
      <c r="C9280">
        <v>127.51</v>
      </c>
      <c r="D9280" t="str">
        <f t="shared" si="300"/>
        <v>278</v>
      </c>
    </row>
    <row r="9281" spans="1:4" x14ac:dyDescent="0.25">
      <c r="A9281" t="str">
        <f>"868678712"</f>
        <v>868678712</v>
      </c>
      <c r="B9281" t="s">
        <v>8483</v>
      </c>
      <c r="C9281" s="1">
        <v>1276</v>
      </c>
      <c r="D9281" t="str">
        <f t="shared" si="300"/>
        <v>278</v>
      </c>
    </row>
    <row r="9282" spans="1:4" x14ac:dyDescent="0.25">
      <c r="A9282" t="str">
        <f>"868678714"</f>
        <v>868678714</v>
      </c>
      <c r="B9282" t="s">
        <v>8484</v>
      </c>
      <c r="C9282">
        <v>440</v>
      </c>
      <c r="D9282" t="str">
        <f t="shared" si="300"/>
        <v>278</v>
      </c>
    </row>
    <row r="9283" spans="1:4" x14ac:dyDescent="0.25">
      <c r="A9283" t="str">
        <f>"868678715"</f>
        <v>868678715</v>
      </c>
      <c r="B9283" t="s">
        <v>8485</v>
      </c>
      <c r="C9283">
        <v>391.6</v>
      </c>
      <c r="D9283" t="str">
        <f t="shared" si="300"/>
        <v>278</v>
      </c>
    </row>
    <row r="9284" spans="1:4" x14ac:dyDescent="0.25">
      <c r="A9284" t="str">
        <f>"868678716"</f>
        <v>868678716</v>
      </c>
      <c r="B9284" t="s">
        <v>8486</v>
      </c>
      <c r="C9284">
        <v>78.03</v>
      </c>
      <c r="D9284" t="str">
        <f t="shared" si="300"/>
        <v>278</v>
      </c>
    </row>
    <row r="9285" spans="1:4" x14ac:dyDescent="0.25">
      <c r="A9285" t="str">
        <f>"868678717"</f>
        <v>868678717</v>
      </c>
      <c r="B9285" t="s">
        <v>8487</v>
      </c>
      <c r="C9285">
        <v>29.87</v>
      </c>
      <c r="D9285" t="str">
        <f t="shared" si="300"/>
        <v>278</v>
      </c>
    </row>
    <row r="9286" spans="1:4" x14ac:dyDescent="0.25">
      <c r="A9286" t="str">
        <f>"868678718"</f>
        <v>868678718</v>
      </c>
      <c r="B9286" t="s">
        <v>8488</v>
      </c>
      <c r="C9286">
        <v>32.049999999999997</v>
      </c>
      <c r="D9286" t="str">
        <f t="shared" si="300"/>
        <v>278</v>
      </c>
    </row>
    <row r="9287" spans="1:4" x14ac:dyDescent="0.25">
      <c r="A9287" t="str">
        <f>"868678719"</f>
        <v>868678719</v>
      </c>
      <c r="B9287" t="s">
        <v>8489</v>
      </c>
      <c r="C9287" s="1">
        <v>2310</v>
      </c>
      <c r="D9287" t="str">
        <f t="shared" si="300"/>
        <v>278</v>
      </c>
    </row>
    <row r="9288" spans="1:4" x14ac:dyDescent="0.25">
      <c r="A9288" t="str">
        <f>"868678720"</f>
        <v>868678720</v>
      </c>
      <c r="B9288" t="s">
        <v>8490</v>
      </c>
      <c r="C9288" s="1">
        <v>2310</v>
      </c>
      <c r="D9288" t="str">
        <f t="shared" si="300"/>
        <v>278</v>
      </c>
    </row>
    <row r="9289" spans="1:4" x14ac:dyDescent="0.25">
      <c r="A9289" t="str">
        <f>"868678721"</f>
        <v>868678721</v>
      </c>
      <c r="B9289" t="s">
        <v>8491</v>
      </c>
      <c r="C9289">
        <v>275</v>
      </c>
      <c r="D9289" t="str">
        <f t="shared" si="300"/>
        <v>278</v>
      </c>
    </row>
    <row r="9290" spans="1:4" x14ac:dyDescent="0.25">
      <c r="A9290" t="str">
        <f>"868678722"</f>
        <v>868678722</v>
      </c>
      <c r="B9290" t="s">
        <v>8492</v>
      </c>
      <c r="C9290">
        <v>825</v>
      </c>
      <c r="D9290" t="str">
        <f t="shared" si="300"/>
        <v>278</v>
      </c>
    </row>
    <row r="9291" spans="1:4" x14ac:dyDescent="0.25">
      <c r="A9291" t="str">
        <f>"868678724"</f>
        <v>868678724</v>
      </c>
      <c r="B9291" t="s">
        <v>8493</v>
      </c>
      <c r="C9291" s="1">
        <v>2310</v>
      </c>
      <c r="D9291" t="str">
        <f t="shared" si="300"/>
        <v>278</v>
      </c>
    </row>
    <row r="9292" spans="1:4" x14ac:dyDescent="0.25">
      <c r="A9292" t="str">
        <f>"868678725"</f>
        <v>868678725</v>
      </c>
      <c r="B9292" t="s">
        <v>8494</v>
      </c>
      <c r="C9292" s="1">
        <v>7700</v>
      </c>
      <c r="D9292" t="str">
        <f t="shared" si="300"/>
        <v>278</v>
      </c>
    </row>
    <row r="9293" spans="1:4" x14ac:dyDescent="0.25">
      <c r="A9293" t="str">
        <f>"868678726"</f>
        <v>868678726</v>
      </c>
      <c r="B9293" t="s">
        <v>8495</v>
      </c>
      <c r="C9293" s="1">
        <v>7700</v>
      </c>
      <c r="D9293" t="str">
        <f t="shared" si="300"/>
        <v>278</v>
      </c>
    </row>
    <row r="9294" spans="1:4" x14ac:dyDescent="0.25">
      <c r="A9294" t="str">
        <f>"868678727"</f>
        <v>868678727</v>
      </c>
      <c r="B9294" t="s">
        <v>8496</v>
      </c>
      <c r="C9294" s="1">
        <v>7700</v>
      </c>
      <c r="D9294" t="str">
        <f t="shared" si="300"/>
        <v>278</v>
      </c>
    </row>
    <row r="9295" spans="1:4" x14ac:dyDescent="0.25">
      <c r="A9295" t="str">
        <f>"868678728"</f>
        <v>868678728</v>
      </c>
      <c r="B9295" t="s">
        <v>8497</v>
      </c>
      <c r="C9295" s="1">
        <v>2062.5</v>
      </c>
      <c r="D9295" t="str">
        <f t="shared" si="300"/>
        <v>278</v>
      </c>
    </row>
    <row r="9296" spans="1:4" x14ac:dyDescent="0.25">
      <c r="A9296" t="str">
        <f>"868678729"</f>
        <v>868678729</v>
      </c>
      <c r="B9296" t="s">
        <v>8498</v>
      </c>
      <c r="C9296" s="1">
        <v>4125</v>
      </c>
      <c r="D9296" t="str">
        <f t="shared" si="300"/>
        <v>278</v>
      </c>
    </row>
    <row r="9297" spans="1:5" x14ac:dyDescent="0.25">
      <c r="A9297" t="str">
        <f>"86867873"</f>
        <v>86867873</v>
      </c>
      <c r="B9297" t="s">
        <v>8499</v>
      </c>
      <c r="C9297" s="1">
        <v>5115</v>
      </c>
      <c r="D9297" t="str">
        <f t="shared" si="300"/>
        <v>278</v>
      </c>
      <c r="E9297" t="str">
        <f>"C1776"</f>
        <v>C1776</v>
      </c>
    </row>
    <row r="9298" spans="1:5" x14ac:dyDescent="0.25">
      <c r="A9298" t="str">
        <f>"868678730"</f>
        <v>868678730</v>
      </c>
      <c r="B9298" t="s">
        <v>8500</v>
      </c>
      <c r="C9298" s="1">
        <v>8226.9</v>
      </c>
      <c r="D9298" t="str">
        <f t="shared" si="300"/>
        <v>278</v>
      </c>
    </row>
    <row r="9299" spans="1:5" x14ac:dyDescent="0.25">
      <c r="A9299" t="str">
        <f>"868678732"</f>
        <v>868678732</v>
      </c>
      <c r="B9299" t="s">
        <v>8501</v>
      </c>
      <c r="C9299" s="1">
        <v>2541</v>
      </c>
      <c r="D9299" t="str">
        <f t="shared" si="300"/>
        <v>278</v>
      </c>
    </row>
    <row r="9300" spans="1:5" x14ac:dyDescent="0.25">
      <c r="A9300" t="str">
        <f>"868678733"</f>
        <v>868678733</v>
      </c>
      <c r="B9300" t="s">
        <v>8339</v>
      </c>
      <c r="C9300" s="1">
        <v>3039.3</v>
      </c>
      <c r="D9300" t="str">
        <f t="shared" si="300"/>
        <v>278</v>
      </c>
    </row>
    <row r="9301" spans="1:5" x14ac:dyDescent="0.25">
      <c r="A9301" t="str">
        <f>"868678734"</f>
        <v>868678734</v>
      </c>
      <c r="B9301" t="s">
        <v>8502</v>
      </c>
      <c r="C9301">
        <v>393.25</v>
      </c>
      <c r="D9301" t="str">
        <f t="shared" si="300"/>
        <v>278</v>
      </c>
    </row>
    <row r="9302" spans="1:5" x14ac:dyDescent="0.25">
      <c r="A9302" t="str">
        <f>"868678735"</f>
        <v>868678735</v>
      </c>
      <c r="B9302" t="s">
        <v>8503</v>
      </c>
      <c r="C9302">
        <v>561</v>
      </c>
      <c r="D9302" t="str">
        <f t="shared" si="300"/>
        <v>278</v>
      </c>
    </row>
    <row r="9303" spans="1:5" x14ac:dyDescent="0.25">
      <c r="A9303" t="str">
        <f>"868678736"</f>
        <v>868678736</v>
      </c>
      <c r="B9303" t="s">
        <v>8504</v>
      </c>
      <c r="C9303">
        <v>561</v>
      </c>
      <c r="D9303" t="str">
        <f t="shared" si="300"/>
        <v>278</v>
      </c>
    </row>
    <row r="9304" spans="1:5" x14ac:dyDescent="0.25">
      <c r="A9304" t="str">
        <f>"868678737"</f>
        <v>868678737</v>
      </c>
      <c r="B9304" t="s">
        <v>8505</v>
      </c>
      <c r="C9304">
        <v>286</v>
      </c>
      <c r="D9304" t="str">
        <f t="shared" si="300"/>
        <v>278</v>
      </c>
    </row>
    <row r="9305" spans="1:5" x14ac:dyDescent="0.25">
      <c r="A9305" t="str">
        <f>"868678738"</f>
        <v>868678738</v>
      </c>
      <c r="B9305" t="s">
        <v>8506</v>
      </c>
      <c r="C9305">
        <v>1.1000000000000001</v>
      </c>
      <c r="D9305" t="str">
        <f>"273"</f>
        <v>273</v>
      </c>
    </row>
    <row r="9306" spans="1:5" x14ac:dyDescent="0.25">
      <c r="A9306" t="str">
        <f>"868678739"</f>
        <v>868678739</v>
      </c>
      <c r="B9306" t="s">
        <v>8507</v>
      </c>
      <c r="C9306" s="1">
        <v>2084.5</v>
      </c>
      <c r="D9306" t="str">
        <f t="shared" ref="D9306:D9333" si="301">"278"</f>
        <v>278</v>
      </c>
    </row>
    <row r="9307" spans="1:5" x14ac:dyDescent="0.25">
      <c r="A9307" t="str">
        <f>"86867874"</f>
        <v>86867874</v>
      </c>
      <c r="B9307" t="s">
        <v>8508</v>
      </c>
      <c r="C9307" s="1">
        <v>1925</v>
      </c>
      <c r="D9307" t="str">
        <f t="shared" si="301"/>
        <v>278</v>
      </c>
    </row>
    <row r="9308" spans="1:5" x14ac:dyDescent="0.25">
      <c r="A9308" t="str">
        <f>"868678740"</f>
        <v>868678740</v>
      </c>
      <c r="B9308" t="s">
        <v>8509</v>
      </c>
      <c r="C9308" s="1">
        <v>2321</v>
      </c>
      <c r="D9308" t="str">
        <f t="shared" si="301"/>
        <v>278</v>
      </c>
    </row>
    <row r="9309" spans="1:5" x14ac:dyDescent="0.25">
      <c r="A9309" t="str">
        <f>"868678741"</f>
        <v>868678741</v>
      </c>
      <c r="B9309" t="s">
        <v>8510</v>
      </c>
      <c r="C9309" s="1">
        <v>2321</v>
      </c>
      <c r="D9309" t="str">
        <f t="shared" si="301"/>
        <v>278</v>
      </c>
    </row>
    <row r="9310" spans="1:5" x14ac:dyDescent="0.25">
      <c r="A9310" t="str">
        <f>"868678742"</f>
        <v>868678742</v>
      </c>
      <c r="B9310" t="s">
        <v>8511</v>
      </c>
      <c r="C9310" s="1">
        <v>2785.2</v>
      </c>
      <c r="D9310" t="str">
        <f t="shared" si="301"/>
        <v>278</v>
      </c>
    </row>
    <row r="9311" spans="1:5" x14ac:dyDescent="0.25">
      <c r="A9311" t="str">
        <f>"868678743"</f>
        <v>868678743</v>
      </c>
      <c r="B9311" t="s">
        <v>8512</v>
      </c>
      <c r="C9311" s="1">
        <v>2785.2</v>
      </c>
      <c r="D9311" t="str">
        <f t="shared" si="301"/>
        <v>278</v>
      </c>
    </row>
    <row r="9312" spans="1:5" x14ac:dyDescent="0.25">
      <c r="A9312" t="str">
        <f>"868678744"</f>
        <v>868678744</v>
      </c>
      <c r="B9312" t="s">
        <v>8513</v>
      </c>
      <c r="C9312">
        <v>550</v>
      </c>
      <c r="D9312" t="str">
        <f t="shared" si="301"/>
        <v>278</v>
      </c>
    </row>
    <row r="9313" spans="1:4" x14ac:dyDescent="0.25">
      <c r="A9313" t="str">
        <f>"868678745"</f>
        <v>868678745</v>
      </c>
      <c r="B9313" t="s">
        <v>8514</v>
      </c>
      <c r="C9313" s="1">
        <v>1817.2</v>
      </c>
      <c r="D9313" t="str">
        <f t="shared" si="301"/>
        <v>278</v>
      </c>
    </row>
    <row r="9314" spans="1:4" x14ac:dyDescent="0.25">
      <c r="A9314" t="str">
        <f>"868678746"</f>
        <v>868678746</v>
      </c>
      <c r="B9314" t="s">
        <v>8515</v>
      </c>
      <c r="C9314" s="1">
        <v>9398.4</v>
      </c>
      <c r="D9314" t="str">
        <f t="shared" si="301"/>
        <v>278</v>
      </c>
    </row>
    <row r="9315" spans="1:4" x14ac:dyDescent="0.25">
      <c r="A9315" t="str">
        <f>"868678747"</f>
        <v>868678747</v>
      </c>
      <c r="B9315" t="s">
        <v>8516</v>
      </c>
      <c r="C9315">
        <v>621.5</v>
      </c>
      <c r="D9315" t="str">
        <f t="shared" si="301"/>
        <v>278</v>
      </c>
    </row>
    <row r="9316" spans="1:4" x14ac:dyDescent="0.25">
      <c r="A9316" t="str">
        <f>"868678749"</f>
        <v>868678749</v>
      </c>
      <c r="B9316" t="s">
        <v>8517</v>
      </c>
      <c r="C9316" s="1">
        <v>1042.8</v>
      </c>
      <c r="D9316" t="str">
        <f t="shared" si="301"/>
        <v>278</v>
      </c>
    </row>
    <row r="9317" spans="1:4" x14ac:dyDescent="0.25">
      <c r="A9317" t="str">
        <f>"868678750"</f>
        <v>868678750</v>
      </c>
      <c r="B9317" t="s">
        <v>8518</v>
      </c>
      <c r="C9317" s="1">
        <v>1042.8</v>
      </c>
      <c r="D9317" t="str">
        <f t="shared" si="301"/>
        <v>278</v>
      </c>
    </row>
    <row r="9318" spans="1:4" x14ac:dyDescent="0.25">
      <c r="A9318" t="str">
        <f>"868678751"</f>
        <v>868678751</v>
      </c>
      <c r="B9318" t="s">
        <v>8519</v>
      </c>
      <c r="C9318" s="1">
        <v>2805</v>
      </c>
      <c r="D9318" t="str">
        <f t="shared" si="301"/>
        <v>278</v>
      </c>
    </row>
    <row r="9319" spans="1:4" x14ac:dyDescent="0.25">
      <c r="A9319" t="str">
        <f>"868678752"</f>
        <v>868678752</v>
      </c>
      <c r="B9319" t="s">
        <v>8520</v>
      </c>
      <c r="C9319" s="1">
        <v>1320</v>
      </c>
      <c r="D9319" t="str">
        <f t="shared" si="301"/>
        <v>278</v>
      </c>
    </row>
    <row r="9320" spans="1:4" x14ac:dyDescent="0.25">
      <c r="A9320" t="str">
        <f>"868678753"</f>
        <v>868678753</v>
      </c>
      <c r="B9320" t="s">
        <v>8521</v>
      </c>
      <c r="C9320">
        <v>660</v>
      </c>
      <c r="D9320" t="str">
        <f t="shared" si="301"/>
        <v>278</v>
      </c>
    </row>
    <row r="9321" spans="1:4" x14ac:dyDescent="0.25">
      <c r="A9321" t="str">
        <f>"868678755"</f>
        <v>868678755</v>
      </c>
      <c r="B9321" t="s">
        <v>8522</v>
      </c>
      <c r="C9321" s="1">
        <v>2805</v>
      </c>
      <c r="D9321" t="str">
        <f t="shared" si="301"/>
        <v>278</v>
      </c>
    </row>
    <row r="9322" spans="1:4" x14ac:dyDescent="0.25">
      <c r="A9322" t="str">
        <f>"868678756"</f>
        <v>868678756</v>
      </c>
      <c r="B9322" t="s">
        <v>8523</v>
      </c>
      <c r="C9322" s="1">
        <v>7920</v>
      </c>
      <c r="D9322" t="str">
        <f t="shared" si="301"/>
        <v>278</v>
      </c>
    </row>
    <row r="9323" spans="1:4" x14ac:dyDescent="0.25">
      <c r="A9323" t="str">
        <f>"868678757"</f>
        <v>868678757</v>
      </c>
      <c r="B9323" t="s">
        <v>8523</v>
      </c>
      <c r="C9323" s="1">
        <v>5940</v>
      </c>
      <c r="D9323" t="str">
        <f t="shared" si="301"/>
        <v>278</v>
      </c>
    </row>
    <row r="9324" spans="1:4" x14ac:dyDescent="0.25">
      <c r="A9324" t="str">
        <f>"868678758"</f>
        <v>868678758</v>
      </c>
      <c r="B9324" t="s">
        <v>8524</v>
      </c>
      <c r="C9324" s="1">
        <v>1760</v>
      </c>
      <c r="D9324" t="str">
        <f t="shared" si="301"/>
        <v>278</v>
      </c>
    </row>
    <row r="9325" spans="1:4" x14ac:dyDescent="0.25">
      <c r="A9325" t="str">
        <f>"868678759"</f>
        <v>868678759</v>
      </c>
      <c r="B9325" t="s">
        <v>8525</v>
      </c>
      <c r="C9325">
        <v>561</v>
      </c>
      <c r="D9325" t="str">
        <f t="shared" si="301"/>
        <v>278</v>
      </c>
    </row>
    <row r="9326" spans="1:4" x14ac:dyDescent="0.25">
      <c r="A9326" t="str">
        <f>"868678760"</f>
        <v>868678760</v>
      </c>
      <c r="B9326" t="s">
        <v>8526</v>
      </c>
      <c r="C9326" s="1">
        <v>3418.8</v>
      </c>
      <c r="D9326" t="str">
        <f t="shared" si="301"/>
        <v>278</v>
      </c>
    </row>
    <row r="9327" spans="1:4" x14ac:dyDescent="0.25">
      <c r="A9327" t="str">
        <f>"868678761"</f>
        <v>868678761</v>
      </c>
      <c r="B9327" t="s">
        <v>8527</v>
      </c>
      <c r="C9327">
        <v>907.5</v>
      </c>
      <c r="D9327" t="str">
        <f t="shared" si="301"/>
        <v>278</v>
      </c>
    </row>
    <row r="9328" spans="1:4" x14ac:dyDescent="0.25">
      <c r="A9328" t="str">
        <f>"868678762"</f>
        <v>868678762</v>
      </c>
      <c r="B9328" t="s">
        <v>8528</v>
      </c>
      <c r="C9328">
        <v>907.5</v>
      </c>
      <c r="D9328" t="str">
        <f t="shared" si="301"/>
        <v>278</v>
      </c>
    </row>
    <row r="9329" spans="1:4" x14ac:dyDescent="0.25">
      <c r="A9329" t="str">
        <f>"868678763"</f>
        <v>868678763</v>
      </c>
      <c r="B9329" t="s">
        <v>8529</v>
      </c>
      <c r="C9329">
        <v>907.5</v>
      </c>
      <c r="D9329" t="str">
        <f t="shared" si="301"/>
        <v>278</v>
      </c>
    </row>
    <row r="9330" spans="1:4" x14ac:dyDescent="0.25">
      <c r="A9330" t="str">
        <f>"868678764"</f>
        <v>868678764</v>
      </c>
      <c r="B9330" t="s">
        <v>8530</v>
      </c>
      <c r="C9330">
        <v>907.5</v>
      </c>
      <c r="D9330" t="str">
        <f t="shared" si="301"/>
        <v>278</v>
      </c>
    </row>
    <row r="9331" spans="1:4" x14ac:dyDescent="0.25">
      <c r="A9331" t="str">
        <f>"868678765"</f>
        <v>868678765</v>
      </c>
      <c r="B9331" t="s">
        <v>8531</v>
      </c>
      <c r="C9331">
        <v>772.2</v>
      </c>
      <c r="D9331" t="str">
        <f t="shared" si="301"/>
        <v>278</v>
      </c>
    </row>
    <row r="9332" spans="1:4" x14ac:dyDescent="0.25">
      <c r="A9332" t="str">
        <f>"868678766"</f>
        <v>868678766</v>
      </c>
      <c r="B9332" t="s">
        <v>8532</v>
      </c>
      <c r="C9332">
        <v>772.2</v>
      </c>
      <c r="D9332" t="str">
        <f t="shared" si="301"/>
        <v>278</v>
      </c>
    </row>
    <row r="9333" spans="1:4" x14ac:dyDescent="0.25">
      <c r="A9333" t="str">
        <f>"868678767"</f>
        <v>868678767</v>
      </c>
      <c r="B9333" t="s">
        <v>8533</v>
      </c>
      <c r="C9333">
        <v>772.2</v>
      </c>
      <c r="D9333" t="str">
        <f t="shared" si="301"/>
        <v>278</v>
      </c>
    </row>
    <row r="9334" spans="1:4" x14ac:dyDescent="0.25">
      <c r="A9334" t="str">
        <f>"868678768"</f>
        <v>868678768</v>
      </c>
      <c r="B9334" t="s">
        <v>8534</v>
      </c>
      <c r="C9334">
        <v>704</v>
      </c>
      <c r="D9334" t="str">
        <f t="shared" ref="D9334:D9361" si="302">"270"</f>
        <v>270</v>
      </c>
    </row>
    <row r="9335" spans="1:4" x14ac:dyDescent="0.25">
      <c r="A9335" t="str">
        <f>"868678769"</f>
        <v>868678769</v>
      </c>
      <c r="B9335" t="s">
        <v>8535</v>
      </c>
      <c r="C9335">
        <v>11.59</v>
      </c>
      <c r="D9335" t="str">
        <f t="shared" si="302"/>
        <v>270</v>
      </c>
    </row>
    <row r="9336" spans="1:4" x14ac:dyDescent="0.25">
      <c r="A9336" t="str">
        <f>"868678770"</f>
        <v>868678770</v>
      </c>
      <c r="B9336" t="s">
        <v>8536</v>
      </c>
      <c r="C9336">
        <v>18.48</v>
      </c>
      <c r="D9336" t="str">
        <f t="shared" si="302"/>
        <v>270</v>
      </c>
    </row>
    <row r="9337" spans="1:4" x14ac:dyDescent="0.25">
      <c r="A9337" t="str">
        <f>"868678771"</f>
        <v>868678771</v>
      </c>
      <c r="B9337" t="s">
        <v>8537</v>
      </c>
      <c r="C9337">
        <v>24.86</v>
      </c>
      <c r="D9337" t="str">
        <f t="shared" si="302"/>
        <v>270</v>
      </c>
    </row>
    <row r="9338" spans="1:4" x14ac:dyDescent="0.25">
      <c r="A9338" t="str">
        <f>"868678772"</f>
        <v>868678772</v>
      </c>
      <c r="B9338" t="s">
        <v>8538</v>
      </c>
      <c r="C9338">
        <v>34.159999999999997</v>
      </c>
      <c r="D9338" t="str">
        <f t="shared" si="302"/>
        <v>270</v>
      </c>
    </row>
    <row r="9339" spans="1:4" x14ac:dyDescent="0.25">
      <c r="A9339" t="str">
        <f>"868678773"</f>
        <v>868678773</v>
      </c>
      <c r="B9339" t="s">
        <v>8539</v>
      </c>
      <c r="C9339">
        <v>13.2</v>
      </c>
      <c r="D9339" t="str">
        <f t="shared" si="302"/>
        <v>270</v>
      </c>
    </row>
    <row r="9340" spans="1:4" x14ac:dyDescent="0.25">
      <c r="A9340" t="str">
        <f>"868678774"</f>
        <v>868678774</v>
      </c>
      <c r="B9340" t="s">
        <v>8540</v>
      </c>
      <c r="C9340">
        <v>17.82</v>
      </c>
      <c r="D9340" t="str">
        <f t="shared" si="302"/>
        <v>270</v>
      </c>
    </row>
    <row r="9341" spans="1:4" x14ac:dyDescent="0.25">
      <c r="A9341" t="str">
        <f>"868678775"</f>
        <v>868678775</v>
      </c>
      <c r="B9341" t="s">
        <v>8541</v>
      </c>
      <c r="C9341">
        <v>22.66</v>
      </c>
      <c r="D9341" t="str">
        <f t="shared" si="302"/>
        <v>270</v>
      </c>
    </row>
    <row r="9342" spans="1:4" x14ac:dyDescent="0.25">
      <c r="A9342" t="str">
        <f>"868678776"</f>
        <v>868678776</v>
      </c>
      <c r="B9342" t="s">
        <v>8542</v>
      </c>
      <c r="C9342">
        <v>33</v>
      </c>
      <c r="D9342" t="str">
        <f t="shared" si="302"/>
        <v>270</v>
      </c>
    </row>
    <row r="9343" spans="1:4" x14ac:dyDescent="0.25">
      <c r="A9343" t="str">
        <f>"868678777"</f>
        <v>868678777</v>
      </c>
      <c r="B9343" t="s">
        <v>8543</v>
      </c>
      <c r="C9343">
        <v>14.58</v>
      </c>
      <c r="D9343" t="str">
        <f t="shared" si="302"/>
        <v>270</v>
      </c>
    </row>
    <row r="9344" spans="1:4" x14ac:dyDescent="0.25">
      <c r="A9344" t="str">
        <f>"868678778"</f>
        <v>868678778</v>
      </c>
      <c r="B9344" t="s">
        <v>8544</v>
      </c>
      <c r="C9344">
        <v>22</v>
      </c>
      <c r="D9344" t="str">
        <f t="shared" si="302"/>
        <v>270</v>
      </c>
    </row>
    <row r="9345" spans="1:4" x14ac:dyDescent="0.25">
      <c r="A9345" t="str">
        <f>"868678779"</f>
        <v>868678779</v>
      </c>
      <c r="B9345" t="s">
        <v>8545</v>
      </c>
      <c r="C9345">
        <v>22</v>
      </c>
      <c r="D9345" t="str">
        <f t="shared" si="302"/>
        <v>270</v>
      </c>
    </row>
    <row r="9346" spans="1:4" x14ac:dyDescent="0.25">
      <c r="A9346" t="str">
        <f>"868678780"</f>
        <v>868678780</v>
      </c>
      <c r="B9346" t="s">
        <v>8546</v>
      </c>
      <c r="C9346">
        <v>92.4</v>
      </c>
      <c r="D9346" t="str">
        <f t="shared" si="302"/>
        <v>270</v>
      </c>
    </row>
    <row r="9347" spans="1:4" x14ac:dyDescent="0.25">
      <c r="A9347" t="str">
        <f>"868678781"</f>
        <v>868678781</v>
      </c>
      <c r="B9347" t="s">
        <v>8547</v>
      </c>
      <c r="C9347">
        <v>250.8</v>
      </c>
      <c r="D9347" t="str">
        <f t="shared" si="302"/>
        <v>270</v>
      </c>
    </row>
    <row r="9348" spans="1:4" x14ac:dyDescent="0.25">
      <c r="A9348" t="str">
        <f>"868678782"</f>
        <v>868678782</v>
      </c>
      <c r="B9348" t="s">
        <v>8548</v>
      </c>
      <c r="C9348">
        <v>28.6</v>
      </c>
      <c r="D9348" t="str">
        <f t="shared" si="302"/>
        <v>270</v>
      </c>
    </row>
    <row r="9349" spans="1:4" x14ac:dyDescent="0.25">
      <c r="A9349" t="str">
        <f>"868678783"</f>
        <v>868678783</v>
      </c>
      <c r="B9349" t="s">
        <v>8549</v>
      </c>
      <c r="C9349">
        <v>28.6</v>
      </c>
      <c r="D9349" t="str">
        <f t="shared" si="302"/>
        <v>270</v>
      </c>
    </row>
    <row r="9350" spans="1:4" x14ac:dyDescent="0.25">
      <c r="A9350" t="str">
        <f>"868678784"</f>
        <v>868678784</v>
      </c>
      <c r="B9350" t="s">
        <v>8550</v>
      </c>
      <c r="C9350">
        <v>23.1</v>
      </c>
      <c r="D9350" t="str">
        <f t="shared" si="302"/>
        <v>270</v>
      </c>
    </row>
    <row r="9351" spans="1:4" x14ac:dyDescent="0.25">
      <c r="A9351" t="str">
        <f>"868678785"</f>
        <v>868678785</v>
      </c>
      <c r="B9351" t="s">
        <v>8551</v>
      </c>
      <c r="C9351">
        <v>23.1</v>
      </c>
      <c r="D9351" t="str">
        <f t="shared" si="302"/>
        <v>270</v>
      </c>
    </row>
    <row r="9352" spans="1:4" x14ac:dyDescent="0.25">
      <c r="A9352" t="str">
        <f>"868678787"</f>
        <v>868678787</v>
      </c>
      <c r="B9352" t="s">
        <v>8552</v>
      </c>
      <c r="C9352">
        <v>387.2</v>
      </c>
      <c r="D9352" t="str">
        <f t="shared" si="302"/>
        <v>270</v>
      </c>
    </row>
    <row r="9353" spans="1:4" x14ac:dyDescent="0.25">
      <c r="A9353" t="str">
        <f>"868678788"</f>
        <v>868678788</v>
      </c>
      <c r="B9353" t="s">
        <v>8553</v>
      </c>
      <c r="C9353">
        <v>8.8000000000000007</v>
      </c>
      <c r="D9353" t="str">
        <f t="shared" si="302"/>
        <v>270</v>
      </c>
    </row>
    <row r="9354" spans="1:4" x14ac:dyDescent="0.25">
      <c r="A9354" t="str">
        <f>"868678790"</f>
        <v>868678790</v>
      </c>
      <c r="B9354" t="s">
        <v>8554</v>
      </c>
      <c r="C9354">
        <v>93.17</v>
      </c>
      <c r="D9354" t="str">
        <f t="shared" si="302"/>
        <v>270</v>
      </c>
    </row>
    <row r="9355" spans="1:4" x14ac:dyDescent="0.25">
      <c r="A9355" t="str">
        <f>"868678791"</f>
        <v>868678791</v>
      </c>
      <c r="B9355" t="s">
        <v>8555</v>
      </c>
      <c r="C9355">
        <v>50</v>
      </c>
      <c r="D9355" t="str">
        <f t="shared" si="302"/>
        <v>270</v>
      </c>
    </row>
    <row r="9356" spans="1:4" x14ac:dyDescent="0.25">
      <c r="A9356" t="str">
        <f>"868678792"</f>
        <v>868678792</v>
      </c>
      <c r="B9356" t="s">
        <v>8556</v>
      </c>
      <c r="C9356">
        <v>56.16</v>
      </c>
      <c r="D9356" t="str">
        <f t="shared" si="302"/>
        <v>270</v>
      </c>
    </row>
    <row r="9357" spans="1:4" x14ac:dyDescent="0.25">
      <c r="A9357" t="str">
        <f>"868678793"</f>
        <v>868678793</v>
      </c>
      <c r="B9357" t="s">
        <v>8557</v>
      </c>
      <c r="C9357">
        <v>40.700000000000003</v>
      </c>
      <c r="D9357" t="str">
        <f t="shared" si="302"/>
        <v>270</v>
      </c>
    </row>
    <row r="9358" spans="1:4" x14ac:dyDescent="0.25">
      <c r="A9358" t="str">
        <f>"868678794"</f>
        <v>868678794</v>
      </c>
      <c r="B9358" t="s">
        <v>8558</v>
      </c>
      <c r="C9358">
        <v>85.03</v>
      </c>
      <c r="D9358" t="str">
        <f t="shared" si="302"/>
        <v>270</v>
      </c>
    </row>
    <row r="9359" spans="1:4" x14ac:dyDescent="0.25">
      <c r="A9359" t="str">
        <f>"868678795"</f>
        <v>868678795</v>
      </c>
      <c r="B9359" t="s">
        <v>8559</v>
      </c>
      <c r="C9359">
        <v>359.65</v>
      </c>
      <c r="D9359" t="str">
        <f t="shared" si="302"/>
        <v>270</v>
      </c>
    </row>
    <row r="9360" spans="1:4" x14ac:dyDescent="0.25">
      <c r="A9360" t="str">
        <f>"868678796"</f>
        <v>868678796</v>
      </c>
      <c r="B9360" t="s">
        <v>8560</v>
      </c>
      <c r="C9360">
        <v>38.28</v>
      </c>
      <c r="D9360" t="str">
        <f t="shared" si="302"/>
        <v>270</v>
      </c>
    </row>
    <row r="9361" spans="1:4" x14ac:dyDescent="0.25">
      <c r="A9361" t="str">
        <f>"868678797"</f>
        <v>868678797</v>
      </c>
      <c r="B9361" t="s">
        <v>8561</v>
      </c>
      <c r="C9361">
        <v>46.53</v>
      </c>
      <c r="D9361" t="str">
        <f t="shared" si="302"/>
        <v>270</v>
      </c>
    </row>
    <row r="9362" spans="1:4" x14ac:dyDescent="0.25">
      <c r="A9362" t="str">
        <f>"868678799"</f>
        <v>868678799</v>
      </c>
      <c r="B9362" t="s">
        <v>8562</v>
      </c>
      <c r="C9362" s="1">
        <v>3300</v>
      </c>
      <c r="D9362" t="str">
        <f>"278"</f>
        <v>278</v>
      </c>
    </row>
    <row r="9363" spans="1:4" x14ac:dyDescent="0.25">
      <c r="A9363" t="str">
        <f>"868678800"</f>
        <v>868678800</v>
      </c>
      <c r="B9363" t="s">
        <v>7375</v>
      </c>
      <c r="C9363" s="1">
        <v>2750</v>
      </c>
      <c r="D9363" t="str">
        <f>"270"</f>
        <v>270</v>
      </c>
    </row>
    <row r="9364" spans="1:4" x14ac:dyDescent="0.25">
      <c r="A9364" t="str">
        <f>"868678801"</f>
        <v>868678801</v>
      </c>
      <c r="B9364" t="s">
        <v>8563</v>
      </c>
      <c r="C9364" s="1">
        <v>2750</v>
      </c>
      <c r="D9364" t="str">
        <f t="shared" ref="D9364:D9369" si="303">"278"</f>
        <v>278</v>
      </c>
    </row>
    <row r="9365" spans="1:4" x14ac:dyDescent="0.25">
      <c r="A9365" t="str">
        <f>"868678802"</f>
        <v>868678802</v>
      </c>
      <c r="B9365" t="s">
        <v>8564</v>
      </c>
      <c r="C9365" s="1">
        <v>11550</v>
      </c>
      <c r="D9365" t="str">
        <f t="shared" si="303"/>
        <v>278</v>
      </c>
    </row>
    <row r="9366" spans="1:4" x14ac:dyDescent="0.25">
      <c r="A9366" t="str">
        <f>"868678803"</f>
        <v>868678803</v>
      </c>
      <c r="B9366" t="s">
        <v>8565</v>
      </c>
      <c r="C9366" s="1">
        <v>7920</v>
      </c>
      <c r="D9366" t="str">
        <f t="shared" si="303"/>
        <v>278</v>
      </c>
    </row>
    <row r="9367" spans="1:4" x14ac:dyDescent="0.25">
      <c r="A9367" t="str">
        <f>"868678805"</f>
        <v>868678805</v>
      </c>
      <c r="B9367" t="s">
        <v>8566</v>
      </c>
      <c r="C9367" s="1">
        <v>1650</v>
      </c>
      <c r="D9367" t="str">
        <f t="shared" si="303"/>
        <v>278</v>
      </c>
    </row>
    <row r="9368" spans="1:4" x14ac:dyDescent="0.25">
      <c r="A9368" t="str">
        <f>"868678806"</f>
        <v>868678806</v>
      </c>
      <c r="B9368" t="s">
        <v>8567</v>
      </c>
      <c r="C9368" s="1">
        <v>2475</v>
      </c>
      <c r="D9368" t="str">
        <f t="shared" si="303"/>
        <v>278</v>
      </c>
    </row>
    <row r="9369" spans="1:4" x14ac:dyDescent="0.25">
      <c r="A9369" t="str">
        <f>"868678807"</f>
        <v>868678807</v>
      </c>
      <c r="B9369" t="s">
        <v>8568</v>
      </c>
      <c r="C9369" s="1">
        <v>4056.25</v>
      </c>
      <c r="D9369" t="str">
        <f t="shared" si="303"/>
        <v>278</v>
      </c>
    </row>
    <row r="9370" spans="1:4" x14ac:dyDescent="0.25">
      <c r="A9370" t="str">
        <f>"868678808"</f>
        <v>868678808</v>
      </c>
      <c r="B9370" t="s">
        <v>8569</v>
      </c>
      <c r="C9370" s="1">
        <v>4740.22</v>
      </c>
      <c r="D9370" t="str">
        <f>"273"</f>
        <v>273</v>
      </c>
    </row>
    <row r="9371" spans="1:4" x14ac:dyDescent="0.25">
      <c r="A9371" t="str">
        <f>"868678809"</f>
        <v>868678809</v>
      </c>
      <c r="B9371" t="s">
        <v>8570</v>
      </c>
      <c r="C9371">
        <v>373.84</v>
      </c>
      <c r="D9371" t="str">
        <f t="shared" ref="D9371:D9389" si="304">"278"</f>
        <v>278</v>
      </c>
    </row>
    <row r="9372" spans="1:4" x14ac:dyDescent="0.25">
      <c r="A9372" t="str">
        <f>"868678810"</f>
        <v>868678810</v>
      </c>
      <c r="B9372" t="s">
        <v>8571</v>
      </c>
      <c r="C9372">
        <v>983.4</v>
      </c>
      <c r="D9372" t="str">
        <f t="shared" si="304"/>
        <v>278</v>
      </c>
    </row>
    <row r="9373" spans="1:4" x14ac:dyDescent="0.25">
      <c r="A9373" t="str">
        <f>"868678811"</f>
        <v>868678811</v>
      </c>
      <c r="B9373" t="s">
        <v>8572</v>
      </c>
      <c r="C9373">
        <v>330</v>
      </c>
      <c r="D9373" t="str">
        <f t="shared" si="304"/>
        <v>278</v>
      </c>
    </row>
    <row r="9374" spans="1:4" x14ac:dyDescent="0.25">
      <c r="A9374" t="str">
        <f>"868678812"</f>
        <v>868678812</v>
      </c>
      <c r="B9374" t="s">
        <v>8573</v>
      </c>
      <c r="C9374" s="1">
        <v>2172.5</v>
      </c>
      <c r="D9374" t="str">
        <f t="shared" si="304"/>
        <v>278</v>
      </c>
    </row>
    <row r="9375" spans="1:4" x14ac:dyDescent="0.25">
      <c r="A9375" t="str">
        <f>"868678813"</f>
        <v>868678813</v>
      </c>
      <c r="B9375" t="s">
        <v>8574</v>
      </c>
      <c r="C9375" s="1">
        <v>4719</v>
      </c>
      <c r="D9375" t="str">
        <f t="shared" si="304"/>
        <v>278</v>
      </c>
    </row>
    <row r="9376" spans="1:4" x14ac:dyDescent="0.25">
      <c r="A9376" t="str">
        <f>"868678816"</f>
        <v>868678816</v>
      </c>
      <c r="B9376" t="s">
        <v>8575</v>
      </c>
      <c r="C9376" s="1">
        <v>1100</v>
      </c>
      <c r="D9376" t="str">
        <f t="shared" si="304"/>
        <v>278</v>
      </c>
    </row>
    <row r="9377" spans="1:4" x14ac:dyDescent="0.25">
      <c r="A9377" t="str">
        <f>"868678817"</f>
        <v>868678817</v>
      </c>
      <c r="B9377" t="s">
        <v>8576</v>
      </c>
      <c r="C9377" s="1">
        <v>1450.41</v>
      </c>
      <c r="D9377" t="str">
        <f t="shared" si="304"/>
        <v>278</v>
      </c>
    </row>
    <row r="9378" spans="1:4" x14ac:dyDescent="0.25">
      <c r="A9378" t="str">
        <f>"868678818"</f>
        <v>868678818</v>
      </c>
      <c r="B9378" t="s">
        <v>8577</v>
      </c>
      <c r="C9378" s="1">
        <v>1450.41</v>
      </c>
      <c r="D9378" t="str">
        <f t="shared" si="304"/>
        <v>278</v>
      </c>
    </row>
    <row r="9379" spans="1:4" x14ac:dyDescent="0.25">
      <c r="A9379" t="str">
        <f>"868678819"</f>
        <v>868678819</v>
      </c>
      <c r="B9379" t="s">
        <v>8578</v>
      </c>
      <c r="C9379">
        <v>242</v>
      </c>
      <c r="D9379" t="str">
        <f t="shared" si="304"/>
        <v>278</v>
      </c>
    </row>
    <row r="9380" spans="1:4" x14ac:dyDescent="0.25">
      <c r="A9380" t="str">
        <f>"868678820"</f>
        <v>868678820</v>
      </c>
      <c r="B9380" t="s">
        <v>8579</v>
      </c>
      <c r="C9380">
        <v>528</v>
      </c>
      <c r="D9380" t="str">
        <f t="shared" si="304"/>
        <v>278</v>
      </c>
    </row>
    <row r="9381" spans="1:4" x14ac:dyDescent="0.25">
      <c r="A9381" t="str">
        <f>"868678821"</f>
        <v>868678821</v>
      </c>
      <c r="B9381" t="s">
        <v>8580</v>
      </c>
      <c r="C9381" s="1">
        <v>1806.2</v>
      </c>
      <c r="D9381" t="str">
        <f t="shared" si="304"/>
        <v>278</v>
      </c>
    </row>
    <row r="9382" spans="1:4" x14ac:dyDescent="0.25">
      <c r="A9382" t="str">
        <f>"868678822"</f>
        <v>868678822</v>
      </c>
      <c r="B9382" t="s">
        <v>8581</v>
      </c>
      <c r="C9382">
        <v>286.22000000000003</v>
      </c>
      <c r="D9382" t="str">
        <f t="shared" si="304"/>
        <v>278</v>
      </c>
    </row>
    <row r="9383" spans="1:4" x14ac:dyDescent="0.25">
      <c r="A9383" t="str">
        <f>"868678823"</f>
        <v>868678823</v>
      </c>
      <c r="B9383" t="s">
        <v>8582</v>
      </c>
      <c r="C9383" s="1">
        <v>3267</v>
      </c>
      <c r="D9383" t="str">
        <f t="shared" si="304"/>
        <v>278</v>
      </c>
    </row>
    <row r="9384" spans="1:4" x14ac:dyDescent="0.25">
      <c r="A9384" t="str">
        <f>"868678824"</f>
        <v>868678824</v>
      </c>
      <c r="B9384" t="s">
        <v>8583</v>
      </c>
      <c r="C9384" s="1">
        <v>12650</v>
      </c>
      <c r="D9384" t="str">
        <f t="shared" si="304"/>
        <v>278</v>
      </c>
    </row>
    <row r="9385" spans="1:4" x14ac:dyDescent="0.25">
      <c r="A9385" t="str">
        <f>"868678825"</f>
        <v>868678825</v>
      </c>
      <c r="B9385" t="s">
        <v>8584</v>
      </c>
      <c r="C9385" s="1">
        <v>8250</v>
      </c>
      <c r="D9385" t="str">
        <f t="shared" si="304"/>
        <v>278</v>
      </c>
    </row>
    <row r="9386" spans="1:4" x14ac:dyDescent="0.25">
      <c r="A9386" t="str">
        <f>"868678826"</f>
        <v>868678826</v>
      </c>
      <c r="B9386" t="s">
        <v>8585</v>
      </c>
      <c r="C9386" s="1">
        <v>9900</v>
      </c>
      <c r="D9386" t="str">
        <f t="shared" si="304"/>
        <v>278</v>
      </c>
    </row>
    <row r="9387" spans="1:4" x14ac:dyDescent="0.25">
      <c r="A9387" t="str">
        <f>"868678827"</f>
        <v>868678827</v>
      </c>
      <c r="B9387" t="s">
        <v>8586</v>
      </c>
      <c r="C9387" s="1">
        <v>6600</v>
      </c>
      <c r="D9387" t="str">
        <f t="shared" si="304"/>
        <v>278</v>
      </c>
    </row>
    <row r="9388" spans="1:4" x14ac:dyDescent="0.25">
      <c r="A9388" t="str">
        <f>"8686788279"</f>
        <v>8686788279</v>
      </c>
      <c r="B9388" t="s">
        <v>8587</v>
      </c>
      <c r="C9388" s="1">
        <v>16500</v>
      </c>
      <c r="D9388" t="str">
        <f t="shared" si="304"/>
        <v>278</v>
      </c>
    </row>
    <row r="9389" spans="1:4" x14ac:dyDescent="0.25">
      <c r="A9389" t="str">
        <f>"868678828"</f>
        <v>868678828</v>
      </c>
      <c r="B9389" t="s">
        <v>8588</v>
      </c>
      <c r="C9389" s="1">
        <v>3925.35</v>
      </c>
      <c r="D9389" t="str">
        <f t="shared" si="304"/>
        <v>278</v>
      </c>
    </row>
    <row r="9390" spans="1:4" x14ac:dyDescent="0.25">
      <c r="A9390" t="str">
        <f>"868678829"</f>
        <v>868678829</v>
      </c>
      <c r="B9390" t="s">
        <v>8589</v>
      </c>
      <c r="C9390" s="1">
        <v>4070</v>
      </c>
      <c r="D9390" t="str">
        <f>"270"</f>
        <v>270</v>
      </c>
    </row>
    <row r="9391" spans="1:4" x14ac:dyDescent="0.25">
      <c r="A9391" t="str">
        <f>"868678830"</f>
        <v>868678830</v>
      </c>
      <c r="B9391" t="s">
        <v>8590</v>
      </c>
      <c r="C9391" s="1">
        <v>1452</v>
      </c>
      <c r="D9391" t="str">
        <f t="shared" ref="D9391:D9452" si="305">"278"</f>
        <v>278</v>
      </c>
    </row>
    <row r="9392" spans="1:4" x14ac:dyDescent="0.25">
      <c r="A9392" t="str">
        <f>"868678832"</f>
        <v>868678832</v>
      </c>
      <c r="B9392" t="s">
        <v>8591</v>
      </c>
      <c r="C9392" s="1">
        <v>1452</v>
      </c>
      <c r="D9392" t="str">
        <f t="shared" si="305"/>
        <v>278</v>
      </c>
    </row>
    <row r="9393" spans="1:4" x14ac:dyDescent="0.25">
      <c r="A9393" t="str">
        <f>"868678833"</f>
        <v>868678833</v>
      </c>
      <c r="B9393" t="s">
        <v>8592</v>
      </c>
      <c r="C9393" s="1">
        <v>1452</v>
      </c>
      <c r="D9393" t="str">
        <f t="shared" si="305"/>
        <v>278</v>
      </c>
    </row>
    <row r="9394" spans="1:4" x14ac:dyDescent="0.25">
      <c r="A9394" t="str">
        <f>"868678834"</f>
        <v>868678834</v>
      </c>
      <c r="B9394" t="s">
        <v>8593</v>
      </c>
      <c r="C9394" s="1">
        <v>1452</v>
      </c>
      <c r="D9394" t="str">
        <f t="shared" si="305"/>
        <v>278</v>
      </c>
    </row>
    <row r="9395" spans="1:4" x14ac:dyDescent="0.25">
      <c r="A9395" t="str">
        <f>"8686788346"</f>
        <v>8686788346</v>
      </c>
      <c r="B9395" t="s">
        <v>8594</v>
      </c>
      <c r="C9395" s="1">
        <v>7590</v>
      </c>
      <c r="D9395" t="str">
        <f t="shared" si="305"/>
        <v>278</v>
      </c>
    </row>
    <row r="9396" spans="1:4" x14ac:dyDescent="0.25">
      <c r="A9396" t="str">
        <f>"868678835"</f>
        <v>868678835</v>
      </c>
      <c r="B9396" t="s">
        <v>8595</v>
      </c>
      <c r="C9396" s="1">
        <v>1452</v>
      </c>
      <c r="D9396" t="str">
        <f t="shared" si="305"/>
        <v>278</v>
      </c>
    </row>
    <row r="9397" spans="1:4" x14ac:dyDescent="0.25">
      <c r="A9397" t="str">
        <f>"868678836"</f>
        <v>868678836</v>
      </c>
      <c r="B9397" t="s">
        <v>8596</v>
      </c>
      <c r="C9397" s="1">
        <v>1056</v>
      </c>
      <c r="D9397" t="str">
        <f t="shared" si="305"/>
        <v>278</v>
      </c>
    </row>
    <row r="9398" spans="1:4" x14ac:dyDescent="0.25">
      <c r="A9398" t="str">
        <f>"868678837"</f>
        <v>868678837</v>
      </c>
      <c r="B9398" t="s">
        <v>8597</v>
      </c>
      <c r="C9398">
        <v>844.8</v>
      </c>
      <c r="D9398" t="str">
        <f t="shared" si="305"/>
        <v>278</v>
      </c>
    </row>
    <row r="9399" spans="1:4" x14ac:dyDescent="0.25">
      <c r="A9399" t="str">
        <f>"868678838"</f>
        <v>868678838</v>
      </c>
      <c r="B9399" t="s">
        <v>8598</v>
      </c>
      <c r="C9399">
        <v>844.8</v>
      </c>
      <c r="D9399" t="str">
        <f t="shared" si="305"/>
        <v>278</v>
      </c>
    </row>
    <row r="9400" spans="1:4" x14ac:dyDescent="0.25">
      <c r="A9400" t="str">
        <f>"868678839"</f>
        <v>868678839</v>
      </c>
      <c r="B9400" t="s">
        <v>8599</v>
      </c>
      <c r="C9400" s="1">
        <v>27555</v>
      </c>
      <c r="D9400" t="str">
        <f t="shared" si="305"/>
        <v>278</v>
      </c>
    </row>
    <row r="9401" spans="1:4" x14ac:dyDescent="0.25">
      <c r="A9401" t="str">
        <f>"868678843"</f>
        <v>868678843</v>
      </c>
      <c r="B9401" t="s">
        <v>8600</v>
      </c>
      <c r="C9401" s="1">
        <v>5582.5</v>
      </c>
      <c r="D9401" t="str">
        <f t="shared" si="305"/>
        <v>278</v>
      </c>
    </row>
    <row r="9402" spans="1:4" x14ac:dyDescent="0.25">
      <c r="A9402" t="str">
        <f>"868678844"</f>
        <v>868678844</v>
      </c>
      <c r="B9402" t="s">
        <v>8601</v>
      </c>
      <c r="C9402" s="1">
        <v>1320</v>
      </c>
      <c r="D9402" t="str">
        <f t="shared" si="305"/>
        <v>278</v>
      </c>
    </row>
    <row r="9403" spans="1:4" x14ac:dyDescent="0.25">
      <c r="A9403" t="str">
        <f>"868678845"</f>
        <v>868678845</v>
      </c>
      <c r="B9403" t="s">
        <v>8602</v>
      </c>
      <c r="C9403" s="1">
        <v>1320</v>
      </c>
      <c r="D9403" t="str">
        <f t="shared" si="305"/>
        <v>278</v>
      </c>
    </row>
    <row r="9404" spans="1:4" x14ac:dyDescent="0.25">
      <c r="A9404" t="str">
        <f>"868678846"</f>
        <v>868678846</v>
      </c>
      <c r="B9404" t="s">
        <v>8603</v>
      </c>
      <c r="C9404" s="1">
        <v>1320</v>
      </c>
      <c r="D9404" t="str">
        <f t="shared" si="305"/>
        <v>278</v>
      </c>
    </row>
    <row r="9405" spans="1:4" x14ac:dyDescent="0.25">
      <c r="A9405" t="str">
        <f>"868678847"</f>
        <v>868678847</v>
      </c>
      <c r="B9405" t="s">
        <v>8604</v>
      </c>
      <c r="C9405" s="1">
        <v>10560</v>
      </c>
      <c r="D9405" t="str">
        <f t="shared" si="305"/>
        <v>278</v>
      </c>
    </row>
    <row r="9406" spans="1:4" x14ac:dyDescent="0.25">
      <c r="A9406" t="str">
        <f>"868678848"</f>
        <v>868678848</v>
      </c>
      <c r="B9406" t="s">
        <v>8605</v>
      </c>
      <c r="C9406" s="1">
        <v>7975</v>
      </c>
      <c r="D9406" t="str">
        <f t="shared" si="305"/>
        <v>278</v>
      </c>
    </row>
    <row r="9407" spans="1:4" x14ac:dyDescent="0.25">
      <c r="A9407" t="str">
        <f>"868678849"</f>
        <v>868678849</v>
      </c>
      <c r="B9407" t="s">
        <v>8606</v>
      </c>
      <c r="C9407" s="1">
        <v>1947</v>
      </c>
      <c r="D9407" t="str">
        <f t="shared" si="305"/>
        <v>278</v>
      </c>
    </row>
    <row r="9408" spans="1:4" x14ac:dyDescent="0.25">
      <c r="A9408" t="str">
        <f>"868678850"</f>
        <v>868678850</v>
      </c>
      <c r="B9408" t="s">
        <v>8607</v>
      </c>
      <c r="C9408" s="1">
        <v>1947</v>
      </c>
      <c r="D9408" t="str">
        <f t="shared" si="305"/>
        <v>278</v>
      </c>
    </row>
    <row r="9409" spans="1:4" x14ac:dyDescent="0.25">
      <c r="A9409" t="str">
        <f>"868678851"</f>
        <v>868678851</v>
      </c>
      <c r="B9409" t="s">
        <v>8608</v>
      </c>
      <c r="C9409" s="1">
        <v>3520</v>
      </c>
      <c r="D9409" t="str">
        <f t="shared" si="305"/>
        <v>278</v>
      </c>
    </row>
    <row r="9410" spans="1:4" x14ac:dyDescent="0.25">
      <c r="A9410" t="str">
        <f>"868678859"</f>
        <v>868678859</v>
      </c>
      <c r="B9410" t="s">
        <v>8609</v>
      </c>
      <c r="C9410" s="1">
        <v>13750</v>
      </c>
      <c r="D9410" t="str">
        <f t="shared" si="305"/>
        <v>278</v>
      </c>
    </row>
    <row r="9411" spans="1:4" x14ac:dyDescent="0.25">
      <c r="A9411" t="str">
        <f>"8686788838"</f>
        <v>8686788838</v>
      </c>
      <c r="B9411" t="s">
        <v>8610</v>
      </c>
      <c r="C9411">
        <v>844.8</v>
      </c>
      <c r="D9411" t="str">
        <f t="shared" si="305"/>
        <v>278</v>
      </c>
    </row>
    <row r="9412" spans="1:4" x14ac:dyDescent="0.25">
      <c r="A9412" t="str">
        <f>"8686788840"</f>
        <v>8686788840</v>
      </c>
      <c r="B9412" t="s">
        <v>8611</v>
      </c>
      <c r="C9412" s="1">
        <v>2200</v>
      </c>
      <c r="D9412" t="str">
        <f t="shared" si="305"/>
        <v>278</v>
      </c>
    </row>
    <row r="9413" spans="1:4" x14ac:dyDescent="0.25">
      <c r="A9413" t="str">
        <f>"8686788841"</f>
        <v>8686788841</v>
      </c>
      <c r="B9413" t="s">
        <v>8612</v>
      </c>
      <c r="C9413" s="1">
        <v>9850.5</v>
      </c>
      <c r="D9413" t="str">
        <f t="shared" si="305"/>
        <v>278</v>
      </c>
    </row>
    <row r="9414" spans="1:4" x14ac:dyDescent="0.25">
      <c r="A9414" t="str">
        <f>"8686788842"</f>
        <v>8686788842</v>
      </c>
      <c r="B9414" t="s">
        <v>8613</v>
      </c>
      <c r="C9414" s="1">
        <v>5890.5</v>
      </c>
      <c r="D9414" t="str">
        <f t="shared" si="305"/>
        <v>278</v>
      </c>
    </row>
    <row r="9415" spans="1:4" x14ac:dyDescent="0.25">
      <c r="A9415" t="str">
        <f>"868678885"</f>
        <v>868678885</v>
      </c>
      <c r="B9415" t="s">
        <v>8614</v>
      </c>
      <c r="C9415" s="1">
        <v>1432.2</v>
      </c>
      <c r="D9415" t="str">
        <f t="shared" si="305"/>
        <v>278</v>
      </c>
    </row>
    <row r="9416" spans="1:4" x14ac:dyDescent="0.25">
      <c r="A9416" t="str">
        <f>"868678886"</f>
        <v>868678886</v>
      </c>
      <c r="B9416" t="s">
        <v>8615</v>
      </c>
      <c r="C9416" s="1">
        <v>2244</v>
      </c>
      <c r="D9416" t="str">
        <f t="shared" si="305"/>
        <v>278</v>
      </c>
    </row>
    <row r="9417" spans="1:4" x14ac:dyDescent="0.25">
      <c r="A9417" t="str">
        <f>"868678887"</f>
        <v>868678887</v>
      </c>
      <c r="B9417" t="s">
        <v>8616</v>
      </c>
      <c r="C9417" s="1">
        <v>1663.2</v>
      </c>
      <c r="D9417" t="str">
        <f t="shared" si="305"/>
        <v>278</v>
      </c>
    </row>
    <row r="9418" spans="1:4" x14ac:dyDescent="0.25">
      <c r="A9418" t="str">
        <f>"868678888"</f>
        <v>868678888</v>
      </c>
      <c r="B9418" t="s">
        <v>8617</v>
      </c>
      <c r="C9418" s="1">
        <v>6514.2</v>
      </c>
      <c r="D9418" t="str">
        <f t="shared" si="305"/>
        <v>278</v>
      </c>
    </row>
    <row r="9419" spans="1:4" x14ac:dyDescent="0.25">
      <c r="A9419" t="str">
        <f>"868678889"</f>
        <v>868678889</v>
      </c>
      <c r="B9419" t="s">
        <v>8618</v>
      </c>
      <c r="C9419" s="1">
        <v>17490</v>
      </c>
      <c r="D9419" t="str">
        <f t="shared" si="305"/>
        <v>278</v>
      </c>
    </row>
    <row r="9420" spans="1:4" x14ac:dyDescent="0.25">
      <c r="A9420" t="str">
        <f>"868678890"</f>
        <v>868678890</v>
      </c>
      <c r="B9420" t="s">
        <v>8619</v>
      </c>
      <c r="C9420">
        <v>877.8</v>
      </c>
      <c r="D9420" t="str">
        <f t="shared" si="305"/>
        <v>278</v>
      </c>
    </row>
    <row r="9421" spans="1:4" x14ac:dyDescent="0.25">
      <c r="A9421" t="str">
        <f>"868678891"</f>
        <v>868678891</v>
      </c>
      <c r="B9421" t="s">
        <v>8620</v>
      </c>
      <c r="C9421">
        <v>739.2</v>
      </c>
      <c r="D9421" t="str">
        <f t="shared" si="305"/>
        <v>278</v>
      </c>
    </row>
    <row r="9422" spans="1:4" x14ac:dyDescent="0.25">
      <c r="A9422" t="str">
        <f>"868678892"</f>
        <v>868678892</v>
      </c>
      <c r="B9422" t="s">
        <v>8621</v>
      </c>
      <c r="C9422" s="1">
        <v>14025</v>
      </c>
      <c r="D9422" t="str">
        <f t="shared" si="305"/>
        <v>278</v>
      </c>
    </row>
    <row r="9423" spans="1:4" x14ac:dyDescent="0.25">
      <c r="A9423" t="str">
        <f>"868678893"</f>
        <v>868678893</v>
      </c>
      <c r="B9423" t="s">
        <v>8622</v>
      </c>
      <c r="C9423" s="1">
        <v>16500</v>
      </c>
      <c r="D9423" t="str">
        <f t="shared" si="305"/>
        <v>278</v>
      </c>
    </row>
    <row r="9424" spans="1:4" x14ac:dyDescent="0.25">
      <c r="A9424" t="str">
        <f>"868678894"</f>
        <v>868678894</v>
      </c>
      <c r="B9424" t="s">
        <v>8623</v>
      </c>
      <c r="C9424" s="1">
        <v>1148.4000000000001</v>
      </c>
      <c r="D9424" t="str">
        <f t="shared" si="305"/>
        <v>278</v>
      </c>
    </row>
    <row r="9425" spans="1:4" x14ac:dyDescent="0.25">
      <c r="A9425" t="str">
        <f>"868678895"</f>
        <v>868678895</v>
      </c>
      <c r="B9425" t="s">
        <v>8624</v>
      </c>
      <c r="C9425" s="1">
        <v>1122</v>
      </c>
      <c r="D9425" t="str">
        <f t="shared" si="305"/>
        <v>278</v>
      </c>
    </row>
    <row r="9426" spans="1:4" x14ac:dyDescent="0.25">
      <c r="A9426" t="str">
        <f>"868678896"</f>
        <v>868678896</v>
      </c>
      <c r="B9426" t="s">
        <v>8625</v>
      </c>
      <c r="C9426">
        <v>287.10000000000002</v>
      </c>
      <c r="D9426" t="str">
        <f t="shared" si="305"/>
        <v>278</v>
      </c>
    </row>
    <row r="9427" spans="1:4" x14ac:dyDescent="0.25">
      <c r="A9427" t="str">
        <f>"868678897"</f>
        <v>868678897</v>
      </c>
      <c r="B9427" t="s">
        <v>8626</v>
      </c>
      <c r="C9427">
        <v>287.10000000000002</v>
      </c>
      <c r="D9427" t="str">
        <f t="shared" si="305"/>
        <v>278</v>
      </c>
    </row>
    <row r="9428" spans="1:4" x14ac:dyDescent="0.25">
      <c r="A9428" t="str">
        <f>"868678898"</f>
        <v>868678898</v>
      </c>
      <c r="B9428" t="s">
        <v>8627</v>
      </c>
      <c r="C9428">
        <v>287.10000000000002</v>
      </c>
      <c r="D9428" t="str">
        <f t="shared" si="305"/>
        <v>278</v>
      </c>
    </row>
    <row r="9429" spans="1:4" x14ac:dyDescent="0.25">
      <c r="A9429" t="str">
        <f>"868678899"</f>
        <v>868678899</v>
      </c>
      <c r="B9429" t="s">
        <v>8628</v>
      </c>
      <c r="C9429" s="1">
        <v>1694</v>
      </c>
      <c r="D9429" t="str">
        <f t="shared" si="305"/>
        <v>278</v>
      </c>
    </row>
    <row r="9430" spans="1:4" x14ac:dyDescent="0.25">
      <c r="A9430" t="str">
        <f>"868678910"</f>
        <v>868678910</v>
      </c>
      <c r="B9430" t="s">
        <v>8629</v>
      </c>
      <c r="C9430" s="1">
        <v>4537.5</v>
      </c>
      <c r="D9430" t="str">
        <f t="shared" si="305"/>
        <v>278</v>
      </c>
    </row>
    <row r="9431" spans="1:4" x14ac:dyDescent="0.25">
      <c r="A9431" t="str">
        <f>"868678911"</f>
        <v>868678911</v>
      </c>
      <c r="B9431" t="s">
        <v>8630</v>
      </c>
      <c r="C9431" s="1">
        <v>8558</v>
      </c>
      <c r="D9431" t="str">
        <f t="shared" si="305"/>
        <v>278</v>
      </c>
    </row>
    <row r="9432" spans="1:4" x14ac:dyDescent="0.25">
      <c r="A9432" t="str">
        <f>"868678912"</f>
        <v>868678912</v>
      </c>
      <c r="B9432" t="s">
        <v>8630</v>
      </c>
      <c r="C9432" s="1">
        <v>5134.8</v>
      </c>
      <c r="D9432" t="str">
        <f t="shared" si="305"/>
        <v>278</v>
      </c>
    </row>
    <row r="9433" spans="1:4" x14ac:dyDescent="0.25">
      <c r="A9433" t="str">
        <f>"868678913"</f>
        <v>868678913</v>
      </c>
      <c r="B9433" t="s">
        <v>8631</v>
      </c>
      <c r="C9433" s="1">
        <v>1148.4000000000001</v>
      </c>
      <c r="D9433" t="str">
        <f t="shared" si="305"/>
        <v>278</v>
      </c>
    </row>
    <row r="9434" spans="1:4" x14ac:dyDescent="0.25">
      <c r="A9434" t="str">
        <f>"868678914"</f>
        <v>868678914</v>
      </c>
      <c r="B9434" t="s">
        <v>8632</v>
      </c>
      <c r="C9434">
        <v>646.79999999999995</v>
      </c>
      <c r="D9434" t="str">
        <f t="shared" si="305"/>
        <v>278</v>
      </c>
    </row>
    <row r="9435" spans="1:4" x14ac:dyDescent="0.25">
      <c r="A9435" t="str">
        <f>"868678915"</f>
        <v>868678915</v>
      </c>
      <c r="B9435" t="s">
        <v>8633</v>
      </c>
      <c r="C9435" s="1">
        <v>1524.6</v>
      </c>
      <c r="D9435" t="str">
        <f t="shared" si="305"/>
        <v>278</v>
      </c>
    </row>
    <row r="9436" spans="1:4" x14ac:dyDescent="0.25">
      <c r="A9436" t="str">
        <f>"868678916"</f>
        <v>868678916</v>
      </c>
      <c r="B9436" t="s">
        <v>8634</v>
      </c>
      <c r="C9436" s="1">
        <v>1355.2</v>
      </c>
      <c r="D9436" t="str">
        <f t="shared" si="305"/>
        <v>278</v>
      </c>
    </row>
    <row r="9437" spans="1:4" x14ac:dyDescent="0.25">
      <c r="A9437" t="str">
        <f>"868678917"</f>
        <v>868678917</v>
      </c>
      <c r="B9437" t="s">
        <v>8635</v>
      </c>
      <c r="C9437" s="1">
        <v>1694</v>
      </c>
      <c r="D9437" t="str">
        <f t="shared" si="305"/>
        <v>278</v>
      </c>
    </row>
    <row r="9438" spans="1:4" x14ac:dyDescent="0.25">
      <c r="A9438" t="str">
        <f>"868678918"</f>
        <v>868678918</v>
      </c>
      <c r="B9438" t="s">
        <v>8636</v>
      </c>
      <c r="C9438" s="1">
        <v>6636.3</v>
      </c>
      <c r="D9438" t="str">
        <f t="shared" si="305"/>
        <v>278</v>
      </c>
    </row>
    <row r="9439" spans="1:4" x14ac:dyDescent="0.25">
      <c r="A9439" t="str">
        <f>"868678919"</f>
        <v>868678919</v>
      </c>
      <c r="B9439" t="s">
        <v>8637</v>
      </c>
      <c r="C9439" s="1">
        <v>2225.3000000000002</v>
      </c>
      <c r="D9439" t="str">
        <f t="shared" si="305"/>
        <v>278</v>
      </c>
    </row>
    <row r="9440" spans="1:4" x14ac:dyDescent="0.25">
      <c r="A9440" t="str">
        <f>"868678920"</f>
        <v>868678920</v>
      </c>
      <c r="B9440" t="s">
        <v>8638</v>
      </c>
      <c r="C9440" s="1">
        <v>4273.5</v>
      </c>
      <c r="D9440" t="str">
        <f t="shared" si="305"/>
        <v>278</v>
      </c>
    </row>
    <row r="9441" spans="1:4" x14ac:dyDescent="0.25">
      <c r="A9441" t="str">
        <f>"868678921"</f>
        <v>868678921</v>
      </c>
      <c r="B9441" t="s">
        <v>8639</v>
      </c>
      <c r="C9441" s="1">
        <v>1831.5</v>
      </c>
      <c r="D9441" t="str">
        <f t="shared" si="305"/>
        <v>278</v>
      </c>
    </row>
    <row r="9442" spans="1:4" x14ac:dyDescent="0.25">
      <c r="A9442" t="str">
        <f>"868678922"</f>
        <v>868678922</v>
      </c>
      <c r="B9442" t="s">
        <v>8640</v>
      </c>
      <c r="C9442" s="1">
        <v>1650</v>
      </c>
      <c r="D9442" t="str">
        <f t="shared" si="305"/>
        <v>278</v>
      </c>
    </row>
    <row r="9443" spans="1:4" x14ac:dyDescent="0.25">
      <c r="A9443" t="str">
        <f>"868678923"</f>
        <v>868678923</v>
      </c>
      <c r="B9443" t="s">
        <v>8641</v>
      </c>
      <c r="C9443" s="1">
        <v>1524.6</v>
      </c>
      <c r="D9443" t="str">
        <f t="shared" si="305"/>
        <v>278</v>
      </c>
    </row>
    <row r="9444" spans="1:4" x14ac:dyDescent="0.25">
      <c r="A9444" t="str">
        <f>"868678924"</f>
        <v>868678924</v>
      </c>
      <c r="B9444" t="s">
        <v>8642</v>
      </c>
      <c r="C9444" s="1">
        <v>3850</v>
      </c>
      <c r="D9444" t="str">
        <f t="shared" si="305"/>
        <v>278</v>
      </c>
    </row>
    <row r="9445" spans="1:4" x14ac:dyDescent="0.25">
      <c r="A9445" t="str">
        <f>"868678925"</f>
        <v>868678925</v>
      </c>
      <c r="B9445" t="s">
        <v>8643</v>
      </c>
      <c r="C9445" s="1">
        <v>16500</v>
      </c>
      <c r="D9445" t="str">
        <f t="shared" si="305"/>
        <v>278</v>
      </c>
    </row>
    <row r="9446" spans="1:4" x14ac:dyDescent="0.25">
      <c r="A9446" t="str">
        <f>"868678927"</f>
        <v>868678927</v>
      </c>
      <c r="B9446" t="s">
        <v>7022</v>
      </c>
      <c r="C9446">
        <v>786.5</v>
      </c>
      <c r="D9446" t="str">
        <f t="shared" si="305"/>
        <v>278</v>
      </c>
    </row>
    <row r="9447" spans="1:4" x14ac:dyDescent="0.25">
      <c r="A9447" t="str">
        <f>"868678929"</f>
        <v>868678929</v>
      </c>
      <c r="B9447" t="s">
        <v>8644</v>
      </c>
      <c r="C9447" s="1">
        <v>7048.8</v>
      </c>
      <c r="D9447" t="str">
        <f t="shared" si="305"/>
        <v>278</v>
      </c>
    </row>
    <row r="9448" spans="1:4" x14ac:dyDescent="0.25">
      <c r="A9448" t="str">
        <f>"868678930"</f>
        <v>868678930</v>
      </c>
      <c r="B9448" t="s">
        <v>8645</v>
      </c>
      <c r="C9448" s="1">
        <v>11220</v>
      </c>
      <c r="D9448" t="str">
        <f t="shared" si="305"/>
        <v>278</v>
      </c>
    </row>
    <row r="9449" spans="1:4" x14ac:dyDescent="0.25">
      <c r="A9449" t="str">
        <f>"868678931"</f>
        <v>868678931</v>
      </c>
      <c r="B9449" t="s">
        <v>8646</v>
      </c>
      <c r="C9449" s="1">
        <v>5280</v>
      </c>
      <c r="D9449" t="str">
        <f t="shared" si="305"/>
        <v>278</v>
      </c>
    </row>
    <row r="9450" spans="1:4" x14ac:dyDescent="0.25">
      <c r="A9450" t="str">
        <f>"868678932"</f>
        <v>868678932</v>
      </c>
      <c r="B9450" t="s">
        <v>8647</v>
      </c>
      <c r="C9450" s="1">
        <v>4675</v>
      </c>
      <c r="D9450" t="str">
        <f t="shared" si="305"/>
        <v>278</v>
      </c>
    </row>
    <row r="9451" spans="1:4" x14ac:dyDescent="0.25">
      <c r="A9451" t="str">
        <f>"868678933"</f>
        <v>868678933</v>
      </c>
      <c r="B9451" t="s">
        <v>8647</v>
      </c>
      <c r="C9451" s="1">
        <v>4675</v>
      </c>
      <c r="D9451" t="str">
        <f t="shared" si="305"/>
        <v>278</v>
      </c>
    </row>
    <row r="9452" spans="1:4" x14ac:dyDescent="0.25">
      <c r="A9452" t="str">
        <f>"868678934"</f>
        <v>868678934</v>
      </c>
      <c r="B9452" t="s">
        <v>8648</v>
      </c>
      <c r="C9452" s="1">
        <v>4675</v>
      </c>
      <c r="D9452" t="str">
        <f t="shared" si="305"/>
        <v>278</v>
      </c>
    </row>
    <row r="9453" spans="1:4" x14ac:dyDescent="0.25">
      <c r="A9453" t="str">
        <f>"868678935"</f>
        <v>868678935</v>
      </c>
      <c r="B9453" t="s">
        <v>8649</v>
      </c>
      <c r="C9453">
        <v>962.5</v>
      </c>
      <c r="D9453" t="str">
        <f t="shared" ref="D9453:D9505" si="306">"278"</f>
        <v>278</v>
      </c>
    </row>
    <row r="9454" spans="1:4" x14ac:dyDescent="0.25">
      <c r="A9454" t="str">
        <f>"8686789359"</f>
        <v>8686789359</v>
      </c>
      <c r="B9454" t="s">
        <v>8650</v>
      </c>
      <c r="C9454" s="1">
        <v>1755.6</v>
      </c>
      <c r="D9454" t="str">
        <f t="shared" si="306"/>
        <v>278</v>
      </c>
    </row>
    <row r="9455" spans="1:4" x14ac:dyDescent="0.25">
      <c r="A9455" t="str">
        <f>"868678936"</f>
        <v>868678936</v>
      </c>
      <c r="B9455" t="s">
        <v>8651</v>
      </c>
      <c r="C9455" s="1">
        <v>6600</v>
      </c>
      <c r="D9455" t="str">
        <f t="shared" si="306"/>
        <v>278</v>
      </c>
    </row>
    <row r="9456" spans="1:4" x14ac:dyDescent="0.25">
      <c r="A9456" t="str">
        <f>"868678938"</f>
        <v>868678938</v>
      </c>
      <c r="B9456" t="s">
        <v>8652</v>
      </c>
      <c r="C9456" s="1">
        <v>16500</v>
      </c>
      <c r="D9456" t="str">
        <f t="shared" si="306"/>
        <v>278</v>
      </c>
    </row>
    <row r="9457" spans="1:4" x14ac:dyDescent="0.25">
      <c r="A9457" t="str">
        <f>"868678939"</f>
        <v>868678939</v>
      </c>
      <c r="B9457" t="s">
        <v>8653</v>
      </c>
      <c r="C9457" s="1">
        <v>13137.3</v>
      </c>
      <c r="D9457" t="str">
        <f t="shared" si="306"/>
        <v>278</v>
      </c>
    </row>
    <row r="9458" spans="1:4" x14ac:dyDescent="0.25">
      <c r="A9458" t="str">
        <f>"868678940"</f>
        <v>868678940</v>
      </c>
      <c r="B9458" t="s">
        <v>8654</v>
      </c>
      <c r="C9458" s="1">
        <v>6160</v>
      </c>
      <c r="D9458" t="str">
        <f t="shared" si="306"/>
        <v>278</v>
      </c>
    </row>
    <row r="9459" spans="1:4" x14ac:dyDescent="0.25">
      <c r="A9459" t="str">
        <f>"868678941"</f>
        <v>868678941</v>
      </c>
      <c r="B9459" t="s">
        <v>8655</v>
      </c>
      <c r="C9459" s="1">
        <v>21120</v>
      </c>
      <c r="D9459" t="str">
        <f t="shared" si="306"/>
        <v>278</v>
      </c>
    </row>
    <row r="9460" spans="1:4" x14ac:dyDescent="0.25">
      <c r="A9460" t="str">
        <f>"868678942"</f>
        <v>868678942</v>
      </c>
      <c r="B9460" t="s">
        <v>8656</v>
      </c>
      <c r="C9460" s="1">
        <v>7700</v>
      </c>
      <c r="D9460" t="str">
        <f t="shared" si="306"/>
        <v>278</v>
      </c>
    </row>
    <row r="9461" spans="1:4" x14ac:dyDescent="0.25">
      <c r="A9461" t="str">
        <f>"868678943"</f>
        <v>868678943</v>
      </c>
      <c r="B9461" t="s">
        <v>8657</v>
      </c>
      <c r="C9461" s="1">
        <v>8250</v>
      </c>
      <c r="D9461" t="str">
        <f t="shared" si="306"/>
        <v>278</v>
      </c>
    </row>
    <row r="9462" spans="1:4" x14ac:dyDescent="0.25">
      <c r="A9462" t="str">
        <f>"868678944"</f>
        <v>868678944</v>
      </c>
      <c r="B9462" t="s">
        <v>8658</v>
      </c>
      <c r="C9462">
        <v>825</v>
      </c>
      <c r="D9462" t="str">
        <f t="shared" si="306"/>
        <v>278</v>
      </c>
    </row>
    <row r="9463" spans="1:4" x14ac:dyDescent="0.25">
      <c r="A9463" t="str">
        <f>"868678945"</f>
        <v>868678945</v>
      </c>
      <c r="B9463" t="s">
        <v>8659</v>
      </c>
      <c r="C9463" s="1">
        <v>1375</v>
      </c>
      <c r="D9463" t="str">
        <f t="shared" si="306"/>
        <v>278</v>
      </c>
    </row>
    <row r="9464" spans="1:4" x14ac:dyDescent="0.25">
      <c r="A9464" t="str">
        <f>"868678946"</f>
        <v>868678946</v>
      </c>
      <c r="B9464" t="s">
        <v>8660</v>
      </c>
      <c r="C9464" s="1">
        <v>9625</v>
      </c>
      <c r="D9464" t="str">
        <f t="shared" si="306"/>
        <v>278</v>
      </c>
    </row>
    <row r="9465" spans="1:4" x14ac:dyDescent="0.25">
      <c r="A9465" t="str">
        <f>"868678947"</f>
        <v>868678947</v>
      </c>
      <c r="B9465" t="s">
        <v>8661</v>
      </c>
      <c r="C9465" s="1">
        <v>8250</v>
      </c>
      <c r="D9465" t="str">
        <f t="shared" si="306"/>
        <v>278</v>
      </c>
    </row>
    <row r="9466" spans="1:4" x14ac:dyDescent="0.25">
      <c r="A9466" t="str">
        <f>"868678948"</f>
        <v>868678948</v>
      </c>
      <c r="B9466" t="s">
        <v>8662</v>
      </c>
      <c r="C9466">
        <v>825</v>
      </c>
      <c r="D9466" t="str">
        <f t="shared" si="306"/>
        <v>278</v>
      </c>
    </row>
    <row r="9467" spans="1:4" x14ac:dyDescent="0.25">
      <c r="A9467" t="str">
        <f>"868678949"</f>
        <v>868678949</v>
      </c>
      <c r="B9467" t="s">
        <v>8663</v>
      </c>
      <c r="C9467" s="1">
        <v>7562.5</v>
      </c>
      <c r="D9467" t="str">
        <f t="shared" si="306"/>
        <v>278</v>
      </c>
    </row>
    <row r="9468" spans="1:4" x14ac:dyDescent="0.25">
      <c r="A9468" t="str">
        <f>"868678950"</f>
        <v>868678950</v>
      </c>
      <c r="B9468" t="s">
        <v>8664</v>
      </c>
      <c r="C9468" s="1">
        <v>11000</v>
      </c>
      <c r="D9468" t="str">
        <f t="shared" si="306"/>
        <v>278</v>
      </c>
    </row>
    <row r="9469" spans="1:4" x14ac:dyDescent="0.25">
      <c r="A9469" t="str">
        <f>"868678951"</f>
        <v>868678951</v>
      </c>
      <c r="B9469" t="s">
        <v>8665</v>
      </c>
      <c r="C9469" s="1">
        <v>5580.25</v>
      </c>
      <c r="D9469" t="str">
        <f t="shared" si="306"/>
        <v>278</v>
      </c>
    </row>
    <row r="9470" spans="1:4" x14ac:dyDescent="0.25">
      <c r="A9470" t="str">
        <f>"868678952"</f>
        <v>868678952</v>
      </c>
      <c r="B9470" t="s">
        <v>8666</v>
      </c>
      <c r="C9470" s="1">
        <v>5879.5</v>
      </c>
      <c r="D9470" t="str">
        <f t="shared" si="306"/>
        <v>278</v>
      </c>
    </row>
    <row r="9471" spans="1:4" x14ac:dyDescent="0.25">
      <c r="A9471" t="str">
        <f>"868678953"</f>
        <v>868678953</v>
      </c>
      <c r="B9471" t="s">
        <v>8667</v>
      </c>
      <c r="C9471" s="1">
        <v>4438.5</v>
      </c>
      <c r="D9471" t="str">
        <f t="shared" si="306"/>
        <v>278</v>
      </c>
    </row>
    <row r="9472" spans="1:4" x14ac:dyDescent="0.25">
      <c r="A9472" t="str">
        <f>"868678954"</f>
        <v>868678954</v>
      </c>
      <c r="B9472" t="s">
        <v>8668</v>
      </c>
      <c r="C9472" s="1">
        <v>8870.4</v>
      </c>
      <c r="D9472" t="str">
        <f t="shared" si="306"/>
        <v>278</v>
      </c>
    </row>
    <row r="9473" spans="1:4" x14ac:dyDescent="0.25">
      <c r="A9473" t="str">
        <f>"868678955"</f>
        <v>868678955</v>
      </c>
      <c r="B9473" t="s">
        <v>8669</v>
      </c>
      <c r="C9473" s="1">
        <v>4361.5</v>
      </c>
      <c r="D9473" t="str">
        <f t="shared" si="306"/>
        <v>278</v>
      </c>
    </row>
    <row r="9474" spans="1:4" x14ac:dyDescent="0.25">
      <c r="A9474" t="str">
        <f>"868678956"</f>
        <v>868678956</v>
      </c>
      <c r="B9474" t="s">
        <v>8670</v>
      </c>
      <c r="C9474" s="1">
        <v>11475.2</v>
      </c>
      <c r="D9474" t="str">
        <f t="shared" si="306"/>
        <v>278</v>
      </c>
    </row>
    <row r="9475" spans="1:4" x14ac:dyDescent="0.25">
      <c r="A9475" t="str">
        <f>"868678961"</f>
        <v>868678961</v>
      </c>
      <c r="B9475" t="s">
        <v>8671</v>
      </c>
      <c r="C9475" s="1">
        <v>1149.5</v>
      </c>
      <c r="D9475" t="str">
        <f t="shared" si="306"/>
        <v>278</v>
      </c>
    </row>
    <row r="9476" spans="1:4" x14ac:dyDescent="0.25">
      <c r="A9476" t="str">
        <f>"868678962"</f>
        <v>868678962</v>
      </c>
      <c r="B9476" t="s">
        <v>8672</v>
      </c>
      <c r="C9476">
        <v>723.8</v>
      </c>
      <c r="D9476" t="str">
        <f t="shared" si="306"/>
        <v>278</v>
      </c>
    </row>
    <row r="9477" spans="1:4" x14ac:dyDescent="0.25">
      <c r="A9477" t="str">
        <f>"868678967"</f>
        <v>868678967</v>
      </c>
      <c r="B9477" t="s">
        <v>8673</v>
      </c>
      <c r="C9477" s="1">
        <v>16665</v>
      </c>
      <c r="D9477" t="str">
        <f t="shared" si="306"/>
        <v>278</v>
      </c>
    </row>
    <row r="9478" spans="1:4" x14ac:dyDescent="0.25">
      <c r="A9478" t="str">
        <f>"868678968"</f>
        <v>868678968</v>
      </c>
      <c r="B9478" t="s">
        <v>8674</v>
      </c>
      <c r="C9478" s="1">
        <v>3575</v>
      </c>
      <c r="D9478" t="str">
        <f t="shared" si="306"/>
        <v>278</v>
      </c>
    </row>
    <row r="9479" spans="1:4" x14ac:dyDescent="0.25">
      <c r="A9479" t="str">
        <f>"868678969"</f>
        <v>868678969</v>
      </c>
      <c r="B9479" t="s">
        <v>8675</v>
      </c>
      <c r="C9479" s="1">
        <v>3300</v>
      </c>
      <c r="D9479" t="str">
        <f t="shared" si="306"/>
        <v>278</v>
      </c>
    </row>
    <row r="9480" spans="1:4" x14ac:dyDescent="0.25">
      <c r="A9480" t="str">
        <f>"868678971"</f>
        <v>868678971</v>
      </c>
      <c r="B9480" t="s">
        <v>8676</v>
      </c>
      <c r="C9480" s="1">
        <v>7296.3</v>
      </c>
      <c r="D9480" t="str">
        <f t="shared" si="306"/>
        <v>278</v>
      </c>
    </row>
    <row r="9481" spans="1:4" x14ac:dyDescent="0.25">
      <c r="A9481" t="str">
        <f>"868678972"</f>
        <v>868678972</v>
      </c>
      <c r="B9481" t="s">
        <v>8677</v>
      </c>
      <c r="C9481" s="1">
        <v>1795.2</v>
      </c>
      <c r="D9481" t="str">
        <f t="shared" si="306"/>
        <v>278</v>
      </c>
    </row>
    <row r="9482" spans="1:4" x14ac:dyDescent="0.25">
      <c r="A9482" t="str">
        <f>"868678974"</f>
        <v>868678974</v>
      </c>
      <c r="B9482" t="s">
        <v>8678</v>
      </c>
      <c r="C9482" s="1">
        <v>1289.2</v>
      </c>
      <c r="D9482" t="str">
        <f t="shared" si="306"/>
        <v>278</v>
      </c>
    </row>
    <row r="9483" spans="1:4" x14ac:dyDescent="0.25">
      <c r="A9483" t="str">
        <f>"868678975"</f>
        <v>868678975</v>
      </c>
      <c r="B9483" t="s">
        <v>8426</v>
      </c>
      <c r="C9483">
        <v>654.5</v>
      </c>
      <c r="D9483" t="str">
        <f t="shared" si="306"/>
        <v>278</v>
      </c>
    </row>
    <row r="9484" spans="1:4" x14ac:dyDescent="0.25">
      <c r="A9484" t="str">
        <f>"868678976"</f>
        <v>868678976</v>
      </c>
      <c r="B9484" t="s">
        <v>8679</v>
      </c>
      <c r="C9484">
        <v>731.5</v>
      </c>
      <c r="D9484" t="str">
        <f t="shared" si="306"/>
        <v>278</v>
      </c>
    </row>
    <row r="9485" spans="1:4" x14ac:dyDescent="0.25">
      <c r="A9485" t="str">
        <f>"868678977"</f>
        <v>868678977</v>
      </c>
      <c r="B9485" t="s">
        <v>8680</v>
      </c>
      <c r="C9485" s="1">
        <v>3249.4</v>
      </c>
      <c r="D9485" t="str">
        <f t="shared" si="306"/>
        <v>278</v>
      </c>
    </row>
    <row r="9486" spans="1:4" x14ac:dyDescent="0.25">
      <c r="A9486" t="str">
        <f>"868678978"</f>
        <v>868678978</v>
      </c>
      <c r="B9486" t="s">
        <v>8681</v>
      </c>
      <c r="C9486" s="1">
        <v>21450</v>
      </c>
      <c r="D9486" t="str">
        <f t="shared" si="306"/>
        <v>278</v>
      </c>
    </row>
    <row r="9487" spans="1:4" x14ac:dyDescent="0.25">
      <c r="A9487" t="str">
        <f>"868678979"</f>
        <v>868678979</v>
      </c>
      <c r="B9487" t="s">
        <v>8682</v>
      </c>
      <c r="C9487" s="1">
        <v>10725</v>
      </c>
      <c r="D9487" t="str">
        <f t="shared" si="306"/>
        <v>278</v>
      </c>
    </row>
    <row r="9488" spans="1:4" x14ac:dyDescent="0.25">
      <c r="A9488" t="str">
        <f>"868678980"</f>
        <v>868678980</v>
      </c>
      <c r="B9488" t="s">
        <v>8683</v>
      </c>
      <c r="C9488">
        <v>962.5</v>
      </c>
      <c r="D9488" t="str">
        <f t="shared" si="306"/>
        <v>278</v>
      </c>
    </row>
    <row r="9489" spans="1:4" x14ac:dyDescent="0.25">
      <c r="A9489" t="str">
        <f>"868678981"</f>
        <v>868678981</v>
      </c>
      <c r="B9489" t="s">
        <v>8684</v>
      </c>
      <c r="C9489" s="1">
        <v>1270.5</v>
      </c>
      <c r="D9489" t="str">
        <f t="shared" si="306"/>
        <v>278</v>
      </c>
    </row>
    <row r="9490" spans="1:4" x14ac:dyDescent="0.25">
      <c r="A9490" t="str">
        <f>"8686789810"</f>
        <v>8686789810</v>
      </c>
      <c r="B9490" t="s">
        <v>8685</v>
      </c>
      <c r="C9490" s="1">
        <v>1650</v>
      </c>
      <c r="D9490" t="str">
        <f t="shared" si="306"/>
        <v>278</v>
      </c>
    </row>
    <row r="9491" spans="1:4" x14ac:dyDescent="0.25">
      <c r="A9491" t="str">
        <f>"868678982"</f>
        <v>868678982</v>
      </c>
      <c r="B9491" t="s">
        <v>8686</v>
      </c>
      <c r="C9491">
        <v>451</v>
      </c>
      <c r="D9491" t="str">
        <f t="shared" si="306"/>
        <v>278</v>
      </c>
    </row>
    <row r="9492" spans="1:4" x14ac:dyDescent="0.25">
      <c r="A9492" t="str">
        <f>"868678983"</f>
        <v>868678983</v>
      </c>
      <c r="B9492" t="s">
        <v>8687</v>
      </c>
      <c r="C9492" s="1">
        <v>2172.5</v>
      </c>
      <c r="D9492" t="str">
        <f t="shared" si="306"/>
        <v>278</v>
      </c>
    </row>
    <row r="9493" spans="1:4" x14ac:dyDescent="0.25">
      <c r="A9493" t="str">
        <f>"868678984"</f>
        <v>868678984</v>
      </c>
      <c r="B9493" t="s">
        <v>8688</v>
      </c>
      <c r="C9493" s="1">
        <v>1237.5</v>
      </c>
      <c r="D9493" t="str">
        <f t="shared" si="306"/>
        <v>278</v>
      </c>
    </row>
    <row r="9494" spans="1:4" x14ac:dyDescent="0.25">
      <c r="A9494" t="str">
        <f>"868678985"</f>
        <v>868678985</v>
      </c>
      <c r="B9494" t="s">
        <v>7869</v>
      </c>
      <c r="C9494" s="1">
        <v>3729</v>
      </c>
      <c r="D9494" t="str">
        <f t="shared" si="306"/>
        <v>278</v>
      </c>
    </row>
    <row r="9495" spans="1:4" x14ac:dyDescent="0.25">
      <c r="A9495" t="str">
        <f>"868678986"</f>
        <v>868678986</v>
      </c>
      <c r="B9495" t="s">
        <v>8689</v>
      </c>
      <c r="C9495" s="1">
        <v>6600</v>
      </c>
      <c r="D9495" t="str">
        <f t="shared" si="306"/>
        <v>278</v>
      </c>
    </row>
    <row r="9496" spans="1:4" x14ac:dyDescent="0.25">
      <c r="A9496" t="str">
        <f>"868678987"</f>
        <v>868678987</v>
      </c>
      <c r="B9496" t="s">
        <v>8690</v>
      </c>
      <c r="C9496" s="1">
        <v>3712.5</v>
      </c>
      <c r="D9496" t="str">
        <f t="shared" si="306"/>
        <v>278</v>
      </c>
    </row>
    <row r="9497" spans="1:4" x14ac:dyDescent="0.25">
      <c r="A9497" t="str">
        <f>"868678988"</f>
        <v>868678988</v>
      </c>
      <c r="B9497" t="s">
        <v>3619</v>
      </c>
      <c r="C9497" s="1">
        <v>2125.1999999999998</v>
      </c>
      <c r="D9497" t="str">
        <f t="shared" si="306"/>
        <v>278</v>
      </c>
    </row>
    <row r="9498" spans="1:4" x14ac:dyDescent="0.25">
      <c r="A9498" t="str">
        <f>"868678989"</f>
        <v>868678989</v>
      </c>
      <c r="B9498" t="s">
        <v>8691</v>
      </c>
      <c r="C9498">
        <v>385</v>
      </c>
      <c r="D9498" t="str">
        <f t="shared" si="306"/>
        <v>278</v>
      </c>
    </row>
    <row r="9499" spans="1:4" x14ac:dyDescent="0.25">
      <c r="A9499" t="str">
        <f>"868678990"</f>
        <v>868678990</v>
      </c>
      <c r="B9499" t="s">
        <v>8692</v>
      </c>
      <c r="C9499" s="1">
        <v>4629.8999999999996</v>
      </c>
      <c r="D9499" t="str">
        <f t="shared" si="306"/>
        <v>278</v>
      </c>
    </row>
    <row r="9500" spans="1:4" x14ac:dyDescent="0.25">
      <c r="A9500" t="str">
        <f>"868678991"</f>
        <v>868678991</v>
      </c>
      <c r="B9500" t="s">
        <v>8693</v>
      </c>
      <c r="C9500" s="1">
        <v>3052.5</v>
      </c>
      <c r="D9500" t="str">
        <f t="shared" si="306"/>
        <v>278</v>
      </c>
    </row>
    <row r="9501" spans="1:4" x14ac:dyDescent="0.25">
      <c r="A9501" t="str">
        <f>"868678992"</f>
        <v>868678992</v>
      </c>
      <c r="B9501" t="s">
        <v>8634</v>
      </c>
      <c r="C9501" s="1">
        <v>1161.5999999999999</v>
      </c>
      <c r="D9501" t="str">
        <f t="shared" si="306"/>
        <v>278</v>
      </c>
    </row>
    <row r="9502" spans="1:4" x14ac:dyDescent="0.25">
      <c r="A9502" t="str">
        <f>"868678993"</f>
        <v>868678993</v>
      </c>
      <c r="B9502" t="s">
        <v>8635</v>
      </c>
      <c r="C9502" s="1">
        <v>1452</v>
      </c>
      <c r="D9502" t="str">
        <f t="shared" si="306"/>
        <v>278</v>
      </c>
    </row>
    <row r="9503" spans="1:4" x14ac:dyDescent="0.25">
      <c r="A9503" t="str">
        <f>"868678995"</f>
        <v>868678995</v>
      </c>
      <c r="B9503" t="s">
        <v>8694</v>
      </c>
      <c r="C9503" s="1">
        <v>2574</v>
      </c>
      <c r="D9503" t="str">
        <f t="shared" si="306"/>
        <v>278</v>
      </c>
    </row>
    <row r="9504" spans="1:4" x14ac:dyDescent="0.25">
      <c r="A9504" t="str">
        <f>"868678996"</f>
        <v>868678996</v>
      </c>
      <c r="B9504" t="s">
        <v>8695</v>
      </c>
      <c r="C9504" s="1">
        <v>2970</v>
      </c>
      <c r="D9504" t="str">
        <f t="shared" si="306"/>
        <v>278</v>
      </c>
    </row>
    <row r="9505" spans="1:4" x14ac:dyDescent="0.25">
      <c r="A9505" t="str">
        <f>"868678997"</f>
        <v>868678997</v>
      </c>
      <c r="B9505" t="s">
        <v>8696</v>
      </c>
      <c r="C9505" s="1">
        <v>3025</v>
      </c>
      <c r="D9505" t="str">
        <f t="shared" si="306"/>
        <v>278</v>
      </c>
    </row>
    <row r="9506" spans="1:4" x14ac:dyDescent="0.25">
      <c r="A9506" t="str">
        <f>"868678998"</f>
        <v>868678998</v>
      </c>
      <c r="B9506" t="s">
        <v>8697</v>
      </c>
      <c r="C9506" s="1">
        <v>6435</v>
      </c>
      <c r="D9506" t="str">
        <f>"274"</f>
        <v>274</v>
      </c>
    </row>
    <row r="9507" spans="1:4" x14ac:dyDescent="0.25">
      <c r="A9507" t="str">
        <f>"868678999"</f>
        <v>868678999</v>
      </c>
      <c r="B9507" t="s">
        <v>8698</v>
      </c>
      <c r="C9507" s="1">
        <v>3685</v>
      </c>
      <c r="D9507" t="str">
        <f t="shared" ref="D9507:D9536" si="307">"278"</f>
        <v>278</v>
      </c>
    </row>
    <row r="9508" spans="1:4" x14ac:dyDescent="0.25">
      <c r="A9508" t="str">
        <f>"868679001"</f>
        <v>868679001</v>
      </c>
      <c r="B9508" t="s">
        <v>8699</v>
      </c>
      <c r="C9508" s="1">
        <v>14701.5</v>
      </c>
      <c r="D9508" t="str">
        <f t="shared" si="307"/>
        <v>278</v>
      </c>
    </row>
    <row r="9509" spans="1:4" x14ac:dyDescent="0.25">
      <c r="A9509" t="str">
        <f>"868679003"</f>
        <v>868679003</v>
      </c>
      <c r="B9509" t="s">
        <v>8090</v>
      </c>
      <c r="C9509" s="1">
        <v>3300</v>
      </c>
      <c r="D9509" t="str">
        <f t="shared" si="307"/>
        <v>278</v>
      </c>
    </row>
    <row r="9510" spans="1:4" x14ac:dyDescent="0.25">
      <c r="A9510" t="str">
        <f>"868679004"</f>
        <v>868679004</v>
      </c>
      <c r="B9510" t="s">
        <v>8700</v>
      </c>
      <c r="C9510" s="1">
        <v>5643</v>
      </c>
      <c r="D9510" t="str">
        <f t="shared" si="307"/>
        <v>278</v>
      </c>
    </row>
    <row r="9511" spans="1:4" x14ac:dyDescent="0.25">
      <c r="A9511" t="str">
        <f>"868679005"</f>
        <v>868679005</v>
      </c>
      <c r="B9511" t="s">
        <v>8701</v>
      </c>
      <c r="C9511" s="1">
        <v>5643</v>
      </c>
      <c r="D9511" t="str">
        <f t="shared" si="307"/>
        <v>278</v>
      </c>
    </row>
    <row r="9512" spans="1:4" x14ac:dyDescent="0.25">
      <c r="A9512" t="str">
        <f>"868679006"</f>
        <v>868679006</v>
      </c>
      <c r="B9512" t="s">
        <v>8702</v>
      </c>
      <c r="C9512" s="1">
        <v>1925</v>
      </c>
      <c r="D9512" t="str">
        <f t="shared" si="307"/>
        <v>278</v>
      </c>
    </row>
    <row r="9513" spans="1:4" x14ac:dyDescent="0.25">
      <c r="A9513" t="str">
        <f>"868679007"</f>
        <v>868679007</v>
      </c>
      <c r="B9513" t="s">
        <v>3430</v>
      </c>
      <c r="C9513" s="1">
        <v>4950</v>
      </c>
      <c r="D9513" t="str">
        <f t="shared" si="307"/>
        <v>278</v>
      </c>
    </row>
    <row r="9514" spans="1:4" x14ac:dyDescent="0.25">
      <c r="A9514" t="str">
        <f>"868679008"</f>
        <v>868679008</v>
      </c>
      <c r="B9514" t="s">
        <v>8703</v>
      </c>
      <c r="C9514" s="1">
        <v>3960</v>
      </c>
      <c r="D9514" t="str">
        <f t="shared" si="307"/>
        <v>278</v>
      </c>
    </row>
    <row r="9515" spans="1:4" x14ac:dyDescent="0.25">
      <c r="A9515" t="str">
        <f>"868679009"</f>
        <v>868679009</v>
      </c>
      <c r="B9515" t="s">
        <v>8704</v>
      </c>
      <c r="C9515" s="1">
        <v>4950</v>
      </c>
      <c r="D9515" t="str">
        <f t="shared" si="307"/>
        <v>278</v>
      </c>
    </row>
    <row r="9516" spans="1:4" x14ac:dyDescent="0.25">
      <c r="A9516" t="str">
        <f>"868679010"</f>
        <v>868679010</v>
      </c>
      <c r="B9516" t="s">
        <v>8705</v>
      </c>
      <c r="C9516" s="1">
        <v>1100</v>
      </c>
      <c r="D9516" t="str">
        <f t="shared" si="307"/>
        <v>278</v>
      </c>
    </row>
    <row r="9517" spans="1:4" x14ac:dyDescent="0.25">
      <c r="A9517" t="str">
        <f>"868679011"</f>
        <v>868679011</v>
      </c>
      <c r="B9517" t="s">
        <v>8706</v>
      </c>
      <c r="C9517" s="1">
        <v>1100</v>
      </c>
      <c r="D9517" t="str">
        <f t="shared" si="307"/>
        <v>278</v>
      </c>
    </row>
    <row r="9518" spans="1:4" x14ac:dyDescent="0.25">
      <c r="A9518" t="str">
        <f>"868679012"</f>
        <v>868679012</v>
      </c>
      <c r="B9518" t="s">
        <v>8707</v>
      </c>
      <c r="C9518">
        <v>550</v>
      </c>
      <c r="D9518" t="str">
        <f t="shared" si="307"/>
        <v>278</v>
      </c>
    </row>
    <row r="9519" spans="1:4" x14ac:dyDescent="0.25">
      <c r="A9519" t="str">
        <f>"868679013"</f>
        <v>868679013</v>
      </c>
      <c r="B9519" t="s">
        <v>8708</v>
      </c>
      <c r="C9519">
        <v>550</v>
      </c>
      <c r="D9519" t="str">
        <f t="shared" si="307"/>
        <v>278</v>
      </c>
    </row>
    <row r="9520" spans="1:4" x14ac:dyDescent="0.25">
      <c r="A9520" t="str">
        <f>"868679014"</f>
        <v>868679014</v>
      </c>
      <c r="B9520" t="s">
        <v>8709</v>
      </c>
      <c r="C9520">
        <v>550</v>
      </c>
      <c r="D9520" t="str">
        <f t="shared" si="307"/>
        <v>278</v>
      </c>
    </row>
    <row r="9521" spans="1:4" x14ac:dyDescent="0.25">
      <c r="A9521" t="str">
        <f>"868679015"</f>
        <v>868679015</v>
      </c>
      <c r="B9521" t="s">
        <v>8710</v>
      </c>
      <c r="C9521" s="1">
        <v>3960</v>
      </c>
      <c r="D9521" t="str">
        <f t="shared" si="307"/>
        <v>278</v>
      </c>
    </row>
    <row r="9522" spans="1:4" x14ac:dyDescent="0.25">
      <c r="A9522" t="str">
        <f>"868679016"</f>
        <v>868679016</v>
      </c>
      <c r="B9522" t="s">
        <v>8711</v>
      </c>
      <c r="C9522" s="1">
        <v>3960</v>
      </c>
      <c r="D9522" t="str">
        <f t="shared" si="307"/>
        <v>278</v>
      </c>
    </row>
    <row r="9523" spans="1:4" x14ac:dyDescent="0.25">
      <c r="A9523" t="str">
        <f>"868679017"</f>
        <v>868679017</v>
      </c>
      <c r="B9523" t="s">
        <v>8712</v>
      </c>
      <c r="C9523" s="1">
        <v>3520</v>
      </c>
      <c r="D9523" t="str">
        <f t="shared" si="307"/>
        <v>278</v>
      </c>
    </row>
    <row r="9524" spans="1:4" x14ac:dyDescent="0.25">
      <c r="A9524" t="str">
        <f>"868679019"</f>
        <v>868679019</v>
      </c>
      <c r="B9524" t="s">
        <v>8713</v>
      </c>
      <c r="C9524" s="1">
        <v>8028.9</v>
      </c>
      <c r="D9524" t="str">
        <f t="shared" si="307"/>
        <v>278</v>
      </c>
    </row>
    <row r="9525" spans="1:4" x14ac:dyDescent="0.25">
      <c r="A9525" t="str">
        <f>"868679020"</f>
        <v>868679020</v>
      </c>
      <c r="B9525" t="s">
        <v>8714</v>
      </c>
      <c r="C9525" s="1">
        <v>19295.099999999999</v>
      </c>
      <c r="D9525" t="str">
        <f t="shared" si="307"/>
        <v>278</v>
      </c>
    </row>
    <row r="9526" spans="1:4" x14ac:dyDescent="0.25">
      <c r="A9526" t="str">
        <f>"868679021"</f>
        <v>868679021</v>
      </c>
      <c r="B9526" t="s">
        <v>8715</v>
      </c>
      <c r="C9526" s="1">
        <v>14850</v>
      </c>
      <c r="D9526" t="str">
        <f t="shared" si="307"/>
        <v>278</v>
      </c>
    </row>
    <row r="9527" spans="1:4" x14ac:dyDescent="0.25">
      <c r="A9527" t="str">
        <f>"868679022"</f>
        <v>868679022</v>
      </c>
      <c r="B9527" t="s">
        <v>8716</v>
      </c>
      <c r="C9527" s="1">
        <v>3850</v>
      </c>
      <c r="D9527" t="str">
        <f t="shared" si="307"/>
        <v>278</v>
      </c>
    </row>
    <row r="9528" spans="1:4" x14ac:dyDescent="0.25">
      <c r="A9528" t="str">
        <f>"868679023"</f>
        <v>868679023</v>
      </c>
      <c r="B9528" t="s">
        <v>8717</v>
      </c>
      <c r="C9528" s="1">
        <v>12540</v>
      </c>
      <c r="D9528" t="str">
        <f t="shared" si="307"/>
        <v>278</v>
      </c>
    </row>
    <row r="9529" spans="1:4" x14ac:dyDescent="0.25">
      <c r="A9529" t="str">
        <f>"868679024"</f>
        <v>868679024</v>
      </c>
      <c r="B9529" t="s">
        <v>8718</v>
      </c>
      <c r="C9529" s="1">
        <v>2029.5</v>
      </c>
      <c r="D9529" t="str">
        <f t="shared" si="307"/>
        <v>278</v>
      </c>
    </row>
    <row r="9530" spans="1:4" x14ac:dyDescent="0.25">
      <c r="A9530" t="str">
        <f>"868679025"</f>
        <v>868679025</v>
      </c>
      <c r="B9530" t="s">
        <v>8719</v>
      </c>
      <c r="C9530" s="1">
        <v>1841.4</v>
      </c>
      <c r="D9530" t="str">
        <f t="shared" si="307"/>
        <v>278</v>
      </c>
    </row>
    <row r="9531" spans="1:4" x14ac:dyDescent="0.25">
      <c r="A9531" t="str">
        <f>"868679026"</f>
        <v>868679026</v>
      </c>
      <c r="B9531" t="s">
        <v>8720</v>
      </c>
      <c r="C9531" s="1">
        <v>1287</v>
      </c>
      <c r="D9531" t="str">
        <f t="shared" si="307"/>
        <v>278</v>
      </c>
    </row>
    <row r="9532" spans="1:4" x14ac:dyDescent="0.25">
      <c r="A9532" t="str">
        <f>"868679027"</f>
        <v>868679027</v>
      </c>
      <c r="B9532" t="s">
        <v>8721</v>
      </c>
      <c r="C9532" s="1">
        <v>10777.8</v>
      </c>
      <c r="D9532" t="str">
        <f t="shared" si="307"/>
        <v>278</v>
      </c>
    </row>
    <row r="9533" spans="1:4" x14ac:dyDescent="0.25">
      <c r="A9533" t="str">
        <f>"868679028"</f>
        <v>868679028</v>
      </c>
      <c r="B9533" t="s">
        <v>8470</v>
      </c>
      <c r="C9533" s="1">
        <v>15097.5</v>
      </c>
      <c r="D9533" t="str">
        <f t="shared" si="307"/>
        <v>278</v>
      </c>
    </row>
    <row r="9534" spans="1:4" x14ac:dyDescent="0.25">
      <c r="A9534" t="str">
        <f>"868679029"</f>
        <v>868679029</v>
      </c>
      <c r="B9534" t="s">
        <v>8017</v>
      </c>
      <c r="C9534" s="1">
        <v>5940</v>
      </c>
      <c r="D9534" t="str">
        <f t="shared" si="307"/>
        <v>278</v>
      </c>
    </row>
    <row r="9535" spans="1:4" x14ac:dyDescent="0.25">
      <c r="A9535" t="str">
        <f>"868679030"</f>
        <v>868679030</v>
      </c>
      <c r="B9535" t="s">
        <v>7526</v>
      </c>
      <c r="C9535" s="1">
        <v>1435.5</v>
      </c>
      <c r="D9535" t="str">
        <f t="shared" si="307"/>
        <v>278</v>
      </c>
    </row>
    <row r="9536" spans="1:4" x14ac:dyDescent="0.25">
      <c r="A9536" t="str">
        <f>"868679031"</f>
        <v>868679031</v>
      </c>
      <c r="B9536" t="s">
        <v>8722</v>
      </c>
      <c r="C9536" s="1">
        <v>1100</v>
      </c>
      <c r="D9536" t="str">
        <f t="shared" si="307"/>
        <v>278</v>
      </c>
    </row>
    <row r="9537" spans="1:5" x14ac:dyDescent="0.25">
      <c r="A9537" t="str">
        <f>"868679032"</f>
        <v>868679032</v>
      </c>
      <c r="B9537" t="s">
        <v>4249</v>
      </c>
      <c r="C9537" s="1">
        <v>1100</v>
      </c>
      <c r="D9537" t="str">
        <f>"270"</f>
        <v>270</v>
      </c>
    </row>
    <row r="9538" spans="1:5" x14ac:dyDescent="0.25">
      <c r="A9538" t="str">
        <f>"868679033"</f>
        <v>868679033</v>
      </c>
      <c r="B9538" t="s">
        <v>8723</v>
      </c>
      <c r="C9538" s="1">
        <v>7480</v>
      </c>
      <c r="D9538" t="str">
        <f>"278"</f>
        <v>278</v>
      </c>
    </row>
    <row r="9539" spans="1:5" x14ac:dyDescent="0.25">
      <c r="A9539" t="str">
        <f>"313762"</f>
        <v>313762</v>
      </c>
      <c r="B9539" t="s">
        <v>8724</v>
      </c>
      <c r="C9539">
        <v>24.33</v>
      </c>
      <c r="D9539" t="str">
        <f>"250"</f>
        <v>250</v>
      </c>
    </row>
    <row r="9540" spans="1:5" x14ac:dyDescent="0.25">
      <c r="A9540" t="str">
        <f>"839250001"</f>
        <v>839250001</v>
      </c>
      <c r="B9540" t="s">
        <v>8725</v>
      </c>
      <c r="C9540">
        <v>165</v>
      </c>
      <c r="D9540" t="str">
        <f>"250"</f>
        <v>250</v>
      </c>
    </row>
    <row r="9541" spans="1:5" x14ac:dyDescent="0.25">
      <c r="A9541" t="str">
        <f>"839250002"</f>
        <v>839250002</v>
      </c>
      <c r="B9541" t="s">
        <v>8726</v>
      </c>
      <c r="C9541">
        <v>42.83</v>
      </c>
      <c r="D9541" t="str">
        <f>"257"</f>
        <v>257</v>
      </c>
    </row>
    <row r="9542" spans="1:5" x14ac:dyDescent="0.25">
      <c r="A9542" t="str">
        <f>"839250003"</f>
        <v>839250003</v>
      </c>
      <c r="B9542" t="s">
        <v>8727</v>
      </c>
      <c r="C9542">
        <v>31.81</v>
      </c>
      <c r="D9542" t="str">
        <f>"257"</f>
        <v>257</v>
      </c>
    </row>
    <row r="9543" spans="1:5" x14ac:dyDescent="0.25">
      <c r="A9543" t="str">
        <f>"839250004"</f>
        <v>839250004</v>
      </c>
      <c r="B9543" t="s">
        <v>8728</v>
      </c>
      <c r="C9543">
        <v>251.86</v>
      </c>
      <c r="D9543" t="str">
        <f>"636"</f>
        <v>636</v>
      </c>
    </row>
    <row r="9544" spans="1:5" x14ac:dyDescent="0.25">
      <c r="A9544" t="str">
        <f>"839250005"</f>
        <v>839250005</v>
      </c>
      <c r="B9544" t="s">
        <v>8729</v>
      </c>
      <c r="C9544">
        <v>321.62</v>
      </c>
      <c r="D9544" t="str">
        <f>"250"</f>
        <v>250</v>
      </c>
    </row>
    <row r="9545" spans="1:5" x14ac:dyDescent="0.25">
      <c r="A9545" t="str">
        <f>"839250006"</f>
        <v>839250006</v>
      </c>
      <c r="B9545" t="s">
        <v>8730</v>
      </c>
      <c r="C9545" s="1">
        <v>1807.41</v>
      </c>
      <c r="D9545" t="str">
        <f>"250"</f>
        <v>250</v>
      </c>
    </row>
    <row r="9546" spans="1:5" x14ac:dyDescent="0.25">
      <c r="A9546" t="str">
        <f>"839250007"</f>
        <v>839250007</v>
      </c>
      <c r="B9546" t="s">
        <v>8731</v>
      </c>
      <c r="C9546">
        <v>44.88</v>
      </c>
      <c r="D9546" t="str">
        <f>"250"</f>
        <v>250</v>
      </c>
    </row>
    <row r="9547" spans="1:5" x14ac:dyDescent="0.25">
      <c r="A9547" t="str">
        <f>"839250008"</f>
        <v>839250008</v>
      </c>
      <c r="B9547" t="s">
        <v>8732</v>
      </c>
      <c r="C9547">
        <v>99.17</v>
      </c>
      <c r="D9547" t="str">
        <f>"636"</f>
        <v>636</v>
      </c>
      <c r="E9547" t="str">
        <f>"J1250"</f>
        <v>J1250</v>
      </c>
    </row>
    <row r="9548" spans="1:5" x14ac:dyDescent="0.25">
      <c r="A9548" t="str">
        <f>"839250009"</f>
        <v>839250009</v>
      </c>
      <c r="B9548" t="s">
        <v>8733</v>
      </c>
      <c r="C9548">
        <v>137.35</v>
      </c>
      <c r="D9548" t="str">
        <f t="shared" ref="D9548:D9559" si="308">"250"</f>
        <v>250</v>
      </c>
    </row>
    <row r="9549" spans="1:5" x14ac:dyDescent="0.25">
      <c r="A9549" t="str">
        <f>"839250010"</f>
        <v>839250010</v>
      </c>
      <c r="B9549" t="s">
        <v>8734</v>
      </c>
      <c r="C9549">
        <v>6.6</v>
      </c>
      <c r="D9549" t="str">
        <f t="shared" si="308"/>
        <v>250</v>
      </c>
    </row>
    <row r="9550" spans="1:5" x14ac:dyDescent="0.25">
      <c r="A9550" t="str">
        <f>"839250011"</f>
        <v>839250011</v>
      </c>
      <c r="B9550" t="s">
        <v>8735</v>
      </c>
      <c r="C9550" s="1">
        <v>1617.07</v>
      </c>
      <c r="D9550" t="str">
        <f t="shared" si="308"/>
        <v>250</v>
      </c>
    </row>
    <row r="9551" spans="1:5" x14ac:dyDescent="0.25">
      <c r="A9551" t="str">
        <f>"839250012"</f>
        <v>839250012</v>
      </c>
      <c r="B9551" t="s">
        <v>8736</v>
      </c>
      <c r="C9551">
        <v>289.61</v>
      </c>
      <c r="D9551" t="str">
        <f t="shared" si="308"/>
        <v>250</v>
      </c>
    </row>
    <row r="9552" spans="1:5" x14ac:dyDescent="0.25">
      <c r="A9552" t="str">
        <f>"839250013"</f>
        <v>839250013</v>
      </c>
      <c r="B9552" t="s">
        <v>8737</v>
      </c>
      <c r="C9552">
        <v>102.27</v>
      </c>
      <c r="D9552" t="str">
        <f t="shared" si="308"/>
        <v>250</v>
      </c>
    </row>
    <row r="9553" spans="1:5" x14ac:dyDescent="0.25">
      <c r="A9553" t="str">
        <f>"839250014"</f>
        <v>839250014</v>
      </c>
      <c r="B9553" t="s">
        <v>8738</v>
      </c>
      <c r="C9553">
        <v>202.11</v>
      </c>
      <c r="D9553" t="str">
        <f t="shared" si="308"/>
        <v>250</v>
      </c>
    </row>
    <row r="9554" spans="1:5" x14ac:dyDescent="0.25">
      <c r="A9554" t="str">
        <f>"839250015"</f>
        <v>839250015</v>
      </c>
      <c r="B9554" t="s">
        <v>8739</v>
      </c>
      <c r="C9554">
        <v>41.94</v>
      </c>
      <c r="D9554" t="str">
        <f t="shared" si="308"/>
        <v>250</v>
      </c>
    </row>
    <row r="9555" spans="1:5" x14ac:dyDescent="0.25">
      <c r="A9555" t="str">
        <f>"839250020"</f>
        <v>839250020</v>
      </c>
      <c r="B9555" t="s">
        <v>8740</v>
      </c>
      <c r="C9555">
        <v>6.6</v>
      </c>
      <c r="D9555" t="str">
        <f t="shared" si="308"/>
        <v>250</v>
      </c>
    </row>
    <row r="9556" spans="1:5" x14ac:dyDescent="0.25">
      <c r="A9556" t="str">
        <f>"839250025"</f>
        <v>839250025</v>
      </c>
      <c r="B9556" t="s">
        <v>8741</v>
      </c>
      <c r="C9556">
        <v>6</v>
      </c>
      <c r="D9556" t="str">
        <f t="shared" si="308"/>
        <v>250</v>
      </c>
    </row>
    <row r="9557" spans="1:5" x14ac:dyDescent="0.25">
      <c r="A9557" t="str">
        <f>"839250030"</f>
        <v>839250030</v>
      </c>
      <c r="B9557" t="s">
        <v>8742</v>
      </c>
      <c r="C9557">
        <v>6.6</v>
      </c>
      <c r="D9557" t="str">
        <f t="shared" si="308"/>
        <v>250</v>
      </c>
    </row>
    <row r="9558" spans="1:5" x14ac:dyDescent="0.25">
      <c r="A9558" t="str">
        <f>"839250035"</f>
        <v>839250035</v>
      </c>
      <c r="B9558" t="s">
        <v>8743</v>
      </c>
      <c r="C9558">
        <v>6.6</v>
      </c>
      <c r="D9558" t="str">
        <f t="shared" si="308"/>
        <v>250</v>
      </c>
    </row>
    <row r="9559" spans="1:5" x14ac:dyDescent="0.25">
      <c r="A9559" t="str">
        <f>"839250036"</f>
        <v>839250036</v>
      </c>
      <c r="B9559" t="s">
        <v>8744</v>
      </c>
      <c r="C9559">
        <v>26.76</v>
      </c>
      <c r="D9559" t="str">
        <f t="shared" si="308"/>
        <v>250</v>
      </c>
    </row>
    <row r="9560" spans="1:5" x14ac:dyDescent="0.25">
      <c r="A9560" t="str">
        <f>"839250037"</f>
        <v>839250037</v>
      </c>
      <c r="B9560" t="s">
        <v>8745</v>
      </c>
      <c r="C9560">
        <v>459.36</v>
      </c>
      <c r="D9560" t="str">
        <f>"636"</f>
        <v>636</v>
      </c>
      <c r="E9560" t="str">
        <f>"J3490"</f>
        <v>J3490</v>
      </c>
    </row>
    <row r="9561" spans="1:5" x14ac:dyDescent="0.25">
      <c r="A9561" t="str">
        <f>"839250038"</f>
        <v>839250038</v>
      </c>
      <c r="B9561" t="s">
        <v>8746</v>
      </c>
      <c r="C9561">
        <v>61.31</v>
      </c>
      <c r="D9561" t="str">
        <f>"250"</f>
        <v>250</v>
      </c>
    </row>
    <row r="9562" spans="1:5" x14ac:dyDescent="0.25">
      <c r="A9562" t="str">
        <f>"839250039"</f>
        <v>839250039</v>
      </c>
      <c r="B9562" t="s">
        <v>8747</v>
      </c>
      <c r="C9562">
        <v>194.94</v>
      </c>
      <c r="D9562" t="str">
        <f>"636"</f>
        <v>636</v>
      </c>
      <c r="E9562" t="str">
        <f>"J3360"</f>
        <v>J3360</v>
      </c>
    </row>
    <row r="9563" spans="1:5" x14ac:dyDescent="0.25">
      <c r="A9563" t="str">
        <f>"839250041"</f>
        <v>839250041</v>
      </c>
      <c r="B9563" t="s">
        <v>8748</v>
      </c>
      <c r="C9563">
        <v>6.6</v>
      </c>
      <c r="D9563" t="str">
        <f>"250"</f>
        <v>250</v>
      </c>
    </row>
    <row r="9564" spans="1:5" x14ac:dyDescent="0.25">
      <c r="A9564" t="str">
        <f>"839250042"</f>
        <v>839250042</v>
      </c>
      <c r="B9564" t="s">
        <v>8749</v>
      </c>
      <c r="C9564">
        <v>6.6</v>
      </c>
      <c r="D9564" t="str">
        <f>"250"</f>
        <v>250</v>
      </c>
    </row>
    <row r="9565" spans="1:5" x14ac:dyDescent="0.25">
      <c r="A9565" t="str">
        <f>"839250043"</f>
        <v>839250043</v>
      </c>
      <c r="B9565" t="s">
        <v>8750</v>
      </c>
      <c r="C9565">
        <v>21.07</v>
      </c>
      <c r="D9565" t="str">
        <f>"636"</f>
        <v>636</v>
      </c>
      <c r="E9565" t="str">
        <f>"J3480"</f>
        <v>J3480</v>
      </c>
    </row>
    <row r="9566" spans="1:5" x14ac:dyDescent="0.25">
      <c r="A9566" t="str">
        <f>"839250044"</f>
        <v>839250044</v>
      </c>
      <c r="B9566" t="s">
        <v>8751</v>
      </c>
      <c r="C9566">
        <v>25.34</v>
      </c>
      <c r="D9566" t="str">
        <f>"636"</f>
        <v>636</v>
      </c>
      <c r="E9566" t="str">
        <f>"J3480"</f>
        <v>J3480</v>
      </c>
    </row>
    <row r="9567" spans="1:5" x14ac:dyDescent="0.25">
      <c r="A9567" t="str">
        <f>"839250045"</f>
        <v>839250045</v>
      </c>
      <c r="B9567" t="s">
        <v>8752</v>
      </c>
      <c r="C9567">
        <v>6.6</v>
      </c>
      <c r="D9567" t="str">
        <f>"257"</f>
        <v>257</v>
      </c>
    </row>
    <row r="9568" spans="1:5" x14ac:dyDescent="0.25">
      <c r="A9568" t="str">
        <f>"839250046"</f>
        <v>839250046</v>
      </c>
      <c r="B9568" t="s">
        <v>8753</v>
      </c>
      <c r="C9568">
        <v>6.6</v>
      </c>
      <c r="D9568" t="str">
        <f>"257"</f>
        <v>257</v>
      </c>
    </row>
    <row r="9569" spans="1:5" x14ac:dyDescent="0.25">
      <c r="A9569" t="str">
        <f>"839250047"</f>
        <v>839250047</v>
      </c>
      <c r="B9569" t="s">
        <v>8754</v>
      </c>
      <c r="C9569" s="1">
        <v>1677.57</v>
      </c>
      <c r="D9569" t="str">
        <f>"636"</f>
        <v>636</v>
      </c>
      <c r="E9569" t="str">
        <f>"J0712"</f>
        <v>J0712</v>
      </c>
    </row>
    <row r="9570" spans="1:5" x14ac:dyDescent="0.25">
      <c r="A9570" t="str">
        <f>"839250048"</f>
        <v>839250048</v>
      </c>
      <c r="B9570" t="s">
        <v>8755</v>
      </c>
      <c r="C9570">
        <v>55.44</v>
      </c>
      <c r="D9570" t="str">
        <f>"250"</f>
        <v>250</v>
      </c>
    </row>
    <row r="9571" spans="1:5" x14ac:dyDescent="0.25">
      <c r="A9571" t="str">
        <f>"839250049"</f>
        <v>839250049</v>
      </c>
      <c r="B9571" t="s">
        <v>8756</v>
      </c>
      <c r="C9571">
        <v>81.180000000000007</v>
      </c>
      <c r="D9571" t="str">
        <f>"250"</f>
        <v>250</v>
      </c>
    </row>
    <row r="9572" spans="1:5" x14ac:dyDescent="0.25">
      <c r="A9572" t="str">
        <f>"839250050"</f>
        <v>839250050</v>
      </c>
      <c r="B9572" t="s">
        <v>8757</v>
      </c>
      <c r="C9572">
        <v>155.38</v>
      </c>
      <c r="D9572" t="str">
        <f t="shared" ref="D9572:D9578" si="309">"637"</f>
        <v>637</v>
      </c>
    </row>
    <row r="9573" spans="1:5" x14ac:dyDescent="0.25">
      <c r="A9573" t="str">
        <f>"839250051"</f>
        <v>839250051</v>
      </c>
      <c r="B9573" t="s">
        <v>8758</v>
      </c>
      <c r="C9573">
        <v>155.38</v>
      </c>
      <c r="D9573" t="str">
        <f t="shared" si="309"/>
        <v>637</v>
      </c>
    </row>
    <row r="9574" spans="1:5" x14ac:dyDescent="0.25">
      <c r="A9574" t="str">
        <f>"839250052"</f>
        <v>839250052</v>
      </c>
      <c r="B9574" t="s">
        <v>8759</v>
      </c>
      <c r="C9574">
        <v>155.38</v>
      </c>
      <c r="D9574" t="str">
        <f t="shared" si="309"/>
        <v>637</v>
      </c>
    </row>
    <row r="9575" spans="1:5" x14ac:dyDescent="0.25">
      <c r="A9575" t="str">
        <f>"839250053"</f>
        <v>839250053</v>
      </c>
      <c r="B9575" t="s">
        <v>8760</v>
      </c>
      <c r="C9575">
        <v>191.18</v>
      </c>
      <c r="D9575" t="str">
        <f t="shared" si="309"/>
        <v>637</v>
      </c>
    </row>
    <row r="9576" spans="1:5" x14ac:dyDescent="0.25">
      <c r="A9576" t="str">
        <f>"839250054"</f>
        <v>839250054</v>
      </c>
      <c r="B9576" t="s">
        <v>8761</v>
      </c>
      <c r="C9576">
        <v>191.18</v>
      </c>
      <c r="D9576" t="str">
        <f t="shared" si="309"/>
        <v>637</v>
      </c>
    </row>
    <row r="9577" spans="1:5" x14ac:dyDescent="0.25">
      <c r="A9577" t="str">
        <f>"839250055"</f>
        <v>839250055</v>
      </c>
      <c r="B9577" t="s">
        <v>8762</v>
      </c>
      <c r="C9577">
        <v>306.16000000000003</v>
      </c>
      <c r="D9577" t="str">
        <f t="shared" si="309"/>
        <v>637</v>
      </c>
    </row>
    <row r="9578" spans="1:5" x14ac:dyDescent="0.25">
      <c r="A9578" t="str">
        <f>"839250056"</f>
        <v>839250056</v>
      </c>
      <c r="B9578" t="s">
        <v>8763</v>
      </c>
      <c r="C9578">
        <v>306.16000000000003</v>
      </c>
      <c r="D9578" t="str">
        <f t="shared" si="309"/>
        <v>637</v>
      </c>
    </row>
    <row r="9579" spans="1:5" x14ac:dyDescent="0.25">
      <c r="A9579" t="str">
        <f>"839250058"</f>
        <v>839250058</v>
      </c>
      <c r="B9579" t="s">
        <v>8764</v>
      </c>
      <c r="C9579" s="1">
        <v>2468.4</v>
      </c>
      <c r="D9579" t="str">
        <f>"250"</f>
        <v>250</v>
      </c>
    </row>
    <row r="9580" spans="1:5" x14ac:dyDescent="0.25">
      <c r="A9580" t="str">
        <f>"839250059"</f>
        <v>839250059</v>
      </c>
      <c r="B9580" t="s">
        <v>8765</v>
      </c>
      <c r="C9580">
        <v>55.35</v>
      </c>
      <c r="D9580" t="str">
        <f>"636"</f>
        <v>636</v>
      </c>
      <c r="E9580" t="str">
        <f>"J0744"</f>
        <v>J0744</v>
      </c>
    </row>
    <row r="9581" spans="1:5" x14ac:dyDescent="0.25">
      <c r="A9581" t="str">
        <f>"839250060"</f>
        <v>839250060</v>
      </c>
      <c r="B9581" t="s">
        <v>8766</v>
      </c>
      <c r="C9581">
        <v>78.87</v>
      </c>
      <c r="D9581" t="str">
        <f>"302"</f>
        <v>302</v>
      </c>
    </row>
    <row r="9582" spans="1:5" x14ac:dyDescent="0.25">
      <c r="A9582" t="str">
        <f>"839250061"</f>
        <v>839250061</v>
      </c>
      <c r="B9582" t="s">
        <v>8767</v>
      </c>
      <c r="C9582">
        <v>23.69</v>
      </c>
      <c r="D9582" t="str">
        <f>"250"</f>
        <v>250</v>
      </c>
    </row>
    <row r="9583" spans="1:5" x14ac:dyDescent="0.25">
      <c r="A9583" t="str">
        <f>"839250062"</f>
        <v>839250062</v>
      </c>
      <c r="B9583" t="s">
        <v>8768</v>
      </c>
      <c r="C9583" s="1">
        <v>5264.09</v>
      </c>
      <c r="D9583" t="str">
        <f>"250"</f>
        <v>250</v>
      </c>
    </row>
    <row r="9584" spans="1:5" x14ac:dyDescent="0.25">
      <c r="A9584" t="str">
        <f>"839250063"</f>
        <v>839250063</v>
      </c>
      <c r="B9584" t="s">
        <v>8769</v>
      </c>
      <c r="C9584">
        <v>51.82</v>
      </c>
      <c r="D9584" t="str">
        <f>"637"</f>
        <v>637</v>
      </c>
    </row>
    <row r="9585" spans="1:4" x14ac:dyDescent="0.25">
      <c r="A9585" t="str">
        <f>"839250064"</f>
        <v>839250064</v>
      </c>
      <c r="B9585" t="s">
        <v>8770</v>
      </c>
      <c r="C9585">
        <v>6.6</v>
      </c>
      <c r="D9585" t="str">
        <f>"250"</f>
        <v>250</v>
      </c>
    </row>
    <row r="9586" spans="1:4" x14ac:dyDescent="0.25">
      <c r="A9586" t="str">
        <f>"839250065"</f>
        <v>839250065</v>
      </c>
      <c r="B9586" t="s">
        <v>8771</v>
      </c>
      <c r="C9586">
        <v>154.97</v>
      </c>
      <c r="D9586" t="str">
        <f>"250"</f>
        <v>250</v>
      </c>
    </row>
    <row r="9587" spans="1:4" x14ac:dyDescent="0.25">
      <c r="A9587" t="str">
        <f>"839250066"</f>
        <v>839250066</v>
      </c>
      <c r="B9587" t="s">
        <v>8772</v>
      </c>
      <c r="C9587">
        <v>6.6</v>
      </c>
      <c r="D9587" t="str">
        <f>"637"</f>
        <v>637</v>
      </c>
    </row>
    <row r="9588" spans="1:4" x14ac:dyDescent="0.25">
      <c r="A9588" t="str">
        <f>"839250068"</f>
        <v>839250068</v>
      </c>
      <c r="B9588" t="s">
        <v>8773</v>
      </c>
      <c r="C9588">
        <v>61.45</v>
      </c>
      <c r="D9588" t="str">
        <f>"637"</f>
        <v>637</v>
      </c>
    </row>
    <row r="9589" spans="1:4" x14ac:dyDescent="0.25">
      <c r="A9589" t="str">
        <f>"839250069"</f>
        <v>839250069</v>
      </c>
      <c r="B9589" t="s">
        <v>8774</v>
      </c>
      <c r="C9589">
        <v>38.479999999999997</v>
      </c>
      <c r="D9589" t="str">
        <f>"637"</f>
        <v>637</v>
      </c>
    </row>
    <row r="9590" spans="1:4" x14ac:dyDescent="0.25">
      <c r="A9590" t="str">
        <f>"839250070"</f>
        <v>839250070</v>
      </c>
      <c r="B9590" t="s">
        <v>8775</v>
      </c>
      <c r="C9590">
        <v>372.9</v>
      </c>
      <c r="D9590" t="str">
        <f>"250"</f>
        <v>250</v>
      </c>
    </row>
    <row r="9591" spans="1:4" x14ac:dyDescent="0.25">
      <c r="A9591" t="str">
        <f>"839250071"</f>
        <v>839250071</v>
      </c>
      <c r="B9591" t="s">
        <v>8776</v>
      </c>
      <c r="C9591">
        <v>6.6</v>
      </c>
      <c r="D9591" t="str">
        <f>"637"</f>
        <v>637</v>
      </c>
    </row>
    <row r="9592" spans="1:4" x14ac:dyDescent="0.25">
      <c r="A9592" t="str">
        <f>"839250072"</f>
        <v>839250072</v>
      </c>
      <c r="B9592" t="s">
        <v>8777</v>
      </c>
      <c r="C9592">
        <v>119.12</v>
      </c>
      <c r="D9592" t="str">
        <f>"637"</f>
        <v>637</v>
      </c>
    </row>
    <row r="9593" spans="1:4" x14ac:dyDescent="0.25">
      <c r="A9593" t="str">
        <f>"839250073"</f>
        <v>839250073</v>
      </c>
      <c r="B9593" t="s">
        <v>8778</v>
      </c>
      <c r="C9593">
        <v>15.48</v>
      </c>
      <c r="D9593" t="str">
        <f>"250"</f>
        <v>250</v>
      </c>
    </row>
    <row r="9594" spans="1:4" x14ac:dyDescent="0.25">
      <c r="A9594" t="str">
        <f>"839250074"</f>
        <v>839250074</v>
      </c>
      <c r="B9594" t="s">
        <v>8779</v>
      </c>
      <c r="C9594">
        <v>994.55</v>
      </c>
      <c r="D9594" t="str">
        <f>"250"</f>
        <v>250</v>
      </c>
    </row>
    <row r="9595" spans="1:4" x14ac:dyDescent="0.25">
      <c r="A9595" t="str">
        <f>"839250075"</f>
        <v>839250075</v>
      </c>
      <c r="B9595" t="s">
        <v>8780</v>
      </c>
      <c r="C9595">
        <v>6.6</v>
      </c>
      <c r="D9595" t="str">
        <f>"250"</f>
        <v>250</v>
      </c>
    </row>
    <row r="9596" spans="1:4" x14ac:dyDescent="0.25">
      <c r="A9596" t="str">
        <f>"839250077"</f>
        <v>839250077</v>
      </c>
      <c r="B9596" t="s">
        <v>8781</v>
      </c>
      <c r="C9596">
        <v>690.29</v>
      </c>
      <c r="D9596" t="str">
        <f>"637"</f>
        <v>637</v>
      </c>
    </row>
    <row r="9597" spans="1:4" x14ac:dyDescent="0.25">
      <c r="A9597" t="str">
        <f>"839250078"</f>
        <v>839250078</v>
      </c>
      <c r="B9597" t="s">
        <v>8782</v>
      </c>
      <c r="C9597">
        <v>6.6</v>
      </c>
      <c r="D9597" t="str">
        <f>"637"</f>
        <v>637</v>
      </c>
    </row>
    <row r="9598" spans="1:4" x14ac:dyDescent="0.25">
      <c r="A9598" t="str">
        <f>"839250079"</f>
        <v>839250079</v>
      </c>
      <c r="B9598" t="s">
        <v>8783</v>
      </c>
      <c r="C9598">
        <v>94.25</v>
      </c>
      <c r="D9598" t="str">
        <f>"250"</f>
        <v>250</v>
      </c>
    </row>
    <row r="9599" spans="1:4" x14ac:dyDescent="0.25">
      <c r="A9599" t="str">
        <f>"839250080"</f>
        <v>839250080</v>
      </c>
      <c r="B9599" t="s">
        <v>8784</v>
      </c>
      <c r="C9599">
        <v>94.25</v>
      </c>
      <c r="D9599" t="str">
        <f>"250"</f>
        <v>250</v>
      </c>
    </row>
    <row r="9600" spans="1:4" x14ac:dyDescent="0.25">
      <c r="A9600" t="str">
        <f>"839250082"</f>
        <v>839250082</v>
      </c>
      <c r="B9600" t="s">
        <v>8785</v>
      </c>
      <c r="C9600">
        <v>6.6</v>
      </c>
      <c r="D9600" t="str">
        <f>"250"</f>
        <v>250</v>
      </c>
    </row>
    <row r="9601" spans="1:5" x14ac:dyDescent="0.25">
      <c r="A9601" t="str">
        <f>"839250083"</f>
        <v>839250083</v>
      </c>
      <c r="B9601" t="s">
        <v>8786</v>
      </c>
      <c r="C9601">
        <v>6.6</v>
      </c>
      <c r="D9601" t="str">
        <f>"250"</f>
        <v>250</v>
      </c>
    </row>
    <row r="9602" spans="1:5" x14ac:dyDescent="0.25">
      <c r="A9602" t="str">
        <f>"839250084"</f>
        <v>839250084</v>
      </c>
      <c r="B9602" t="s">
        <v>8787</v>
      </c>
      <c r="C9602">
        <v>60.97</v>
      </c>
      <c r="D9602" t="str">
        <f>"637"</f>
        <v>637</v>
      </c>
    </row>
    <row r="9603" spans="1:5" x14ac:dyDescent="0.25">
      <c r="A9603" t="str">
        <f>"839250086"</f>
        <v>839250086</v>
      </c>
      <c r="B9603" t="s">
        <v>8788</v>
      </c>
      <c r="C9603">
        <v>27.78</v>
      </c>
      <c r="D9603" t="str">
        <f>"636"</f>
        <v>636</v>
      </c>
      <c r="E9603" t="str">
        <f>"J1170"</f>
        <v>J1170</v>
      </c>
    </row>
    <row r="9604" spans="1:5" x14ac:dyDescent="0.25">
      <c r="A9604" t="str">
        <f>"839250087"</f>
        <v>839250087</v>
      </c>
      <c r="B9604" t="s">
        <v>8789</v>
      </c>
      <c r="C9604">
        <v>22.57</v>
      </c>
      <c r="D9604" t="str">
        <f>"250"</f>
        <v>250</v>
      </c>
    </row>
    <row r="9605" spans="1:5" x14ac:dyDescent="0.25">
      <c r="A9605" t="str">
        <f>"839250088"</f>
        <v>839250088</v>
      </c>
      <c r="B9605" t="s">
        <v>8790</v>
      </c>
      <c r="C9605">
        <v>27.4</v>
      </c>
      <c r="D9605" t="str">
        <f>"250"</f>
        <v>250</v>
      </c>
    </row>
    <row r="9606" spans="1:5" x14ac:dyDescent="0.25">
      <c r="A9606" t="str">
        <f>"839250089"</f>
        <v>839250089</v>
      </c>
      <c r="B9606" t="s">
        <v>8791</v>
      </c>
      <c r="C9606">
        <v>15.18</v>
      </c>
      <c r="D9606" t="str">
        <f>"637"</f>
        <v>637</v>
      </c>
    </row>
    <row r="9607" spans="1:5" x14ac:dyDescent="0.25">
      <c r="A9607" t="str">
        <f>"839250090"</f>
        <v>839250090</v>
      </c>
      <c r="B9607" t="s">
        <v>8792</v>
      </c>
      <c r="C9607">
        <v>125.9</v>
      </c>
      <c r="D9607" t="str">
        <f>"637"</f>
        <v>637</v>
      </c>
    </row>
    <row r="9608" spans="1:5" x14ac:dyDescent="0.25">
      <c r="A9608" t="str">
        <f>"839250091"</f>
        <v>839250091</v>
      </c>
      <c r="B9608" t="s">
        <v>8793</v>
      </c>
      <c r="C9608">
        <v>31.65</v>
      </c>
      <c r="D9608" t="str">
        <f>"637"</f>
        <v>637</v>
      </c>
    </row>
    <row r="9609" spans="1:5" x14ac:dyDescent="0.25">
      <c r="A9609" t="str">
        <f>"839250093"</f>
        <v>839250093</v>
      </c>
      <c r="B9609" t="s">
        <v>8794</v>
      </c>
      <c r="C9609">
        <v>211.99</v>
      </c>
      <c r="D9609" t="str">
        <f>"250"</f>
        <v>250</v>
      </c>
    </row>
    <row r="9610" spans="1:5" x14ac:dyDescent="0.25">
      <c r="A9610" t="str">
        <f>"839250094"</f>
        <v>839250094</v>
      </c>
      <c r="B9610" t="s">
        <v>8795</v>
      </c>
      <c r="C9610">
        <v>24.53</v>
      </c>
      <c r="D9610" t="str">
        <f>"637"</f>
        <v>637</v>
      </c>
    </row>
    <row r="9611" spans="1:5" x14ac:dyDescent="0.25">
      <c r="A9611" t="str">
        <f>"839250095"</f>
        <v>839250095</v>
      </c>
      <c r="B9611" t="s">
        <v>8796</v>
      </c>
      <c r="C9611">
        <v>10.91</v>
      </c>
      <c r="D9611" t="str">
        <f>"637"</f>
        <v>637</v>
      </c>
    </row>
    <row r="9612" spans="1:5" x14ac:dyDescent="0.25">
      <c r="A9612" t="str">
        <f>"839250097"</f>
        <v>839250097</v>
      </c>
      <c r="B9612" t="s">
        <v>8797</v>
      </c>
      <c r="C9612">
        <v>23.76</v>
      </c>
      <c r="D9612" t="str">
        <f>"250"</f>
        <v>250</v>
      </c>
    </row>
    <row r="9613" spans="1:5" x14ac:dyDescent="0.25">
      <c r="A9613" t="str">
        <f>"839250098"</f>
        <v>839250098</v>
      </c>
      <c r="B9613" t="s">
        <v>8798</v>
      </c>
      <c r="C9613">
        <v>282.14999999999998</v>
      </c>
      <c r="D9613" t="str">
        <f>"637"</f>
        <v>637</v>
      </c>
    </row>
    <row r="9614" spans="1:5" x14ac:dyDescent="0.25">
      <c r="A9614" t="str">
        <f>"839250099"</f>
        <v>839250099</v>
      </c>
      <c r="B9614" t="s">
        <v>8799</v>
      </c>
      <c r="C9614">
        <v>21.22</v>
      </c>
      <c r="D9614" t="str">
        <f>"637"</f>
        <v>637</v>
      </c>
    </row>
    <row r="9615" spans="1:5" x14ac:dyDescent="0.25">
      <c r="A9615" t="str">
        <f>"839250100"</f>
        <v>839250100</v>
      </c>
      <c r="B9615" t="s">
        <v>8800</v>
      </c>
      <c r="C9615">
        <v>6.6</v>
      </c>
      <c r="D9615" t="str">
        <f>"250"</f>
        <v>250</v>
      </c>
    </row>
    <row r="9616" spans="1:5" x14ac:dyDescent="0.25">
      <c r="A9616" t="str">
        <f>"839250101"</f>
        <v>839250101</v>
      </c>
      <c r="B9616" t="s">
        <v>8801</v>
      </c>
      <c r="C9616" s="1">
        <v>2796.35</v>
      </c>
      <c r="D9616" t="str">
        <f>"637"</f>
        <v>637</v>
      </c>
    </row>
    <row r="9617" spans="1:4" x14ac:dyDescent="0.25">
      <c r="A9617" t="str">
        <f>"839250105"</f>
        <v>839250105</v>
      </c>
      <c r="B9617" t="s">
        <v>8802</v>
      </c>
      <c r="C9617">
        <v>6.6</v>
      </c>
      <c r="D9617" t="str">
        <f>"637"</f>
        <v>637</v>
      </c>
    </row>
    <row r="9618" spans="1:4" x14ac:dyDescent="0.25">
      <c r="A9618" t="str">
        <f>"839250106"</f>
        <v>839250106</v>
      </c>
      <c r="B9618" t="s">
        <v>8803</v>
      </c>
      <c r="C9618">
        <v>6.6</v>
      </c>
      <c r="D9618" t="str">
        <f>"637"</f>
        <v>637</v>
      </c>
    </row>
    <row r="9619" spans="1:4" x14ac:dyDescent="0.25">
      <c r="A9619" t="str">
        <f>"839250107"</f>
        <v>839250107</v>
      </c>
      <c r="B9619" t="s">
        <v>8804</v>
      </c>
      <c r="C9619">
        <v>6.6</v>
      </c>
      <c r="D9619" t="str">
        <f>"636"</f>
        <v>636</v>
      </c>
    </row>
    <row r="9620" spans="1:4" x14ac:dyDescent="0.25">
      <c r="A9620" t="str">
        <f>"839250108"</f>
        <v>839250108</v>
      </c>
      <c r="B9620" t="s">
        <v>8805</v>
      </c>
      <c r="C9620">
        <v>211.94</v>
      </c>
      <c r="D9620" t="str">
        <f>"270"</f>
        <v>270</v>
      </c>
    </row>
    <row r="9621" spans="1:4" x14ac:dyDescent="0.25">
      <c r="A9621" t="str">
        <f>"839250109"</f>
        <v>839250109</v>
      </c>
      <c r="B9621" t="s">
        <v>8806</v>
      </c>
      <c r="C9621">
        <v>299.37</v>
      </c>
      <c r="D9621" t="str">
        <f>"272"</f>
        <v>272</v>
      </c>
    </row>
    <row r="9622" spans="1:4" x14ac:dyDescent="0.25">
      <c r="A9622" t="str">
        <f>"839250111"</f>
        <v>839250111</v>
      </c>
      <c r="B9622" t="s">
        <v>8807</v>
      </c>
      <c r="C9622">
        <v>211.94</v>
      </c>
      <c r="D9622" t="str">
        <f>"250"</f>
        <v>250</v>
      </c>
    </row>
    <row r="9623" spans="1:4" x14ac:dyDescent="0.25">
      <c r="A9623" t="str">
        <f>"839250112"</f>
        <v>839250112</v>
      </c>
      <c r="B9623" t="s">
        <v>8808</v>
      </c>
      <c r="C9623">
        <v>6.6</v>
      </c>
      <c r="D9623" t="str">
        <f>"637"</f>
        <v>637</v>
      </c>
    </row>
    <row r="9624" spans="1:4" x14ac:dyDescent="0.25">
      <c r="A9624" t="str">
        <f>"839250114"</f>
        <v>839250114</v>
      </c>
      <c r="B9624" t="s">
        <v>8809</v>
      </c>
      <c r="C9624">
        <v>25.48</v>
      </c>
      <c r="D9624" t="str">
        <f>"250"</f>
        <v>250</v>
      </c>
    </row>
    <row r="9625" spans="1:4" x14ac:dyDescent="0.25">
      <c r="A9625" t="str">
        <f>"839250116"</f>
        <v>839250116</v>
      </c>
      <c r="B9625" t="s">
        <v>8810</v>
      </c>
      <c r="C9625">
        <v>77.69</v>
      </c>
      <c r="D9625" t="str">
        <f>"250"</f>
        <v>250</v>
      </c>
    </row>
    <row r="9626" spans="1:4" x14ac:dyDescent="0.25">
      <c r="A9626" t="str">
        <f>"839250117"</f>
        <v>839250117</v>
      </c>
      <c r="B9626" t="s">
        <v>8811</v>
      </c>
      <c r="C9626">
        <v>13.64</v>
      </c>
      <c r="D9626" t="str">
        <f>"637"</f>
        <v>637</v>
      </c>
    </row>
    <row r="9627" spans="1:4" x14ac:dyDescent="0.25">
      <c r="A9627" t="str">
        <f>"839250118"</f>
        <v>839250118</v>
      </c>
      <c r="B9627" t="s">
        <v>8812</v>
      </c>
      <c r="C9627">
        <v>26.33</v>
      </c>
      <c r="D9627" t="str">
        <f>"250"</f>
        <v>250</v>
      </c>
    </row>
    <row r="9628" spans="1:4" x14ac:dyDescent="0.25">
      <c r="A9628" t="str">
        <f>"839250119"</f>
        <v>839250119</v>
      </c>
      <c r="B9628" t="s">
        <v>8813</v>
      </c>
      <c r="C9628" s="1">
        <v>2576.71</v>
      </c>
      <c r="D9628" t="str">
        <f>"250"</f>
        <v>250</v>
      </c>
    </row>
    <row r="9629" spans="1:4" x14ac:dyDescent="0.25">
      <c r="A9629" t="str">
        <f>"839250120"</f>
        <v>839250120</v>
      </c>
      <c r="B9629" t="s">
        <v>8814</v>
      </c>
      <c r="C9629">
        <v>6.6</v>
      </c>
      <c r="D9629" t="str">
        <f>"637"</f>
        <v>637</v>
      </c>
    </row>
    <row r="9630" spans="1:4" x14ac:dyDescent="0.25">
      <c r="A9630" t="str">
        <f>"839250121"</f>
        <v>839250121</v>
      </c>
      <c r="B9630" t="s">
        <v>8815</v>
      </c>
      <c r="C9630">
        <v>6.6</v>
      </c>
      <c r="D9630" t="str">
        <f>"637"</f>
        <v>637</v>
      </c>
    </row>
    <row r="9631" spans="1:4" x14ac:dyDescent="0.25">
      <c r="A9631" t="str">
        <f>"839250122"</f>
        <v>839250122</v>
      </c>
      <c r="B9631" t="s">
        <v>8816</v>
      </c>
      <c r="C9631">
        <v>85.44</v>
      </c>
      <c r="D9631" t="str">
        <f>"637"</f>
        <v>637</v>
      </c>
    </row>
    <row r="9632" spans="1:4" x14ac:dyDescent="0.25">
      <c r="A9632" t="str">
        <f>"839250123"</f>
        <v>839250123</v>
      </c>
      <c r="B9632" t="s">
        <v>8817</v>
      </c>
      <c r="C9632">
        <v>130.31</v>
      </c>
      <c r="D9632" t="str">
        <f>"637"</f>
        <v>637</v>
      </c>
    </row>
    <row r="9633" spans="1:5" x14ac:dyDescent="0.25">
      <c r="A9633" t="str">
        <f>"839250124"</f>
        <v>839250124</v>
      </c>
      <c r="B9633" t="s">
        <v>8818</v>
      </c>
      <c r="C9633">
        <v>86.53</v>
      </c>
      <c r="D9633" t="str">
        <f>"250"</f>
        <v>250</v>
      </c>
    </row>
    <row r="9634" spans="1:5" x14ac:dyDescent="0.25">
      <c r="A9634" t="str">
        <f>"839250126"</f>
        <v>839250126</v>
      </c>
      <c r="B9634" t="s">
        <v>8819</v>
      </c>
      <c r="C9634">
        <v>156.76</v>
      </c>
      <c r="D9634" t="str">
        <f>"250"</f>
        <v>250</v>
      </c>
    </row>
    <row r="9635" spans="1:5" x14ac:dyDescent="0.25">
      <c r="A9635" t="str">
        <f>"839250128"</f>
        <v>839250128</v>
      </c>
      <c r="B9635" t="s">
        <v>8820</v>
      </c>
      <c r="C9635">
        <v>40.49</v>
      </c>
      <c r="D9635" t="str">
        <f>"250"</f>
        <v>250</v>
      </c>
    </row>
    <row r="9636" spans="1:5" x14ac:dyDescent="0.25">
      <c r="A9636" t="str">
        <f>"839250129"</f>
        <v>839250129</v>
      </c>
      <c r="B9636" t="s">
        <v>8821</v>
      </c>
      <c r="C9636">
        <v>6.6</v>
      </c>
      <c r="D9636" t="str">
        <f>"637"</f>
        <v>637</v>
      </c>
    </row>
    <row r="9637" spans="1:5" x14ac:dyDescent="0.25">
      <c r="A9637" t="str">
        <f>"839250130"</f>
        <v>839250130</v>
      </c>
      <c r="B9637" t="s">
        <v>8822</v>
      </c>
      <c r="C9637">
        <v>19.38</v>
      </c>
      <c r="D9637" t="str">
        <f>"637"</f>
        <v>637</v>
      </c>
    </row>
    <row r="9638" spans="1:5" x14ac:dyDescent="0.25">
      <c r="A9638" t="str">
        <f>"839250131"</f>
        <v>839250131</v>
      </c>
      <c r="B9638" t="s">
        <v>8823</v>
      </c>
      <c r="C9638">
        <v>69.760000000000005</v>
      </c>
      <c r="D9638" t="str">
        <f>"637"</f>
        <v>637</v>
      </c>
    </row>
    <row r="9639" spans="1:5" x14ac:dyDescent="0.25">
      <c r="A9639" t="str">
        <f>"839250132"</f>
        <v>839250132</v>
      </c>
      <c r="B9639" t="s">
        <v>8824</v>
      </c>
      <c r="C9639">
        <v>752.4</v>
      </c>
      <c r="D9639" t="str">
        <f>"636"</f>
        <v>636</v>
      </c>
      <c r="E9639" t="str">
        <f>"J0600"</f>
        <v>J0600</v>
      </c>
    </row>
    <row r="9640" spans="1:5" x14ac:dyDescent="0.25">
      <c r="A9640" t="str">
        <f>"839250133"</f>
        <v>839250133</v>
      </c>
      <c r="B9640" t="s">
        <v>8825</v>
      </c>
      <c r="C9640" s="1">
        <v>4406.6899999999996</v>
      </c>
      <c r="D9640" t="str">
        <f>"636"</f>
        <v>636</v>
      </c>
      <c r="E9640" t="str">
        <f>"J1670"</f>
        <v>J1670</v>
      </c>
    </row>
    <row r="9641" spans="1:5" x14ac:dyDescent="0.25">
      <c r="A9641" t="str">
        <f>"839250134"</f>
        <v>839250134</v>
      </c>
      <c r="B9641" t="s">
        <v>8826</v>
      </c>
      <c r="C9641">
        <v>31.68</v>
      </c>
      <c r="D9641" t="str">
        <f>"637"</f>
        <v>637</v>
      </c>
    </row>
    <row r="9642" spans="1:5" x14ac:dyDescent="0.25">
      <c r="A9642" t="str">
        <f>"839250135"</f>
        <v>839250135</v>
      </c>
      <c r="B9642" t="s">
        <v>8827</v>
      </c>
      <c r="C9642">
        <v>52.8</v>
      </c>
      <c r="D9642" t="str">
        <f>"250"</f>
        <v>250</v>
      </c>
    </row>
    <row r="9643" spans="1:5" x14ac:dyDescent="0.25">
      <c r="A9643" t="str">
        <f>"839250136"</f>
        <v>839250136</v>
      </c>
      <c r="B9643" t="s">
        <v>8828</v>
      </c>
      <c r="C9643">
        <v>11.06</v>
      </c>
      <c r="D9643" t="str">
        <f>"637"</f>
        <v>637</v>
      </c>
    </row>
    <row r="9644" spans="1:5" x14ac:dyDescent="0.25">
      <c r="A9644" t="str">
        <f>"839250137"</f>
        <v>839250137</v>
      </c>
      <c r="B9644" t="s">
        <v>8829</v>
      </c>
      <c r="C9644">
        <v>16.559999999999999</v>
      </c>
      <c r="D9644" t="str">
        <f>"637"</f>
        <v>637</v>
      </c>
    </row>
    <row r="9645" spans="1:5" x14ac:dyDescent="0.25">
      <c r="A9645" t="str">
        <f>"839250139"</f>
        <v>839250139</v>
      </c>
      <c r="B9645" t="s">
        <v>8830</v>
      </c>
      <c r="C9645">
        <v>6.6</v>
      </c>
      <c r="D9645" t="str">
        <f>"250"</f>
        <v>250</v>
      </c>
    </row>
    <row r="9646" spans="1:5" x14ac:dyDescent="0.25">
      <c r="A9646" t="str">
        <f>"839250140"</f>
        <v>839250140</v>
      </c>
      <c r="B9646" t="s">
        <v>8831</v>
      </c>
      <c r="C9646">
        <v>19.03</v>
      </c>
      <c r="D9646" t="str">
        <f>"637"</f>
        <v>637</v>
      </c>
    </row>
    <row r="9647" spans="1:5" x14ac:dyDescent="0.25">
      <c r="A9647" t="str">
        <f>"839250142"</f>
        <v>839250142</v>
      </c>
      <c r="B9647" t="s">
        <v>8832</v>
      </c>
      <c r="C9647">
        <v>55.55</v>
      </c>
      <c r="D9647" t="str">
        <f>"250"</f>
        <v>250</v>
      </c>
    </row>
    <row r="9648" spans="1:5" x14ac:dyDescent="0.25">
      <c r="A9648" t="str">
        <f>"839250144"</f>
        <v>839250144</v>
      </c>
      <c r="B9648" t="s">
        <v>8833</v>
      </c>
      <c r="C9648">
        <v>6.6</v>
      </c>
      <c r="D9648" t="str">
        <f>"250"</f>
        <v>250</v>
      </c>
    </row>
    <row r="9649" spans="1:5" x14ac:dyDescent="0.25">
      <c r="A9649" t="str">
        <f>"839250146"</f>
        <v>839250146</v>
      </c>
      <c r="B9649" t="s">
        <v>8834</v>
      </c>
      <c r="C9649">
        <v>221.76</v>
      </c>
      <c r="D9649" t="str">
        <f>"636"</f>
        <v>636</v>
      </c>
      <c r="E9649" t="str">
        <f>"J0770"</f>
        <v>J0770</v>
      </c>
    </row>
    <row r="9650" spans="1:5" x14ac:dyDescent="0.25">
      <c r="A9650" t="str">
        <f>"839250149"</f>
        <v>839250149</v>
      </c>
      <c r="B9650" t="s">
        <v>8835</v>
      </c>
      <c r="C9650">
        <v>601.91999999999996</v>
      </c>
      <c r="D9650" t="str">
        <f>"636"</f>
        <v>636</v>
      </c>
      <c r="E9650" t="str">
        <f>"J2270"</f>
        <v>J2270</v>
      </c>
    </row>
    <row r="9651" spans="1:5" x14ac:dyDescent="0.25">
      <c r="A9651" t="str">
        <f>"839250150"</f>
        <v>839250150</v>
      </c>
      <c r="B9651" t="s">
        <v>8836</v>
      </c>
      <c r="C9651">
        <v>6.6</v>
      </c>
      <c r="D9651" t="str">
        <f>"250"</f>
        <v>250</v>
      </c>
    </row>
    <row r="9652" spans="1:5" x14ac:dyDescent="0.25">
      <c r="A9652" t="str">
        <f>"839250151"</f>
        <v>839250151</v>
      </c>
      <c r="B9652" t="s">
        <v>8837</v>
      </c>
      <c r="C9652" s="1">
        <v>5837.37</v>
      </c>
      <c r="D9652" t="str">
        <f>"250"</f>
        <v>250</v>
      </c>
    </row>
    <row r="9653" spans="1:5" x14ac:dyDescent="0.25">
      <c r="A9653" t="str">
        <f>"839250152"</f>
        <v>839250152</v>
      </c>
      <c r="B9653" t="s">
        <v>8838</v>
      </c>
      <c r="C9653">
        <v>99</v>
      </c>
      <c r="D9653" t="str">
        <f>"637"</f>
        <v>637</v>
      </c>
    </row>
    <row r="9654" spans="1:5" x14ac:dyDescent="0.25">
      <c r="A9654" t="str">
        <f>"839250153"</f>
        <v>839250153</v>
      </c>
      <c r="B9654" t="s">
        <v>8839</v>
      </c>
      <c r="C9654">
        <v>46.94</v>
      </c>
      <c r="D9654" t="str">
        <f>"250"</f>
        <v>250</v>
      </c>
    </row>
    <row r="9655" spans="1:5" x14ac:dyDescent="0.25">
      <c r="A9655" t="str">
        <f>"839250154"</f>
        <v>839250154</v>
      </c>
      <c r="B9655" t="s">
        <v>8840</v>
      </c>
      <c r="C9655">
        <v>43.41</v>
      </c>
      <c r="D9655" t="str">
        <f>"250"</f>
        <v>250</v>
      </c>
    </row>
    <row r="9656" spans="1:5" x14ac:dyDescent="0.25">
      <c r="A9656" t="str">
        <f>"839250155"</f>
        <v>839250155</v>
      </c>
      <c r="B9656" t="s">
        <v>8841</v>
      </c>
      <c r="C9656">
        <v>37.4</v>
      </c>
      <c r="D9656" t="str">
        <f>"250"</f>
        <v>250</v>
      </c>
    </row>
    <row r="9657" spans="1:5" x14ac:dyDescent="0.25">
      <c r="A9657" t="str">
        <f>"839250156"</f>
        <v>839250156</v>
      </c>
      <c r="B9657" t="s">
        <v>8842</v>
      </c>
      <c r="C9657" s="1">
        <v>1202.26</v>
      </c>
      <c r="D9657" t="str">
        <f>"250"</f>
        <v>250</v>
      </c>
    </row>
    <row r="9658" spans="1:5" x14ac:dyDescent="0.25">
      <c r="A9658" t="str">
        <f>"839250157"</f>
        <v>839250157</v>
      </c>
      <c r="B9658" t="s">
        <v>8843</v>
      </c>
      <c r="C9658">
        <v>32.18</v>
      </c>
      <c r="D9658" t="str">
        <f>"637"</f>
        <v>637</v>
      </c>
    </row>
    <row r="9659" spans="1:5" x14ac:dyDescent="0.25">
      <c r="A9659" t="str">
        <f>"839250158"</f>
        <v>839250158</v>
      </c>
      <c r="B9659" t="s">
        <v>8844</v>
      </c>
      <c r="C9659">
        <v>89.1</v>
      </c>
      <c r="D9659" t="str">
        <f>"636"</f>
        <v>636</v>
      </c>
      <c r="E9659" t="str">
        <f>"J0210"</f>
        <v>J0210</v>
      </c>
    </row>
    <row r="9660" spans="1:5" x14ac:dyDescent="0.25">
      <c r="A9660" t="str">
        <f>"839250159"</f>
        <v>839250159</v>
      </c>
      <c r="B9660" t="s">
        <v>8845</v>
      </c>
      <c r="C9660">
        <v>290.37</v>
      </c>
      <c r="D9660" t="str">
        <f>"250"</f>
        <v>250</v>
      </c>
    </row>
    <row r="9661" spans="1:5" x14ac:dyDescent="0.25">
      <c r="A9661" t="str">
        <f>"839250160"</f>
        <v>839250160</v>
      </c>
      <c r="B9661" t="s">
        <v>8846</v>
      </c>
      <c r="C9661">
        <v>47.12</v>
      </c>
      <c r="D9661" t="str">
        <f>"250"</f>
        <v>250</v>
      </c>
    </row>
    <row r="9662" spans="1:5" x14ac:dyDescent="0.25">
      <c r="A9662" t="str">
        <f>"839250161"</f>
        <v>839250161</v>
      </c>
      <c r="B9662" t="s">
        <v>8847</v>
      </c>
      <c r="C9662">
        <v>18.18</v>
      </c>
      <c r="D9662" t="str">
        <f>"637"</f>
        <v>637</v>
      </c>
    </row>
    <row r="9663" spans="1:5" x14ac:dyDescent="0.25">
      <c r="A9663" t="str">
        <f>"839250162"</f>
        <v>839250162</v>
      </c>
      <c r="B9663" t="s">
        <v>8848</v>
      </c>
      <c r="C9663">
        <v>683.76</v>
      </c>
      <c r="D9663" t="str">
        <f>"637"</f>
        <v>637</v>
      </c>
    </row>
    <row r="9664" spans="1:5" x14ac:dyDescent="0.25">
      <c r="A9664" t="str">
        <f>"839250164"</f>
        <v>839250164</v>
      </c>
      <c r="B9664" t="s">
        <v>8849</v>
      </c>
      <c r="C9664">
        <v>23.82</v>
      </c>
      <c r="D9664" t="str">
        <f t="shared" ref="D9664:D9670" si="310">"250"</f>
        <v>250</v>
      </c>
    </row>
    <row r="9665" spans="1:5" x14ac:dyDescent="0.25">
      <c r="A9665" t="str">
        <f>"839250165"</f>
        <v>839250165</v>
      </c>
      <c r="B9665" t="s">
        <v>8850</v>
      </c>
      <c r="C9665">
        <v>87.55</v>
      </c>
      <c r="D9665" t="str">
        <f t="shared" si="310"/>
        <v>250</v>
      </c>
    </row>
    <row r="9666" spans="1:5" x14ac:dyDescent="0.25">
      <c r="A9666" t="str">
        <f>"839250166"</f>
        <v>839250166</v>
      </c>
      <c r="B9666" t="s">
        <v>8851</v>
      </c>
      <c r="C9666">
        <v>665.35</v>
      </c>
      <c r="D9666" t="str">
        <f t="shared" si="310"/>
        <v>250</v>
      </c>
    </row>
    <row r="9667" spans="1:5" x14ac:dyDescent="0.25">
      <c r="A9667" t="str">
        <f>"839250167"</f>
        <v>839250167</v>
      </c>
      <c r="B9667" t="s">
        <v>8852</v>
      </c>
      <c r="C9667">
        <v>6.6</v>
      </c>
      <c r="D9667" t="str">
        <f t="shared" si="310"/>
        <v>250</v>
      </c>
    </row>
    <row r="9668" spans="1:5" x14ac:dyDescent="0.25">
      <c r="A9668" t="str">
        <f>"839250168"</f>
        <v>839250168</v>
      </c>
      <c r="B9668" t="s">
        <v>8853</v>
      </c>
      <c r="C9668">
        <v>18.03</v>
      </c>
      <c r="D9668" t="str">
        <f t="shared" si="310"/>
        <v>250</v>
      </c>
    </row>
    <row r="9669" spans="1:5" x14ac:dyDescent="0.25">
      <c r="A9669" t="str">
        <f>"839250169"</f>
        <v>839250169</v>
      </c>
      <c r="B9669" t="s">
        <v>8854</v>
      </c>
      <c r="C9669">
        <v>836.22</v>
      </c>
      <c r="D9669" t="str">
        <f t="shared" si="310"/>
        <v>250</v>
      </c>
    </row>
    <row r="9670" spans="1:5" x14ac:dyDescent="0.25">
      <c r="A9670" t="str">
        <f>"839250170"</f>
        <v>839250170</v>
      </c>
      <c r="B9670" t="s">
        <v>8855</v>
      </c>
      <c r="C9670">
        <v>98.75</v>
      </c>
      <c r="D9670" t="str">
        <f t="shared" si="310"/>
        <v>250</v>
      </c>
    </row>
    <row r="9671" spans="1:5" x14ac:dyDescent="0.25">
      <c r="A9671" t="str">
        <f>"839250171"</f>
        <v>839250171</v>
      </c>
      <c r="B9671" t="s">
        <v>8856</v>
      </c>
      <c r="C9671">
        <v>6.6</v>
      </c>
      <c r="D9671" t="str">
        <f>"637"</f>
        <v>637</v>
      </c>
    </row>
    <row r="9672" spans="1:5" x14ac:dyDescent="0.25">
      <c r="A9672" t="str">
        <f>"839250172"</f>
        <v>839250172</v>
      </c>
      <c r="B9672" t="s">
        <v>8857</v>
      </c>
      <c r="C9672">
        <v>208.19</v>
      </c>
      <c r="D9672" t="str">
        <f>"636"</f>
        <v>636</v>
      </c>
      <c r="E9672" t="str">
        <f>"J3230"</f>
        <v>J3230</v>
      </c>
    </row>
    <row r="9673" spans="1:5" x14ac:dyDescent="0.25">
      <c r="A9673" t="str">
        <f>"839250173"</f>
        <v>839250173</v>
      </c>
      <c r="B9673" t="s">
        <v>8858</v>
      </c>
      <c r="C9673">
        <v>20.309999999999999</v>
      </c>
      <c r="D9673" t="str">
        <f>"637"</f>
        <v>637</v>
      </c>
    </row>
    <row r="9674" spans="1:5" x14ac:dyDescent="0.25">
      <c r="A9674" t="str">
        <f>"839250174"</f>
        <v>839250174</v>
      </c>
      <c r="B9674" t="s">
        <v>8859</v>
      </c>
      <c r="C9674">
        <v>10.54</v>
      </c>
      <c r="D9674" t="str">
        <f>"250"</f>
        <v>250</v>
      </c>
    </row>
    <row r="9675" spans="1:5" x14ac:dyDescent="0.25">
      <c r="A9675" t="str">
        <f>"839250175"</f>
        <v>839250175</v>
      </c>
      <c r="B9675" t="s">
        <v>8860</v>
      </c>
      <c r="C9675">
        <v>79.2</v>
      </c>
      <c r="D9675" t="str">
        <f>"250"</f>
        <v>250</v>
      </c>
    </row>
    <row r="9676" spans="1:5" x14ac:dyDescent="0.25">
      <c r="A9676" t="str">
        <f>"839250176"</f>
        <v>839250176</v>
      </c>
      <c r="B9676" t="s">
        <v>8861</v>
      </c>
      <c r="C9676">
        <v>7.84</v>
      </c>
      <c r="D9676" t="str">
        <f>"250"</f>
        <v>250</v>
      </c>
    </row>
    <row r="9677" spans="1:5" x14ac:dyDescent="0.25">
      <c r="A9677" t="str">
        <f>"839250177"</f>
        <v>839250177</v>
      </c>
      <c r="B9677" t="s">
        <v>8862</v>
      </c>
      <c r="C9677">
        <v>269.86</v>
      </c>
      <c r="D9677" t="str">
        <f>"637"</f>
        <v>637</v>
      </c>
    </row>
    <row r="9678" spans="1:5" x14ac:dyDescent="0.25">
      <c r="A9678" t="str">
        <f>"839250178"</f>
        <v>839250178</v>
      </c>
      <c r="B9678" t="s">
        <v>8863</v>
      </c>
      <c r="C9678">
        <v>6.6</v>
      </c>
      <c r="D9678" t="str">
        <f>"637"</f>
        <v>637</v>
      </c>
    </row>
    <row r="9679" spans="1:5" x14ac:dyDescent="0.25">
      <c r="A9679" t="str">
        <f>"839250179"</f>
        <v>839250179</v>
      </c>
      <c r="B9679" t="s">
        <v>8864</v>
      </c>
      <c r="C9679">
        <v>174.09</v>
      </c>
      <c r="D9679" t="str">
        <f>"250"</f>
        <v>250</v>
      </c>
    </row>
    <row r="9680" spans="1:5" x14ac:dyDescent="0.25">
      <c r="A9680" t="str">
        <f>"839250180"</f>
        <v>839250180</v>
      </c>
      <c r="B9680" t="s">
        <v>8865</v>
      </c>
      <c r="C9680">
        <v>27.42</v>
      </c>
      <c r="D9680" t="str">
        <f>"250"</f>
        <v>250</v>
      </c>
    </row>
    <row r="9681" spans="1:5" x14ac:dyDescent="0.25">
      <c r="A9681" t="str">
        <f>"839250181"</f>
        <v>839250181</v>
      </c>
      <c r="B9681" t="s">
        <v>8866</v>
      </c>
      <c r="C9681">
        <v>6.6</v>
      </c>
      <c r="D9681" t="str">
        <f>"250"</f>
        <v>250</v>
      </c>
    </row>
    <row r="9682" spans="1:5" x14ac:dyDescent="0.25">
      <c r="A9682" t="str">
        <f>"839250182"</f>
        <v>839250182</v>
      </c>
      <c r="B9682" t="s">
        <v>8867</v>
      </c>
      <c r="C9682">
        <v>6.27</v>
      </c>
      <c r="D9682" t="str">
        <f>"250"</f>
        <v>250</v>
      </c>
    </row>
    <row r="9683" spans="1:5" x14ac:dyDescent="0.25">
      <c r="A9683" t="str">
        <f>"839250183"</f>
        <v>839250183</v>
      </c>
      <c r="B9683" t="s">
        <v>8868</v>
      </c>
      <c r="C9683">
        <v>27.29</v>
      </c>
      <c r="D9683" t="str">
        <f>"250"</f>
        <v>250</v>
      </c>
    </row>
    <row r="9684" spans="1:5" x14ac:dyDescent="0.25">
      <c r="A9684" t="str">
        <f>"839250184"</f>
        <v>839250184</v>
      </c>
      <c r="B9684" t="s">
        <v>8869</v>
      </c>
      <c r="C9684">
        <v>59.16</v>
      </c>
      <c r="D9684" t="str">
        <f>"637"</f>
        <v>637</v>
      </c>
    </row>
    <row r="9685" spans="1:5" x14ac:dyDescent="0.25">
      <c r="A9685" t="str">
        <f>"839250185"</f>
        <v>839250185</v>
      </c>
      <c r="B9685" t="s">
        <v>8870</v>
      </c>
      <c r="C9685">
        <v>185.98</v>
      </c>
      <c r="D9685" t="str">
        <f>"311"</f>
        <v>311</v>
      </c>
      <c r="E9685" t="str">
        <f>"J1260"</f>
        <v>J1260</v>
      </c>
    </row>
    <row r="9686" spans="1:5" x14ac:dyDescent="0.25">
      <c r="A9686" t="str">
        <f>"839250186"</f>
        <v>839250186</v>
      </c>
      <c r="B9686" t="s">
        <v>8871</v>
      </c>
      <c r="C9686">
        <v>70.989999999999995</v>
      </c>
      <c r="D9686" t="str">
        <f>"637"</f>
        <v>637</v>
      </c>
    </row>
    <row r="9687" spans="1:5" x14ac:dyDescent="0.25">
      <c r="A9687" t="str">
        <f>"839250187"</f>
        <v>839250187</v>
      </c>
      <c r="B9687" t="s">
        <v>8872</v>
      </c>
      <c r="C9687">
        <v>94.2</v>
      </c>
      <c r="D9687" t="str">
        <f>"637"</f>
        <v>637</v>
      </c>
    </row>
    <row r="9688" spans="1:5" x14ac:dyDescent="0.25">
      <c r="A9688" t="str">
        <f>"839250188"</f>
        <v>839250188</v>
      </c>
      <c r="B9688" t="s">
        <v>8873</v>
      </c>
      <c r="C9688">
        <v>138.41999999999999</v>
      </c>
      <c r="D9688" t="str">
        <f>"637"</f>
        <v>637</v>
      </c>
    </row>
    <row r="9689" spans="1:5" x14ac:dyDescent="0.25">
      <c r="A9689" t="str">
        <f>"839250189"</f>
        <v>839250189</v>
      </c>
      <c r="B9689" t="s">
        <v>8874</v>
      </c>
      <c r="C9689">
        <v>73.91</v>
      </c>
      <c r="D9689" t="str">
        <f>"637"</f>
        <v>637</v>
      </c>
    </row>
    <row r="9690" spans="1:5" x14ac:dyDescent="0.25">
      <c r="A9690" t="str">
        <f>"839250190"</f>
        <v>839250190</v>
      </c>
      <c r="B9690" t="s">
        <v>8875</v>
      </c>
      <c r="C9690">
        <v>389.46</v>
      </c>
      <c r="D9690" t="str">
        <f>"250"</f>
        <v>250</v>
      </c>
    </row>
    <row r="9691" spans="1:5" x14ac:dyDescent="0.25">
      <c r="A9691" t="str">
        <f>"839250191"</f>
        <v>839250191</v>
      </c>
      <c r="B9691" t="s">
        <v>8876</v>
      </c>
      <c r="C9691">
        <v>71.42</v>
      </c>
      <c r="D9691" t="str">
        <f>"250"</f>
        <v>250</v>
      </c>
      <c r="E9691" t="str">
        <f>"J1626"</f>
        <v>J1626</v>
      </c>
    </row>
    <row r="9692" spans="1:5" x14ac:dyDescent="0.25">
      <c r="A9692" t="str">
        <f>"839250192"</f>
        <v>839250192</v>
      </c>
      <c r="B9692" t="s">
        <v>8877</v>
      </c>
      <c r="C9692">
        <v>6.6</v>
      </c>
      <c r="D9692" t="str">
        <f>"637"</f>
        <v>637</v>
      </c>
    </row>
    <row r="9693" spans="1:5" x14ac:dyDescent="0.25">
      <c r="A9693" t="str">
        <f>"839250193"</f>
        <v>839250193</v>
      </c>
      <c r="B9693" t="s">
        <v>8878</v>
      </c>
      <c r="C9693">
        <v>134.05000000000001</v>
      </c>
      <c r="D9693" t="str">
        <f>"250"</f>
        <v>250</v>
      </c>
    </row>
    <row r="9694" spans="1:5" x14ac:dyDescent="0.25">
      <c r="A9694" t="str">
        <f>"839250194"</f>
        <v>839250194</v>
      </c>
      <c r="B9694" t="s">
        <v>8879</v>
      </c>
      <c r="C9694">
        <v>170.04</v>
      </c>
      <c r="D9694" t="str">
        <f>"250"</f>
        <v>250</v>
      </c>
    </row>
    <row r="9695" spans="1:5" x14ac:dyDescent="0.25">
      <c r="A9695" t="str">
        <f>"839250195"</f>
        <v>839250195</v>
      </c>
      <c r="B9695" t="s">
        <v>8880</v>
      </c>
      <c r="C9695">
        <v>10.09</v>
      </c>
      <c r="D9695" t="str">
        <f>"637"</f>
        <v>637</v>
      </c>
    </row>
    <row r="9696" spans="1:5" x14ac:dyDescent="0.25">
      <c r="A9696" t="str">
        <f>"839250196"</f>
        <v>839250196</v>
      </c>
      <c r="B9696" t="s">
        <v>8881</v>
      </c>
      <c r="C9696">
        <v>298.45</v>
      </c>
      <c r="D9696" t="str">
        <f>"637"</f>
        <v>637</v>
      </c>
    </row>
    <row r="9697" spans="1:5" x14ac:dyDescent="0.25">
      <c r="A9697" t="str">
        <f>"839250197"</f>
        <v>839250197</v>
      </c>
      <c r="B9697" t="s">
        <v>8882</v>
      </c>
      <c r="C9697">
        <v>94.2</v>
      </c>
      <c r="D9697" t="str">
        <f>"637"</f>
        <v>637</v>
      </c>
    </row>
    <row r="9698" spans="1:5" x14ac:dyDescent="0.25">
      <c r="A9698" t="str">
        <f>"839250198"</f>
        <v>839250198</v>
      </c>
      <c r="B9698" t="s">
        <v>8883</v>
      </c>
      <c r="C9698">
        <v>148.9</v>
      </c>
      <c r="D9698" t="str">
        <f>"636"</f>
        <v>636</v>
      </c>
      <c r="E9698" t="str">
        <f>"J0133"</f>
        <v>J0133</v>
      </c>
    </row>
    <row r="9699" spans="1:5" x14ac:dyDescent="0.25">
      <c r="A9699" t="str">
        <f>"839250199"</f>
        <v>839250199</v>
      </c>
      <c r="B9699" t="s">
        <v>8884</v>
      </c>
      <c r="C9699">
        <v>200.2</v>
      </c>
      <c r="D9699" t="str">
        <f>"637"</f>
        <v>637</v>
      </c>
    </row>
    <row r="9700" spans="1:5" x14ac:dyDescent="0.25">
      <c r="A9700" t="str">
        <f>"839250200"</f>
        <v>839250200</v>
      </c>
      <c r="B9700" t="s">
        <v>8885</v>
      </c>
      <c r="C9700">
        <v>22</v>
      </c>
      <c r="D9700" t="str">
        <f>"250"</f>
        <v>250</v>
      </c>
    </row>
    <row r="9701" spans="1:5" x14ac:dyDescent="0.25">
      <c r="A9701" t="str">
        <f>"839250201"</f>
        <v>839250201</v>
      </c>
      <c r="B9701" t="s">
        <v>8886</v>
      </c>
      <c r="C9701">
        <v>27.83</v>
      </c>
      <c r="D9701" t="str">
        <f>"637"</f>
        <v>637</v>
      </c>
    </row>
    <row r="9702" spans="1:5" x14ac:dyDescent="0.25">
      <c r="A9702" t="str">
        <f>"839250202"</f>
        <v>839250202</v>
      </c>
      <c r="B9702" t="s">
        <v>8887</v>
      </c>
      <c r="C9702">
        <v>354.02</v>
      </c>
      <c r="D9702" t="str">
        <f>"636"</f>
        <v>636</v>
      </c>
      <c r="E9702" t="str">
        <f>"J3490"</f>
        <v>J3490</v>
      </c>
    </row>
    <row r="9703" spans="1:5" x14ac:dyDescent="0.25">
      <c r="A9703" t="str">
        <f>"839250203"</f>
        <v>839250203</v>
      </c>
      <c r="B9703" t="s">
        <v>8888</v>
      </c>
      <c r="C9703">
        <v>238.79</v>
      </c>
      <c r="D9703" t="str">
        <f>"250"</f>
        <v>250</v>
      </c>
    </row>
    <row r="9704" spans="1:5" x14ac:dyDescent="0.25">
      <c r="A9704" t="str">
        <f>"839250204"</f>
        <v>839250204</v>
      </c>
      <c r="B9704" t="s">
        <v>8889</v>
      </c>
      <c r="C9704">
        <v>54.78</v>
      </c>
      <c r="D9704" t="str">
        <f>"250"</f>
        <v>250</v>
      </c>
    </row>
    <row r="9705" spans="1:5" x14ac:dyDescent="0.25">
      <c r="A9705" t="str">
        <f>"839250205"</f>
        <v>839250205</v>
      </c>
      <c r="B9705" t="s">
        <v>8890</v>
      </c>
      <c r="C9705">
        <v>39.36</v>
      </c>
      <c r="D9705" t="str">
        <f>"250"</f>
        <v>250</v>
      </c>
    </row>
    <row r="9706" spans="1:5" x14ac:dyDescent="0.25">
      <c r="A9706" t="str">
        <f>"839250206"</f>
        <v>839250206</v>
      </c>
      <c r="B9706" t="s">
        <v>8891</v>
      </c>
      <c r="C9706">
        <v>6.6</v>
      </c>
      <c r="D9706" t="str">
        <f>"637"</f>
        <v>637</v>
      </c>
    </row>
    <row r="9707" spans="1:5" x14ac:dyDescent="0.25">
      <c r="A9707" t="str">
        <f>"839250207"</f>
        <v>839250207</v>
      </c>
      <c r="B9707" t="s">
        <v>8892</v>
      </c>
      <c r="C9707">
        <v>53.96</v>
      </c>
      <c r="D9707" t="str">
        <f>"637"</f>
        <v>637</v>
      </c>
    </row>
    <row r="9708" spans="1:5" x14ac:dyDescent="0.25">
      <c r="A9708" t="str">
        <f>"839250208"</f>
        <v>839250208</v>
      </c>
      <c r="B9708" t="s">
        <v>8893</v>
      </c>
      <c r="C9708">
        <v>94.25</v>
      </c>
      <c r="D9708" t="str">
        <f>"250"</f>
        <v>250</v>
      </c>
    </row>
    <row r="9709" spans="1:5" x14ac:dyDescent="0.25">
      <c r="A9709" t="str">
        <f>"839250209"</f>
        <v>839250209</v>
      </c>
      <c r="B9709" t="s">
        <v>8894</v>
      </c>
      <c r="C9709">
        <v>6.6</v>
      </c>
      <c r="D9709" t="str">
        <f>"637"</f>
        <v>637</v>
      </c>
    </row>
    <row r="9710" spans="1:5" x14ac:dyDescent="0.25">
      <c r="A9710" t="str">
        <f>"839250210"</f>
        <v>839250210</v>
      </c>
      <c r="B9710" t="s">
        <v>8895</v>
      </c>
      <c r="C9710">
        <v>86.72</v>
      </c>
      <c r="D9710" t="str">
        <f>"250"</f>
        <v>250</v>
      </c>
      <c r="E9710" t="str">
        <f>"J0150"</f>
        <v>J0150</v>
      </c>
    </row>
    <row r="9711" spans="1:5" x14ac:dyDescent="0.25">
      <c r="A9711" t="str">
        <f>"839250211"</f>
        <v>839250211</v>
      </c>
      <c r="B9711" t="s">
        <v>8896</v>
      </c>
      <c r="C9711">
        <v>39.36</v>
      </c>
      <c r="D9711" t="str">
        <f>"250"</f>
        <v>250</v>
      </c>
    </row>
    <row r="9712" spans="1:5" x14ac:dyDescent="0.25">
      <c r="A9712" t="str">
        <f>"839250212"</f>
        <v>839250212</v>
      </c>
      <c r="B9712" t="s">
        <v>8897</v>
      </c>
      <c r="C9712">
        <v>380.16</v>
      </c>
      <c r="D9712" t="str">
        <f>"636"</f>
        <v>636</v>
      </c>
      <c r="E9712" t="str">
        <f>"P9047"</f>
        <v>P9047</v>
      </c>
    </row>
    <row r="9713" spans="1:4" x14ac:dyDescent="0.25">
      <c r="A9713" t="str">
        <f>"839250213"</f>
        <v>839250213</v>
      </c>
      <c r="B9713" t="s">
        <v>8898</v>
      </c>
      <c r="C9713">
        <v>88.7</v>
      </c>
      <c r="D9713" t="str">
        <f>"250"</f>
        <v>250</v>
      </c>
    </row>
    <row r="9714" spans="1:4" x14ac:dyDescent="0.25">
      <c r="A9714" t="str">
        <f>"839250214"</f>
        <v>839250214</v>
      </c>
      <c r="B9714" t="s">
        <v>8899</v>
      </c>
      <c r="C9714" s="1">
        <v>2586.34</v>
      </c>
      <c r="D9714" t="str">
        <f>"637"</f>
        <v>637</v>
      </c>
    </row>
    <row r="9715" spans="1:4" x14ac:dyDescent="0.25">
      <c r="A9715" t="str">
        <f>"839250215"</f>
        <v>839250215</v>
      </c>
      <c r="B9715" t="s">
        <v>8900</v>
      </c>
      <c r="C9715">
        <v>114.05</v>
      </c>
      <c r="D9715" t="str">
        <f>"250"</f>
        <v>250</v>
      </c>
    </row>
    <row r="9716" spans="1:4" x14ac:dyDescent="0.25">
      <c r="A9716" t="str">
        <f>"839250216"</f>
        <v>839250216</v>
      </c>
      <c r="B9716" t="s">
        <v>8901</v>
      </c>
      <c r="C9716">
        <v>249.48</v>
      </c>
      <c r="D9716" t="str">
        <f>"250"</f>
        <v>250</v>
      </c>
    </row>
    <row r="9717" spans="1:4" x14ac:dyDescent="0.25">
      <c r="A9717" t="str">
        <f>"839250218"</f>
        <v>839250218</v>
      </c>
      <c r="B9717" t="s">
        <v>8902</v>
      </c>
      <c r="C9717">
        <v>15.18</v>
      </c>
      <c r="D9717" t="str">
        <f>"250"</f>
        <v>250</v>
      </c>
    </row>
    <row r="9718" spans="1:4" x14ac:dyDescent="0.25">
      <c r="A9718" t="str">
        <f>"839250219"</f>
        <v>839250219</v>
      </c>
      <c r="B9718" t="s">
        <v>8903</v>
      </c>
      <c r="C9718">
        <v>540.47</v>
      </c>
      <c r="D9718" t="str">
        <f>"637"</f>
        <v>637</v>
      </c>
    </row>
    <row r="9719" spans="1:4" x14ac:dyDescent="0.25">
      <c r="A9719" t="str">
        <f>"839250220"</f>
        <v>839250220</v>
      </c>
      <c r="B9719" t="s">
        <v>8904</v>
      </c>
      <c r="C9719">
        <v>162.84</v>
      </c>
      <c r="D9719" t="str">
        <f>"250"</f>
        <v>250</v>
      </c>
    </row>
    <row r="9720" spans="1:4" x14ac:dyDescent="0.25">
      <c r="A9720" t="str">
        <f>"839250221"</f>
        <v>839250221</v>
      </c>
      <c r="B9720" t="s">
        <v>8905</v>
      </c>
      <c r="C9720">
        <v>6.6</v>
      </c>
      <c r="D9720" t="str">
        <f>"637"</f>
        <v>637</v>
      </c>
    </row>
    <row r="9721" spans="1:4" x14ac:dyDescent="0.25">
      <c r="A9721" t="str">
        <f>"839250222"</f>
        <v>839250222</v>
      </c>
      <c r="B9721" t="s">
        <v>8906</v>
      </c>
      <c r="C9721" s="1">
        <v>3213.54</v>
      </c>
      <c r="D9721" t="str">
        <f>"250"</f>
        <v>250</v>
      </c>
    </row>
    <row r="9722" spans="1:4" x14ac:dyDescent="0.25">
      <c r="A9722" t="str">
        <f>"839250223"</f>
        <v>839250223</v>
      </c>
      <c r="B9722" t="s">
        <v>8907</v>
      </c>
      <c r="C9722" s="1">
        <v>2570.48</v>
      </c>
      <c r="D9722" t="str">
        <f t="shared" ref="D9722:D9727" si="311">"637"</f>
        <v>637</v>
      </c>
    </row>
    <row r="9723" spans="1:4" x14ac:dyDescent="0.25">
      <c r="A9723" t="str">
        <f>"839250224"</f>
        <v>839250224</v>
      </c>
      <c r="B9723" t="s">
        <v>8908</v>
      </c>
      <c r="C9723" s="1">
        <v>1170.4000000000001</v>
      </c>
      <c r="D9723" t="str">
        <f t="shared" si="311"/>
        <v>637</v>
      </c>
    </row>
    <row r="9724" spans="1:4" x14ac:dyDescent="0.25">
      <c r="A9724" t="str">
        <f>"839250225"</f>
        <v>839250225</v>
      </c>
      <c r="B9724" t="s">
        <v>8909</v>
      </c>
      <c r="C9724">
        <v>38.76</v>
      </c>
      <c r="D9724" t="str">
        <f t="shared" si="311"/>
        <v>637</v>
      </c>
    </row>
    <row r="9725" spans="1:4" x14ac:dyDescent="0.25">
      <c r="A9725" t="str">
        <f>"839250226"</f>
        <v>839250226</v>
      </c>
      <c r="B9725" t="s">
        <v>8910</v>
      </c>
      <c r="C9725">
        <v>297.86</v>
      </c>
      <c r="D9725" t="str">
        <f t="shared" si="311"/>
        <v>637</v>
      </c>
    </row>
    <row r="9726" spans="1:4" x14ac:dyDescent="0.25">
      <c r="A9726" t="str">
        <f>"839250228"</f>
        <v>839250228</v>
      </c>
      <c r="B9726" t="s">
        <v>8911</v>
      </c>
      <c r="C9726">
        <v>33.770000000000003</v>
      </c>
      <c r="D9726" t="str">
        <f t="shared" si="311"/>
        <v>637</v>
      </c>
    </row>
    <row r="9727" spans="1:4" x14ac:dyDescent="0.25">
      <c r="A9727" t="str">
        <f>"839250229"</f>
        <v>839250229</v>
      </c>
      <c r="B9727" t="s">
        <v>8912</v>
      </c>
      <c r="C9727">
        <v>6.6</v>
      </c>
      <c r="D9727" t="str">
        <f t="shared" si="311"/>
        <v>637</v>
      </c>
    </row>
    <row r="9728" spans="1:4" x14ac:dyDescent="0.25">
      <c r="A9728" t="str">
        <f>"839250231"</f>
        <v>839250231</v>
      </c>
      <c r="B9728" t="s">
        <v>8913</v>
      </c>
      <c r="C9728">
        <v>130.56</v>
      </c>
      <c r="D9728" t="str">
        <f t="shared" ref="D9728:D9735" si="312">"250"</f>
        <v>250</v>
      </c>
    </row>
    <row r="9729" spans="1:5" x14ac:dyDescent="0.25">
      <c r="A9729" t="str">
        <f>"839250232"</f>
        <v>839250232</v>
      </c>
      <c r="B9729" t="s">
        <v>8914</v>
      </c>
      <c r="C9729">
        <v>6.6</v>
      </c>
      <c r="D9729" t="str">
        <f t="shared" si="312"/>
        <v>250</v>
      </c>
    </row>
    <row r="9730" spans="1:5" x14ac:dyDescent="0.25">
      <c r="A9730" t="str">
        <f>"839250233"</f>
        <v>839250233</v>
      </c>
      <c r="B9730" t="s">
        <v>8915</v>
      </c>
      <c r="C9730">
        <v>86.26</v>
      </c>
      <c r="D9730" t="str">
        <f t="shared" si="312"/>
        <v>250</v>
      </c>
    </row>
    <row r="9731" spans="1:5" x14ac:dyDescent="0.25">
      <c r="A9731" t="str">
        <f>"839250234"</f>
        <v>839250234</v>
      </c>
      <c r="B9731" t="s">
        <v>8916</v>
      </c>
      <c r="C9731">
        <v>104.37</v>
      </c>
      <c r="D9731" t="str">
        <f t="shared" si="312"/>
        <v>250</v>
      </c>
    </row>
    <row r="9732" spans="1:5" x14ac:dyDescent="0.25">
      <c r="A9732" t="str">
        <f>"839250235"</f>
        <v>839250235</v>
      </c>
      <c r="B9732" t="s">
        <v>8917</v>
      </c>
      <c r="C9732">
        <v>196.35</v>
      </c>
      <c r="D9732" t="str">
        <f t="shared" si="312"/>
        <v>250</v>
      </c>
    </row>
    <row r="9733" spans="1:5" x14ac:dyDescent="0.25">
      <c r="A9733" t="str">
        <f>"839250236"</f>
        <v>839250236</v>
      </c>
      <c r="B9733" t="s">
        <v>8918</v>
      </c>
      <c r="C9733">
        <v>295.48</v>
      </c>
      <c r="D9733" t="str">
        <f t="shared" si="312"/>
        <v>250</v>
      </c>
    </row>
    <row r="9734" spans="1:5" x14ac:dyDescent="0.25">
      <c r="A9734" t="str">
        <f>"839250237"</f>
        <v>839250237</v>
      </c>
      <c r="B9734" t="s">
        <v>8919</v>
      </c>
      <c r="C9734">
        <v>58.01</v>
      </c>
      <c r="D9734" t="str">
        <f t="shared" si="312"/>
        <v>250</v>
      </c>
    </row>
    <row r="9735" spans="1:5" x14ac:dyDescent="0.25">
      <c r="A9735" t="str">
        <f>"839250238"</f>
        <v>839250238</v>
      </c>
      <c r="B9735" t="s">
        <v>8920</v>
      </c>
      <c r="C9735">
        <v>18.37</v>
      </c>
      <c r="D9735" t="str">
        <f t="shared" si="312"/>
        <v>250</v>
      </c>
    </row>
    <row r="9736" spans="1:5" x14ac:dyDescent="0.25">
      <c r="A9736" t="str">
        <f>"839250239"</f>
        <v>839250239</v>
      </c>
      <c r="B9736" t="s">
        <v>8921</v>
      </c>
      <c r="C9736">
        <v>792</v>
      </c>
      <c r="D9736" t="str">
        <f>"300"</f>
        <v>300</v>
      </c>
      <c r="E9736" t="str">
        <f>"J0287"</f>
        <v>J0287</v>
      </c>
    </row>
    <row r="9737" spans="1:5" x14ac:dyDescent="0.25">
      <c r="A9737" t="str">
        <f>"839250240"</f>
        <v>839250240</v>
      </c>
      <c r="B9737" t="s">
        <v>8922</v>
      </c>
      <c r="C9737">
        <v>375.17</v>
      </c>
      <c r="D9737" t="str">
        <f>"636"</f>
        <v>636</v>
      </c>
    </row>
    <row r="9738" spans="1:5" x14ac:dyDescent="0.25">
      <c r="A9738" t="str">
        <f>"839250241"</f>
        <v>839250241</v>
      </c>
      <c r="B9738" t="s">
        <v>8923</v>
      </c>
      <c r="C9738">
        <v>325.91000000000003</v>
      </c>
      <c r="D9738" t="str">
        <f>"250"</f>
        <v>250</v>
      </c>
    </row>
    <row r="9739" spans="1:5" x14ac:dyDescent="0.25">
      <c r="A9739" t="str">
        <f>"839250242"</f>
        <v>839250242</v>
      </c>
      <c r="B9739" t="s">
        <v>8924</v>
      </c>
      <c r="C9739">
        <v>297.8</v>
      </c>
      <c r="D9739" t="str">
        <f>"250"</f>
        <v>250</v>
      </c>
    </row>
    <row r="9740" spans="1:5" x14ac:dyDescent="0.25">
      <c r="A9740" t="str">
        <f>"839250243"</f>
        <v>839250243</v>
      </c>
      <c r="B9740" t="s">
        <v>8925</v>
      </c>
      <c r="C9740">
        <v>82.6</v>
      </c>
      <c r="D9740" t="str">
        <f>"250"</f>
        <v>250</v>
      </c>
    </row>
    <row r="9741" spans="1:5" x14ac:dyDescent="0.25">
      <c r="A9741" t="str">
        <f>"839250244"</f>
        <v>839250244</v>
      </c>
      <c r="B9741" t="s">
        <v>8926</v>
      </c>
      <c r="C9741">
        <v>328.99</v>
      </c>
      <c r="D9741" t="str">
        <f>"250"</f>
        <v>250</v>
      </c>
    </row>
    <row r="9742" spans="1:5" x14ac:dyDescent="0.25">
      <c r="A9742" t="str">
        <f>"839250245"</f>
        <v>839250245</v>
      </c>
      <c r="B9742" t="s">
        <v>8927</v>
      </c>
      <c r="C9742">
        <v>6.6</v>
      </c>
      <c r="D9742" t="str">
        <f>"250"</f>
        <v>250</v>
      </c>
    </row>
    <row r="9743" spans="1:5" x14ac:dyDescent="0.25">
      <c r="A9743" t="str">
        <f>"839250246"</f>
        <v>839250246</v>
      </c>
      <c r="B9743" t="s">
        <v>8928</v>
      </c>
      <c r="C9743">
        <v>161.25</v>
      </c>
      <c r="D9743" t="str">
        <f>"637"</f>
        <v>637</v>
      </c>
    </row>
    <row r="9744" spans="1:5" x14ac:dyDescent="0.25">
      <c r="A9744" t="str">
        <f>"839250247"</f>
        <v>839250247</v>
      </c>
      <c r="B9744" t="s">
        <v>8929</v>
      </c>
      <c r="C9744">
        <v>602.91999999999996</v>
      </c>
      <c r="D9744" t="str">
        <f>"250"</f>
        <v>250</v>
      </c>
    </row>
    <row r="9745" spans="1:5" x14ac:dyDescent="0.25">
      <c r="A9745" t="str">
        <f>"839250248"</f>
        <v>839250248</v>
      </c>
      <c r="B9745" t="s">
        <v>8930</v>
      </c>
      <c r="C9745">
        <v>8.23</v>
      </c>
      <c r="D9745" t="str">
        <f>"637"</f>
        <v>637</v>
      </c>
    </row>
    <row r="9746" spans="1:5" x14ac:dyDescent="0.25">
      <c r="A9746" t="str">
        <f>"839250249"</f>
        <v>839250249</v>
      </c>
      <c r="B9746" t="s">
        <v>8931</v>
      </c>
      <c r="C9746">
        <v>512.82000000000005</v>
      </c>
      <c r="D9746" t="str">
        <f>"636"</f>
        <v>636</v>
      </c>
      <c r="E9746" t="str">
        <f>"J3302"</f>
        <v>J3302</v>
      </c>
    </row>
    <row r="9747" spans="1:5" x14ac:dyDescent="0.25">
      <c r="A9747" t="str">
        <f>"839250250"</f>
        <v>839250250</v>
      </c>
      <c r="B9747" t="s">
        <v>8932</v>
      </c>
      <c r="C9747">
        <v>6.6</v>
      </c>
      <c r="D9747" t="str">
        <f>"637"</f>
        <v>637</v>
      </c>
    </row>
    <row r="9748" spans="1:5" x14ac:dyDescent="0.25">
      <c r="A9748" t="str">
        <f>"839250251"</f>
        <v>839250251</v>
      </c>
      <c r="B9748" t="s">
        <v>8933</v>
      </c>
      <c r="C9748">
        <v>748.44</v>
      </c>
      <c r="D9748" t="str">
        <f>"636"</f>
        <v>636</v>
      </c>
      <c r="E9748" t="str">
        <f>"J0348"</f>
        <v>J0348</v>
      </c>
    </row>
    <row r="9749" spans="1:5" x14ac:dyDescent="0.25">
      <c r="A9749" t="str">
        <f>"839250252"</f>
        <v>839250252</v>
      </c>
      <c r="B9749" t="s">
        <v>8934</v>
      </c>
      <c r="C9749">
        <v>35.380000000000003</v>
      </c>
      <c r="D9749" t="str">
        <f>"637"</f>
        <v>637</v>
      </c>
    </row>
    <row r="9750" spans="1:5" x14ac:dyDescent="0.25">
      <c r="A9750" t="str">
        <f>"839250253"</f>
        <v>839250253</v>
      </c>
      <c r="B9750" t="s">
        <v>8935</v>
      </c>
      <c r="C9750">
        <v>13.49</v>
      </c>
      <c r="D9750" t="str">
        <f>"637"</f>
        <v>637</v>
      </c>
    </row>
    <row r="9751" spans="1:5" x14ac:dyDescent="0.25">
      <c r="A9751" t="str">
        <f>"839250254"</f>
        <v>839250254</v>
      </c>
      <c r="B9751" t="s">
        <v>8936</v>
      </c>
      <c r="C9751" s="1">
        <v>1496.88</v>
      </c>
      <c r="D9751" t="str">
        <f>"636"</f>
        <v>636</v>
      </c>
      <c r="E9751" t="str">
        <f>"J0348"</f>
        <v>J0348</v>
      </c>
    </row>
    <row r="9752" spans="1:5" x14ac:dyDescent="0.25">
      <c r="A9752" t="str">
        <f>"839250255"</f>
        <v>839250255</v>
      </c>
      <c r="B9752" t="s">
        <v>8937</v>
      </c>
      <c r="C9752">
        <v>62.17</v>
      </c>
      <c r="D9752" t="str">
        <f>"637"</f>
        <v>637</v>
      </c>
    </row>
    <row r="9753" spans="1:5" x14ac:dyDescent="0.25">
      <c r="A9753" t="str">
        <f>"839250256"</f>
        <v>839250256</v>
      </c>
      <c r="B9753" t="s">
        <v>8938</v>
      </c>
      <c r="C9753">
        <v>30.1</v>
      </c>
      <c r="D9753" t="str">
        <f>"250"</f>
        <v>250</v>
      </c>
    </row>
    <row r="9754" spans="1:5" x14ac:dyDescent="0.25">
      <c r="A9754" t="str">
        <f>"839250257"</f>
        <v>839250257</v>
      </c>
      <c r="B9754" t="s">
        <v>8939</v>
      </c>
      <c r="C9754">
        <v>6.6</v>
      </c>
      <c r="D9754" t="str">
        <f>"636"</f>
        <v>636</v>
      </c>
      <c r="E9754" t="str">
        <f>"J7506"</f>
        <v>J7506</v>
      </c>
    </row>
    <row r="9755" spans="1:5" x14ac:dyDescent="0.25">
      <c r="A9755" t="str">
        <f>"839250258"</f>
        <v>839250258</v>
      </c>
      <c r="B9755" t="s">
        <v>8940</v>
      </c>
      <c r="C9755">
        <v>58.53</v>
      </c>
      <c r="D9755" t="str">
        <f>"637"</f>
        <v>637</v>
      </c>
    </row>
    <row r="9756" spans="1:5" x14ac:dyDescent="0.25">
      <c r="A9756" t="str">
        <f>"839250260"</f>
        <v>839250260</v>
      </c>
      <c r="B9756" t="s">
        <v>8941</v>
      </c>
      <c r="C9756">
        <v>23.17</v>
      </c>
      <c r="D9756" t="str">
        <f>"250"</f>
        <v>250</v>
      </c>
    </row>
    <row r="9757" spans="1:5" x14ac:dyDescent="0.25">
      <c r="A9757" t="str">
        <f>"839250261"</f>
        <v>839250261</v>
      </c>
      <c r="B9757" t="s">
        <v>8942</v>
      </c>
      <c r="C9757">
        <v>74.2</v>
      </c>
      <c r="D9757" t="str">
        <f>"637"</f>
        <v>637</v>
      </c>
    </row>
    <row r="9758" spans="1:5" x14ac:dyDescent="0.25">
      <c r="A9758" t="str">
        <f>"839250262"</f>
        <v>839250262</v>
      </c>
      <c r="B9758" t="s">
        <v>8943</v>
      </c>
      <c r="C9758">
        <v>6.6</v>
      </c>
      <c r="D9758" t="str">
        <f>"637"</f>
        <v>637</v>
      </c>
    </row>
    <row r="9759" spans="1:5" x14ac:dyDescent="0.25">
      <c r="A9759" t="str">
        <f>"839250263"</f>
        <v>839250263</v>
      </c>
      <c r="B9759" t="s">
        <v>8944</v>
      </c>
      <c r="C9759">
        <v>47.52</v>
      </c>
      <c r="D9759" t="str">
        <f>"636"</f>
        <v>636</v>
      </c>
      <c r="E9759" t="str">
        <f>"J0694"</f>
        <v>J0694</v>
      </c>
    </row>
    <row r="9760" spans="1:5" x14ac:dyDescent="0.25">
      <c r="A9760" t="str">
        <f>"839250265"</f>
        <v>839250265</v>
      </c>
      <c r="B9760" t="s">
        <v>8945</v>
      </c>
      <c r="C9760">
        <v>47.76</v>
      </c>
      <c r="D9760" t="str">
        <f>"250"</f>
        <v>250</v>
      </c>
    </row>
    <row r="9761" spans="1:5" x14ac:dyDescent="0.25">
      <c r="A9761" t="str">
        <f>"839250266"</f>
        <v>839250266</v>
      </c>
      <c r="B9761" t="s">
        <v>8946</v>
      </c>
      <c r="C9761">
        <v>13.61</v>
      </c>
      <c r="D9761" t="str">
        <f>"637"</f>
        <v>637</v>
      </c>
    </row>
    <row r="9762" spans="1:5" x14ac:dyDescent="0.25">
      <c r="A9762" t="str">
        <f>"839250267"</f>
        <v>839250267</v>
      </c>
      <c r="B9762" t="s">
        <v>8947</v>
      </c>
      <c r="C9762">
        <v>37.81</v>
      </c>
      <c r="D9762" t="str">
        <f>"637"</f>
        <v>637</v>
      </c>
    </row>
    <row r="9763" spans="1:5" x14ac:dyDescent="0.25">
      <c r="A9763" t="str">
        <f>"839250268"</f>
        <v>839250268</v>
      </c>
      <c r="B9763" t="s">
        <v>8948</v>
      </c>
      <c r="C9763">
        <v>18.649999999999999</v>
      </c>
      <c r="D9763" t="str">
        <f>"637"</f>
        <v>637</v>
      </c>
    </row>
    <row r="9764" spans="1:5" x14ac:dyDescent="0.25">
      <c r="A9764" t="str">
        <f>"839250269"</f>
        <v>839250269</v>
      </c>
      <c r="B9764" t="s">
        <v>8949</v>
      </c>
      <c r="C9764">
        <v>11.88</v>
      </c>
      <c r="D9764" t="str">
        <f>"250"</f>
        <v>250</v>
      </c>
    </row>
    <row r="9765" spans="1:5" x14ac:dyDescent="0.25">
      <c r="A9765" t="str">
        <f>"839250270"</f>
        <v>839250270</v>
      </c>
      <c r="B9765" t="s">
        <v>8950</v>
      </c>
      <c r="C9765">
        <v>6.67</v>
      </c>
      <c r="D9765" t="str">
        <f>"250"</f>
        <v>250</v>
      </c>
    </row>
    <row r="9766" spans="1:5" x14ac:dyDescent="0.25">
      <c r="A9766" t="str">
        <f>"839250271"</f>
        <v>839250271</v>
      </c>
      <c r="B9766" t="s">
        <v>8951</v>
      </c>
      <c r="C9766">
        <v>116.05</v>
      </c>
      <c r="D9766" t="str">
        <f>"636"</f>
        <v>636</v>
      </c>
      <c r="E9766" t="str">
        <f>"J3475"</f>
        <v>J3475</v>
      </c>
    </row>
    <row r="9767" spans="1:5" x14ac:dyDescent="0.25">
      <c r="A9767" t="str">
        <f>"839250272"</f>
        <v>839250272</v>
      </c>
      <c r="B9767" t="s">
        <v>8952</v>
      </c>
      <c r="C9767">
        <v>40.49</v>
      </c>
      <c r="D9767" t="str">
        <f>"250"</f>
        <v>250</v>
      </c>
    </row>
    <row r="9768" spans="1:5" x14ac:dyDescent="0.25">
      <c r="A9768" t="str">
        <f>"839250273"</f>
        <v>839250273</v>
      </c>
      <c r="B9768" t="s">
        <v>8953</v>
      </c>
      <c r="C9768">
        <v>158.51</v>
      </c>
      <c r="D9768" t="str">
        <f>"637"</f>
        <v>637</v>
      </c>
    </row>
    <row r="9769" spans="1:5" x14ac:dyDescent="0.25">
      <c r="A9769" t="str">
        <f>"839250274"</f>
        <v>839250274</v>
      </c>
      <c r="B9769" t="s">
        <v>8954</v>
      </c>
      <c r="C9769">
        <v>158.51</v>
      </c>
      <c r="D9769" t="str">
        <f>"637"</f>
        <v>637</v>
      </c>
    </row>
    <row r="9770" spans="1:5" x14ac:dyDescent="0.25">
      <c r="A9770" t="str">
        <f>"839250275"</f>
        <v>839250275</v>
      </c>
      <c r="B9770" t="s">
        <v>8955</v>
      </c>
      <c r="C9770">
        <v>33.28</v>
      </c>
      <c r="D9770" t="str">
        <f>"637"</f>
        <v>637</v>
      </c>
    </row>
    <row r="9771" spans="1:5" x14ac:dyDescent="0.25">
      <c r="A9771" t="str">
        <f>"839250276"</f>
        <v>839250276</v>
      </c>
      <c r="B9771" t="s">
        <v>8956</v>
      </c>
      <c r="C9771">
        <v>135.61000000000001</v>
      </c>
      <c r="D9771" t="str">
        <f>"250"</f>
        <v>250</v>
      </c>
    </row>
    <row r="9772" spans="1:5" x14ac:dyDescent="0.25">
      <c r="A9772" t="str">
        <f>"839250277"</f>
        <v>839250277</v>
      </c>
      <c r="B9772" t="s">
        <v>8957</v>
      </c>
      <c r="C9772">
        <v>50.29</v>
      </c>
      <c r="D9772" t="str">
        <f>"636"</f>
        <v>636</v>
      </c>
      <c r="E9772" t="str">
        <f>"J3010"</f>
        <v>J3010</v>
      </c>
    </row>
    <row r="9773" spans="1:5" x14ac:dyDescent="0.25">
      <c r="A9773" t="str">
        <f>"839250279"</f>
        <v>839250279</v>
      </c>
      <c r="B9773" t="s">
        <v>8958</v>
      </c>
      <c r="C9773">
        <v>12.54</v>
      </c>
      <c r="D9773" t="str">
        <f>"637"</f>
        <v>637</v>
      </c>
    </row>
    <row r="9774" spans="1:5" x14ac:dyDescent="0.25">
      <c r="A9774" t="str">
        <f>"839250280"</f>
        <v>839250280</v>
      </c>
      <c r="B9774" t="s">
        <v>8959</v>
      </c>
      <c r="C9774">
        <v>6.6</v>
      </c>
      <c r="D9774" t="str">
        <f>"637"</f>
        <v>637</v>
      </c>
    </row>
    <row r="9775" spans="1:5" x14ac:dyDescent="0.25">
      <c r="A9775" t="str">
        <f>"839250281"</f>
        <v>839250281</v>
      </c>
      <c r="B9775" t="s">
        <v>8960</v>
      </c>
      <c r="C9775">
        <v>6.6</v>
      </c>
      <c r="D9775" t="str">
        <f>"637"</f>
        <v>637</v>
      </c>
    </row>
    <row r="9776" spans="1:5" x14ac:dyDescent="0.25">
      <c r="A9776" t="str">
        <f>"839250282"</f>
        <v>839250282</v>
      </c>
      <c r="B9776" t="s">
        <v>8961</v>
      </c>
      <c r="C9776">
        <v>563.99</v>
      </c>
      <c r="D9776" t="str">
        <f>"250"</f>
        <v>250</v>
      </c>
    </row>
    <row r="9777" spans="1:5" x14ac:dyDescent="0.25">
      <c r="A9777" t="str">
        <f>"839250283"</f>
        <v>839250283</v>
      </c>
      <c r="B9777" t="s">
        <v>8962</v>
      </c>
      <c r="C9777">
        <v>6.6</v>
      </c>
      <c r="D9777" t="str">
        <f>"250"</f>
        <v>250</v>
      </c>
    </row>
    <row r="9778" spans="1:5" x14ac:dyDescent="0.25">
      <c r="A9778" t="str">
        <f>"839250284"</f>
        <v>839250284</v>
      </c>
      <c r="B9778" t="s">
        <v>8963</v>
      </c>
      <c r="C9778">
        <v>32.93</v>
      </c>
      <c r="D9778" t="str">
        <f>"250"</f>
        <v>250</v>
      </c>
    </row>
    <row r="9779" spans="1:5" x14ac:dyDescent="0.25">
      <c r="A9779" t="str">
        <f>"839250285"</f>
        <v>839250285</v>
      </c>
      <c r="B9779" t="s">
        <v>8964</v>
      </c>
      <c r="C9779">
        <v>6.6</v>
      </c>
      <c r="D9779" t="str">
        <f>"250"</f>
        <v>250</v>
      </c>
    </row>
    <row r="9780" spans="1:5" x14ac:dyDescent="0.25">
      <c r="A9780" t="str">
        <f>"839250286"</f>
        <v>839250286</v>
      </c>
      <c r="B9780" t="s">
        <v>8965</v>
      </c>
      <c r="C9780">
        <v>102.09</v>
      </c>
      <c r="D9780" t="str">
        <f>"636"</f>
        <v>636</v>
      </c>
      <c r="E9780" t="str">
        <f>"J2780"</f>
        <v>J2780</v>
      </c>
    </row>
    <row r="9781" spans="1:5" x14ac:dyDescent="0.25">
      <c r="A9781" t="str">
        <f>"839250287"</f>
        <v>839250287</v>
      </c>
      <c r="B9781" t="s">
        <v>8966</v>
      </c>
      <c r="C9781">
        <v>26.3</v>
      </c>
      <c r="D9781" t="str">
        <f>"250"</f>
        <v>250</v>
      </c>
    </row>
    <row r="9782" spans="1:5" x14ac:dyDescent="0.25">
      <c r="A9782" t="str">
        <f>"839250288"</f>
        <v>839250288</v>
      </c>
      <c r="B9782" t="s">
        <v>8967</v>
      </c>
      <c r="C9782" s="1">
        <v>2068.6999999999998</v>
      </c>
      <c r="D9782" t="str">
        <f>"637"</f>
        <v>637</v>
      </c>
    </row>
    <row r="9783" spans="1:5" x14ac:dyDescent="0.25">
      <c r="A9783" t="str">
        <f>"839250289"</f>
        <v>839250289</v>
      </c>
      <c r="B9783" t="s">
        <v>8968</v>
      </c>
      <c r="C9783">
        <v>84.06</v>
      </c>
      <c r="D9783" t="str">
        <f>"637"</f>
        <v>637</v>
      </c>
    </row>
    <row r="9784" spans="1:5" x14ac:dyDescent="0.25">
      <c r="A9784" t="str">
        <f>"839250290"</f>
        <v>839250290</v>
      </c>
      <c r="B9784" t="s">
        <v>8969</v>
      </c>
      <c r="C9784" s="1">
        <v>1443.75</v>
      </c>
      <c r="D9784" t="str">
        <f>"636"</f>
        <v>636</v>
      </c>
      <c r="E9784" t="str">
        <f>"J3260"</f>
        <v>J3260</v>
      </c>
    </row>
    <row r="9785" spans="1:5" x14ac:dyDescent="0.25">
      <c r="A9785" t="str">
        <f>"839250291"</f>
        <v>839250291</v>
      </c>
      <c r="B9785" t="s">
        <v>8970</v>
      </c>
      <c r="C9785">
        <v>9.9</v>
      </c>
      <c r="D9785" t="str">
        <f>"250"</f>
        <v>250</v>
      </c>
    </row>
    <row r="9786" spans="1:5" x14ac:dyDescent="0.25">
      <c r="A9786" t="str">
        <f>"839250292"</f>
        <v>839250292</v>
      </c>
      <c r="B9786" t="s">
        <v>8971</v>
      </c>
      <c r="C9786">
        <v>35.340000000000003</v>
      </c>
      <c r="D9786" t="str">
        <f>"250"</f>
        <v>250</v>
      </c>
    </row>
    <row r="9787" spans="1:5" x14ac:dyDescent="0.25">
      <c r="A9787" t="str">
        <f>"839250293"</f>
        <v>839250293</v>
      </c>
      <c r="B9787" t="s">
        <v>8972</v>
      </c>
      <c r="C9787">
        <v>6.6</v>
      </c>
      <c r="D9787" t="str">
        <f>"250"</f>
        <v>250</v>
      </c>
    </row>
    <row r="9788" spans="1:5" x14ac:dyDescent="0.25">
      <c r="A9788" t="str">
        <f>"839250294"</f>
        <v>839250294</v>
      </c>
      <c r="B9788" t="s">
        <v>8973</v>
      </c>
      <c r="C9788">
        <v>48.39</v>
      </c>
      <c r="D9788" t="str">
        <f>"250"</f>
        <v>250</v>
      </c>
    </row>
    <row r="9789" spans="1:5" x14ac:dyDescent="0.25">
      <c r="A9789" t="str">
        <f>"839250295"</f>
        <v>839250295</v>
      </c>
      <c r="B9789" t="s">
        <v>8974</v>
      </c>
      <c r="C9789" s="1">
        <v>2646.69</v>
      </c>
      <c r="D9789" t="str">
        <f>"636"</f>
        <v>636</v>
      </c>
      <c r="E9789" t="str">
        <f>"J3490"</f>
        <v>J3490</v>
      </c>
    </row>
    <row r="9790" spans="1:5" x14ac:dyDescent="0.25">
      <c r="A9790" t="str">
        <f>"839250296"</f>
        <v>839250296</v>
      </c>
      <c r="B9790" t="s">
        <v>8975</v>
      </c>
      <c r="C9790">
        <v>885.19</v>
      </c>
      <c r="D9790" t="str">
        <f>"637"</f>
        <v>637</v>
      </c>
      <c r="E9790" t="str">
        <f>"J1815"</f>
        <v>J1815</v>
      </c>
    </row>
    <row r="9791" spans="1:5" x14ac:dyDescent="0.25">
      <c r="A9791" t="str">
        <f>"839250297"</f>
        <v>839250297</v>
      </c>
      <c r="B9791" t="s">
        <v>8976</v>
      </c>
      <c r="C9791">
        <v>885.19</v>
      </c>
      <c r="D9791" t="str">
        <f>"637"</f>
        <v>637</v>
      </c>
      <c r="E9791" t="str">
        <f>"J1815"</f>
        <v>J1815</v>
      </c>
    </row>
    <row r="9792" spans="1:5" x14ac:dyDescent="0.25">
      <c r="A9792" t="str">
        <f>"839250298"</f>
        <v>839250298</v>
      </c>
      <c r="B9792" t="s">
        <v>8977</v>
      </c>
      <c r="C9792">
        <v>732.14</v>
      </c>
      <c r="D9792" t="str">
        <f>"637"</f>
        <v>637</v>
      </c>
      <c r="E9792" t="str">
        <f>"J1815"</f>
        <v>J1815</v>
      </c>
    </row>
    <row r="9793" spans="1:5" x14ac:dyDescent="0.25">
      <c r="A9793" t="str">
        <f>"839250299"</f>
        <v>839250299</v>
      </c>
      <c r="B9793" t="s">
        <v>8978</v>
      </c>
      <c r="C9793">
        <v>132.02000000000001</v>
      </c>
      <c r="D9793" t="str">
        <f t="shared" ref="D9793:D9797" si="313">"250"</f>
        <v>250</v>
      </c>
    </row>
    <row r="9794" spans="1:5" x14ac:dyDescent="0.25">
      <c r="A9794" t="str">
        <f>"839250300"</f>
        <v>839250300</v>
      </c>
      <c r="B9794" t="s">
        <v>8979</v>
      </c>
      <c r="C9794" s="1">
        <v>18942</v>
      </c>
      <c r="D9794" t="str">
        <f t="shared" si="313"/>
        <v>250</v>
      </c>
    </row>
    <row r="9795" spans="1:5" x14ac:dyDescent="0.25">
      <c r="A9795" t="str">
        <f>"839250301"</f>
        <v>839250301</v>
      </c>
      <c r="B9795" t="s">
        <v>8980</v>
      </c>
      <c r="C9795">
        <v>3.3</v>
      </c>
      <c r="D9795" t="str">
        <f t="shared" si="313"/>
        <v>250</v>
      </c>
    </row>
    <row r="9796" spans="1:5" x14ac:dyDescent="0.25">
      <c r="A9796" t="str">
        <f>"839250302"</f>
        <v>839250302</v>
      </c>
      <c r="B9796" t="s">
        <v>8981</v>
      </c>
      <c r="C9796">
        <v>5.5</v>
      </c>
      <c r="D9796" t="str">
        <f t="shared" si="313"/>
        <v>250</v>
      </c>
    </row>
    <row r="9797" spans="1:5" x14ac:dyDescent="0.25">
      <c r="A9797" t="str">
        <f>"839250305"</f>
        <v>839250305</v>
      </c>
      <c r="B9797" t="s">
        <v>8982</v>
      </c>
      <c r="C9797">
        <v>513.41</v>
      </c>
      <c r="D9797" t="str">
        <f t="shared" si="313"/>
        <v>250</v>
      </c>
    </row>
    <row r="9798" spans="1:5" x14ac:dyDescent="0.25">
      <c r="A9798" t="str">
        <f>"839250306"</f>
        <v>839250306</v>
      </c>
      <c r="B9798" t="s">
        <v>8983</v>
      </c>
      <c r="C9798">
        <v>119.56</v>
      </c>
      <c r="D9798" t="str">
        <f>"637"</f>
        <v>637</v>
      </c>
    </row>
    <row r="9799" spans="1:5" x14ac:dyDescent="0.25">
      <c r="A9799" t="str">
        <f>"839250308"</f>
        <v>839250308</v>
      </c>
      <c r="B9799" t="s">
        <v>8984</v>
      </c>
      <c r="C9799">
        <v>8.18</v>
      </c>
      <c r="D9799" t="str">
        <f>"637"</f>
        <v>637</v>
      </c>
    </row>
    <row r="9800" spans="1:5" x14ac:dyDescent="0.25">
      <c r="A9800" t="str">
        <f>"839250309"</f>
        <v>839250309</v>
      </c>
      <c r="B9800" t="s">
        <v>8985</v>
      </c>
      <c r="C9800">
        <v>6.6</v>
      </c>
      <c r="D9800" t="str">
        <f>"250"</f>
        <v>250</v>
      </c>
    </row>
    <row r="9801" spans="1:5" x14ac:dyDescent="0.25">
      <c r="A9801" t="str">
        <f>"839250310"</f>
        <v>839250310</v>
      </c>
      <c r="B9801" t="s">
        <v>8986</v>
      </c>
      <c r="C9801">
        <v>6.6</v>
      </c>
      <c r="D9801" t="str">
        <f>"250"</f>
        <v>250</v>
      </c>
    </row>
    <row r="9802" spans="1:5" x14ac:dyDescent="0.25">
      <c r="A9802" t="str">
        <f>"839250311"</f>
        <v>839250311</v>
      </c>
      <c r="B9802" t="s">
        <v>8987</v>
      </c>
      <c r="C9802">
        <v>148.30000000000001</v>
      </c>
      <c r="D9802" t="str">
        <f>"637"</f>
        <v>637</v>
      </c>
    </row>
    <row r="9803" spans="1:5" x14ac:dyDescent="0.25">
      <c r="A9803" t="str">
        <f>"839250312"</f>
        <v>839250312</v>
      </c>
      <c r="B9803" t="s">
        <v>8988</v>
      </c>
      <c r="C9803">
        <v>10.67</v>
      </c>
      <c r="D9803" t="str">
        <f>"637"</f>
        <v>637</v>
      </c>
    </row>
    <row r="9804" spans="1:5" x14ac:dyDescent="0.25">
      <c r="A9804" t="str">
        <f>"839250313"</f>
        <v>839250313</v>
      </c>
      <c r="B9804" t="s">
        <v>8989</v>
      </c>
      <c r="C9804">
        <v>6.6</v>
      </c>
      <c r="D9804" t="str">
        <f>"637"</f>
        <v>637</v>
      </c>
    </row>
    <row r="9805" spans="1:5" x14ac:dyDescent="0.25">
      <c r="A9805" t="str">
        <f>"839250314"</f>
        <v>839250314</v>
      </c>
      <c r="B9805" t="s">
        <v>8990</v>
      </c>
      <c r="C9805">
        <v>115.15</v>
      </c>
      <c r="D9805" t="str">
        <f>"250"</f>
        <v>250</v>
      </c>
    </row>
    <row r="9806" spans="1:5" x14ac:dyDescent="0.25">
      <c r="A9806" t="str">
        <f>"839250315"</f>
        <v>839250315</v>
      </c>
      <c r="B9806" t="s">
        <v>8991</v>
      </c>
      <c r="C9806">
        <v>12.78</v>
      </c>
      <c r="D9806" t="str">
        <f>"637"</f>
        <v>637</v>
      </c>
    </row>
    <row r="9807" spans="1:5" x14ac:dyDescent="0.25">
      <c r="A9807" t="str">
        <f>"839250316"</f>
        <v>839250316</v>
      </c>
      <c r="B9807" t="s">
        <v>8992</v>
      </c>
      <c r="C9807">
        <v>122.76</v>
      </c>
      <c r="D9807" t="str">
        <f>"636"</f>
        <v>636</v>
      </c>
      <c r="E9807" t="str">
        <f>"J0278"</f>
        <v>J0278</v>
      </c>
    </row>
    <row r="9808" spans="1:5" x14ac:dyDescent="0.25">
      <c r="A9808" t="str">
        <f>"839250317"</f>
        <v>839250317</v>
      </c>
      <c r="B9808" t="s">
        <v>8993</v>
      </c>
      <c r="C9808">
        <v>6.6</v>
      </c>
      <c r="D9808" t="str">
        <f>"637"</f>
        <v>637</v>
      </c>
    </row>
    <row r="9809" spans="1:5" x14ac:dyDescent="0.25">
      <c r="A9809" t="str">
        <f>"839250318"</f>
        <v>839250318</v>
      </c>
      <c r="B9809" t="s">
        <v>8994</v>
      </c>
      <c r="C9809">
        <v>848.83</v>
      </c>
      <c r="D9809" t="str">
        <f>"306"</f>
        <v>306</v>
      </c>
      <c r="E9809" t="str">
        <f>"J1652"</f>
        <v>J1652</v>
      </c>
    </row>
    <row r="9810" spans="1:5" x14ac:dyDescent="0.25">
      <c r="A9810" t="str">
        <f>"839250319"</f>
        <v>839250319</v>
      </c>
      <c r="B9810" t="s">
        <v>8995</v>
      </c>
      <c r="C9810">
        <v>323.19</v>
      </c>
      <c r="D9810" t="str">
        <f>"636"</f>
        <v>636</v>
      </c>
      <c r="E9810" t="str">
        <f>"J1815"</f>
        <v>J1815</v>
      </c>
    </row>
    <row r="9811" spans="1:5" x14ac:dyDescent="0.25">
      <c r="A9811" t="str">
        <f>"839250320"</f>
        <v>839250320</v>
      </c>
      <c r="B9811" t="s">
        <v>8996</v>
      </c>
      <c r="C9811">
        <v>97.05</v>
      </c>
      <c r="D9811" t="str">
        <f>"636"</f>
        <v>636</v>
      </c>
      <c r="E9811" t="str">
        <f>"J0278"</f>
        <v>J0278</v>
      </c>
    </row>
    <row r="9812" spans="1:5" x14ac:dyDescent="0.25">
      <c r="A9812" t="str">
        <f>"839250321"</f>
        <v>839250321</v>
      </c>
      <c r="B9812" t="s">
        <v>8997</v>
      </c>
      <c r="C9812">
        <v>122.69</v>
      </c>
      <c r="D9812" t="str">
        <f>"250"</f>
        <v>250</v>
      </c>
    </row>
    <row r="9813" spans="1:5" x14ac:dyDescent="0.25">
      <c r="A9813" t="str">
        <f>"839250322"</f>
        <v>839250322</v>
      </c>
      <c r="B9813" t="s">
        <v>8998</v>
      </c>
      <c r="C9813">
        <v>122.69</v>
      </c>
      <c r="D9813" t="str">
        <f>"250"</f>
        <v>250</v>
      </c>
    </row>
    <row r="9814" spans="1:5" x14ac:dyDescent="0.25">
      <c r="A9814" t="str">
        <f>"839250323"</f>
        <v>839250323</v>
      </c>
      <c r="B9814" t="s">
        <v>8999</v>
      </c>
      <c r="C9814">
        <v>122.69</v>
      </c>
      <c r="D9814" t="str">
        <f>"250"</f>
        <v>250</v>
      </c>
    </row>
    <row r="9815" spans="1:5" x14ac:dyDescent="0.25">
      <c r="A9815" t="str">
        <f>"839250324"</f>
        <v>839250324</v>
      </c>
      <c r="B9815" t="s">
        <v>9000</v>
      </c>
      <c r="C9815">
        <v>122.69</v>
      </c>
      <c r="D9815" t="str">
        <f>"250"</f>
        <v>250</v>
      </c>
    </row>
    <row r="9816" spans="1:5" x14ac:dyDescent="0.25">
      <c r="A9816" t="str">
        <f>"839250325"</f>
        <v>839250325</v>
      </c>
      <c r="B9816" t="s">
        <v>9001</v>
      </c>
      <c r="C9816">
        <v>206.61</v>
      </c>
      <c r="D9816" t="str">
        <f>"250"</f>
        <v>250</v>
      </c>
    </row>
    <row r="9817" spans="1:5" x14ac:dyDescent="0.25">
      <c r="A9817" t="str">
        <f>"839250326"</f>
        <v>839250326</v>
      </c>
      <c r="B9817" t="s">
        <v>9002</v>
      </c>
      <c r="C9817">
        <v>59.04</v>
      </c>
      <c r="D9817" t="str">
        <f>"637"</f>
        <v>637</v>
      </c>
    </row>
    <row r="9818" spans="1:5" x14ac:dyDescent="0.25">
      <c r="A9818" t="str">
        <f>"839250327"</f>
        <v>839250327</v>
      </c>
      <c r="B9818" t="s">
        <v>9003</v>
      </c>
      <c r="C9818">
        <v>41.18</v>
      </c>
      <c r="D9818" t="str">
        <f>"250"</f>
        <v>250</v>
      </c>
    </row>
    <row r="9819" spans="1:5" x14ac:dyDescent="0.25">
      <c r="A9819" t="str">
        <f>"839250328"</f>
        <v>839250328</v>
      </c>
      <c r="B9819" t="s">
        <v>9004</v>
      </c>
      <c r="C9819">
        <v>6.6</v>
      </c>
      <c r="D9819" t="str">
        <f>"636"</f>
        <v>636</v>
      </c>
      <c r="E9819" t="str">
        <f>"J1953"</f>
        <v>J1953</v>
      </c>
    </row>
    <row r="9820" spans="1:5" x14ac:dyDescent="0.25">
      <c r="A9820" t="str">
        <f>"839250329"</f>
        <v>839250329</v>
      </c>
      <c r="B9820" t="s">
        <v>9005</v>
      </c>
      <c r="C9820">
        <v>43.7</v>
      </c>
      <c r="D9820" t="str">
        <f>"637"</f>
        <v>637</v>
      </c>
    </row>
    <row r="9821" spans="1:5" x14ac:dyDescent="0.25">
      <c r="A9821" t="str">
        <f>"839250330"</f>
        <v>839250330</v>
      </c>
      <c r="B9821" t="s">
        <v>9006</v>
      </c>
      <c r="C9821">
        <v>71.28</v>
      </c>
      <c r="D9821" t="str">
        <f>"636"</f>
        <v>636</v>
      </c>
      <c r="E9821" t="str">
        <f>"J3490"</f>
        <v>J3490</v>
      </c>
    </row>
    <row r="9822" spans="1:5" x14ac:dyDescent="0.25">
      <c r="A9822" t="str">
        <f>"839250331"</f>
        <v>839250331</v>
      </c>
      <c r="B9822" t="s">
        <v>9007</v>
      </c>
      <c r="C9822">
        <v>6.6</v>
      </c>
      <c r="D9822" t="str">
        <f>"250"</f>
        <v>250</v>
      </c>
    </row>
    <row r="9823" spans="1:5" x14ac:dyDescent="0.25">
      <c r="A9823" t="str">
        <f>"839250332"</f>
        <v>839250332</v>
      </c>
      <c r="B9823" t="s">
        <v>9008</v>
      </c>
      <c r="C9823">
        <v>124.07</v>
      </c>
      <c r="D9823" t="str">
        <f>"250"</f>
        <v>250</v>
      </c>
    </row>
    <row r="9824" spans="1:5" x14ac:dyDescent="0.25">
      <c r="A9824" t="str">
        <f>"839250333"</f>
        <v>839250333</v>
      </c>
      <c r="B9824" t="s">
        <v>9009</v>
      </c>
      <c r="C9824">
        <v>34.69</v>
      </c>
      <c r="D9824" t="str">
        <f>"636"</f>
        <v>636</v>
      </c>
      <c r="E9824" t="str">
        <f>"J0282"</f>
        <v>J0282</v>
      </c>
    </row>
    <row r="9825" spans="1:4" x14ac:dyDescent="0.25">
      <c r="A9825" t="str">
        <f>"839250334"</f>
        <v>839250334</v>
      </c>
      <c r="B9825" t="s">
        <v>9010</v>
      </c>
      <c r="C9825">
        <v>124.07</v>
      </c>
      <c r="D9825" t="str">
        <f>"250"</f>
        <v>250</v>
      </c>
    </row>
    <row r="9826" spans="1:4" x14ac:dyDescent="0.25">
      <c r="A9826" t="str">
        <f>"839250335"</f>
        <v>839250335</v>
      </c>
      <c r="B9826" t="s">
        <v>9011</v>
      </c>
      <c r="C9826">
        <v>124.07</v>
      </c>
      <c r="D9826" t="str">
        <f>"250"</f>
        <v>250</v>
      </c>
    </row>
    <row r="9827" spans="1:4" x14ac:dyDescent="0.25">
      <c r="A9827" t="str">
        <f>"839250336"</f>
        <v>839250336</v>
      </c>
      <c r="B9827" t="s">
        <v>9012</v>
      </c>
      <c r="C9827">
        <v>21.01</v>
      </c>
      <c r="D9827" t="str">
        <f>"637"</f>
        <v>637</v>
      </c>
    </row>
    <row r="9828" spans="1:4" x14ac:dyDescent="0.25">
      <c r="A9828" t="str">
        <f>"839250338"</f>
        <v>839250338</v>
      </c>
      <c r="B9828" t="s">
        <v>9013</v>
      </c>
      <c r="C9828">
        <v>145.4</v>
      </c>
      <c r="D9828" t="str">
        <f>"250"</f>
        <v>250</v>
      </c>
    </row>
    <row r="9829" spans="1:4" x14ac:dyDescent="0.25">
      <c r="A9829" t="str">
        <f>"839250339"</f>
        <v>839250339</v>
      </c>
      <c r="B9829" t="s">
        <v>9014</v>
      </c>
      <c r="C9829">
        <v>30.16</v>
      </c>
      <c r="D9829" t="str">
        <f>"637"</f>
        <v>637</v>
      </c>
    </row>
    <row r="9830" spans="1:4" x14ac:dyDescent="0.25">
      <c r="A9830" t="str">
        <f>"839250340"</f>
        <v>839250340</v>
      </c>
      <c r="B9830" t="s">
        <v>9015</v>
      </c>
      <c r="C9830">
        <v>55.47</v>
      </c>
      <c r="D9830" t="str">
        <f>"250"</f>
        <v>250</v>
      </c>
    </row>
    <row r="9831" spans="1:4" x14ac:dyDescent="0.25">
      <c r="A9831" t="str">
        <f>"839250341"</f>
        <v>839250341</v>
      </c>
      <c r="B9831" t="s">
        <v>9016</v>
      </c>
      <c r="C9831">
        <v>6.6</v>
      </c>
      <c r="D9831" t="str">
        <f>"250"</f>
        <v>250</v>
      </c>
    </row>
    <row r="9832" spans="1:4" x14ac:dyDescent="0.25">
      <c r="A9832" t="str">
        <f>"839250342"</f>
        <v>839250342</v>
      </c>
      <c r="B9832" t="s">
        <v>9017</v>
      </c>
      <c r="C9832">
        <v>102.07</v>
      </c>
      <c r="D9832" t="str">
        <f>"637"</f>
        <v>637</v>
      </c>
    </row>
    <row r="9833" spans="1:4" x14ac:dyDescent="0.25">
      <c r="A9833" t="str">
        <f>"839250343"</f>
        <v>839250343</v>
      </c>
      <c r="B9833" t="s">
        <v>9018</v>
      </c>
      <c r="C9833">
        <v>183.88</v>
      </c>
      <c r="D9833" t="str">
        <f>"637"</f>
        <v>637</v>
      </c>
    </row>
    <row r="9834" spans="1:4" x14ac:dyDescent="0.25">
      <c r="A9834" t="str">
        <f>"839250344"</f>
        <v>839250344</v>
      </c>
      <c r="B9834" t="s">
        <v>9019</v>
      </c>
      <c r="C9834">
        <v>224.27</v>
      </c>
      <c r="D9834" t="str">
        <f>"250"</f>
        <v>250</v>
      </c>
    </row>
    <row r="9835" spans="1:4" x14ac:dyDescent="0.25">
      <c r="A9835" t="str">
        <f>"839250345"</f>
        <v>839250345</v>
      </c>
      <c r="B9835" t="s">
        <v>9020</v>
      </c>
      <c r="C9835">
        <v>21.8</v>
      </c>
      <c r="D9835" t="str">
        <f t="shared" ref="D9835:D9840" si="314">"637"</f>
        <v>637</v>
      </c>
    </row>
    <row r="9836" spans="1:4" x14ac:dyDescent="0.25">
      <c r="A9836" t="str">
        <f>"839250346"</f>
        <v>839250346</v>
      </c>
      <c r="B9836" t="s">
        <v>9021</v>
      </c>
      <c r="C9836">
        <v>11.18</v>
      </c>
      <c r="D9836" t="str">
        <f t="shared" si="314"/>
        <v>637</v>
      </c>
    </row>
    <row r="9837" spans="1:4" x14ac:dyDescent="0.25">
      <c r="A9837" t="str">
        <f>"839250347"</f>
        <v>839250347</v>
      </c>
      <c r="B9837" t="s">
        <v>9022</v>
      </c>
      <c r="C9837">
        <v>54.86</v>
      </c>
      <c r="D9837" t="str">
        <f t="shared" si="314"/>
        <v>637</v>
      </c>
    </row>
    <row r="9838" spans="1:4" x14ac:dyDescent="0.25">
      <c r="A9838" t="str">
        <f>"839250348"</f>
        <v>839250348</v>
      </c>
      <c r="B9838" t="s">
        <v>9023</v>
      </c>
      <c r="C9838" s="1">
        <v>1054.94</v>
      </c>
      <c r="D9838" t="str">
        <f t="shared" si="314"/>
        <v>637</v>
      </c>
    </row>
    <row r="9839" spans="1:4" x14ac:dyDescent="0.25">
      <c r="A9839" t="str">
        <f>"839250349"</f>
        <v>839250349</v>
      </c>
      <c r="B9839" t="s">
        <v>9024</v>
      </c>
      <c r="C9839">
        <v>32.93</v>
      </c>
      <c r="D9839" t="str">
        <f t="shared" si="314"/>
        <v>637</v>
      </c>
    </row>
    <row r="9840" spans="1:4" x14ac:dyDescent="0.25">
      <c r="A9840" t="str">
        <f>"839250350"</f>
        <v>839250350</v>
      </c>
      <c r="B9840" t="s">
        <v>9025</v>
      </c>
      <c r="C9840">
        <v>20.99</v>
      </c>
      <c r="D9840" t="str">
        <f t="shared" si="314"/>
        <v>637</v>
      </c>
    </row>
    <row r="9841" spans="1:5" x14ac:dyDescent="0.25">
      <c r="A9841" t="str">
        <f>"839250351"</f>
        <v>839250351</v>
      </c>
      <c r="B9841" t="s">
        <v>9026</v>
      </c>
      <c r="C9841">
        <v>130.59</v>
      </c>
      <c r="D9841" t="str">
        <f>"250"</f>
        <v>250</v>
      </c>
    </row>
    <row r="9842" spans="1:5" x14ac:dyDescent="0.25">
      <c r="A9842" t="str">
        <f>"839250352"</f>
        <v>839250352</v>
      </c>
      <c r="B9842" t="s">
        <v>9027</v>
      </c>
      <c r="C9842">
        <v>6.6</v>
      </c>
      <c r="D9842" t="str">
        <f>"637"</f>
        <v>637</v>
      </c>
    </row>
    <row r="9843" spans="1:5" x14ac:dyDescent="0.25">
      <c r="A9843" t="str">
        <f>"839250353"</f>
        <v>839250353</v>
      </c>
      <c r="B9843" t="s">
        <v>9028</v>
      </c>
      <c r="C9843">
        <v>10.79</v>
      </c>
      <c r="D9843" t="str">
        <f>"637"</f>
        <v>637</v>
      </c>
    </row>
    <row r="9844" spans="1:5" x14ac:dyDescent="0.25">
      <c r="A9844" t="str">
        <f>"839250354"</f>
        <v>839250354</v>
      </c>
      <c r="B9844" t="s">
        <v>9029</v>
      </c>
      <c r="C9844">
        <v>70.95</v>
      </c>
      <c r="D9844" t="str">
        <f>"250"</f>
        <v>250</v>
      </c>
    </row>
    <row r="9845" spans="1:5" x14ac:dyDescent="0.25">
      <c r="A9845" t="str">
        <f>"839250355"</f>
        <v>839250355</v>
      </c>
      <c r="B9845" t="s">
        <v>9030</v>
      </c>
      <c r="C9845">
        <v>86.75</v>
      </c>
      <c r="D9845" t="str">
        <f>"250"</f>
        <v>250</v>
      </c>
    </row>
    <row r="9846" spans="1:5" x14ac:dyDescent="0.25">
      <c r="A9846" t="str">
        <f>"839250356"</f>
        <v>839250356</v>
      </c>
      <c r="B9846" t="s">
        <v>9031</v>
      </c>
      <c r="C9846" s="1">
        <v>1376.83</v>
      </c>
      <c r="D9846" t="str">
        <f>"636"</f>
        <v>636</v>
      </c>
      <c r="E9846" t="str">
        <f>"J1327"</f>
        <v>J1327</v>
      </c>
    </row>
    <row r="9847" spans="1:5" x14ac:dyDescent="0.25">
      <c r="A9847" t="str">
        <f>"839250357"</f>
        <v>839250357</v>
      </c>
      <c r="B9847" t="s">
        <v>9032</v>
      </c>
      <c r="C9847">
        <v>31.68</v>
      </c>
      <c r="D9847" t="str">
        <f>"637"</f>
        <v>637</v>
      </c>
    </row>
    <row r="9848" spans="1:5" x14ac:dyDescent="0.25">
      <c r="A9848" t="str">
        <f>"839250358"</f>
        <v>839250358</v>
      </c>
      <c r="B9848" t="s">
        <v>9033</v>
      </c>
      <c r="C9848">
        <v>189.89</v>
      </c>
      <c r="D9848" t="str">
        <f>"637"</f>
        <v>637</v>
      </c>
    </row>
    <row r="9849" spans="1:5" x14ac:dyDescent="0.25">
      <c r="A9849" t="str">
        <f>"839250359"</f>
        <v>839250359</v>
      </c>
      <c r="B9849" t="s">
        <v>9034</v>
      </c>
      <c r="C9849">
        <v>6.6</v>
      </c>
      <c r="D9849" t="str">
        <f>"637"</f>
        <v>637</v>
      </c>
    </row>
    <row r="9850" spans="1:5" x14ac:dyDescent="0.25">
      <c r="A9850" t="str">
        <f>"839250360"</f>
        <v>839250360</v>
      </c>
      <c r="B9850" t="s">
        <v>9035</v>
      </c>
      <c r="C9850">
        <v>67.2</v>
      </c>
      <c r="D9850" t="str">
        <f>"250"</f>
        <v>250</v>
      </c>
    </row>
    <row r="9851" spans="1:5" x14ac:dyDescent="0.25">
      <c r="A9851" t="str">
        <f>"839250361"</f>
        <v>839250361</v>
      </c>
      <c r="B9851" t="s">
        <v>9036</v>
      </c>
      <c r="C9851">
        <v>67.2</v>
      </c>
      <c r="D9851" t="str">
        <f>"250"</f>
        <v>250</v>
      </c>
    </row>
    <row r="9852" spans="1:5" x14ac:dyDescent="0.25">
      <c r="A9852" t="str">
        <f>"839250362"</f>
        <v>839250362</v>
      </c>
      <c r="B9852" t="s">
        <v>9037</v>
      </c>
      <c r="C9852" s="1">
        <v>1128.5999999999999</v>
      </c>
      <c r="D9852" t="str">
        <f>"272"</f>
        <v>272</v>
      </c>
    </row>
    <row r="9853" spans="1:5" x14ac:dyDescent="0.25">
      <c r="A9853" t="str">
        <f>"839250364"</f>
        <v>839250364</v>
      </c>
      <c r="B9853" t="s">
        <v>9038</v>
      </c>
      <c r="C9853">
        <v>357.4</v>
      </c>
      <c r="D9853" t="str">
        <f>"250"</f>
        <v>250</v>
      </c>
      <c r="E9853" t="str">
        <f>"90715"</f>
        <v>90715</v>
      </c>
    </row>
    <row r="9854" spans="1:5" x14ac:dyDescent="0.25">
      <c r="A9854" t="str">
        <f>"839250365"</f>
        <v>839250365</v>
      </c>
      <c r="B9854" t="s">
        <v>9039</v>
      </c>
      <c r="C9854">
        <v>10.130000000000001</v>
      </c>
      <c r="D9854" t="str">
        <f>"637"</f>
        <v>637</v>
      </c>
    </row>
    <row r="9855" spans="1:5" x14ac:dyDescent="0.25">
      <c r="A9855" t="str">
        <f>"839250366"</f>
        <v>839250366</v>
      </c>
      <c r="B9855" t="s">
        <v>9040</v>
      </c>
      <c r="C9855">
        <v>6.6</v>
      </c>
      <c r="D9855" t="str">
        <f>"637"</f>
        <v>637</v>
      </c>
    </row>
    <row r="9856" spans="1:5" x14ac:dyDescent="0.25">
      <c r="A9856" t="str">
        <f>"839250367"</f>
        <v>839250367</v>
      </c>
      <c r="B9856" t="s">
        <v>9041</v>
      </c>
      <c r="C9856">
        <v>24.95</v>
      </c>
      <c r="D9856" t="str">
        <f>"250"</f>
        <v>250</v>
      </c>
    </row>
    <row r="9857" spans="1:5" x14ac:dyDescent="0.25">
      <c r="A9857" t="str">
        <f>"839250370"</f>
        <v>839250370</v>
      </c>
      <c r="B9857" t="s">
        <v>9042</v>
      </c>
      <c r="C9857">
        <v>11.34</v>
      </c>
      <c r="D9857" t="str">
        <f>"637"</f>
        <v>637</v>
      </c>
    </row>
    <row r="9858" spans="1:5" x14ac:dyDescent="0.25">
      <c r="A9858" t="str">
        <f>"839250372"</f>
        <v>839250372</v>
      </c>
      <c r="B9858" t="s">
        <v>9043</v>
      </c>
      <c r="C9858">
        <v>274.75</v>
      </c>
      <c r="D9858" t="str">
        <f>"636"</f>
        <v>636</v>
      </c>
      <c r="E9858" t="str">
        <f>"J0282"</f>
        <v>J0282</v>
      </c>
    </row>
    <row r="9859" spans="1:5" x14ac:dyDescent="0.25">
      <c r="A9859" t="str">
        <f>"839250375"</f>
        <v>839250375</v>
      </c>
      <c r="B9859" t="s">
        <v>9044</v>
      </c>
      <c r="C9859">
        <v>12.9</v>
      </c>
      <c r="D9859" t="str">
        <f>"637"</f>
        <v>637</v>
      </c>
    </row>
    <row r="9860" spans="1:5" x14ac:dyDescent="0.25">
      <c r="A9860" t="str">
        <f>"839250380"</f>
        <v>839250380</v>
      </c>
      <c r="B9860" t="s">
        <v>9045</v>
      </c>
      <c r="C9860">
        <v>14.05</v>
      </c>
      <c r="D9860" t="str">
        <f>"637"</f>
        <v>637</v>
      </c>
    </row>
    <row r="9861" spans="1:5" x14ac:dyDescent="0.25">
      <c r="A9861" t="str">
        <f>"839250387"</f>
        <v>839250387</v>
      </c>
      <c r="B9861" t="s">
        <v>9046</v>
      </c>
      <c r="C9861">
        <v>251.59</v>
      </c>
      <c r="D9861" t="str">
        <f>"637"</f>
        <v>637</v>
      </c>
    </row>
    <row r="9862" spans="1:5" x14ac:dyDescent="0.25">
      <c r="A9862" t="str">
        <f>"839250388"</f>
        <v>839250388</v>
      </c>
      <c r="B9862" t="s">
        <v>9047</v>
      </c>
      <c r="C9862">
        <v>51.39</v>
      </c>
      <c r="D9862" t="str">
        <f>"306"</f>
        <v>306</v>
      </c>
    </row>
    <row r="9863" spans="1:5" x14ac:dyDescent="0.25">
      <c r="A9863" t="str">
        <f>"839250390"</f>
        <v>839250390</v>
      </c>
      <c r="B9863" t="s">
        <v>9048</v>
      </c>
      <c r="C9863">
        <v>10.85</v>
      </c>
      <c r="D9863" t="str">
        <f>"637"</f>
        <v>637</v>
      </c>
    </row>
    <row r="9864" spans="1:5" x14ac:dyDescent="0.25">
      <c r="A9864" t="str">
        <f>"839250391"</f>
        <v>839250391</v>
      </c>
      <c r="B9864" t="s">
        <v>9049</v>
      </c>
      <c r="C9864">
        <v>14.88</v>
      </c>
      <c r="D9864" t="str">
        <f>"637"</f>
        <v>637</v>
      </c>
    </row>
    <row r="9865" spans="1:5" x14ac:dyDescent="0.25">
      <c r="A9865" t="str">
        <f>"839250395"</f>
        <v>839250395</v>
      </c>
      <c r="B9865" t="s">
        <v>9050</v>
      </c>
      <c r="C9865">
        <v>6.6</v>
      </c>
      <c r="D9865" t="str">
        <f>"637"</f>
        <v>637</v>
      </c>
    </row>
    <row r="9866" spans="1:5" x14ac:dyDescent="0.25">
      <c r="A9866" t="str">
        <f>"839250396"</f>
        <v>839250396</v>
      </c>
      <c r="B9866" t="s">
        <v>9051</v>
      </c>
      <c r="C9866">
        <v>29.44</v>
      </c>
      <c r="D9866" t="str">
        <f>"250"</f>
        <v>250</v>
      </c>
    </row>
    <row r="9867" spans="1:5" x14ac:dyDescent="0.25">
      <c r="A9867" t="str">
        <f>"839250400"</f>
        <v>839250400</v>
      </c>
      <c r="B9867" t="s">
        <v>9052</v>
      </c>
      <c r="C9867">
        <v>14.72</v>
      </c>
      <c r="D9867" t="str">
        <f>"250"</f>
        <v>250</v>
      </c>
    </row>
    <row r="9868" spans="1:5" x14ac:dyDescent="0.25">
      <c r="A9868" t="str">
        <f>"839250403"</f>
        <v>839250403</v>
      </c>
      <c r="B9868" t="s">
        <v>9053</v>
      </c>
      <c r="C9868">
        <v>11.52</v>
      </c>
      <c r="D9868" t="str">
        <f>"637"</f>
        <v>637</v>
      </c>
    </row>
    <row r="9869" spans="1:5" x14ac:dyDescent="0.25">
      <c r="A9869" t="str">
        <f>"839250404"</f>
        <v>839250404</v>
      </c>
      <c r="B9869" t="s">
        <v>9054</v>
      </c>
      <c r="C9869">
        <v>29.04</v>
      </c>
      <c r="D9869" t="str">
        <f>"312"</f>
        <v>312</v>
      </c>
    </row>
    <row r="9870" spans="1:5" x14ac:dyDescent="0.25">
      <c r="A9870" t="str">
        <f>"839250405"</f>
        <v>839250405</v>
      </c>
      <c r="B9870" t="s">
        <v>9055</v>
      </c>
      <c r="C9870">
        <v>873.58</v>
      </c>
      <c r="D9870" t="str">
        <f>"636"</f>
        <v>636</v>
      </c>
      <c r="E9870" t="str">
        <f>"Q5106"</f>
        <v>Q5106</v>
      </c>
    </row>
    <row r="9871" spans="1:5" x14ac:dyDescent="0.25">
      <c r="A9871" t="str">
        <f>"839250406"</f>
        <v>839250406</v>
      </c>
      <c r="B9871" t="s">
        <v>9056</v>
      </c>
      <c r="C9871">
        <v>28.09</v>
      </c>
      <c r="D9871" t="str">
        <f>"637"</f>
        <v>637</v>
      </c>
    </row>
    <row r="9872" spans="1:5" x14ac:dyDescent="0.25">
      <c r="A9872" t="str">
        <f>"839250407"</f>
        <v>839250407</v>
      </c>
      <c r="B9872" t="s">
        <v>9057</v>
      </c>
      <c r="C9872">
        <v>16.82</v>
      </c>
      <c r="D9872" t="str">
        <f>"636"</f>
        <v>636</v>
      </c>
      <c r="E9872" t="str">
        <f>"J3010"</f>
        <v>J3010</v>
      </c>
    </row>
    <row r="9873" spans="1:5" x14ac:dyDescent="0.25">
      <c r="A9873" t="str">
        <f>"839250408"</f>
        <v>839250408</v>
      </c>
      <c r="B9873" t="s">
        <v>9058</v>
      </c>
      <c r="C9873">
        <v>32.950000000000003</v>
      </c>
      <c r="D9873" t="str">
        <f>"636"</f>
        <v>636</v>
      </c>
      <c r="E9873" t="str">
        <f>"J1644"</f>
        <v>J1644</v>
      </c>
    </row>
    <row r="9874" spans="1:5" x14ac:dyDescent="0.25">
      <c r="A9874" t="str">
        <f>"839250410"</f>
        <v>839250410</v>
      </c>
      <c r="B9874" t="s">
        <v>9059</v>
      </c>
      <c r="C9874">
        <v>24.98</v>
      </c>
      <c r="D9874" t="str">
        <f>"250"</f>
        <v>250</v>
      </c>
    </row>
    <row r="9875" spans="1:5" x14ac:dyDescent="0.25">
      <c r="A9875" t="str">
        <f>"839250412"</f>
        <v>839250412</v>
      </c>
      <c r="B9875" t="s">
        <v>9060</v>
      </c>
      <c r="C9875">
        <v>764.87</v>
      </c>
      <c r="D9875" t="str">
        <f>"637"</f>
        <v>637</v>
      </c>
    </row>
    <row r="9876" spans="1:5" x14ac:dyDescent="0.25">
      <c r="A9876" t="str">
        <f>"839250413"</f>
        <v>839250413</v>
      </c>
      <c r="B9876" t="s">
        <v>9061</v>
      </c>
      <c r="C9876">
        <v>58.71</v>
      </c>
      <c r="D9876" t="str">
        <f>"637"</f>
        <v>637</v>
      </c>
    </row>
    <row r="9877" spans="1:5" x14ac:dyDescent="0.25">
      <c r="A9877" t="str">
        <f>"839250415"</f>
        <v>839250415</v>
      </c>
      <c r="B9877" t="s">
        <v>9062</v>
      </c>
      <c r="C9877">
        <v>94.25</v>
      </c>
      <c r="D9877" t="str">
        <f>"250"</f>
        <v>250</v>
      </c>
    </row>
    <row r="9878" spans="1:5" x14ac:dyDescent="0.25">
      <c r="A9878" t="str">
        <f>"839250416"</f>
        <v>839250416</v>
      </c>
      <c r="B9878" t="s">
        <v>9063</v>
      </c>
      <c r="C9878">
        <v>355.45</v>
      </c>
      <c r="D9878" t="str">
        <f>"250"</f>
        <v>250</v>
      </c>
    </row>
    <row r="9879" spans="1:5" x14ac:dyDescent="0.25">
      <c r="A9879" t="str">
        <f>"839250417"</f>
        <v>839250417</v>
      </c>
      <c r="B9879" t="s">
        <v>9064</v>
      </c>
      <c r="C9879">
        <v>9.6300000000000008</v>
      </c>
      <c r="D9879" t="str">
        <f>"312"</f>
        <v>312</v>
      </c>
    </row>
    <row r="9880" spans="1:5" x14ac:dyDescent="0.25">
      <c r="A9880" t="str">
        <f>"839250418"</f>
        <v>839250418</v>
      </c>
      <c r="B9880" t="s">
        <v>9065</v>
      </c>
      <c r="C9880">
        <v>692.21</v>
      </c>
      <c r="D9880" t="str">
        <f>"250"</f>
        <v>250</v>
      </c>
    </row>
    <row r="9881" spans="1:5" x14ac:dyDescent="0.25">
      <c r="A9881" t="str">
        <f>"839250419"</f>
        <v>839250419</v>
      </c>
      <c r="B9881" t="s">
        <v>9066</v>
      </c>
      <c r="C9881">
        <v>49.09</v>
      </c>
      <c r="D9881" t="str">
        <f>"250"</f>
        <v>250</v>
      </c>
    </row>
    <row r="9882" spans="1:5" x14ac:dyDescent="0.25">
      <c r="A9882" t="str">
        <f>"839250420"</f>
        <v>839250420</v>
      </c>
      <c r="B9882" t="s">
        <v>9067</v>
      </c>
      <c r="C9882">
        <v>6.6</v>
      </c>
      <c r="D9882" t="str">
        <f>"637"</f>
        <v>637</v>
      </c>
    </row>
    <row r="9883" spans="1:5" x14ac:dyDescent="0.25">
      <c r="A9883" t="str">
        <f>"839250421"</f>
        <v>839250421</v>
      </c>
      <c r="B9883" t="s">
        <v>9068</v>
      </c>
      <c r="C9883">
        <v>26.73</v>
      </c>
      <c r="D9883" t="str">
        <f>"250"</f>
        <v>250</v>
      </c>
      <c r="E9883" t="str">
        <f>"J2001"</f>
        <v>J2001</v>
      </c>
    </row>
    <row r="9884" spans="1:5" x14ac:dyDescent="0.25">
      <c r="A9884" t="str">
        <f>"839250422"</f>
        <v>839250422</v>
      </c>
      <c r="B9884" t="s">
        <v>9069</v>
      </c>
      <c r="C9884">
        <v>27.5</v>
      </c>
      <c r="D9884" t="str">
        <f>"636"</f>
        <v>636</v>
      </c>
      <c r="E9884" t="str">
        <f>"J2270"</f>
        <v>J2270</v>
      </c>
    </row>
    <row r="9885" spans="1:5" x14ac:dyDescent="0.25">
      <c r="A9885" t="str">
        <f>"839250424"</f>
        <v>839250424</v>
      </c>
      <c r="B9885" t="s">
        <v>9070</v>
      </c>
      <c r="C9885">
        <v>266.38</v>
      </c>
      <c r="D9885" t="str">
        <f>"636"</f>
        <v>636</v>
      </c>
      <c r="E9885" t="str">
        <f>"J0692"</f>
        <v>J0692</v>
      </c>
    </row>
    <row r="9886" spans="1:5" x14ac:dyDescent="0.25">
      <c r="A9886" t="str">
        <f>"839250425"</f>
        <v>839250425</v>
      </c>
      <c r="B9886" t="s">
        <v>9071</v>
      </c>
      <c r="C9886">
        <v>6.6</v>
      </c>
      <c r="D9886" t="str">
        <f>"637"</f>
        <v>637</v>
      </c>
    </row>
    <row r="9887" spans="1:5" x14ac:dyDescent="0.25">
      <c r="A9887" t="str">
        <f>"839250426"</f>
        <v>839250426</v>
      </c>
      <c r="B9887" t="s">
        <v>9072</v>
      </c>
      <c r="C9887">
        <v>304.68</v>
      </c>
      <c r="D9887" t="str">
        <f>"636"</f>
        <v>636</v>
      </c>
      <c r="E9887" t="str">
        <f>"S0074"</f>
        <v>S0074</v>
      </c>
    </row>
    <row r="9888" spans="1:5" x14ac:dyDescent="0.25">
      <c r="A9888" t="str">
        <f>"839250427"</f>
        <v>839250427</v>
      </c>
      <c r="B9888" t="s">
        <v>9073</v>
      </c>
      <c r="C9888">
        <v>230.01</v>
      </c>
      <c r="D9888" t="str">
        <f>"250"</f>
        <v>250</v>
      </c>
    </row>
    <row r="9889" spans="1:5" x14ac:dyDescent="0.25">
      <c r="A9889" t="str">
        <f>"839250429"</f>
        <v>839250429</v>
      </c>
      <c r="B9889" t="s">
        <v>9074</v>
      </c>
      <c r="C9889">
        <v>66.22</v>
      </c>
      <c r="D9889" t="str">
        <f>"250"</f>
        <v>250</v>
      </c>
    </row>
    <row r="9890" spans="1:5" x14ac:dyDescent="0.25">
      <c r="A9890" t="str">
        <f>"839250430"</f>
        <v>839250430</v>
      </c>
      <c r="B9890" t="s">
        <v>9075</v>
      </c>
      <c r="C9890">
        <v>6.6</v>
      </c>
      <c r="D9890" t="str">
        <f>"637"</f>
        <v>637</v>
      </c>
    </row>
    <row r="9891" spans="1:5" x14ac:dyDescent="0.25">
      <c r="A9891" t="str">
        <f>"839250431"</f>
        <v>839250431</v>
      </c>
      <c r="B9891" t="s">
        <v>9076</v>
      </c>
      <c r="C9891">
        <v>355.45</v>
      </c>
      <c r="D9891" t="str">
        <f>"250"</f>
        <v>250</v>
      </c>
    </row>
    <row r="9892" spans="1:5" x14ac:dyDescent="0.25">
      <c r="A9892" t="str">
        <f>"839250432"</f>
        <v>839250432</v>
      </c>
      <c r="B9892" t="s">
        <v>9077</v>
      </c>
      <c r="C9892">
        <v>6.6</v>
      </c>
      <c r="D9892" t="str">
        <f>"250"</f>
        <v>250</v>
      </c>
    </row>
    <row r="9893" spans="1:5" x14ac:dyDescent="0.25">
      <c r="A9893" t="str">
        <f>"839250433"</f>
        <v>839250433</v>
      </c>
      <c r="B9893" t="s">
        <v>9078</v>
      </c>
      <c r="C9893">
        <v>25.89</v>
      </c>
      <c r="D9893" t="str">
        <f>"636"</f>
        <v>636</v>
      </c>
      <c r="E9893" t="str">
        <f>"S0020"</f>
        <v>S0020</v>
      </c>
    </row>
    <row r="9894" spans="1:5" x14ac:dyDescent="0.25">
      <c r="A9894" t="str">
        <f>"839250434"</f>
        <v>839250434</v>
      </c>
      <c r="B9894" t="s">
        <v>9079</v>
      </c>
      <c r="C9894">
        <v>40.590000000000003</v>
      </c>
      <c r="D9894" t="str">
        <f t="shared" ref="D9894:D9899" si="315">"250"</f>
        <v>250</v>
      </c>
    </row>
    <row r="9895" spans="1:5" x14ac:dyDescent="0.25">
      <c r="A9895" t="str">
        <f>"839250435"</f>
        <v>839250435</v>
      </c>
      <c r="B9895" t="s">
        <v>9080</v>
      </c>
      <c r="C9895">
        <v>199.65</v>
      </c>
      <c r="D9895" t="str">
        <f t="shared" si="315"/>
        <v>250</v>
      </c>
    </row>
    <row r="9896" spans="1:5" x14ac:dyDescent="0.25">
      <c r="A9896" t="str">
        <f>"839250436"</f>
        <v>839250436</v>
      </c>
      <c r="B9896" t="s">
        <v>9081</v>
      </c>
      <c r="C9896">
        <v>19.13</v>
      </c>
      <c r="D9896" t="str">
        <f t="shared" si="315"/>
        <v>250</v>
      </c>
    </row>
    <row r="9897" spans="1:5" x14ac:dyDescent="0.25">
      <c r="A9897" t="str">
        <f>"839250437"</f>
        <v>839250437</v>
      </c>
      <c r="B9897" t="s">
        <v>9082</v>
      </c>
      <c r="C9897">
        <v>18.87</v>
      </c>
      <c r="D9897" t="str">
        <f t="shared" si="315"/>
        <v>250</v>
      </c>
    </row>
    <row r="9898" spans="1:5" x14ac:dyDescent="0.25">
      <c r="A9898" t="str">
        <f>"839250438"</f>
        <v>839250438</v>
      </c>
      <c r="B9898" t="s">
        <v>9083</v>
      </c>
      <c r="C9898">
        <v>30.77</v>
      </c>
      <c r="D9898" t="str">
        <f t="shared" si="315"/>
        <v>250</v>
      </c>
    </row>
    <row r="9899" spans="1:5" x14ac:dyDescent="0.25">
      <c r="A9899" t="str">
        <f>"839250439"</f>
        <v>839250439</v>
      </c>
      <c r="B9899" t="s">
        <v>9084</v>
      </c>
      <c r="C9899">
        <v>107.25</v>
      </c>
      <c r="D9899" t="str">
        <f t="shared" si="315"/>
        <v>250</v>
      </c>
    </row>
    <row r="9900" spans="1:5" x14ac:dyDescent="0.25">
      <c r="A9900" t="str">
        <f>"839250440"</f>
        <v>839250440</v>
      </c>
      <c r="B9900" t="s">
        <v>9085</v>
      </c>
      <c r="C9900">
        <v>203.78</v>
      </c>
      <c r="D9900" t="str">
        <f>"636"</f>
        <v>636</v>
      </c>
      <c r="E9900" t="str">
        <f>"J2210"</f>
        <v>J2210</v>
      </c>
    </row>
    <row r="9901" spans="1:5" x14ac:dyDescent="0.25">
      <c r="A9901" t="str">
        <f>"839250441"</f>
        <v>839250441</v>
      </c>
      <c r="B9901" t="s">
        <v>9086</v>
      </c>
      <c r="C9901">
        <v>110.24</v>
      </c>
      <c r="D9901" t="str">
        <f>"250"</f>
        <v>250</v>
      </c>
    </row>
    <row r="9902" spans="1:5" x14ac:dyDescent="0.25">
      <c r="A9902" t="str">
        <f>"839250442"</f>
        <v>839250442</v>
      </c>
      <c r="B9902" t="s">
        <v>9087</v>
      </c>
      <c r="C9902">
        <v>189.75</v>
      </c>
      <c r="D9902" t="str">
        <f>"250"</f>
        <v>250</v>
      </c>
    </row>
    <row r="9903" spans="1:5" x14ac:dyDescent="0.25">
      <c r="A9903" t="str">
        <f>"839250443"</f>
        <v>839250443</v>
      </c>
      <c r="B9903" t="s">
        <v>9088</v>
      </c>
      <c r="C9903">
        <v>19.47</v>
      </c>
      <c r="D9903" t="str">
        <f>"250"</f>
        <v>250</v>
      </c>
    </row>
    <row r="9904" spans="1:5" x14ac:dyDescent="0.25">
      <c r="A9904" t="str">
        <f>"839250444"</f>
        <v>839250444</v>
      </c>
      <c r="B9904" t="s">
        <v>9089</v>
      </c>
      <c r="C9904">
        <v>6.6</v>
      </c>
      <c r="D9904" t="str">
        <f>"250"</f>
        <v>250</v>
      </c>
    </row>
    <row r="9905" spans="1:5" x14ac:dyDescent="0.25">
      <c r="A9905" t="str">
        <f>"839250445"</f>
        <v>839250445</v>
      </c>
      <c r="B9905" t="s">
        <v>9090</v>
      </c>
      <c r="C9905">
        <v>6.6</v>
      </c>
      <c r="D9905" t="str">
        <f>"250"</f>
        <v>250</v>
      </c>
    </row>
    <row r="9906" spans="1:5" x14ac:dyDescent="0.25">
      <c r="A9906" t="str">
        <f>"839250446"</f>
        <v>839250446</v>
      </c>
      <c r="B9906" t="s">
        <v>9091</v>
      </c>
      <c r="C9906">
        <v>602.62</v>
      </c>
      <c r="D9906" t="str">
        <f>"636"</f>
        <v>636</v>
      </c>
      <c r="E9906" t="str">
        <f>"J0696"</f>
        <v>J0696</v>
      </c>
    </row>
    <row r="9907" spans="1:5" x14ac:dyDescent="0.25">
      <c r="A9907" t="str">
        <f>"839250447"</f>
        <v>839250447</v>
      </c>
      <c r="B9907" t="s">
        <v>9092</v>
      </c>
      <c r="C9907">
        <v>47.26</v>
      </c>
      <c r="D9907" t="str">
        <f>"250"</f>
        <v>250</v>
      </c>
    </row>
    <row r="9908" spans="1:5" x14ac:dyDescent="0.25">
      <c r="A9908" t="str">
        <f>"839250448"</f>
        <v>839250448</v>
      </c>
      <c r="B9908" t="s">
        <v>9093</v>
      </c>
      <c r="C9908">
        <v>32</v>
      </c>
      <c r="D9908" t="str">
        <f>"250"</f>
        <v>250</v>
      </c>
    </row>
    <row r="9909" spans="1:5" x14ac:dyDescent="0.25">
      <c r="A9909" t="str">
        <f>"839250449"</f>
        <v>839250449</v>
      </c>
      <c r="B9909" t="s">
        <v>9094</v>
      </c>
      <c r="C9909">
        <v>17.920000000000002</v>
      </c>
      <c r="D9909" t="str">
        <f>"250"</f>
        <v>250</v>
      </c>
    </row>
    <row r="9910" spans="1:5" x14ac:dyDescent="0.25">
      <c r="A9910" t="str">
        <f>"839250450"</f>
        <v>839250450</v>
      </c>
      <c r="B9910" t="s">
        <v>9095</v>
      </c>
      <c r="C9910">
        <v>46.73</v>
      </c>
      <c r="D9910" t="str">
        <f>"636"</f>
        <v>636</v>
      </c>
      <c r="E9910" t="str">
        <f>"J0290"</f>
        <v>J0290</v>
      </c>
    </row>
    <row r="9911" spans="1:5" x14ac:dyDescent="0.25">
      <c r="A9911" t="str">
        <f>"839250451"</f>
        <v>839250451</v>
      </c>
      <c r="B9911" t="s">
        <v>9096</v>
      </c>
      <c r="C9911">
        <v>87.32</v>
      </c>
      <c r="D9911" t="str">
        <f>"636"</f>
        <v>636</v>
      </c>
      <c r="E9911" t="str">
        <f>"J3370"</f>
        <v>J3370</v>
      </c>
    </row>
    <row r="9912" spans="1:5" x14ac:dyDescent="0.25">
      <c r="A9912" t="str">
        <f>"839250453"</f>
        <v>839250453</v>
      </c>
      <c r="B9912" t="s">
        <v>9097</v>
      </c>
      <c r="C9912">
        <v>26.4</v>
      </c>
      <c r="D9912" t="str">
        <f>"250"</f>
        <v>250</v>
      </c>
    </row>
    <row r="9913" spans="1:5" x14ac:dyDescent="0.25">
      <c r="A9913" t="str">
        <f>"839250454"</f>
        <v>839250454</v>
      </c>
      <c r="B9913" t="s">
        <v>9098</v>
      </c>
      <c r="C9913">
        <v>6.6</v>
      </c>
      <c r="D9913" t="str">
        <f>"250"</f>
        <v>250</v>
      </c>
    </row>
    <row r="9914" spans="1:5" x14ac:dyDescent="0.25">
      <c r="A9914" t="str">
        <f>"839250455"</f>
        <v>839250455</v>
      </c>
      <c r="B9914" t="s">
        <v>9099</v>
      </c>
      <c r="C9914">
        <v>6.6</v>
      </c>
      <c r="D9914" t="str">
        <f>"271"</f>
        <v>271</v>
      </c>
    </row>
    <row r="9915" spans="1:5" x14ac:dyDescent="0.25">
      <c r="A9915" t="str">
        <f>"839250456"</f>
        <v>839250456</v>
      </c>
      <c r="B9915" t="s">
        <v>9100</v>
      </c>
      <c r="C9915">
        <v>11.23</v>
      </c>
      <c r="D9915" t="str">
        <f>"250"</f>
        <v>250</v>
      </c>
    </row>
    <row r="9916" spans="1:5" x14ac:dyDescent="0.25">
      <c r="A9916" t="str">
        <f>"839250457"</f>
        <v>839250457</v>
      </c>
      <c r="B9916" t="s">
        <v>9101</v>
      </c>
      <c r="C9916">
        <v>21.31</v>
      </c>
      <c r="D9916" t="str">
        <f>"250"</f>
        <v>250</v>
      </c>
    </row>
    <row r="9917" spans="1:5" x14ac:dyDescent="0.25">
      <c r="A9917" t="str">
        <f>"839250459"</f>
        <v>839250459</v>
      </c>
      <c r="B9917" t="s">
        <v>9102</v>
      </c>
      <c r="C9917">
        <v>74.84</v>
      </c>
      <c r="D9917" t="str">
        <f>"250"</f>
        <v>250</v>
      </c>
    </row>
    <row r="9918" spans="1:5" x14ac:dyDescent="0.25">
      <c r="A9918" t="str">
        <f>"839250460"</f>
        <v>839250460</v>
      </c>
      <c r="B9918" t="s">
        <v>9103</v>
      </c>
      <c r="C9918">
        <v>6.6</v>
      </c>
      <c r="D9918" t="str">
        <f>"637"</f>
        <v>637</v>
      </c>
    </row>
    <row r="9919" spans="1:5" x14ac:dyDescent="0.25">
      <c r="A9919" t="str">
        <f>"839250461"</f>
        <v>839250461</v>
      </c>
      <c r="B9919" t="s">
        <v>9104</v>
      </c>
      <c r="C9919">
        <v>6.66</v>
      </c>
      <c r="D9919" t="str">
        <f>"250"</f>
        <v>250</v>
      </c>
    </row>
    <row r="9920" spans="1:5" x14ac:dyDescent="0.25">
      <c r="A9920" t="str">
        <f>"839250462"</f>
        <v>839250462</v>
      </c>
      <c r="B9920" t="s">
        <v>9105</v>
      </c>
      <c r="C9920">
        <v>2.2000000000000002</v>
      </c>
      <c r="D9920" t="str">
        <f>"636"</f>
        <v>636</v>
      </c>
      <c r="E9920" t="str">
        <f>"J1815"</f>
        <v>J1815</v>
      </c>
    </row>
    <row r="9921" spans="1:5" x14ac:dyDescent="0.25">
      <c r="A9921" t="str">
        <f>"839250463."</f>
        <v>839250463.</v>
      </c>
      <c r="B9921" t="s">
        <v>9106</v>
      </c>
      <c r="C9921" s="1">
        <v>2440.48</v>
      </c>
      <c r="D9921" t="str">
        <f>"636"</f>
        <v>636</v>
      </c>
      <c r="E9921" t="str">
        <f>"J1815"</f>
        <v>J1815</v>
      </c>
    </row>
    <row r="9922" spans="1:5" x14ac:dyDescent="0.25">
      <c r="A9922" t="str">
        <f>"839250465"</f>
        <v>839250465</v>
      </c>
      <c r="B9922" t="s">
        <v>9107</v>
      </c>
      <c r="C9922">
        <v>6.6</v>
      </c>
      <c r="D9922" t="str">
        <f>"250"</f>
        <v>250</v>
      </c>
    </row>
    <row r="9923" spans="1:5" x14ac:dyDescent="0.25">
      <c r="A9923" t="str">
        <f>"839250466"</f>
        <v>839250466</v>
      </c>
      <c r="B9923" t="s">
        <v>9108</v>
      </c>
      <c r="C9923">
        <v>171.6</v>
      </c>
      <c r="D9923" t="str">
        <f>"636"</f>
        <v>636</v>
      </c>
      <c r="E9923" t="str">
        <f>"J2185"</f>
        <v>J2185</v>
      </c>
    </row>
    <row r="9924" spans="1:5" x14ac:dyDescent="0.25">
      <c r="A9924" t="str">
        <f>"839250467"</f>
        <v>839250467</v>
      </c>
      <c r="B9924" t="s">
        <v>9109</v>
      </c>
      <c r="C9924">
        <v>779.86</v>
      </c>
      <c r="D9924" t="str">
        <f>"636"</f>
        <v>636</v>
      </c>
      <c r="E9924" t="str">
        <f>"J3471"</f>
        <v>J3471</v>
      </c>
    </row>
    <row r="9925" spans="1:5" x14ac:dyDescent="0.25">
      <c r="A9925" t="str">
        <f>"839250468"</f>
        <v>839250468</v>
      </c>
      <c r="B9925" t="s">
        <v>9110</v>
      </c>
      <c r="C9925" s="1">
        <v>1425.6</v>
      </c>
      <c r="D9925" t="str">
        <f>"636"</f>
        <v>636</v>
      </c>
    </row>
    <row r="9926" spans="1:5" x14ac:dyDescent="0.25">
      <c r="A9926" t="str">
        <f>"839250469"</f>
        <v>839250469</v>
      </c>
      <c r="B9926" t="s">
        <v>9111</v>
      </c>
      <c r="C9926">
        <v>230.67</v>
      </c>
      <c r="D9926" t="str">
        <f>"250"</f>
        <v>250</v>
      </c>
    </row>
    <row r="9927" spans="1:5" x14ac:dyDescent="0.25">
      <c r="A9927" t="str">
        <f>"839250470"</f>
        <v>839250470</v>
      </c>
      <c r="B9927" t="s">
        <v>9112</v>
      </c>
      <c r="C9927">
        <v>105.04</v>
      </c>
      <c r="D9927" t="str">
        <f>"636"</f>
        <v>636</v>
      </c>
      <c r="E9927" t="str">
        <f>"J0290"</f>
        <v>J0290</v>
      </c>
    </row>
    <row r="9928" spans="1:5" x14ac:dyDescent="0.25">
      <c r="A9928" t="str">
        <f>"839250471"</f>
        <v>839250471</v>
      </c>
      <c r="B9928" t="s">
        <v>9113</v>
      </c>
      <c r="C9928">
        <v>175.23</v>
      </c>
      <c r="D9928" t="str">
        <f t="shared" ref="D9928:D9933" si="316">"250"</f>
        <v>250</v>
      </c>
    </row>
    <row r="9929" spans="1:5" x14ac:dyDescent="0.25">
      <c r="A9929" t="str">
        <f>"839250472"</f>
        <v>839250472</v>
      </c>
      <c r="B9929" t="s">
        <v>9114</v>
      </c>
      <c r="C9929">
        <v>789.76</v>
      </c>
      <c r="D9929" t="str">
        <f t="shared" si="316"/>
        <v>250</v>
      </c>
    </row>
    <row r="9930" spans="1:5" x14ac:dyDescent="0.25">
      <c r="A9930" t="str">
        <f>"839250473"</f>
        <v>839250473</v>
      </c>
      <c r="B9930" t="s">
        <v>9115</v>
      </c>
      <c r="C9930" s="1">
        <v>1568.95</v>
      </c>
      <c r="D9930" t="str">
        <f t="shared" si="316"/>
        <v>250</v>
      </c>
    </row>
    <row r="9931" spans="1:5" x14ac:dyDescent="0.25">
      <c r="A9931" t="str">
        <f>"839250474"</f>
        <v>839250474</v>
      </c>
      <c r="B9931" t="s">
        <v>9116</v>
      </c>
      <c r="C9931">
        <v>70.73</v>
      </c>
      <c r="D9931" t="str">
        <f t="shared" si="316"/>
        <v>250</v>
      </c>
    </row>
    <row r="9932" spans="1:5" x14ac:dyDescent="0.25">
      <c r="A9932" t="str">
        <f>"839250475"</f>
        <v>839250475</v>
      </c>
      <c r="B9932" t="s">
        <v>9117</v>
      </c>
      <c r="C9932">
        <v>35.57</v>
      </c>
      <c r="D9932" t="str">
        <f t="shared" si="316"/>
        <v>250</v>
      </c>
    </row>
    <row r="9933" spans="1:5" x14ac:dyDescent="0.25">
      <c r="A9933" t="str">
        <f>"839250476"</f>
        <v>839250476</v>
      </c>
      <c r="B9933" t="s">
        <v>9118</v>
      </c>
      <c r="C9933">
        <v>93.95</v>
      </c>
      <c r="D9933" t="str">
        <f t="shared" si="316"/>
        <v>250</v>
      </c>
    </row>
    <row r="9934" spans="1:5" x14ac:dyDescent="0.25">
      <c r="A9934" t="str">
        <f>"839250477"</f>
        <v>839250477</v>
      </c>
      <c r="B9934" t="s">
        <v>9119</v>
      </c>
      <c r="C9934">
        <v>640.20000000000005</v>
      </c>
      <c r="D9934" t="str">
        <f>"636"</f>
        <v>636</v>
      </c>
      <c r="E9934" t="str">
        <f>"J2785"</f>
        <v>J2785</v>
      </c>
    </row>
    <row r="9935" spans="1:5" x14ac:dyDescent="0.25">
      <c r="A9935" t="str">
        <f>"839250478"</f>
        <v>839250478</v>
      </c>
      <c r="B9935" t="s">
        <v>9120</v>
      </c>
      <c r="C9935" s="1">
        <v>1237.5</v>
      </c>
      <c r="D9935" t="str">
        <f>"250"</f>
        <v>250</v>
      </c>
    </row>
    <row r="9936" spans="1:5" x14ac:dyDescent="0.25">
      <c r="A9936" t="str">
        <f>"839250479"</f>
        <v>839250479</v>
      </c>
      <c r="B9936" t="s">
        <v>9121</v>
      </c>
      <c r="C9936">
        <v>58</v>
      </c>
      <c r="D9936" t="str">
        <f>"636"</f>
        <v>636</v>
      </c>
      <c r="E9936" t="str">
        <f>"J1644"</f>
        <v>J1644</v>
      </c>
    </row>
    <row r="9937" spans="1:5" x14ac:dyDescent="0.25">
      <c r="A9937" t="str">
        <f>"839250480"</f>
        <v>839250480</v>
      </c>
      <c r="B9937" t="s">
        <v>9122</v>
      </c>
      <c r="C9937">
        <v>263.37</v>
      </c>
      <c r="D9937" t="str">
        <f>"250"</f>
        <v>250</v>
      </c>
    </row>
    <row r="9938" spans="1:5" x14ac:dyDescent="0.25">
      <c r="A9938" t="str">
        <f>"839250481"</f>
        <v>839250481</v>
      </c>
      <c r="B9938" t="s">
        <v>9123</v>
      </c>
      <c r="C9938">
        <v>181.62</v>
      </c>
      <c r="D9938" t="str">
        <f>"250"</f>
        <v>250</v>
      </c>
    </row>
    <row r="9939" spans="1:5" x14ac:dyDescent="0.25">
      <c r="A9939" t="str">
        <f>"839250482"</f>
        <v>839250482</v>
      </c>
      <c r="B9939" t="s">
        <v>9124</v>
      </c>
      <c r="C9939">
        <v>220.79</v>
      </c>
      <c r="D9939" t="str">
        <f>"250"</f>
        <v>250</v>
      </c>
    </row>
    <row r="9940" spans="1:5" x14ac:dyDescent="0.25">
      <c r="A9940" t="str">
        <f>"839250483"</f>
        <v>839250483</v>
      </c>
      <c r="B9940" t="s">
        <v>9125</v>
      </c>
      <c r="C9940">
        <v>301.13</v>
      </c>
      <c r="D9940" t="str">
        <f>"250"</f>
        <v>250</v>
      </c>
    </row>
    <row r="9941" spans="1:5" x14ac:dyDescent="0.25">
      <c r="A9941" t="str">
        <f>"839250484"</f>
        <v>839250484</v>
      </c>
      <c r="B9941" t="s">
        <v>9126</v>
      </c>
      <c r="C9941">
        <v>6.6</v>
      </c>
      <c r="D9941" t="str">
        <f>"250"</f>
        <v>250</v>
      </c>
    </row>
    <row r="9942" spans="1:5" x14ac:dyDescent="0.25">
      <c r="A9942" t="str">
        <f>"839250485"</f>
        <v>839250485</v>
      </c>
      <c r="B9942" t="s">
        <v>9127</v>
      </c>
      <c r="C9942">
        <v>30.81</v>
      </c>
      <c r="D9942" t="str">
        <f>"636"</f>
        <v>636</v>
      </c>
      <c r="E9942" t="str">
        <f>"J0295"</f>
        <v>J0295</v>
      </c>
    </row>
    <row r="9943" spans="1:5" x14ac:dyDescent="0.25">
      <c r="A9943" t="str">
        <f>"839250486"</f>
        <v>839250486</v>
      </c>
      <c r="B9943" t="s">
        <v>9128</v>
      </c>
      <c r="C9943">
        <v>114.18</v>
      </c>
      <c r="D9943" t="str">
        <f>"636"</f>
        <v>636</v>
      </c>
      <c r="E9943" t="str">
        <f>"J0295"</f>
        <v>J0295</v>
      </c>
    </row>
    <row r="9944" spans="1:5" x14ac:dyDescent="0.25">
      <c r="A9944" t="str">
        <f>"839250487"</f>
        <v>839250487</v>
      </c>
      <c r="B9944" t="s">
        <v>9129</v>
      </c>
      <c r="C9944">
        <v>599.72</v>
      </c>
      <c r="D9944" t="str">
        <f>"250"</f>
        <v>250</v>
      </c>
    </row>
    <row r="9945" spans="1:5" x14ac:dyDescent="0.25">
      <c r="A9945" t="str">
        <f>"839250488"</f>
        <v>839250488</v>
      </c>
      <c r="B9945" t="s">
        <v>9130</v>
      </c>
      <c r="C9945">
        <v>343.2</v>
      </c>
      <c r="D9945" t="str">
        <f>"636"</f>
        <v>636</v>
      </c>
    </row>
    <row r="9946" spans="1:5" x14ac:dyDescent="0.25">
      <c r="A9946" t="str">
        <f>"839250489"</f>
        <v>839250489</v>
      </c>
      <c r="B9946" t="s">
        <v>9131</v>
      </c>
      <c r="C9946">
        <v>17.329999999999998</v>
      </c>
      <c r="D9946" t="str">
        <f>"636"</f>
        <v>636</v>
      </c>
      <c r="E9946" t="str">
        <f>"90656"</f>
        <v>90656</v>
      </c>
    </row>
    <row r="9947" spans="1:5" x14ac:dyDescent="0.25">
      <c r="A9947" t="str">
        <f>"839250490"</f>
        <v>839250490</v>
      </c>
      <c r="B9947" t="s">
        <v>9132</v>
      </c>
      <c r="C9947">
        <v>55.62</v>
      </c>
      <c r="D9947" t="str">
        <f>"250"</f>
        <v>250</v>
      </c>
    </row>
    <row r="9948" spans="1:5" x14ac:dyDescent="0.25">
      <c r="A9948" t="str">
        <f>"839250491"</f>
        <v>839250491</v>
      </c>
      <c r="B9948" t="s">
        <v>9133</v>
      </c>
      <c r="C9948">
        <v>14.42</v>
      </c>
      <c r="D9948" t="str">
        <f>"637"</f>
        <v>637</v>
      </c>
    </row>
    <row r="9949" spans="1:5" x14ac:dyDescent="0.25">
      <c r="A9949" t="str">
        <f>"839250492"</f>
        <v>839250492</v>
      </c>
      <c r="B9949" t="s">
        <v>9134</v>
      </c>
      <c r="C9949">
        <v>6.6</v>
      </c>
      <c r="D9949" t="str">
        <f>"637"</f>
        <v>637</v>
      </c>
    </row>
    <row r="9950" spans="1:5" x14ac:dyDescent="0.25">
      <c r="A9950" t="str">
        <f>"839250493"</f>
        <v>839250493</v>
      </c>
      <c r="B9950" t="s">
        <v>9135</v>
      </c>
      <c r="C9950" s="1">
        <v>1978.88</v>
      </c>
      <c r="D9950" t="str">
        <f>"636"</f>
        <v>636</v>
      </c>
      <c r="E9950" t="str">
        <f>"J1446"</f>
        <v>J1446</v>
      </c>
    </row>
    <row r="9951" spans="1:5" x14ac:dyDescent="0.25">
      <c r="A9951" t="str">
        <f>"839250494"</f>
        <v>839250494</v>
      </c>
      <c r="B9951" t="s">
        <v>9136</v>
      </c>
      <c r="C9951" s="1">
        <v>3167.14</v>
      </c>
      <c r="D9951" t="str">
        <f>"636"</f>
        <v>636</v>
      </c>
      <c r="E9951" t="str">
        <f>"J1446"</f>
        <v>J1446</v>
      </c>
    </row>
    <row r="9952" spans="1:5" x14ac:dyDescent="0.25">
      <c r="A9952" t="str">
        <f>"839250495"</f>
        <v>839250495</v>
      </c>
      <c r="B9952" t="s">
        <v>9137</v>
      </c>
      <c r="C9952">
        <v>6.6</v>
      </c>
      <c r="D9952" t="str">
        <f>"637"</f>
        <v>637</v>
      </c>
    </row>
    <row r="9953" spans="1:5" x14ac:dyDescent="0.25">
      <c r="A9953" t="str">
        <f>"839250496"</f>
        <v>839250496</v>
      </c>
      <c r="B9953" t="s">
        <v>9138</v>
      </c>
      <c r="C9953" s="1">
        <v>1230.9000000000001</v>
      </c>
      <c r="D9953" t="str">
        <f>"250"</f>
        <v>250</v>
      </c>
    </row>
    <row r="9954" spans="1:5" x14ac:dyDescent="0.25">
      <c r="A9954" t="str">
        <f>"839250497"</f>
        <v>839250497</v>
      </c>
      <c r="B9954" t="s">
        <v>9139</v>
      </c>
      <c r="C9954">
        <v>1.1000000000000001</v>
      </c>
      <c r="D9954" t="str">
        <f>"636"</f>
        <v>636</v>
      </c>
      <c r="E9954" t="str">
        <f>"J0558"</f>
        <v>J0558</v>
      </c>
    </row>
    <row r="9955" spans="1:5" x14ac:dyDescent="0.25">
      <c r="A9955" t="str">
        <f>"839250498"</f>
        <v>839250498</v>
      </c>
      <c r="B9955" t="s">
        <v>9140</v>
      </c>
      <c r="C9955">
        <v>322.98</v>
      </c>
      <c r="D9955" t="str">
        <f>"250"</f>
        <v>250</v>
      </c>
    </row>
    <row r="9956" spans="1:5" x14ac:dyDescent="0.25">
      <c r="A9956" t="str">
        <f>"839250499"</f>
        <v>839250499</v>
      </c>
      <c r="B9956" t="s">
        <v>9141</v>
      </c>
      <c r="C9956">
        <v>353.3</v>
      </c>
      <c r="D9956" t="str">
        <f>"636"</f>
        <v>636</v>
      </c>
      <c r="E9956" t="str">
        <f>"J1815"</f>
        <v>J1815</v>
      </c>
    </row>
    <row r="9957" spans="1:5" x14ac:dyDescent="0.25">
      <c r="A9957" t="str">
        <f>"839250500"</f>
        <v>839250500</v>
      </c>
      <c r="B9957" t="s">
        <v>9142</v>
      </c>
      <c r="C9957">
        <v>6.6</v>
      </c>
      <c r="D9957" t="str">
        <f>"636"</f>
        <v>636</v>
      </c>
      <c r="E9957" t="str">
        <f>"J1815"</f>
        <v>J1815</v>
      </c>
    </row>
    <row r="9958" spans="1:5" x14ac:dyDescent="0.25">
      <c r="A9958" t="str">
        <f>"839250501"</f>
        <v>839250501</v>
      </c>
      <c r="B9958" t="s">
        <v>9143</v>
      </c>
      <c r="C9958">
        <v>353.3</v>
      </c>
      <c r="D9958" t="str">
        <f>"636"</f>
        <v>636</v>
      </c>
      <c r="E9958" t="str">
        <f>"J1815"</f>
        <v>J1815</v>
      </c>
    </row>
    <row r="9959" spans="1:5" x14ac:dyDescent="0.25">
      <c r="A9959" t="str">
        <f>"839250502"</f>
        <v>839250502</v>
      </c>
      <c r="B9959" t="s">
        <v>9144</v>
      </c>
      <c r="C9959">
        <v>10.97</v>
      </c>
      <c r="D9959" t="str">
        <f>"250"</f>
        <v>250</v>
      </c>
    </row>
    <row r="9960" spans="1:5" x14ac:dyDescent="0.25">
      <c r="A9960" t="str">
        <f>"839250503"</f>
        <v>839250503</v>
      </c>
      <c r="B9960" t="s">
        <v>9145</v>
      </c>
      <c r="C9960">
        <v>51.48</v>
      </c>
      <c r="D9960" t="str">
        <f>"250"</f>
        <v>250</v>
      </c>
    </row>
    <row r="9961" spans="1:5" x14ac:dyDescent="0.25">
      <c r="A9961" t="str">
        <f>"839250504"</f>
        <v>839250504</v>
      </c>
      <c r="B9961" t="s">
        <v>9146</v>
      </c>
      <c r="C9961">
        <v>51.48</v>
      </c>
      <c r="D9961" t="str">
        <f>"250"</f>
        <v>250</v>
      </c>
    </row>
    <row r="9962" spans="1:5" x14ac:dyDescent="0.25">
      <c r="A9962" t="str">
        <f>"839250505"</f>
        <v>839250505</v>
      </c>
      <c r="B9962" t="s">
        <v>9147</v>
      </c>
      <c r="C9962">
        <v>51.48</v>
      </c>
      <c r="D9962" t="str">
        <f>"250"</f>
        <v>250</v>
      </c>
    </row>
    <row r="9963" spans="1:5" x14ac:dyDescent="0.25">
      <c r="A9963" t="str">
        <f>"839250506"</f>
        <v>839250506</v>
      </c>
      <c r="B9963" t="s">
        <v>9148</v>
      </c>
      <c r="C9963">
        <v>722.83</v>
      </c>
      <c r="D9963" t="str">
        <f>"250"</f>
        <v>250</v>
      </c>
    </row>
    <row r="9964" spans="1:5" x14ac:dyDescent="0.25">
      <c r="A9964" t="str">
        <f>"839250507"</f>
        <v>839250507</v>
      </c>
      <c r="B9964" t="s">
        <v>9149</v>
      </c>
      <c r="C9964">
        <v>55.55</v>
      </c>
      <c r="D9964" t="str">
        <f>"637"</f>
        <v>637</v>
      </c>
    </row>
    <row r="9965" spans="1:5" x14ac:dyDescent="0.25">
      <c r="A9965" t="str">
        <f>"839250508"</f>
        <v>839250508</v>
      </c>
      <c r="B9965" t="s">
        <v>9150</v>
      </c>
      <c r="C9965">
        <v>65.489999999999995</v>
      </c>
      <c r="D9965" t="str">
        <f>"637"</f>
        <v>637</v>
      </c>
    </row>
    <row r="9966" spans="1:5" x14ac:dyDescent="0.25">
      <c r="A9966" t="str">
        <f>"839250509"</f>
        <v>839250509</v>
      </c>
      <c r="B9966" t="s">
        <v>9151</v>
      </c>
      <c r="C9966">
        <v>65.010000000000005</v>
      </c>
      <c r="D9966" t="str">
        <f t="shared" ref="D9966:D9978" si="317">"250"</f>
        <v>250</v>
      </c>
    </row>
    <row r="9967" spans="1:5" x14ac:dyDescent="0.25">
      <c r="A9967" t="str">
        <f>"839250510"</f>
        <v>839250510</v>
      </c>
      <c r="B9967" t="s">
        <v>9152</v>
      </c>
      <c r="C9967" s="1">
        <v>1734.48</v>
      </c>
      <c r="D9967" t="str">
        <f t="shared" si="317"/>
        <v>250</v>
      </c>
    </row>
    <row r="9968" spans="1:5" x14ac:dyDescent="0.25">
      <c r="A9968" t="str">
        <f>"839250511"</f>
        <v>839250511</v>
      </c>
      <c r="B9968" t="s">
        <v>9153</v>
      </c>
      <c r="C9968" s="1">
        <v>2775.17</v>
      </c>
      <c r="D9968" t="str">
        <f t="shared" si="317"/>
        <v>250</v>
      </c>
      <c r="E9968" t="str">
        <f>"Q5110"</f>
        <v>Q5110</v>
      </c>
    </row>
    <row r="9969" spans="1:4" x14ac:dyDescent="0.25">
      <c r="A9969" t="str">
        <f>"839250512"</f>
        <v>839250512</v>
      </c>
      <c r="B9969" t="s">
        <v>9154</v>
      </c>
      <c r="C9969">
        <v>7.96</v>
      </c>
      <c r="D9969" t="str">
        <f t="shared" si="317"/>
        <v>250</v>
      </c>
    </row>
    <row r="9970" spans="1:4" x14ac:dyDescent="0.25">
      <c r="A9970" t="str">
        <f>"839250513"</f>
        <v>839250513</v>
      </c>
      <c r="B9970" t="s">
        <v>9155</v>
      </c>
      <c r="C9970">
        <v>365.9</v>
      </c>
      <c r="D9970" t="str">
        <f t="shared" si="317"/>
        <v>250</v>
      </c>
    </row>
    <row r="9971" spans="1:4" x14ac:dyDescent="0.25">
      <c r="A9971" t="str">
        <f>"839250514"</f>
        <v>839250514</v>
      </c>
      <c r="B9971" t="s">
        <v>9156</v>
      </c>
      <c r="C9971">
        <v>7.96</v>
      </c>
      <c r="D9971" t="str">
        <f t="shared" si="317"/>
        <v>250</v>
      </c>
    </row>
    <row r="9972" spans="1:4" x14ac:dyDescent="0.25">
      <c r="A9972" t="str">
        <f>"839250515"</f>
        <v>839250515</v>
      </c>
      <c r="B9972" t="s">
        <v>9157</v>
      </c>
      <c r="C9972" s="1">
        <v>7004.67</v>
      </c>
      <c r="D9972" t="str">
        <f t="shared" si="317"/>
        <v>250</v>
      </c>
    </row>
    <row r="9973" spans="1:4" x14ac:dyDescent="0.25">
      <c r="A9973" t="str">
        <f>"839250516"</f>
        <v>839250516</v>
      </c>
      <c r="B9973" t="s">
        <v>9158</v>
      </c>
      <c r="C9973">
        <v>34.46</v>
      </c>
      <c r="D9973" t="str">
        <f t="shared" si="317"/>
        <v>250</v>
      </c>
    </row>
    <row r="9974" spans="1:4" x14ac:dyDescent="0.25">
      <c r="A9974" t="str">
        <f>"839250517"</f>
        <v>839250517</v>
      </c>
      <c r="B9974" t="s">
        <v>9159</v>
      </c>
      <c r="C9974">
        <v>8.67</v>
      </c>
      <c r="D9974" t="str">
        <f t="shared" si="317"/>
        <v>250</v>
      </c>
    </row>
    <row r="9975" spans="1:4" x14ac:dyDescent="0.25">
      <c r="A9975" t="str">
        <f>"839250518"</f>
        <v>839250518</v>
      </c>
      <c r="B9975" t="s">
        <v>9160</v>
      </c>
      <c r="C9975">
        <v>11.63</v>
      </c>
      <c r="D9975" t="str">
        <f t="shared" si="317"/>
        <v>250</v>
      </c>
    </row>
    <row r="9976" spans="1:4" x14ac:dyDescent="0.25">
      <c r="A9976" t="str">
        <f>"839250519"</f>
        <v>839250519</v>
      </c>
      <c r="B9976" t="s">
        <v>9161</v>
      </c>
      <c r="C9976">
        <v>28.34</v>
      </c>
      <c r="D9976" t="str">
        <f t="shared" si="317"/>
        <v>250</v>
      </c>
    </row>
    <row r="9977" spans="1:4" x14ac:dyDescent="0.25">
      <c r="A9977" t="str">
        <f>"839250520"</f>
        <v>839250520</v>
      </c>
      <c r="B9977" t="s">
        <v>9162</v>
      </c>
      <c r="C9977">
        <v>13.21</v>
      </c>
      <c r="D9977" t="str">
        <f t="shared" si="317"/>
        <v>250</v>
      </c>
    </row>
    <row r="9978" spans="1:4" x14ac:dyDescent="0.25">
      <c r="A9978" t="str">
        <f>"839250521"</f>
        <v>839250521</v>
      </c>
      <c r="B9978" t="s">
        <v>9163</v>
      </c>
      <c r="C9978">
        <v>6.6</v>
      </c>
      <c r="D9978" t="str">
        <f t="shared" si="317"/>
        <v>250</v>
      </c>
    </row>
    <row r="9979" spans="1:4" x14ac:dyDescent="0.25">
      <c r="A9979" t="str">
        <f>"839250522"</f>
        <v>839250522</v>
      </c>
      <c r="B9979" t="s">
        <v>9164</v>
      </c>
      <c r="C9979">
        <v>29.23</v>
      </c>
      <c r="D9979" t="str">
        <f>"637"</f>
        <v>637</v>
      </c>
    </row>
    <row r="9980" spans="1:4" x14ac:dyDescent="0.25">
      <c r="A9980" t="str">
        <f>"839250523"</f>
        <v>839250523</v>
      </c>
      <c r="B9980" t="s">
        <v>9165</v>
      </c>
      <c r="C9980">
        <v>6.6</v>
      </c>
      <c r="D9980" t="str">
        <f>"637"</f>
        <v>637</v>
      </c>
    </row>
    <row r="9981" spans="1:4" x14ac:dyDescent="0.25">
      <c r="A9981" t="str">
        <f>"839250524"</f>
        <v>839250524</v>
      </c>
      <c r="B9981" t="s">
        <v>9166</v>
      </c>
      <c r="C9981">
        <v>6.6</v>
      </c>
      <c r="D9981" t="str">
        <f>"250"</f>
        <v>250</v>
      </c>
    </row>
    <row r="9982" spans="1:4" x14ac:dyDescent="0.25">
      <c r="A9982" t="str">
        <f>"839250526"</f>
        <v>839250526</v>
      </c>
      <c r="B9982" t="s">
        <v>9167</v>
      </c>
      <c r="C9982">
        <v>356.4</v>
      </c>
      <c r="D9982" t="str">
        <f t="shared" ref="D9982:D10000" si="318">"250"</f>
        <v>250</v>
      </c>
    </row>
    <row r="9983" spans="1:4" x14ac:dyDescent="0.25">
      <c r="A9983" t="str">
        <f>"839250527"</f>
        <v>839250527</v>
      </c>
      <c r="B9983" t="s">
        <v>9168</v>
      </c>
      <c r="C9983">
        <v>237.6</v>
      </c>
      <c r="D9983" t="str">
        <f t="shared" si="318"/>
        <v>250</v>
      </c>
    </row>
    <row r="9984" spans="1:4" x14ac:dyDescent="0.25">
      <c r="A9984" t="str">
        <f>"839250528"</f>
        <v>839250528</v>
      </c>
      <c r="B9984" t="s">
        <v>9169</v>
      </c>
      <c r="C9984">
        <v>83.29</v>
      </c>
      <c r="D9984" t="str">
        <f t="shared" si="318"/>
        <v>250</v>
      </c>
    </row>
    <row r="9985" spans="1:4" x14ac:dyDescent="0.25">
      <c r="A9985" t="str">
        <f>"839250529"</f>
        <v>839250529</v>
      </c>
      <c r="B9985" t="s">
        <v>9170</v>
      </c>
      <c r="C9985">
        <v>21.01</v>
      </c>
      <c r="D9985" t="str">
        <f t="shared" si="318"/>
        <v>250</v>
      </c>
    </row>
    <row r="9986" spans="1:4" x14ac:dyDescent="0.25">
      <c r="A9986" t="str">
        <f>"839250530"</f>
        <v>839250530</v>
      </c>
      <c r="B9986" t="s">
        <v>9171</v>
      </c>
      <c r="C9986">
        <v>6.6</v>
      </c>
      <c r="D9986" t="str">
        <f t="shared" si="318"/>
        <v>250</v>
      </c>
    </row>
    <row r="9987" spans="1:4" x14ac:dyDescent="0.25">
      <c r="A9987" t="str">
        <f>"839250531"</f>
        <v>839250531</v>
      </c>
      <c r="B9987" t="s">
        <v>9172</v>
      </c>
      <c r="C9987">
        <v>576.38</v>
      </c>
      <c r="D9987" t="str">
        <f t="shared" si="318"/>
        <v>250</v>
      </c>
    </row>
    <row r="9988" spans="1:4" x14ac:dyDescent="0.25">
      <c r="A9988" t="str">
        <f>"839250532"</f>
        <v>839250532</v>
      </c>
      <c r="B9988" t="s">
        <v>9173</v>
      </c>
      <c r="C9988">
        <v>97.93</v>
      </c>
      <c r="D9988" t="str">
        <f t="shared" si="318"/>
        <v>250</v>
      </c>
    </row>
    <row r="9989" spans="1:4" x14ac:dyDescent="0.25">
      <c r="A9989" t="str">
        <f>"839250533"</f>
        <v>839250533</v>
      </c>
      <c r="B9989" t="s">
        <v>9174</v>
      </c>
      <c r="C9989">
        <v>686.86</v>
      </c>
      <c r="D9989" t="str">
        <f t="shared" si="318"/>
        <v>250</v>
      </c>
    </row>
    <row r="9990" spans="1:4" x14ac:dyDescent="0.25">
      <c r="A9990" t="str">
        <f>"839250534"</f>
        <v>839250534</v>
      </c>
      <c r="B9990" t="s">
        <v>9175</v>
      </c>
      <c r="C9990">
        <v>39.93</v>
      </c>
      <c r="D9990" t="str">
        <f t="shared" si="318"/>
        <v>250</v>
      </c>
    </row>
    <row r="9991" spans="1:4" x14ac:dyDescent="0.25">
      <c r="A9991" t="str">
        <f>"839250535"</f>
        <v>839250535</v>
      </c>
      <c r="B9991" t="s">
        <v>9176</v>
      </c>
      <c r="C9991">
        <v>16.52</v>
      </c>
      <c r="D9991" t="str">
        <f t="shared" si="318"/>
        <v>250</v>
      </c>
    </row>
    <row r="9992" spans="1:4" x14ac:dyDescent="0.25">
      <c r="A9992" t="str">
        <f>"839250536"</f>
        <v>839250536</v>
      </c>
      <c r="B9992" t="s">
        <v>9177</v>
      </c>
      <c r="C9992">
        <v>9.36</v>
      </c>
      <c r="D9992" t="str">
        <f t="shared" si="318"/>
        <v>250</v>
      </c>
    </row>
    <row r="9993" spans="1:4" x14ac:dyDescent="0.25">
      <c r="A9993" t="str">
        <f>"839250537"</f>
        <v>839250537</v>
      </c>
      <c r="B9993" t="s">
        <v>9178</v>
      </c>
      <c r="C9993">
        <v>348.35</v>
      </c>
      <c r="D9993" t="str">
        <f t="shared" si="318"/>
        <v>250</v>
      </c>
    </row>
    <row r="9994" spans="1:4" x14ac:dyDescent="0.25">
      <c r="A9994" t="str">
        <f>"839250538"</f>
        <v>839250538</v>
      </c>
      <c r="B9994" t="s">
        <v>9179</v>
      </c>
      <c r="C9994">
        <v>36.229999999999997</v>
      </c>
      <c r="D9994" t="str">
        <f t="shared" si="318"/>
        <v>250</v>
      </c>
    </row>
    <row r="9995" spans="1:4" x14ac:dyDescent="0.25">
      <c r="A9995" t="str">
        <f>"839250539"</f>
        <v>839250539</v>
      </c>
      <c r="B9995" t="s">
        <v>9180</v>
      </c>
      <c r="C9995">
        <v>174.71</v>
      </c>
      <c r="D9995" t="str">
        <f t="shared" si="318"/>
        <v>250</v>
      </c>
    </row>
    <row r="9996" spans="1:4" x14ac:dyDescent="0.25">
      <c r="A9996" t="str">
        <f>"839250540"</f>
        <v>839250540</v>
      </c>
      <c r="B9996" t="s">
        <v>9181</v>
      </c>
      <c r="C9996">
        <v>156.41999999999999</v>
      </c>
      <c r="D9996" t="str">
        <f t="shared" si="318"/>
        <v>250</v>
      </c>
    </row>
    <row r="9997" spans="1:4" x14ac:dyDescent="0.25">
      <c r="A9997" t="str">
        <f>"839250541"</f>
        <v>839250541</v>
      </c>
      <c r="B9997" t="s">
        <v>9182</v>
      </c>
      <c r="C9997">
        <v>312.83999999999997</v>
      </c>
      <c r="D9997" t="str">
        <f t="shared" si="318"/>
        <v>250</v>
      </c>
    </row>
    <row r="9998" spans="1:4" x14ac:dyDescent="0.25">
      <c r="A9998" t="str">
        <f>"839250542"</f>
        <v>839250542</v>
      </c>
      <c r="B9998" t="s">
        <v>9183</v>
      </c>
      <c r="C9998">
        <v>58.08</v>
      </c>
      <c r="D9998" t="str">
        <f t="shared" si="318"/>
        <v>250</v>
      </c>
    </row>
    <row r="9999" spans="1:4" x14ac:dyDescent="0.25">
      <c r="A9999" t="str">
        <f>"839250543"</f>
        <v>839250543</v>
      </c>
      <c r="B9999" t="s">
        <v>9184</v>
      </c>
      <c r="C9999">
        <v>28.28</v>
      </c>
      <c r="D9999" t="str">
        <f t="shared" si="318"/>
        <v>250</v>
      </c>
    </row>
    <row r="10000" spans="1:4" x14ac:dyDescent="0.25">
      <c r="A10000" t="str">
        <f>"839250544"</f>
        <v>839250544</v>
      </c>
      <c r="B10000" t="s">
        <v>9185</v>
      </c>
      <c r="C10000">
        <v>184.8</v>
      </c>
      <c r="D10000" t="str">
        <f t="shared" si="318"/>
        <v>250</v>
      </c>
    </row>
    <row r="10001" spans="1:5" x14ac:dyDescent="0.25">
      <c r="A10001" t="str">
        <f>"839250546"</f>
        <v>839250546</v>
      </c>
      <c r="B10001" t="s">
        <v>9186</v>
      </c>
      <c r="C10001">
        <v>6.6</v>
      </c>
      <c r="D10001" t="str">
        <f>"250"</f>
        <v>250</v>
      </c>
    </row>
    <row r="10002" spans="1:5" x14ac:dyDescent="0.25">
      <c r="A10002" t="str">
        <f>"839250547"</f>
        <v>839250547</v>
      </c>
      <c r="B10002" t="s">
        <v>9187</v>
      </c>
      <c r="C10002">
        <v>11.04</v>
      </c>
      <c r="D10002" t="str">
        <f>"637"</f>
        <v>637</v>
      </c>
    </row>
    <row r="10003" spans="1:5" x14ac:dyDescent="0.25">
      <c r="A10003" t="str">
        <f>"839250548"</f>
        <v>839250548</v>
      </c>
      <c r="B10003" t="s">
        <v>9188</v>
      </c>
      <c r="C10003">
        <v>59.33</v>
      </c>
      <c r="D10003" t="str">
        <f t="shared" ref="D10003:D10012" si="319">"636"</f>
        <v>636</v>
      </c>
      <c r="E10003" t="str">
        <f>"J3370"</f>
        <v>J3370</v>
      </c>
    </row>
    <row r="10004" spans="1:5" x14ac:dyDescent="0.25">
      <c r="A10004" t="str">
        <f>"839250549"</f>
        <v>839250549</v>
      </c>
      <c r="B10004" t="s">
        <v>9189</v>
      </c>
      <c r="C10004">
        <v>72.73</v>
      </c>
      <c r="D10004" t="str">
        <f t="shared" si="319"/>
        <v>636</v>
      </c>
      <c r="E10004" t="str">
        <f>"J3370"</f>
        <v>J3370</v>
      </c>
    </row>
    <row r="10005" spans="1:5" x14ac:dyDescent="0.25">
      <c r="A10005" t="str">
        <f>"839250550"</f>
        <v>839250550</v>
      </c>
      <c r="B10005" t="s">
        <v>9190</v>
      </c>
      <c r="C10005">
        <v>112.2</v>
      </c>
      <c r="D10005" t="str">
        <f t="shared" si="319"/>
        <v>636</v>
      </c>
      <c r="E10005" t="str">
        <f>"J0696"</f>
        <v>J0696</v>
      </c>
    </row>
    <row r="10006" spans="1:5" x14ac:dyDescent="0.25">
      <c r="A10006" t="str">
        <f>"839250551"</f>
        <v>839250551</v>
      </c>
      <c r="B10006" t="s">
        <v>9191</v>
      </c>
      <c r="C10006">
        <v>265.93</v>
      </c>
      <c r="D10006" t="str">
        <f t="shared" si="319"/>
        <v>636</v>
      </c>
      <c r="E10006" t="str">
        <f>"J0696"</f>
        <v>J0696</v>
      </c>
    </row>
    <row r="10007" spans="1:5" x14ac:dyDescent="0.25">
      <c r="A10007" t="str">
        <f>"839250552"</f>
        <v>839250552</v>
      </c>
      <c r="B10007" t="s">
        <v>9192</v>
      </c>
      <c r="C10007">
        <v>210.1</v>
      </c>
      <c r="D10007" t="str">
        <f t="shared" si="319"/>
        <v>636</v>
      </c>
      <c r="E10007" t="str">
        <f>"J0692"</f>
        <v>J0692</v>
      </c>
    </row>
    <row r="10008" spans="1:5" x14ac:dyDescent="0.25">
      <c r="A10008" t="str">
        <f>"839250553"</f>
        <v>839250553</v>
      </c>
      <c r="B10008" t="s">
        <v>9193</v>
      </c>
      <c r="C10008">
        <v>337.15</v>
      </c>
      <c r="D10008" t="str">
        <f t="shared" si="319"/>
        <v>636</v>
      </c>
      <c r="E10008" t="str">
        <f>"J0692"</f>
        <v>J0692</v>
      </c>
    </row>
    <row r="10009" spans="1:5" x14ac:dyDescent="0.25">
      <c r="A10009" t="str">
        <f>"839250554"</f>
        <v>839250554</v>
      </c>
      <c r="B10009" t="s">
        <v>9194</v>
      </c>
      <c r="C10009">
        <v>41.53</v>
      </c>
      <c r="D10009" t="str">
        <f t="shared" si="319"/>
        <v>636</v>
      </c>
    </row>
    <row r="10010" spans="1:5" x14ac:dyDescent="0.25">
      <c r="A10010" t="str">
        <f>"839250555"</f>
        <v>839250555</v>
      </c>
      <c r="B10010" t="s">
        <v>9195</v>
      </c>
      <c r="C10010">
        <v>73.260000000000005</v>
      </c>
      <c r="D10010" t="str">
        <f t="shared" si="319"/>
        <v>636</v>
      </c>
      <c r="E10010" t="str">
        <f>"J0690"</f>
        <v>J0690</v>
      </c>
    </row>
    <row r="10011" spans="1:5" x14ac:dyDescent="0.25">
      <c r="A10011" t="str">
        <f>"839250556"</f>
        <v>839250556</v>
      </c>
      <c r="B10011" t="s">
        <v>9196</v>
      </c>
      <c r="C10011">
        <v>16.5</v>
      </c>
      <c r="D10011" t="str">
        <f t="shared" si="319"/>
        <v>636</v>
      </c>
      <c r="E10011" t="str">
        <f>"J3370"</f>
        <v>J3370</v>
      </c>
    </row>
    <row r="10012" spans="1:5" x14ac:dyDescent="0.25">
      <c r="A10012" t="str">
        <f>"839250557"</f>
        <v>839250557</v>
      </c>
      <c r="B10012" t="s">
        <v>9197</v>
      </c>
      <c r="C10012">
        <v>85.8</v>
      </c>
      <c r="D10012" t="str">
        <f t="shared" si="319"/>
        <v>636</v>
      </c>
      <c r="E10012" t="str">
        <f>"J3370"</f>
        <v>J3370</v>
      </c>
    </row>
    <row r="10013" spans="1:5" x14ac:dyDescent="0.25">
      <c r="A10013" t="str">
        <f>"839250560"</f>
        <v>839250560</v>
      </c>
      <c r="B10013" t="s">
        <v>9198</v>
      </c>
      <c r="C10013">
        <v>6.6</v>
      </c>
      <c r="D10013" t="str">
        <f>"250"</f>
        <v>250</v>
      </c>
    </row>
    <row r="10014" spans="1:5" x14ac:dyDescent="0.25">
      <c r="A10014" t="str">
        <f>"839250561"</f>
        <v>839250561</v>
      </c>
      <c r="B10014" t="s">
        <v>9199</v>
      </c>
      <c r="C10014">
        <v>69.77</v>
      </c>
      <c r="D10014" t="str">
        <f>"250"</f>
        <v>250</v>
      </c>
    </row>
    <row r="10015" spans="1:5" x14ac:dyDescent="0.25">
      <c r="A10015" t="str">
        <f>"839250562"</f>
        <v>839250562</v>
      </c>
      <c r="B10015" t="s">
        <v>9200</v>
      </c>
      <c r="C10015">
        <v>6.6</v>
      </c>
      <c r="D10015" t="str">
        <f>"250"</f>
        <v>250</v>
      </c>
    </row>
    <row r="10016" spans="1:5" x14ac:dyDescent="0.25">
      <c r="A10016" t="str">
        <f>"839250563"</f>
        <v>839250563</v>
      </c>
      <c r="B10016" t="s">
        <v>9201</v>
      </c>
      <c r="C10016">
        <v>6.6</v>
      </c>
      <c r="D10016" t="str">
        <f>"257"</f>
        <v>257</v>
      </c>
    </row>
    <row r="10017" spans="1:5" x14ac:dyDescent="0.25">
      <c r="A10017" t="str">
        <f>"839250564"</f>
        <v>839250564</v>
      </c>
      <c r="B10017" t="s">
        <v>9202</v>
      </c>
      <c r="C10017">
        <v>991.74</v>
      </c>
      <c r="D10017" t="str">
        <f>"636"</f>
        <v>636</v>
      </c>
    </row>
    <row r="10018" spans="1:5" x14ac:dyDescent="0.25">
      <c r="A10018" t="str">
        <f>"839250565"</f>
        <v>839250565</v>
      </c>
      <c r="B10018" t="s">
        <v>9203</v>
      </c>
      <c r="C10018">
        <v>524.80999999999995</v>
      </c>
      <c r="D10018" t="str">
        <f>"250"</f>
        <v>250</v>
      </c>
    </row>
    <row r="10019" spans="1:5" x14ac:dyDescent="0.25">
      <c r="A10019" t="str">
        <f>"839250566"</f>
        <v>839250566</v>
      </c>
      <c r="B10019" t="s">
        <v>9204</v>
      </c>
      <c r="C10019">
        <v>6.6</v>
      </c>
      <c r="D10019" t="str">
        <f>"637"</f>
        <v>637</v>
      </c>
    </row>
    <row r="10020" spans="1:5" x14ac:dyDescent="0.25">
      <c r="A10020" t="str">
        <f>"839250567"</f>
        <v>839250567</v>
      </c>
      <c r="B10020" t="s">
        <v>9205</v>
      </c>
      <c r="C10020">
        <v>93.59</v>
      </c>
      <c r="D10020" t="str">
        <f>"250"</f>
        <v>250</v>
      </c>
    </row>
    <row r="10021" spans="1:5" x14ac:dyDescent="0.25">
      <c r="A10021" t="str">
        <f>"839250568"</f>
        <v>839250568</v>
      </c>
      <c r="B10021" t="s">
        <v>9206</v>
      </c>
      <c r="C10021">
        <v>33.79</v>
      </c>
      <c r="D10021" t="str">
        <f>"250"</f>
        <v>250</v>
      </c>
    </row>
    <row r="10022" spans="1:5" x14ac:dyDescent="0.25">
      <c r="A10022" t="str">
        <f>"839250569"</f>
        <v>839250569</v>
      </c>
      <c r="B10022" t="s">
        <v>9207</v>
      </c>
      <c r="C10022">
        <v>913.1</v>
      </c>
      <c r="D10022" t="str">
        <f>"636"</f>
        <v>636</v>
      </c>
      <c r="E10022" t="str">
        <f>"J3262"</f>
        <v>J3262</v>
      </c>
    </row>
    <row r="10023" spans="1:5" x14ac:dyDescent="0.25">
      <c r="A10023" t="str">
        <f>"839250570"</f>
        <v>839250570</v>
      </c>
      <c r="B10023" t="s">
        <v>9208</v>
      </c>
      <c r="C10023">
        <v>123.75</v>
      </c>
      <c r="D10023" t="str">
        <f t="shared" ref="D10023:D10035" si="320">"250"</f>
        <v>250</v>
      </c>
    </row>
    <row r="10024" spans="1:5" x14ac:dyDescent="0.25">
      <c r="A10024" t="str">
        <f>"839250571"</f>
        <v>839250571</v>
      </c>
      <c r="B10024" t="s">
        <v>9209</v>
      </c>
      <c r="C10024">
        <v>125.4</v>
      </c>
      <c r="D10024" t="str">
        <f t="shared" si="320"/>
        <v>250</v>
      </c>
    </row>
    <row r="10025" spans="1:5" x14ac:dyDescent="0.25">
      <c r="A10025" t="str">
        <f>"839250572"</f>
        <v>839250572</v>
      </c>
      <c r="B10025" t="s">
        <v>9210</v>
      </c>
      <c r="C10025">
        <v>159.19</v>
      </c>
      <c r="D10025" t="str">
        <f t="shared" si="320"/>
        <v>250</v>
      </c>
    </row>
    <row r="10026" spans="1:5" x14ac:dyDescent="0.25">
      <c r="A10026" t="str">
        <f>"839250573"</f>
        <v>839250573</v>
      </c>
      <c r="B10026" t="s">
        <v>9211</v>
      </c>
      <c r="C10026">
        <v>17.16</v>
      </c>
      <c r="D10026" t="str">
        <f t="shared" si="320"/>
        <v>250</v>
      </c>
    </row>
    <row r="10027" spans="1:5" x14ac:dyDescent="0.25">
      <c r="A10027" t="str">
        <f>"839250574"</f>
        <v>839250574</v>
      </c>
      <c r="B10027" t="s">
        <v>9212</v>
      </c>
      <c r="C10027" s="1">
        <v>1729.46</v>
      </c>
      <c r="D10027" t="str">
        <f t="shared" si="320"/>
        <v>250</v>
      </c>
    </row>
    <row r="10028" spans="1:5" x14ac:dyDescent="0.25">
      <c r="A10028" t="str">
        <f>"839250576"</f>
        <v>839250576</v>
      </c>
      <c r="B10028" t="s">
        <v>9213</v>
      </c>
      <c r="C10028">
        <v>148.5</v>
      </c>
      <c r="D10028" t="str">
        <f t="shared" si="320"/>
        <v>250</v>
      </c>
    </row>
    <row r="10029" spans="1:5" x14ac:dyDescent="0.25">
      <c r="A10029" t="str">
        <f>"839250577"</f>
        <v>839250577</v>
      </c>
      <c r="B10029" t="s">
        <v>9214</v>
      </c>
      <c r="C10029">
        <v>40.47</v>
      </c>
      <c r="D10029" t="str">
        <f t="shared" si="320"/>
        <v>250</v>
      </c>
    </row>
    <row r="10030" spans="1:5" x14ac:dyDescent="0.25">
      <c r="A10030" t="str">
        <f>"839250578"</f>
        <v>839250578</v>
      </c>
      <c r="B10030" t="s">
        <v>9215</v>
      </c>
      <c r="C10030">
        <v>174.79</v>
      </c>
      <c r="D10030" t="str">
        <f t="shared" si="320"/>
        <v>250</v>
      </c>
    </row>
    <row r="10031" spans="1:5" x14ac:dyDescent="0.25">
      <c r="A10031" t="str">
        <f>"839250579"</f>
        <v>839250579</v>
      </c>
      <c r="B10031" t="s">
        <v>9216</v>
      </c>
      <c r="C10031" s="1">
        <v>2378.9</v>
      </c>
      <c r="D10031" t="str">
        <f t="shared" si="320"/>
        <v>250</v>
      </c>
    </row>
    <row r="10032" spans="1:5" x14ac:dyDescent="0.25">
      <c r="A10032" t="str">
        <f>"839250580"</f>
        <v>839250580</v>
      </c>
      <c r="B10032" t="s">
        <v>9217</v>
      </c>
      <c r="C10032" s="1">
        <v>2963.93</v>
      </c>
      <c r="D10032" t="str">
        <f t="shared" si="320"/>
        <v>250</v>
      </c>
    </row>
    <row r="10033" spans="1:5" x14ac:dyDescent="0.25">
      <c r="A10033" t="str">
        <f>"839250581"</f>
        <v>839250581</v>
      </c>
      <c r="B10033" t="s">
        <v>9218</v>
      </c>
      <c r="C10033" s="1">
        <v>3898.16</v>
      </c>
      <c r="D10033" t="str">
        <f t="shared" si="320"/>
        <v>250</v>
      </c>
    </row>
    <row r="10034" spans="1:5" x14ac:dyDescent="0.25">
      <c r="A10034" t="str">
        <f>"839250582"</f>
        <v>839250582</v>
      </c>
      <c r="B10034" t="s">
        <v>9219</v>
      </c>
      <c r="C10034">
        <v>64.38</v>
      </c>
      <c r="D10034" t="str">
        <f t="shared" si="320"/>
        <v>250</v>
      </c>
    </row>
    <row r="10035" spans="1:5" x14ac:dyDescent="0.25">
      <c r="A10035" t="str">
        <f>"839250583"</f>
        <v>839250583</v>
      </c>
      <c r="B10035" t="s">
        <v>9220</v>
      </c>
      <c r="C10035">
        <v>6.6</v>
      </c>
      <c r="D10035" t="str">
        <f t="shared" si="320"/>
        <v>250</v>
      </c>
    </row>
    <row r="10036" spans="1:5" x14ac:dyDescent="0.25">
      <c r="A10036" t="str">
        <f>"839250585"</f>
        <v>839250585</v>
      </c>
      <c r="B10036" t="s">
        <v>9221</v>
      </c>
      <c r="C10036">
        <v>6.6</v>
      </c>
      <c r="D10036" t="str">
        <f>"637"</f>
        <v>637</v>
      </c>
    </row>
    <row r="10037" spans="1:5" x14ac:dyDescent="0.25">
      <c r="A10037" t="str">
        <f>"839250586"</f>
        <v>839250586</v>
      </c>
      <c r="B10037" t="s">
        <v>9222</v>
      </c>
      <c r="C10037">
        <v>33.340000000000003</v>
      </c>
      <c r="D10037" t="str">
        <f>"250"</f>
        <v>250</v>
      </c>
    </row>
    <row r="10038" spans="1:5" x14ac:dyDescent="0.25">
      <c r="A10038" t="str">
        <f>"839250587"</f>
        <v>839250587</v>
      </c>
      <c r="B10038" t="s">
        <v>9223</v>
      </c>
      <c r="C10038" s="1">
        <v>1104.51</v>
      </c>
      <c r="D10038" t="str">
        <f>"250"</f>
        <v>250</v>
      </c>
    </row>
    <row r="10039" spans="1:5" x14ac:dyDescent="0.25">
      <c r="A10039" t="str">
        <f>"839250590"</f>
        <v>839250590</v>
      </c>
      <c r="B10039" t="s">
        <v>9224</v>
      </c>
      <c r="C10039">
        <v>14.96</v>
      </c>
      <c r="D10039" t="str">
        <f>"636"</f>
        <v>636</v>
      </c>
      <c r="E10039" t="str">
        <f>"J2060"</f>
        <v>J2060</v>
      </c>
    </row>
    <row r="10040" spans="1:5" x14ac:dyDescent="0.25">
      <c r="A10040" t="str">
        <f>"839250591"</f>
        <v>839250591</v>
      </c>
      <c r="B10040" t="s">
        <v>9225</v>
      </c>
      <c r="C10040">
        <v>178.2</v>
      </c>
      <c r="D10040" t="str">
        <f>"636"</f>
        <v>636</v>
      </c>
      <c r="E10040" t="str">
        <f>"J3370"</f>
        <v>J3370</v>
      </c>
    </row>
    <row r="10041" spans="1:5" x14ac:dyDescent="0.25">
      <c r="A10041" t="str">
        <f>"839250593"</f>
        <v>839250593</v>
      </c>
      <c r="B10041" t="s">
        <v>9226</v>
      </c>
      <c r="C10041">
        <v>12.97</v>
      </c>
      <c r="D10041" t="str">
        <f>"250"</f>
        <v>250</v>
      </c>
    </row>
    <row r="10042" spans="1:5" x14ac:dyDescent="0.25">
      <c r="A10042" t="str">
        <f>"839250595"</f>
        <v>839250595</v>
      </c>
      <c r="B10042" t="s">
        <v>9227</v>
      </c>
      <c r="C10042">
        <v>10.88</v>
      </c>
      <c r="D10042" t="str">
        <f>"250"</f>
        <v>250</v>
      </c>
    </row>
    <row r="10043" spans="1:5" x14ac:dyDescent="0.25">
      <c r="A10043" t="str">
        <f>"839250596"</f>
        <v>839250596</v>
      </c>
      <c r="B10043" t="s">
        <v>9228</v>
      </c>
      <c r="C10043">
        <v>370.92</v>
      </c>
      <c r="D10043" t="str">
        <f>"637"</f>
        <v>637</v>
      </c>
    </row>
    <row r="10044" spans="1:5" x14ac:dyDescent="0.25">
      <c r="A10044" t="str">
        <f>"839250597"</f>
        <v>839250597</v>
      </c>
      <c r="B10044" t="s">
        <v>9229</v>
      </c>
      <c r="C10044">
        <v>64.39</v>
      </c>
      <c r="D10044" t="str">
        <f>"636"</f>
        <v>636</v>
      </c>
      <c r="E10044" t="str">
        <f>"J3475"</f>
        <v>J3475</v>
      </c>
    </row>
    <row r="10045" spans="1:5" x14ac:dyDescent="0.25">
      <c r="A10045" t="str">
        <f>"839250598"</f>
        <v>839250598</v>
      </c>
      <c r="B10045" t="s">
        <v>9230</v>
      </c>
      <c r="C10045">
        <v>57.55</v>
      </c>
      <c r="D10045" t="str">
        <f>"636"</f>
        <v>636</v>
      </c>
      <c r="E10045" t="str">
        <f>"J3475"</f>
        <v>J3475</v>
      </c>
    </row>
    <row r="10046" spans="1:5" x14ac:dyDescent="0.25">
      <c r="A10046" t="str">
        <f>"839250599"</f>
        <v>839250599</v>
      </c>
      <c r="B10046" t="s">
        <v>9231</v>
      </c>
      <c r="C10046">
        <v>915.62</v>
      </c>
      <c r="D10046" t="str">
        <f t="shared" ref="D10046:D10050" si="321">"250"</f>
        <v>250</v>
      </c>
    </row>
    <row r="10047" spans="1:5" x14ac:dyDescent="0.25">
      <c r="A10047" t="str">
        <f>"839250600"</f>
        <v>839250600</v>
      </c>
      <c r="B10047" t="s">
        <v>9232</v>
      </c>
      <c r="C10047">
        <v>497.09</v>
      </c>
      <c r="D10047" t="str">
        <f t="shared" si="321"/>
        <v>250</v>
      </c>
    </row>
    <row r="10048" spans="1:5" x14ac:dyDescent="0.25">
      <c r="A10048" t="str">
        <f>"839250601"</f>
        <v>839250601</v>
      </c>
      <c r="B10048" t="s">
        <v>9233</v>
      </c>
      <c r="C10048" s="1">
        <v>1226.1500000000001</v>
      </c>
      <c r="D10048" t="str">
        <f t="shared" si="321"/>
        <v>250</v>
      </c>
    </row>
    <row r="10049" spans="1:5" x14ac:dyDescent="0.25">
      <c r="A10049" t="str">
        <f>"839250602"</f>
        <v>839250602</v>
      </c>
      <c r="B10049" t="s">
        <v>9234</v>
      </c>
      <c r="C10049">
        <v>10.55</v>
      </c>
      <c r="D10049" t="str">
        <f t="shared" si="321"/>
        <v>250</v>
      </c>
    </row>
    <row r="10050" spans="1:5" x14ac:dyDescent="0.25">
      <c r="A10050" t="str">
        <f>"839250604"</f>
        <v>839250604</v>
      </c>
      <c r="B10050" t="s">
        <v>9235</v>
      </c>
      <c r="C10050">
        <v>6.6</v>
      </c>
      <c r="D10050" t="str">
        <f t="shared" si="321"/>
        <v>250</v>
      </c>
    </row>
    <row r="10051" spans="1:5" x14ac:dyDescent="0.25">
      <c r="A10051" t="str">
        <f>"839250605"</f>
        <v>839250605</v>
      </c>
      <c r="B10051" t="s">
        <v>9236</v>
      </c>
      <c r="C10051">
        <v>99.47</v>
      </c>
      <c r="D10051" t="str">
        <f>"272"</f>
        <v>272</v>
      </c>
      <c r="E10051" t="str">
        <f>"J0461"</f>
        <v>J0461</v>
      </c>
    </row>
    <row r="10052" spans="1:5" x14ac:dyDescent="0.25">
      <c r="A10052" t="str">
        <f>"839250606"</f>
        <v>839250606</v>
      </c>
      <c r="B10052" t="s">
        <v>9237</v>
      </c>
      <c r="C10052">
        <v>72.03</v>
      </c>
      <c r="D10052" t="str">
        <f>"272"</f>
        <v>272</v>
      </c>
      <c r="E10052" t="str">
        <f>"J0461"</f>
        <v>J0461</v>
      </c>
    </row>
    <row r="10053" spans="1:5" x14ac:dyDescent="0.25">
      <c r="A10053" t="str">
        <f>"839250607"</f>
        <v>839250607</v>
      </c>
      <c r="B10053" t="s">
        <v>9238</v>
      </c>
      <c r="C10053">
        <v>211.7</v>
      </c>
      <c r="D10053" t="str">
        <f>"250"</f>
        <v>250</v>
      </c>
    </row>
    <row r="10054" spans="1:5" x14ac:dyDescent="0.25">
      <c r="A10054" t="str">
        <f>"839250608"</f>
        <v>839250608</v>
      </c>
      <c r="B10054" t="s">
        <v>9239</v>
      </c>
      <c r="C10054">
        <v>530.55999999999995</v>
      </c>
      <c r="D10054" t="str">
        <f>"250"</f>
        <v>250</v>
      </c>
    </row>
    <row r="10055" spans="1:5" x14ac:dyDescent="0.25">
      <c r="A10055" t="str">
        <f>"839250609"</f>
        <v>839250609</v>
      </c>
      <c r="B10055" t="s">
        <v>9240</v>
      </c>
      <c r="C10055">
        <v>265.27999999999997</v>
      </c>
      <c r="D10055" t="str">
        <f>"250"</f>
        <v>250</v>
      </c>
    </row>
    <row r="10056" spans="1:5" x14ac:dyDescent="0.25">
      <c r="A10056" t="str">
        <f>"839250610"</f>
        <v>839250610</v>
      </c>
      <c r="B10056" t="s">
        <v>9241</v>
      </c>
      <c r="C10056">
        <v>382.87</v>
      </c>
      <c r="D10056" t="str">
        <f>"270"</f>
        <v>270</v>
      </c>
    </row>
    <row r="10057" spans="1:5" x14ac:dyDescent="0.25">
      <c r="A10057" t="str">
        <f>"839250611"</f>
        <v>839250611</v>
      </c>
      <c r="B10057" t="s">
        <v>9242</v>
      </c>
      <c r="C10057">
        <v>585.75</v>
      </c>
      <c r="D10057" t="str">
        <f>"250"</f>
        <v>250</v>
      </c>
    </row>
    <row r="10058" spans="1:5" x14ac:dyDescent="0.25">
      <c r="A10058" t="str">
        <f>"839250612"</f>
        <v>839250612</v>
      </c>
      <c r="B10058" t="s">
        <v>9243</v>
      </c>
      <c r="C10058">
        <v>196.64</v>
      </c>
      <c r="D10058" t="str">
        <f>"636"</f>
        <v>636</v>
      </c>
      <c r="E10058" t="str">
        <f>"J2185"</f>
        <v>J2185</v>
      </c>
    </row>
    <row r="10059" spans="1:5" x14ac:dyDescent="0.25">
      <c r="A10059" t="str">
        <f>"839250614"</f>
        <v>839250614</v>
      </c>
      <c r="B10059" t="s">
        <v>9244</v>
      </c>
      <c r="C10059">
        <v>7.24</v>
      </c>
      <c r="D10059" t="str">
        <f>"250"</f>
        <v>250</v>
      </c>
    </row>
    <row r="10060" spans="1:5" x14ac:dyDescent="0.25">
      <c r="A10060" t="str">
        <f>"839250615"</f>
        <v>839250615</v>
      </c>
      <c r="B10060" t="s">
        <v>9245</v>
      </c>
      <c r="C10060">
        <v>63.36</v>
      </c>
      <c r="D10060" t="str">
        <f>"302"</f>
        <v>302</v>
      </c>
      <c r="E10060" t="str">
        <f>"J0461"</f>
        <v>J0461</v>
      </c>
    </row>
    <row r="10061" spans="1:5" x14ac:dyDescent="0.25">
      <c r="A10061" t="str">
        <f>"839250616"</f>
        <v>839250616</v>
      </c>
      <c r="B10061" t="s">
        <v>9246</v>
      </c>
      <c r="C10061">
        <v>300.95999999999998</v>
      </c>
      <c r="D10061" t="str">
        <f>"636"</f>
        <v>636</v>
      </c>
      <c r="E10061" t="str">
        <f>"J0285"</f>
        <v>J0285</v>
      </c>
    </row>
    <row r="10062" spans="1:5" x14ac:dyDescent="0.25">
      <c r="A10062" t="str">
        <f>"839250618"</f>
        <v>839250618</v>
      </c>
      <c r="B10062" t="s">
        <v>9247</v>
      </c>
      <c r="C10062">
        <v>32.229999999999997</v>
      </c>
      <c r="D10062" t="str">
        <f t="shared" ref="D10062:D10067" si="322">"250"</f>
        <v>250</v>
      </c>
    </row>
    <row r="10063" spans="1:5" x14ac:dyDescent="0.25">
      <c r="A10063" t="str">
        <f>"839250619"</f>
        <v>839250619</v>
      </c>
      <c r="B10063" t="s">
        <v>9248</v>
      </c>
      <c r="C10063">
        <v>13.33</v>
      </c>
      <c r="D10063" t="str">
        <f t="shared" si="322"/>
        <v>250</v>
      </c>
    </row>
    <row r="10064" spans="1:5" x14ac:dyDescent="0.25">
      <c r="A10064" t="str">
        <f>"839250620"</f>
        <v>839250620</v>
      </c>
      <c r="B10064" t="s">
        <v>9249</v>
      </c>
      <c r="C10064">
        <v>747.76</v>
      </c>
      <c r="D10064" t="str">
        <f t="shared" si="322"/>
        <v>250</v>
      </c>
    </row>
    <row r="10065" spans="1:5" x14ac:dyDescent="0.25">
      <c r="A10065" t="str">
        <f>"839250621"</f>
        <v>839250621</v>
      </c>
      <c r="B10065" t="s">
        <v>9250</v>
      </c>
      <c r="C10065">
        <v>393.8</v>
      </c>
      <c r="D10065" t="str">
        <f t="shared" si="322"/>
        <v>250</v>
      </c>
    </row>
    <row r="10066" spans="1:5" x14ac:dyDescent="0.25">
      <c r="A10066" t="str">
        <f>"839250622"</f>
        <v>839250622</v>
      </c>
      <c r="B10066" t="s">
        <v>9251</v>
      </c>
      <c r="C10066">
        <v>63.01</v>
      </c>
      <c r="D10066" t="str">
        <f t="shared" si="322"/>
        <v>250</v>
      </c>
    </row>
    <row r="10067" spans="1:5" x14ac:dyDescent="0.25">
      <c r="A10067" t="str">
        <f>"839250623"</f>
        <v>839250623</v>
      </c>
      <c r="B10067" t="s">
        <v>9252</v>
      </c>
      <c r="C10067">
        <v>562.72</v>
      </c>
      <c r="D10067" t="str">
        <f t="shared" si="322"/>
        <v>250</v>
      </c>
    </row>
    <row r="10068" spans="1:5" x14ac:dyDescent="0.25">
      <c r="A10068" t="str">
        <f>"839250624"</f>
        <v>839250624</v>
      </c>
      <c r="B10068" t="s">
        <v>9253</v>
      </c>
      <c r="C10068">
        <v>29</v>
      </c>
      <c r="D10068" t="str">
        <f>"636"</f>
        <v>636</v>
      </c>
      <c r="E10068" t="str">
        <f>"J1580"</f>
        <v>J1580</v>
      </c>
    </row>
    <row r="10069" spans="1:5" x14ac:dyDescent="0.25">
      <c r="A10069" t="str">
        <f>"839250625"</f>
        <v>839250625</v>
      </c>
      <c r="B10069" t="s">
        <v>9254</v>
      </c>
      <c r="C10069">
        <v>31.05</v>
      </c>
      <c r="D10069" t="str">
        <f>"636"</f>
        <v>636</v>
      </c>
      <c r="E10069" t="str">
        <f>"J1580"</f>
        <v>J1580</v>
      </c>
    </row>
    <row r="10070" spans="1:5" x14ac:dyDescent="0.25">
      <c r="A10070" t="str">
        <f>"839250626"</f>
        <v>839250626</v>
      </c>
      <c r="B10070" t="s">
        <v>9255</v>
      </c>
      <c r="C10070">
        <v>1.1000000000000001</v>
      </c>
      <c r="D10070" t="str">
        <f>"250"</f>
        <v>250</v>
      </c>
    </row>
    <row r="10071" spans="1:5" x14ac:dyDescent="0.25">
      <c r="A10071" t="str">
        <f>"839250628"</f>
        <v>839250628</v>
      </c>
      <c r="B10071" t="s">
        <v>9256</v>
      </c>
      <c r="C10071">
        <v>65.489999999999995</v>
      </c>
      <c r="D10071" t="str">
        <f>"250"</f>
        <v>250</v>
      </c>
    </row>
    <row r="10072" spans="1:5" x14ac:dyDescent="0.25">
      <c r="A10072" t="str">
        <f>"839250629"</f>
        <v>839250629</v>
      </c>
      <c r="B10072" t="s">
        <v>9257</v>
      </c>
      <c r="C10072">
        <v>1.1000000000000001</v>
      </c>
      <c r="D10072" t="str">
        <f>"250"</f>
        <v>250</v>
      </c>
    </row>
    <row r="10073" spans="1:5" x14ac:dyDescent="0.25">
      <c r="A10073" t="str">
        <f>"839250630"</f>
        <v>839250630</v>
      </c>
      <c r="B10073" t="s">
        <v>9258</v>
      </c>
      <c r="C10073">
        <v>39.92</v>
      </c>
      <c r="D10073" t="str">
        <f>"636"</f>
        <v>636</v>
      </c>
    </row>
    <row r="10074" spans="1:5" x14ac:dyDescent="0.25">
      <c r="A10074" t="str">
        <f>"839250631"</f>
        <v>839250631</v>
      </c>
      <c r="B10074" t="s">
        <v>9259</v>
      </c>
      <c r="C10074">
        <v>594</v>
      </c>
      <c r="D10074" t="str">
        <f t="shared" ref="D10074:D10081" si="323">"250"</f>
        <v>250</v>
      </c>
    </row>
    <row r="10075" spans="1:5" x14ac:dyDescent="0.25">
      <c r="A10075" t="str">
        <f>"839250632"</f>
        <v>839250632</v>
      </c>
      <c r="B10075" t="s">
        <v>9260</v>
      </c>
      <c r="C10075">
        <v>16.5</v>
      </c>
      <c r="D10075" t="str">
        <f t="shared" si="323"/>
        <v>250</v>
      </c>
    </row>
    <row r="10076" spans="1:5" x14ac:dyDescent="0.25">
      <c r="A10076" t="str">
        <f>"839250633"</f>
        <v>839250633</v>
      </c>
      <c r="B10076" t="s">
        <v>9261</v>
      </c>
      <c r="C10076">
        <v>21.7</v>
      </c>
      <c r="D10076" t="str">
        <f t="shared" si="323"/>
        <v>250</v>
      </c>
    </row>
    <row r="10077" spans="1:5" x14ac:dyDescent="0.25">
      <c r="A10077" t="str">
        <f>"839250634"</f>
        <v>839250634</v>
      </c>
      <c r="B10077" t="s">
        <v>9262</v>
      </c>
      <c r="C10077">
        <v>115.5</v>
      </c>
      <c r="D10077" t="str">
        <f t="shared" si="323"/>
        <v>250</v>
      </c>
    </row>
    <row r="10078" spans="1:5" x14ac:dyDescent="0.25">
      <c r="A10078" t="str">
        <f>"839250635"</f>
        <v>839250635</v>
      </c>
      <c r="B10078" t="s">
        <v>9263</v>
      </c>
      <c r="C10078">
        <v>541.75</v>
      </c>
      <c r="D10078" t="str">
        <f t="shared" si="323"/>
        <v>250</v>
      </c>
    </row>
    <row r="10079" spans="1:5" x14ac:dyDescent="0.25">
      <c r="A10079" t="str">
        <f>"839250636"</f>
        <v>839250636</v>
      </c>
      <c r="B10079" t="s">
        <v>9264</v>
      </c>
      <c r="C10079">
        <v>237.6</v>
      </c>
      <c r="D10079" t="str">
        <f t="shared" si="323"/>
        <v>250</v>
      </c>
    </row>
    <row r="10080" spans="1:5" x14ac:dyDescent="0.25">
      <c r="A10080" t="str">
        <f>"839250637"</f>
        <v>839250637</v>
      </c>
      <c r="B10080" t="s">
        <v>9265</v>
      </c>
      <c r="C10080">
        <v>47.76</v>
      </c>
      <c r="D10080" t="str">
        <f t="shared" si="323"/>
        <v>250</v>
      </c>
    </row>
    <row r="10081" spans="1:5" x14ac:dyDescent="0.25">
      <c r="A10081" t="str">
        <f>"839250638"</f>
        <v>839250638</v>
      </c>
      <c r="B10081" t="s">
        <v>9266</v>
      </c>
      <c r="C10081">
        <v>229.68</v>
      </c>
      <c r="D10081" t="str">
        <f t="shared" si="323"/>
        <v>250</v>
      </c>
    </row>
    <row r="10082" spans="1:5" x14ac:dyDescent="0.25">
      <c r="A10082" t="str">
        <f>"839250639"</f>
        <v>839250639</v>
      </c>
      <c r="B10082" t="s">
        <v>9267</v>
      </c>
      <c r="C10082">
        <v>51.37</v>
      </c>
      <c r="D10082" t="str">
        <f>"637"</f>
        <v>637</v>
      </c>
    </row>
    <row r="10083" spans="1:5" x14ac:dyDescent="0.25">
      <c r="A10083" t="str">
        <f>"839250640"</f>
        <v>839250640</v>
      </c>
      <c r="B10083" t="s">
        <v>9268</v>
      </c>
      <c r="C10083">
        <v>71.28</v>
      </c>
      <c r="D10083" t="str">
        <f>"250"</f>
        <v>250</v>
      </c>
    </row>
    <row r="10084" spans="1:5" x14ac:dyDescent="0.25">
      <c r="A10084" t="str">
        <f>"839250641"</f>
        <v>839250641</v>
      </c>
      <c r="B10084" t="s">
        <v>9269</v>
      </c>
      <c r="C10084">
        <v>316.8</v>
      </c>
      <c r="D10084" t="str">
        <f>"636"</f>
        <v>636</v>
      </c>
      <c r="E10084" t="str">
        <f>"J0878"</f>
        <v>J0878</v>
      </c>
    </row>
    <row r="10085" spans="1:5" x14ac:dyDescent="0.25">
      <c r="A10085" t="str">
        <f>"839250642"</f>
        <v>839250642</v>
      </c>
      <c r="B10085" t="s">
        <v>9270</v>
      </c>
      <c r="C10085">
        <v>6.6</v>
      </c>
      <c r="D10085" t="str">
        <f>"250"</f>
        <v>250</v>
      </c>
    </row>
    <row r="10086" spans="1:5" x14ac:dyDescent="0.25">
      <c r="A10086" t="str">
        <f>"839250643"</f>
        <v>839250643</v>
      </c>
      <c r="B10086" t="s">
        <v>9271</v>
      </c>
      <c r="C10086">
        <v>91.48</v>
      </c>
      <c r="D10086" t="str">
        <f>"250"</f>
        <v>250</v>
      </c>
    </row>
    <row r="10087" spans="1:5" x14ac:dyDescent="0.25">
      <c r="A10087" t="str">
        <f>"839250644"</f>
        <v>839250644</v>
      </c>
      <c r="B10087" t="s">
        <v>9272</v>
      </c>
      <c r="C10087">
        <v>36.229999999999997</v>
      </c>
      <c r="D10087" t="str">
        <f>"250"</f>
        <v>250</v>
      </c>
    </row>
    <row r="10088" spans="1:5" x14ac:dyDescent="0.25">
      <c r="A10088" t="str">
        <f>"839250645"</f>
        <v>839250645</v>
      </c>
      <c r="B10088" t="s">
        <v>9273</v>
      </c>
      <c r="C10088">
        <v>781.7</v>
      </c>
      <c r="D10088" t="str">
        <f>"637"</f>
        <v>637</v>
      </c>
    </row>
    <row r="10089" spans="1:5" x14ac:dyDescent="0.25">
      <c r="A10089" t="str">
        <f>"839250646"</f>
        <v>839250646</v>
      </c>
      <c r="B10089" t="s">
        <v>9274</v>
      </c>
      <c r="C10089">
        <v>34.65</v>
      </c>
      <c r="D10089" t="str">
        <f>"637"</f>
        <v>637</v>
      </c>
    </row>
    <row r="10090" spans="1:5" x14ac:dyDescent="0.25">
      <c r="A10090" t="str">
        <f>"839250647"</f>
        <v>839250647</v>
      </c>
      <c r="B10090" t="s">
        <v>9275</v>
      </c>
      <c r="C10090">
        <v>80.45</v>
      </c>
      <c r="D10090" t="str">
        <f>"250"</f>
        <v>250</v>
      </c>
    </row>
    <row r="10091" spans="1:5" x14ac:dyDescent="0.25">
      <c r="A10091" t="str">
        <f>"839250648"</f>
        <v>839250648</v>
      </c>
      <c r="B10091" t="s">
        <v>9276</v>
      </c>
      <c r="C10091">
        <v>167.42</v>
      </c>
      <c r="D10091" t="str">
        <f>"636"</f>
        <v>636</v>
      </c>
      <c r="E10091" t="str">
        <f>"J1265"</f>
        <v>J1265</v>
      </c>
    </row>
    <row r="10092" spans="1:5" x14ac:dyDescent="0.25">
      <c r="A10092" t="str">
        <f>"839250649"</f>
        <v>839250649</v>
      </c>
      <c r="B10092" t="s">
        <v>9277</v>
      </c>
      <c r="C10092">
        <v>6.6</v>
      </c>
      <c r="D10092" t="str">
        <f>"250"</f>
        <v>250</v>
      </c>
    </row>
    <row r="10093" spans="1:5" x14ac:dyDescent="0.25">
      <c r="A10093" t="str">
        <f>"839250650"</f>
        <v>839250650</v>
      </c>
      <c r="B10093" t="s">
        <v>9278</v>
      </c>
      <c r="C10093" s="1">
        <v>1164.77</v>
      </c>
      <c r="D10093" t="str">
        <f>"250"</f>
        <v>250</v>
      </c>
    </row>
    <row r="10094" spans="1:5" x14ac:dyDescent="0.25">
      <c r="A10094" t="str">
        <f>"839250651"</f>
        <v>839250651</v>
      </c>
      <c r="B10094" t="s">
        <v>9279</v>
      </c>
      <c r="C10094">
        <v>51.08</v>
      </c>
      <c r="D10094" t="str">
        <f>"250"</f>
        <v>250</v>
      </c>
    </row>
    <row r="10095" spans="1:5" x14ac:dyDescent="0.25">
      <c r="A10095" t="str">
        <f>"839250652"</f>
        <v>839250652</v>
      </c>
      <c r="B10095" t="s">
        <v>9280</v>
      </c>
      <c r="C10095">
        <v>56</v>
      </c>
      <c r="D10095" t="str">
        <f>"636"</f>
        <v>636</v>
      </c>
      <c r="E10095" t="str">
        <f>"J3480"</f>
        <v>J3480</v>
      </c>
    </row>
    <row r="10096" spans="1:5" x14ac:dyDescent="0.25">
      <c r="A10096" t="str">
        <f>"839250653"</f>
        <v>839250653</v>
      </c>
      <c r="B10096" t="s">
        <v>9281</v>
      </c>
      <c r="C10096">
        <v>6.6</v>
      </c>
      <c r="D10096" t="str">
        <f>"250"</f>
        <v>250</v>
      </c>
    </row>
    <row r="10097" spans="1:5" x14ac:dyDescent="0.25">
      <c r="A10097" t="str">
        <f>"839250665"</f>
        <v>839250665</v>
      </c>
      <c r="B10097" t="s">
        <v>9282</v>
      </c>
      <c r="C10097">
        <v>16.309999999999999</v>
      </c>
      <c r="D10097" t="str">
        <f>"637"</f>
        <v>637</v>
      </c>
    </row>
    <row r="10098" spans="1:5" x14ac:dyDescent="0.25">
      <c r="A10098" t="str">
        <f>"839250666"</f>
        <v>839250666</v>
      </c>
      <c r="B10098" t="s">
        <v>9283</v>
      </c>
      <c r="C10098">
        <v>891.9</v>
      </c>
      <c r="D10098" t="str">
        <f>"250"</f>
        <v>250</v>
      </c>
    </row>
    <row r="10099" spans="1:5" x14ac:dyDescent="0.25">
      <c r="A10099" t="str">
        <f>"839250667"</f>
        <v>839250667</v>
      </c>
      <c r="B10099" t="s">
        <v>9284</v>
      </c>
      <c r="C10099">
        <v>48.26</v>
      </c>
      <c r="D10099" t="str">
        <f>"636"</f>
        <v>636</v>
      </c>
    </row>
    <row r="10100" spans="1:5" x14ac:dyDescent="0.25">
      <c r="A10100" t="str">
        <f>"839250668"</f>
        <v>839250668</v>
      </c>
      <c r="B10100" t="s">
        <v>9285</v>
      </c>
      <c r="C10100">
        <v>135.22</v>
      </c>
      <c r="D10100" t="str">
        <f>"250"</f>
        <v>250</v>
      </c>
    </row>
    <row r="10101" spans="1:5" x14ac:dyDescent="0.25">
      <c r="A10101" t="str">
        <f>"839250669"</f>
        <v>839250669</v>
      </c>
      <c r="B10101" t="s">
        <v>9286</v>
      </c>
      <c r="C10101">
        <v>6.6</v>
      </c>
      <c r="D10101" t="str">
        <f>"250"</f>
        <v>250</v>
      </c>
    </row>
    <row r="10102" spans="1:5" x14ac:dyDescent="0.25">
      <c r="A10102" t="str">
        <f>"839250670"</f>
        <v>839250670</v>
      </c>
      <c r="B10102" t="s">
        <v>9287</v>
      </c>
      <c r="C10102">
        <v>24.23</v>
      </c>
      <c r="D10102" t="str">
        <f>"636"</f>
        <v>636</v>
      </c>
      <c r="E10102" t="str">
        <f>"J0697"</f>
        <v>J0697</v>
      </c>
    </row>
    <row r="10103" spans="1:5" x14ac:dyDescent="0.25">
      <c r="A10103" t="str">
        <f>"839250671"</f>
        <v>839250671</v>
      </c>
      <c r="B10103" t="s">
        <v>9288</v>
      </c>
      <c r="C10103">
        <v>6.6</v>
      </c>
      <c r="D10103" t="str">
        <f>"637"</f>
        <v>637</v>
      </c>
    </row>
    <row r="10104" spans="1:5" x14ac:dyDescent="0.25">
      <c r="A10104" t="str">
        <f>"839250672"</f>
        <v>839250672</v>
      </c>
      <c r="B10104" t="s">
        <v>9289</v>
      </c>
      <c r="C10104">
        <v>19.690000000000001</v>
      </c>
      <c r="D10104" t="str">
        <f>"250"</f>
        <v>250</v>
      </c>
    </row>
    <row r="10105" spans="1:5" x14ac:dyDescent="0.25">
      <c r="A10105" t="str">
        <f>"839250673"</f>
        <v>839250673</v>
      </c>
      <c r="B10105" t="s">
        <v>9290</v>
      </c>
      <c r="C10105">
        <v>37.03</v>
      </c>
      <c r="D10105" t="str">
        <f>"250"</f>
        <v>250</v>
      </c>
    </row>
    <row r="10106" spans="1:5" x14ac:dyDescent="0.25">
      <c r="A10106" t="str">
        <f>"839250674"</f>
        <v>839250674</v>
      </c>
      <c r="B10106" t="s">
        <v>9291</v>
      </c>
      <c r="C10106">
        <v>11.79</v>
      </c>
      <c r="D10106" t="str">
        <f>"250"</f>
        <v>250</v>
      </c>
    </row>
    <row r="10107" spans="1:5" x14ac:dyDescent="0.25">
      <c r="A10107" t="str">
        <f>"839250675"</f>
        <v>839250675</v>
      </c>
      <c r="B10107" t="s">
        <v>9292</v>
      </c>
      <c r="C10107">
        <v>56.42</v>
      </c>
      <c r="D10107" t="str">
        <f>"250"</f>
        <v>250</v>
      </c>
    </row>
    <row r="10108" spans="1:5" x14ac:dyDescent="0.25">
      <c r="A10108" t="str">
        <f>"839250676"</f>
        <v>839250676</v>
      </c>
      <c r="B10108" t="s">
        <v>9293</v>
      </c>
      <c r="C10108">
        <v>6.6</v>
      </c>
      <c r="D10108" t="str">
        <f>"637"</f>
        <v>637</v>
      </c>
    </row>
    <row r="10109" spans="1:5" x14ac:dyDescent="0.25">
      <c r="A10109" t="str">
        <f>"839250677"</f>
        <v>839250677</v>
      </c>
      <c r="B10109" t="s">
        <v>9294</v>
      </c>
      <c r="C10109">
        <v>24.33</v>
      </c>
      <c r="D10109" t="str">
        <f>"250"</f>
        <v>250</v>
      </c>
    </row>
    <row r="10110" spans="1:5" x14ac:dyDescent="0.25">
      <c r="A10110" t="str">
        <f>"839250678"</f>
        <v>839250678</v>
      </c>
      <c r="B10110" t="s">
        <v>9295</v>
      </c>
      <c r="C10110">
        <v>157.76</v>
      </c>
      <c r="D10110" t="str">
        <f>"250"</f>
        <v>250</v>
      </c>
    </row>
    <row r="10111" spans="1:5" x14ac:dyDescent="0.25">
      <c r="A10111" t="str">
        <f>"839250679"</f>
        <v>839250679</v>
      </c>
      <c r="B10111" t="s">
        <v>9296</v>
      </c>
      <c r="C10111">
        <v>738.8</v>
      </c>
      <c r="D10111" t="str">
        <f>"637"</f>
        <v>637</v>
      </c>
    </row>
    <row r="10112" spans="1:5" x14ac:dyDescent="0.25">
      <c r="A10112" t="str">
        <f>"839250680"</f>
        <v>839250680</v>
      </c>
      <c r="B10112" t="s">
        <v>9297</v>
      </c>
      <c r="C10112">
        <v>150.61000000000001</v>
      </c>
      <c r="D10112" t="str">
        <f>"250"</f>
        <v>250</v>
      </c>
    </row>
    <row r="10113" spans="1:5" x14ac:dyDescent="0.25">
      <c r="A10113" t="str">
        <f>"839250681"</f>
        <v>839250681</v>
      </c>
      <c r="B10113" t="s">
        <v>9298</v>
      </c>
      <c r="C10113">
        <v>6.6</v>
      </c>
      <c r="D10113" t="str">
        <f>"250"</f>
        <v>250</v>
      </c>
    </row>
    <row r="10114" spans="1:5" x14ac:dyDescent="0.25">
      <c r="A10114" t="str">
        <f>"839250682"</f>
        <v>839250682</v>
      </c>
      <c r="B10114" t="s">
        <v>9299</v>
      </c>
      <c r="C10114">
        <v>17.5</v>
      </c>
      <c r="D10114" t="str">
        <f>"636"</f>
        <v>636</v>
      </c>
    </row>
    <row r="10115" spans="1:5" x14ac:dyDescent="0.25">
      <c r="A10115" t="str">
        <f>"839250683"</f>
        <v>839250683</v>
      </c>
      <c r="B10115" t="s">
        <v>9300</v>
      </c>
      <c r="C10115">
        <v>27.72</v>
      </c>
      <c r="D10115" t="str">
        <f>"250"</f>
        <v>250</v>
      </c>
    </row>
    <row r="10116" spans="1:5" x14ac:dyDescent="0.25">
      <c r="A10116" t="str">
        <f>"839250684"</f>
        <v>839250684</v>
      </c>
      <c r="B10116" t="s">
        <v>9301</v>
      </c>
      <c r="C10116">
        <v>9.98</v>
      </c>
      <c r="D10116" t="str">
        <f>"250"</f>
        <v>250</v>
      </c>
    </row>
    <row r="10117" spans="1:5" x14ac:dyDescent="0.25">
      <c r="A10117" t="str">
        <f>"839250685"</f>
        <v>839250685</v>
      </c>
      <c r="B10117" t="s">
        <v>9302</v>
      </c>
      <c r="C10117">
        <v>92</v>
      </c>
      <c r="D10117" t="str">
        <f>"250"</f>
        <v>250</v>
      </c>
    </row>
    <row r="10118" spans="1:5" x14ac:dyDescent="0.25">
      <c r="A10118" t="str">
        <f>"839250686"</f>
        <v>839250686</v>
      </c>
      <c r="B10118" t="s">
        <v>9303</v>
      </c>
      <c r="C10118">
        <v>156.63</v>
      </c>
      <c r="D10118" t="str">
        <f>"250"</f>
        <v>250</v>
      </c>
    </row>
    <row r="10119" spans="1:5" x14ac:dyDescent="0.25">
      <c r="A10119" t="str">
        <f>"839250695"</f>
        <v>839250695</v>
      </c>
      <c r="B10119" t="s">
        <v>9304</v>
      </c>
      <c r="C10119">
        <v>75.27</v>
      </c>
      <c r="D10119" t="str">
        <f t="shared" ref="D10119:D10122" si="324">"637"</f>
        <v>637</v>
      </c>
    </row>
    <row r="10120" spans="1:5" x14ac:dyDescent="0.25">
      <c r="A10120" t="str">
        <f>"839250705"</f>
        <v>839250705</v>
      </c>
      <c r="B10120" t="s">
        <v>9305</v>
      </c>
      <c r="C10120">
        <v>6.6</v>
      </c>
      <c r="D10120" t="str">
        <f t="shared" si="324"/>
        <v>637</v>
      </c>
    </row>
    <row r="10121" spans="1:5" x14ac:dyDescent="0.25">
      <c r="A10121" t="str">
        <f>"839250706"</f>
        <v>839250706</v>
      </c>
      <c r="B10121" t="s">
        <v>9306</v>
      </c>
      <c r="C10121">
        <v>6.6</v>
      </c>
      <c r="D10121" t="str">
        <f t="shared" si="324"/>
        <v>637</v>
      </c>
    </row>
    <row r="10122" spans="1:5" x14ac:dyDescent="0.25">
      <c r="A10122" t="str">
        <f>"839250726"</f>
        <v>839250726</v>
      </c>
      <c r="B10122" t="s">
        <v>9307</v>
      </c>
      <c r="C10122">
        <v>6.6</v>
      </c>
      <c r="D10122" t="str">
        <f t="shared" si="324"/>
        <v>637</v>
      </c>
    </row>
    <row r="10123" spans="1:5" x14ac:dyDescent="0.25">
      <c r="A10123" t="str">
        <f>"839250735"</f>
        <v>839250735</v>
      </c>
      <c r="B10123" t="s">
        <v>9308</v>
      </c>
      <c r="C10123">
        <v>387.75</v>
      </c>
      <c r="D10123" t="str">
        <f>"636"</f>
        <v>636</v>
      </c>
      <c r="E10123" t="str">
        <f>"J0515"</f>
        <v>J0515</v>
      </c>
    </row>
    <row r="10124" spans="1:5" x14ac:dyDescent="0.25">
      <c r="A10124" t="str">
        <f>"839250740"</f>
        <v>839250740</v>
      </c>
      <c r="B10124" t="s">
        <v>9309</v>
      </c>
      <c r="C10124">
        <v>6.6</v>
      </c>
      <c r="D10124" t="str">
        <f>"637"</f>
        <v>637</v>
      </c>
    </row>
    <row r="10125" spans="1:5" x14ac:dyDescent="0.25">
      <c r="A10125" t="str">
        <f>"839250750"</f>
        <v>839250750</v>
      </c>
      <c r="B10125" t="s">
        <v>9310</v>
      </c>
      <c r="C10125">
        <v>348.68</v>
      </c>
      <c r="D10125" t="str">
        <f>"637"</f>
        <v>637</v>
      </c>
    </row>
    <row r="10126" spans="1:5" x14ac:dyDescent="0.25">
      <c r="A10126" t="str">
        <f>"839250759"</f>
        <v>839250759</v>
      </c>
      <c r="B10126" t="s">
        <v>9311</v>
      </c>
      <c r="C10126">
        <v>46.07</v>
      </c>
      <c r="D10126" t="str">
        <f>"250"</f>
        <v>250</v>
      </c>
    </row>
    <row r="10127" spans="1:5" x14ac:dyDescent="0.25">
      <c r="A10127" t="str">
        <f>"839250765"</f>
        <v>839250765</v>
      </c>
      <c r="B10127" t="s">
        <v>9312</v>
      </c>
      <c r="C10127">
        <v>437.38</v>
      </c>
      <c r="D10127" t="str">
        <f>"250"</f>
        <v>250</v>
      </c>
    </row>
    <row r="10128" spans="1:5" x14ac:dyDescent="0.25">
      <c r="A10128" t="str">
        <f>"839250771"</f>
        <v>839250771</v>
      </c>
      <c r="B10128" t="s">
        <v>9313</v>
      </c>
      <c r="C10128">
        <v>69.3</v>
      </c>
      <c r="D10128" t="str">
        <f>"771"</f>
        <v>771</v>
      </c>
      <c r="E10128" t="str">
        <f>"G0009"</f>
        <v>G0009</v>
      </c>
    </row>
    <row r="10129" spans="1:5" x14ac:dyDescent="0.25">
      <c r="A10129" t="str">
        <f>"839250786"</f>
        <v>839250786</v>
      </c>
      <c r="B10129" t="s">
        <v>9314</v>
      </c>
      <c r="C10129">
        <v>121.13</v>
      </c>
      <c r="D10129" t="str">
        <f>"637"</f>
        <v>637</v>
      </c>
    </row>
    <row r="10130" spans="1:5" x14ac:dyDescent="0.25">
      <c r="A10130" t="str">
        <f>"839250787"</f>
        <v>839250787</v>
      </c>
      <c r="B10130" t="s">
        <v>9315</v>
      </c>
      <c r="C10130">
        <v>719.61</v>
      </c>
      <c r="D10130" t="str">
        <f>"636"</f>
        <v>636</v>
      </c>
      <c r="E10130" t="str">
        <f>"J0561"</f>
        <v>J0561</v>
      </c>
    </row>
    <row r="10131" spans="1:5" x14ac:dyDescent="0.25">
      <c r="A10131" t="str">
        <f>"839250790"</f>
        <v>839250790</v>
      </c>
      <c r="B10131" t="s">
        <v>9316</v>
      </c>
      <c r="C10131">
        <v>9.89</v>
      </c>
      <c r="D10131" t="str">
        <f>"637"</f>
        <v>637</v>
      </c>
    </row>
    <row r="10132" spans="1:5" x14ac:dyDescent="0.25">
      <c r="A10132" t="str">
        <f>"839250806"</f>
        <v>839250806</v>
      </c>
      <c r="B10132" t="s">
        <v>9317</v>
      </c>
      <c r="C10132" s="1">
        <v>4653</v>
      </c>
      <c r="D10132" t="str">
        <f>"636"</f>
        <v>636</v>
      </c>
      <c r="E10132" t="str">
        <f>"J1327"</f>
        <v>J1327</v>
      </c>
    </row>
    <row r="10133" spans="1:5" x14ac:dyDescent="0.25">
      <c r="A10133" t="str">
        <f>"839250821"</f>
        <v>839250821</v>
      </c>
      <c r="B10133" t="s">
        <v>9318</v>
      </c>
      <c r="C10133">
        <v>215.49</v>
      </c>
      <c r="D10133" t="str">
        <f>"250"</f>
        <v>250</v>
      </c>
    </row>
    <row r="10134" spans="1:5" x14ac:dyDescent="0.25">
      <c r="A10134" t="str">
        <f>"839250825"</f>
        <v>839250825</v>
      </c>
      <c r="B10134" t="s">
        <v>9319</v>
      </c>
      <c r="C10134">
        <v>27.3</v>
      </c>
      <c r="D10134" t="str">
        <f>"637"</f>
        <v>637</v>
      </c>
    </row>
    <row r="10135" spans="1:5" x14ac:dyDescent="0.25">
      <c r="A10135" t="str">
        <f>"839250835"</f>
        <v>839250835</v>
      </c>
      <c r="B10135" t="s">
        <v>9320</v>
      </c>
      <c r="C10135">
        <v>78.56</v>
      </c>
      <c r="D10135" t="str">
        <f>"250"</f>
        <v>250</v>
      </c>
    </row>
    <row r="10136" spans="1:5" x14ac:dyDescent="0.25">
      <c r="A10136" t="str">
        <f>"839250836"</f>
        <v>839250836</v>
      </c>
      <c r="B10136" t="s">
        <v>9321</v>
      </c>
      <c r="C10136">
        <v>101.97</v>
      </c>
      <c r="D10136" t="str">
        <f>"250"</f>
        <v>250</v>
      </c>
    </row>
    <row r="10137" spans="1:5" x14ac:dyDescent="0.25">
      <c r="A10137" t="str">
        <f>"839250840"</f>
        <v>839250840</v>
      </c>
      <c r="B10137" t="s">
        <v>9322</v>
      </c>
      <c r="C10137">
        <v>16.63</v>
      </c>
      <c r="D10137" t="str">
        <f>"250"</f>
        <v>250</v>
      </c>
    </row>
    <row r="10138" spans="1:5" x14ac:dyDescent="0.25">
      <c r="A10138" t="str">
        <f>"839250846"</f>
        <v>839250846</v>
      </c>
      <c r="B10138" t="s">
        <v>9323</v>
      </c>
      <c r="C10138">
        <v>16.059999999999999</v>
      </c>
      <c r="D10138" t="str">
        <f>"637"</f>
        <v>637</v>
      </c>
    </row>
    <row r="10139" spans="1:5" x14ac:dyDescent="0.25">
      <c r="A10139" t="str">
        <f>"839250850"</f>
        <v>839250850</v>
      </c>
      <c r="B10139" t="s">
        <v>9324</v>
      </c>
      <c r="C10139">
        <v>13.13</v>
      </c>
      <c r="D10139" t="str">
        <f>"636"</f>
        <v>636</v>
      </c>
      <c r="E10139" t="str">
        <f>"J3490"</f>
        <v>J3490</v>
      </c>
    </row>
    <row r="10140" spans="1:5" x14ac:dyDescent="0.25">
      <c r="A10140" t="str">
        <f>"839250860"</f>
        <v>839250860</v>
      </c>
      <c r="B10140" t="s">
        <v>9325</v>
      </c>
      <c r="C10140">
        <v>27.3</v>
      </c>
      <c r="D10140" t="str">
        <f>"636"</f>
        <v>636</v>
      </c>
      <c r="E10140" t="str">
        <f>"J3490"</f>
        <v>J3490</v>
      </c>
    </row>
    <row r="10141" spans="1:5" x14ac:dyDescent="0.25">
      <c r="A10141" t="str">
        <f>"839250865"</f>
        <v>839250865</v>
      </c>
      <c r="B10141" t="s">
        <v>9326</v>
      </c>
      <c r="C10141">
        <v>15.84</v>
      </c>
      <c r="D10141" t="str">
        <f>"636"</f>
        <v>636</v>
      </c>
      <c r="E10141" t="str">
        <f>"J3490"</f>
        <v>J3490</v>
      </c>
    </row>
    <row r="10142" spans="1:5" x14ac:dyDescent="0.25">
      <c r="A10142" t="str">
        <f>"839250875"</f>
        <v>839250875</v>
      </c>
      <c r="B10142" t="s">
        <v>9327</v>
      </c>
      <c r="C10142">
        <v>30.94</v>
      </c>
      <c r="D10142" t="str">
        <f>"250"</f>
        <v>250</v>
      </c>
    </row>
    <row r="10143" spans="1:5" x14ac:dyDescent="0.25">
      <c r="A10143" t="str">
        <f>"839250888"</f>
        <v>839250888</v>
      </c>
      <c r="B10143" t="s">
        <v>9328</v>
      </c>
      <c r="C10143">
        <v>251.37</v>
      </c>
      <c r="D10143" t="str">
        <f>"637"</f>
        <v>637</v>
      </c>
    </row>
    <row r="10144" spans="1:5" x14ac:dyDescent="0.25">
      <c r="A10144" t="str">
        <f>"839250890"</f>
        <v>839250890</v>
      </c>
      <c r="B10144" t="s">
        <v>9329</v>
      </c>
      <c r="C10144">
        <v>106.6</v>
      </c>
      <c r="D10144" t="str">
        <f>"250"</f>
        <v>250</v>
      </c>
    </row>
    <row r="10145" spans="1:5" x14ac:dyDescent="0.25">
      <c r="A10145" t="str">
        <f>"839250891"</f>
        <v>839250891</v>
      </c>
      <c r="B10145" t="s">
        <v>9330</v>
      </c>
      <c r="C10145">
        <v>6.6</v>
      </c>
      <c r="D10145" t="str">
        <f>"637"</f>
        <v>637</v>
      </c>
    </row>
    <row r="10146" spans="1:5" x14ac:dyDescent="0.25">
      <c r="A10146" t="str">
        <f>"839250893"</f>
        <v>839250893</v>
      </c>
      <c r="B10146" t="s">
        <v>9331</v>
      </c>
      <c r="C10146">
        <v>79.13</v>
      </c>
      <c r="D10146" t="str">
        <f>"637"</f>
        <v>637</v>
      </c>
    </row>
    <row r="10147" spans="1:5" x14ac:dyDescent="0.25">
      <c r="A10147" t="str">
        <f>"839250895"</f>
        <v>839250895</v>
      </c>
      <c r="B10147" t="s">
        <v>9332</v>
      </c>
      <c r="C10147">
        <v>80.39</v>
      </c>
      <c r="D10147" t="str">
        <f>"250"</f>
        <v>250</v>
      </c>
    </row>
    <row r="10148" spans="1:5" x14ac:dyDescent="0.25">
      <c r="A10148" t="str">
        <f>"839250896"</f>
        <v>839250896</v>
      </c>
      <c r="B10148" t="s">
        <v>9333</v>
      </c>
      <c r="C10148">
        <v>11.14</v>
      </c>
      <c r="D10148" t="str">
        <f t="shared" ref="D10148:D10154" si="325">"637"</f>
        <v>637</v>
      </c>
    </row>
    <row r="10149" spans="1:5" x14ac:dyDescent="0.25">
      <c r="A10149" t="str">
        <f>"839250897"</f>
        <v>839250897</v>
      </c>
      <c r="B10149" t="s">
        <v>9334</v>
      </c>
      <c r="C10149">
        <v>7</v>
      </c>
      <c r="D10149" t="str">
        <f t="shared" si="325"/>
        <v>637</v>
      </c>
    </row>
    <row r="10150" spans="1:5" x14ac:dyDescent="0.25">
      <c r="A10150" t="str">
        <f>"839250899"</f>
        <v>839250899</v>
      </c>
      <c r="B10150" t="s">
        <v>9335</v>
      </c>
      <c r="C10150">
        <v>12.8</v>
      </c>
      <c r="D10150" t="str">
        <f t="shared" si="325"/>
        <v>637</v>
      </c>
    </row>
    <row r="10151" spans="1:5" x14ac:dyDescent="0.25">
      <c r="A10151" t="str">
        <f>"839250900"</f>
        <v>839250900</v>
      </c>
      <c r="B10151" t="s">
        <v>9336</v>
      </c>
      <c r="C10151">
        <v>6.6</v>
      </c>
      <c r="D10151" t="str">
        <f t="shared" si="325"/>
        <v>637</v>
      </c>
    </row>
    <row r="10152" spans="1:5" x14ac:dyDescent="0.25">
      <c r="A10152" t="str">
        <f>"839250901"</f>
        <v>839250901</v>
      </c>
      <c r="B10152" t="s">
        <v>9337</v>
      </c>
      <c r="C10152">
        <v>8.8800000000000008</v>
      </c>
      <c r="D10152" t="str">
        <f t="shared" si="325"/>
        <v>637</v>
      </c>
    </row>
    <row r="10153" spans="1:5" x14ac:dyDescent="0.25">
      <c r="A10153" t="str">
        <f>"839250904"</f>
        <v>839250904</v>
      </c>
      <c r="B10153" t="s">
        <v>9338</v>
      </c>
      <c r="C10153">
        <v>684.09</v>
      </c>
      <c r="D10153" t="str">
        <f t="shared" si="325"/>
        <v>637</v>
      </c>
    </row>
    <row r="10154" spans="1:5" x14ac:dyDescent="0.25">
      <c r="A10154" t="str">
        <f>"839250906"</f>
        <v>839250906</v>
      </c>
      <c r="B10154" t="s">
        <v>9339</v>
      </c>
      <c r="C10154">
        <v>951.92</v>
      </c>
      <c r="D10154" t="str">
        <f t="shared" si="325"/>
        <v>637</v>
      </c>
    </row>
    <row r="10155" spans="1:5" x14ac:dyDescent="0.25">
      <c r="A10155" t="str">
        <f>"839250907"</f>
        <v>839250907</v>
      </c>
      <c r="B10155" t="s">
        <v>9340</v>
      </c>
      <c r="C10155">
        <v>82.5</v>
      </c>
      <c r="D10155" t="str">
        <f>"250"</f>
        <v>250</v>
      </c>
    </row>
    <row r="10156" spans="1:5" x14ac:dyDescent="0.25">
      <c r="A10156" t="str">
        <f>"839250910"</f>
        <v>839250910</v>
      </c>
      <c r="B10156" t="s">
        <v>9341</v>
      </c>
      <c r="C10156">
        <v>6.67</v>
      </c>
      <c r="D10156" t="str">
        <f>"250"</f>
        <v>250</v>
      </c>
    </row>
    <row r="10157" spans="1:5" x14ac:dyDescent="0.25">
      <c r="A10157" t="str">
        <f>"839250911"</f>
        <v>839250911</v>
      </c>
      <c r="B10157" t="s">
        <v>9342</v>
      </c>
      <c r="C10157">
        <v>55.62</v>
      </c>
      <c r="D10157" t="str">
        <f>"250"</f>
        <v>250</v>
      </c>
    </row>
    <row r="10158" spans="1:5" x14ac:dyDescent="0.25">
      <c r="A10158" t="str">
        <f>"839250914"</f>
        <v>839250914</v>
      </c>
      <c r="B10158" t="s">
        <v>9343</v>
      </c>
      <c r="C10158">
        <v>35.53</v>
      </c>
      <c r="D10158" t="str">
        <f>"636"</f>
        <v>636</v>
      </c>
      <c r="E10158" t="str">
        <f>"J3490"</f>
        <v>J3490</v>
      </c>
    </row>
    <row r="10159" spans="1:5" x14ac:dyDescent="0.25">
      <c r="A10159" t="str">
        <f>"839250926"</f>
        <v>839250926</v>
      </c>
      <c r="B10159" t="s">
        <v>9344</v>
      </c>
      <c r="C10159">
        <v>61.89</v>
      </c>
      <c r="D10159" t="str">
        <f>"636"</f>
        <v>636</v>
      </c>
      <c r="E10159" t="str">
        <f>"J0636"</f>
        <v>J0636</v>
      </c>
    </row>
    <row r="10160" spans="1:5" x14ac:dyDescent="0.25">
      <c r="A10160" t="str">
        <f>"839250930"</f>
        <v>839250930</v>
      </c>
      <c r="B10160" t="s">
        <v>9345</v>
      </c>
      <c r="C10160">
        <v>20.9</v>
      </c>
      <c r="D10160" t="str">
        <f>"637"</f>
        <v>637</v>
      </c>
      <c r="E10160" t="str">
        <f>"J0630"</f>
        <v>J0630</v>
      </c>
    </row>
    <row r="10161" spans="1:5" x14ac:dyDescent="0.25">
      <c r="A10161" t="str">
        <f>"839250935"</f>
        <v>839250935</v>
      </c>
      <c r="B10161" t="s">
        <v>9346</v>
      </c>
      <c r="C10161">
        <v>6.6</v>
      </c>
      <c r="D10161" t="str">
        <f>"637"</f>
        <v>637</v>
      </c>
    </row>
    <row r="10162" spans="1:5" x14ac:dyDescent="0.25">
      <c r="A10162" t="str">
        <f>"839250945"</f>
        <v>839250945</v>
      </c>
      <c r="B10162" t="s">
        <v>9347</v>
      </c>
      <c r="C10162">
        <v>6.6</v>
      </c>
      <c r="D10162" t="str">
        <f>"637"</f>
        <v>637</v>
      </c>
    </row>
    <row r="10163" spans="1:5" x14ac:dyDescent="0.25">
      <c r="A10163" t="str">
        <f>"839250955"</f>
        <v>839250955</v>
      </c>
      <c r="B10163" t="s">
        <v>9348</v>
      </c>
      <c r="C10163">
        <v>160.13999999999999</v>
      </c>
      <c r="D10163" t="str">
        <f>"636"</f>
        <v>636</v>
      </c>
      <c r="E10163" t="str">
        <f>"J3490"</f>
        <v>J3490</v>
      </c>
    </row>
    <row r="10164" spans="1:5" x14ac:dyDescent="0.25">
      <c r="A10164" t="str">
        <f>"839250956"</f>
        <v>839250956</v>
      </c>
      <c r="B10164" t="s">
        <v>9349</v>
      </c>
      <c r="C10164">
        <v>72.47</v>
      </c>
      <c r="D10164" t="str">
        <f>"636"</f>
        <v>636</v>
      </c>
      <c r="E10164" t="str">
        <f>"J3490"</f>
        <v>J3490</v>
      </c>
    </row>
    <row r="10165" spans="1:5" x14ac:dyDescent="0.25">
      <c r="A10165" t="str">
        <f>"839250961"</f>
        <v>839250961</v>
      </c>
      <c r="B10165" t="s">
        <v>9350</v>
      </c>
      <c r="C10165">
        <v>6.6</v>
      </c>
      <c r="D10165" t="str">
        <f>"271"</f>
        <v>271</v>
      </c>
    </row>
    <row r="10166" spans="1:5" x14ac:dyDescent="0.25">
      <c r="A10166" t="str">
        <f>"839250970"</f>
        <v>839250970</v>
      </c>
      <c r="B10166" t="s">
        <v>9351</v>
      </c>
      <c r="C10166">
        <v>72.47</v>
      </c>
      <c r="D10166" t="str">
        <f>"636"</f>
        <v>636</v>
      </c>
      <c r="E10166" t="str">
        <f>"J0610"</f>
        <v>J0610</v>
      </c>
    </row>
    <row r="10167" spans="1:5" x14ac:dyDescent="0.25">
      <c r="A10167" t="str">
        <f>"839250979"</f>
        <v>839250979</v>
      </c>
      <c r="B10167" t="s">
        <v>9352</v>
      </c>
      <c r="C10167">
        <v>1.1000000000000001</v>
      </c>
      <c r="D10167" t="str">
        <f>"306"</f>
        <v>306</v>
      </c>
    </row>
    <row r="10168" spans="1:5" x14ac:dyDescent="0.25">
      <c r="A10168" t="str">
        <f>"839250980"</f>
        <v>839250980</v>
      </c>
      <c r="B10168" t="s">
        <v>9353</v>
      </c>
      <c r="C10168">
        <v>11.19</v>
      </c>
      <c r="D10168" t="str">
        <f>"250"</f>
        <v>250</v>
      </c>
    </row>
    <row r="10169" spans="1:5" x14ac:dyDescent="0.25">
      <c r="A10169" t="str">
        <f>"839250985"</f>
        <v>839250985</v>
      </c>
      <c r="B10169" t="s">
        <v>9354</v>
      </c>
      <c r="C10169">
        <v>11.02</v>
      </c>
      <c r="D10169" t="str">
        <f>"250"</f>
        <v>250</v>
      </c>
    </row>
    <row r="10170" spans="1:5" x14ac:dyDescent="0.25">
      <c r="A10170" t="str">
        <f>"839250991"</f>
        <v>839250991</v>
      </c>
      <c r="B10170" t="s">
        <v>9355</v>
      </c>
      <c r="C10170">
        <v>16.39</v>
      </c>
      <c r="D10170" t="str">
        <f t="shared" ref="D10170:D10184" si="326">"637"</f>
        <v>637</v>
      </c>
    </row>
    <row r="10171" spans="1:5" x14ac:dyDescent="0.25">
      <c r="A10171" t="str">
        <f>"839250995"</f>
        <v>839250995</v>
      </c>
      <c r="B10171" t="s">
        <v>9356</v>
      </c>
      <c r="C10171">
        <v>6.6</v>
      </c>
      <c r="D10171" t="str">
        <f t="shared" si="326"/>
        <v>637</v>
      </c>
    </row>
    <row r="10172" spans="1:5" x14ac:dyDescent="0.25">
      <c r="A10172" t="str">
        <f>"839251000"</f>
        <v>839251000</v>
      </c>
      <c r="B10172" t="s">
        <v>9357</v>
      </c>
      <c r="C10172">
        <v>7.39</v>
      </c>
      <c r="D10172" t="str">
        <f t="shared" si="326"/>
        <v>637</v>
      </c>
    </row>
    <row r="10173" spans="1:5" x14ac:dyDescent="0.25">
      <c r="A10173" t="str">
        <f>"839251001"</f>
        <v>839251001</v>
      </c>
      <c r="B10173" t="s">
        <v>9358</v>
      </c>
      <c r="C10173">
        <v>12.47</v>
      </c>
      <c r="D10173" t="str">
        <f t="shared" si="326"/>
        <v>637</v>
      </c>
    </row>
    <row r="10174" spans="1:5" x14ac:dyDescent="0.25">
      <c r="A10174" t="str">
        <f>"839251016"</f>
        <v>839251016</v>
      </c>
      <c r="B10174" t="s">
        <v>9359</v>
      </c>
      <c r="C10174">
        <v>6.6</v>
      </c>
      <c r="D10174" t="str">
        <f t="shared" si="326"/>
        <v>637</v>
      </c>
    </row>
    <row r="10175" spans="1:5" x14ac:dyDescent="0.25">
      <c r="A10175" t="str">
        <f>"839251020"</f>
        <v>839251020</v>
      </c>
      <c r="B10175" t="s">
        <v>9360</v>
      </c>
      <c r="C10175">
        <v>6.6</v>
      </c>
      <c r="D10175" t="str">
        <f t="shared" si="326"/>
        <v>637</v>
      </c>
    </row>
    <row r="10176" spans="1:5" x14ac:dyDescent="0.25">
      <c r="A10176" t="str">
        <f>"839251025"</f>
        <v>839251025</v>
      </c>
      <c r="B10176" t="s">
        <v>9361</v>
      </c>
      <c r="C10176">
        <v>6.6</v>
      </c>
      <c r="D10176" t="str">
        <f t="shared" si="326"/>
        <v>637</v>
      </c>
    </row>
    <row r="10177" spans="1:5" x14ac:dyDescent="0.25">
      <c r="A10177" t="str">
        <f>"839251050"</f>
        <v>839251050</v>
      </c>
      <c r="B10177" t="s">
        <v>9362</v>
      </c>
      <c r="C10177">
        <v>6.6</v>
      </c>
      <c r="D10177" t="str">
        <f t="shared" si="326"/>
        <v>637</v>
      </c>
    </row>
    <row r="10178" spans="1:5" x14ac:dyDescent="0.25">
      <c r="A10178" t="str">
        <f>"839251055"</f>
        <v>839251055</v>
      </c>
      <c r="B10178" t="s">
        <v>9363</v>
      </c>
      <c r="C10178">
        <v>6.6</v>
      </c>
      <c r="D10178" t="str">
        <f t="shared" si="326"/>
        <v>637</v>
      </c>
    </row>
    <row r="10179" spans="1:5" x14ac:dyDescent="0.25">
      <c r="A10179" t="str">
        <f>"839251058"</f>
        <v>839251058</v>
      </c>
      <c r="B10179" t="s">
        <v>9364</v>
      </c>
      <c r="C10179">
        <v>16.02</v>
      </c>
      <c r="D10179" t="str">
        <f t="shared" si="326"/>
        <v>637</v>
      </c>
    </row>
    <row r="10180" spans="1:5" x14ac:dyDescent="0.25">
      <c r="A10180" t="str">
        <f>"839251060"</f>
        <v>839251060</v>
      </c>
      <c r="B10180" t="s">
        <v>9365</v>
      </c>
      <c r="C10180">
        <v>6.6</v>
      </c>
      <c r="D10180" t="str">
        <f t="shared" si="326"/>
        <v>637</v>
      </c>
    </row>
    <row r="10181" spans="1:5" x14ac:dyDescent="0.25">
      <c r="A10181" t="str">
        <f>"839251066"</f>
        <v>839251066</v>
      </c>
      <c r="B10181" t="s">
        <v>9366</v>
      </c>
      <c r="C10181">
        <v>13.87</v>
      </c>
      <c r="D10181" t="str">
        <f t="shared" si="326"/>
        <v>637</v>
      </c>
    </row>
    <row r="10182" spans="1:5" x14ac:dyDescent="0.25">
      <c r="A10182" t="str">
        <f>"839251067"</f>
        <v>839251067</v>
      </c>
      <c r="B10182" t="s">
        <v>9367</v>
      </c>
      <c r="C10182">
        <v>13.87</v>
      </c>
      <c r="D10182" t="str">
        <f t="shared" si="326"/>
        <v>637</v>
      </c>
    </row>
    <row r="10183" spans="1:5" x14ac:dyDescent="0.25">
      <c r="A10183" t="str">
        <f>"839251068"</f>
        <v>839251068</v>
      </c>
      <c r="B10183" t="s">
        <v>9368</v>
      </c>
      <c r="C10183">
        <v>14.08</v>
      </c>
      <c r="D10183" t="str">
        <f t="shared" si="326"/>
        <v>637</v>
      </c>
    </row>
    <row r="10184" spans="1:5" x14ac:dyDescent="0.25">
      <c r="A10184" t="str">
        <f>"839251074"</f>
        <v>839251074</v>
      </c>
      <c r="B10184" t="s">
        <v>9369</v>
      </c>
      <c r="C10184">
        <v>6.6</v>
      </c>
      <c r="D10184" t="str">
        <f t="shared" si="326"/>
        <v>637</v>
      </c>
    </row>
    <row r="10185" spans="1:5" x14ac:dyDescent="0.25">
      <c r="A10185" t="str">
        <f>"839251077"</f>
        <v>839251077</v>
      </c>
      <c r="B10185" t="s">
        <v>9370</v>
      </c>
      <c r="C10185">
        <v>816.75</v>
      </c>
      <c r="D10185" t="str">
        <f>"309"</f>
        <v>309</v>
      </c>
      <c r="E10185" t="str">
        <f>"J0637"</f>
        <v>J0637</v>
      </c>
    </row>
    <row r="10186" spans="1:5" x14ac:dyDescent="0.25">
      <c r="A10186" t="str">
        <f>"839251078"</f>
        <v>839251078</v>
      </c>
      <c r="B10186" t="s">
        <v>9371</v>
      </c>
      <c r="C10186">
        <v>775.5</v>
      </c>
      <c r="D10186" t="str">
        <f>"309"</f>
        <v>309</v>
      </c>
      <c r="E10186" t="str">
        <f>"J0637"</f>
        <v>J0637</v>
      </c>
    </row>
    <row r="10187" spans="1:5" x14ac:dyDescent="0.25">
      <c r="A10187" t="str">
        <f>"839251086"</f>
        <v>839251086</v>
      </c>
      <c r="B10187" t="s">
        <v>9372</v>
      </c>
      <c r="C10187" s="1">
        <v>1212.22</v>
      </c>
      <c r="D10187" t="str">
        <f>"636"</f>
        <v>636</v>
      </c>
      <c r="E10187" t="str">
        <f>"J2997"</f>
        <v>J2997</v>
      </c>
    </row>
    <row r="10188" spans="1:5" x14ac:dyDescent="0.25">
      <c r="A10188" t="str">
        <f>"839251115"</f>
        <v>839251115</v>
      </c>
      <c r="B10188" t="s">
        <v>9373</v>
      </c>
      <c r="C10188">
        <v>17.239999999999998</v>
      </c>
      <c r="D10188" t="str">
        <f>"636"</f>
        <v>636</v>
      </c>
      <c r="E10188" t="str">
        <f>"J0690"</f>
        <v>J0690</v>
      </c>
    </row>
    <row r="10189" spans="1:5" x14ac:dyDescent="0.25">
      <c r="A10189" t="str">
        <f>"839251116"</f>
        <v>839251116</v>
      </c>
      <c r="B10189" t="s">
        <v>9374</v>
      </c>
      <c r="C10189">
        <v>87.8</v>
      </c>
      <c r="D10189" t="str">
        <f>"250"</f>
        <v>250</v>
      </c>
    </row>
    <row r="10190" spans="1:5" x14ac:dyDescent="0.25">
      <c r="A10190" t="str">
        <f>"839251125"</f>
        <v>839251125</v>
      </c>
      <c r="B10190" t="s">
        <v>9375</v>
      </c>
      <c r="C10190">
        <v>134.19999999999999</v>
      </c>
      <c r="D10190" t="str">
        <f>"636"</f>
        <v>636</v>
      </c>
      <c r="E10190" t="str">
        <f>"J0692"</f>
        <v>J0692</v>
      </c>
    </row>
    <row r="10191" spans="1:5" x14ac:dyDescent="0.25">
      <c r="A10191" t="str">
        <f>"839251135"</f>
        <v>839251135</v>
      </c>
      <c r="B10191" t="s">
        <v>9376</v>
      </c>
      <c r="C10191">
        <v>152.31</v>
      </c>
      <c r="D10191" t="str">
        <f>"250"</f>
        <v>250</v>
      </c>
    </row>
    <row r="10192" spans="1:5" x14ac:dyDescent="0.25">
      <c r="A10192" t="str">
        <f>"839251170"</f>
        <v>839251170</v>
      </c>
      <c r="B10192" t="s">
        <v>9377</v>
      </c>
      <c r="C10192">
        <v>6.6</v>
      </c>
      <c r="D10192" t="str">
        <f>"637"</f>
        <v>637</v>
      </c>
    </row>
    <row r="10193" spans="1:5" x14ac:dyDescent="0.25">
      <c r="A10193" t="str">
        <f>"839251200"</f>
        <v>839251200</v>
      </c>
      <c r="B10193" t="s">
        <v>9378</v>
      </c>
      <c r="C10193">
        <v>33.26</v>
      </c>
      <c r="D10193" t="str">
        <f>"636"</f>
        <v>636</v>
      </c>
      <c r="E10193" t="str">
        <f>"J0713"</f>
        <v>J0713</v>
      </c>
    </row>
    <row r="10194" spans="1:5" x14ac:dyDescent="0.25">
      <c r="A10194" t="str">
        <f>"839251205"</f>
        <v>839251205</v>
      </c>
      <c r="B10194" t="s">
        <v>9379</v>
      </c>
      <c r="C10194">
        <v>303.16000000000003</v>
      </c>
      <c r="D10194" t="str">
        <f>"636"</f>
        <v>636</v>
      </c>
      <c r="E10194" t="str">
        <f>"J0696"</f>
        <v>J0696</v>
      </c>
    </row>
    <row r="10195" spans="1:5" x14ac:dyDescent="0.25">
      <c r="A10195" t="str">
        <f>"839251206"</f>
        <v>839251206</v>
      </c>
      <c r="B10195" t="s">
        <v>9380</v>
      </c>
      <c r="C10195">
        <v>6.6</v>
      </c>
      <c r="D10195" t="str">
        <f t="shared" ref="D10195:D10201" si="327">"637"</f>
        <v>637</v>
      </c>
    </row>
    <row r="10196" spans="1:5" x14ac:dyDescent="0.25">
      <c r="A10196" t="str">
        <f>"839251210"</f>
        <v>839251210</v>
      </c>
      <c r="B10196" t="s">
        <v>9381</v>
      </c>
      <c r="C10196">
        <v>50.03</v>
      </c>
      <c r="D10196" t="str">
        <f t="shared" si="327"/>
        <v>637</v>
      </c>
    </row>
    <row r="10197" spans="1:5" x14ac:dyDescent="0.25">
      <c r="A10197" t="str">
        <f>"839251211"</f>
        <v>839251211</v>
      </c>
      <c r="B10197" t="s">
        <v>9382</v>
      </c>
      <c r="C10197">
        <v>40.92</v>
      </c>
      <c r="D10197" t="str">
        <f t="shared" si="327"/>
        <v>637</v>
      </c>
    </row>
    <row r="10198" spans="1:5" x14ac:dyDescent="0.25">
      <c r="A10198" t="str">
        <f>"839251212"</f>
        <v>839251212</v>
      </c>
      <c r="B10198" t="s">
        <v>9383</v>
      </c>
      <c r="C10198">
        <v>29.19</v>
      </c>
      <c r="D10198" t="str">
        <f t="shared" si="327"/>
        <v>637</v>
      </c>
    </row>
    <row r="10199" spans="1:5" x14ac:dyDescent="0.25">
      <c r="A10199" t="str">
        <f>"839251216"</f>
        <v>839251216</v>
      </c>
      <c r="B10199" t="s">
        <v>9384</v>
      </c>
      <c r="C10199">
        <v>28.82</v>
      </c>
      <c r="D10199" t="str">
        <f t="shared" si="327"/>
        <v>637</v>
      </c>
    </row>
    <row r="10200" spans="1:5" x14ac:dyDescent="0.25">
      <c r="A10200" t="str">
        <f>"839251217"</f>
        <v>839251217</v>
      </c>
      <c r="B10200" t="s">
        <v>9385</v>
      </c>
      <c r="C10200">
        <v>21.98</v>
      </c>
      <c r="D10200" t="str">
        <f t="shared" si="327"/>
        <v>637</v>
      </c>
    </row>
    <row r="10201" spans="1:5" x14ac:dyDescent="0.25">
      <c r="A10201" t="str">
        <f>"839251219"</f>
        <v>839251219</v>
      </c>
      <c r="B10201" t="s">
        <v>9386</v>
      </c>
      <c r="C10201">
        <v>23.05</v>
      </c>
      <c r="D10201" t="str">
        <f t="shared" si="327"/>
        <v>637</v>
      </c>
    </row>
    <row r="10202" spans="1:5" x14ac:dyDescent="0.25">
      <c r="A10202" t="str">
        <f>"839251221"</f>
        <v>839251221</v>
      </c>
      <c r="B10202" t="s">
        <v>9387</v>
      </c>
      <c r="C10202">
        <v>407.88</v>
      </c>
      <c r="D10202" t="str">
        <f>"250"</f>
        <v>250</v>
      </c>
    </row>
    <row r="10203" spans="1:5" x14ac:dyDescent="0.25">
      <c r="A10203" t="str">
        <f>"839251230"</f>
        <v>839251230</v>
      </c>
      <c r="B10203" t="s">
        <v>9388</v>
      </c>
      <c r="C10203">
        <v>6.6</v>
      </c>
      <c r="D10203" t="str">
        <f t="shared" ref="D10203:D10208" si="328">"637"</f>
        <v>637</v>
      </c>
    </row>
    <row r="10204" spans="1:5" x14ac:dyDescent="0.25">
      <c r="A10204" t="str">
        <f>"839251245"</f>
        <v>839251245</v>
      </c>
      <c r="B10204" t="s">
        <v>9389</v>
      </c>
      <c r="C10204">
        <v>6.6</v>
      </c>
      <c r="D10204" t="str">
        <f t="shared" si="328"/>
        <v>637</v>
      </c>
    </row>
    <row r="10205" spans="1:5" x14ac:dyDescent="0.25">
      <c r="A10205" t="str">
        <f>"839251250"</f>
        <v>839251250</v>
      </c>
      <c r="B10205" t="s">
        <v>9390</v>
      </c>
      <c r="C10205">
        <v>150.81</v>
      </c>
      <c r="D10205" t="str">
        <f t="shared" si="328"/>
        <v>637</v>
      </c>
    </row>
    <row r="10206" spans="1:5" x14ac:dyDescent="0.25">
      <c r="A10206" t="str">
        <f>"839251265"</f>
        <v>839251265</v>
      </c>
      <c r="B10206" t="s">
        <v>9391</v>
      </c>
      <c r="C10206">
        <v>8.06</v>
      </c>
      <c r="D10206" t="str">
        <f t="shared" si="328"/>
        <v>637</v>
      </c>
    </row>
    <row r="10207" spans="1:5" x14ac:dyDescent="0.25">
      <c r="A10207" t="str">
        <f>"839251281"</f>
        <v>839251281</v>
      </c>
      <c r="B10207" t="s">
        <v>9392</v>
      </c>
      <c r="C10207">
        <v>6.6</v>
      </c>
      <c r="D10207" t="str">
        <f t="shared" si="328"/>
        <v>637</v>
      </c>
    </row>
    <row r="10208" spans="1:5" x14ac:dyDescent="0.25">
      <c r="A10208" t="str">
        <f>"839251291"</f>
        <v>839251291</v>
      </c>
      <c r="B10208" t="s">
        <v>9393</v>
      </c>
      <c r="C10208">
        <v>69.67</v>
      </c>
      <c r="D10208" t="str">
        <f t="shared" si="328"/>
        <v>637</v>
      </c>
    </row>
    <row r="10209" spans="1:4" x14ac:dyDescent="0.25">
      <c r="A10209" t="str">
        <f>"839251296"</f>
        <v>839251296</v>
      </c>
      <c r="B10209" t="s">
        <v>9394</v>
      </c>
      <c r="C10209">
        <v>712.8</v>
      </c>
      <c r="D10209" t="str">
        <f>"250"</f>
        <v>250</v>
      </c>
    </row>
    <row r="10210" spans="1:4" x14ac:dyDescent="0.25">
      <c r="A10210" t="str">
        <f>"839251306"</f>
        <v>839251306</v>
      </c>
      <c r="B10210" t="s">
        <v>9395</v>
      </c>
      <c r="C10210">
        <v>6.6</v>
      </c>
      <c r="D10210" t="str">
        <f>"637"</f>
        <v>637</v>
      </c>
    </row>
    <row r="10211" spans="1:4" x14ac:dyDescent="0.25">
      <c r="A10211" t="str">
        <f>"839251307"</f>
        <v>839251307</v>
      </c>
      <c r="B10211" t="s">
        <v>9396</v>
      </c>
      <c r="C10211">
        <v>16.63</v>
      </c>
      <c r="D10211" t="str">
        <f>"637"</f>
        <v>637</v>
      </c>
    </row>
    <row r="10212" spans="1:4" x14ac:dyDescent="0.25">
      <c r="A10212" t="str">
        <f>"839251315"</f>
        <v>839251315</v>
      </c>
      <c r="B10212" t="s">
        <v>9397</v>
      </c>
      <c r="C10212">
        <v>6.6</v>
      </c>
      <c r="D10212" t="str">
        <f>"637"</f>
        <v>637</v>
      </c>
    </row>
    <row r="10213" spans="1:4" x14ac:dyDescent="0.25">
      <c r="A10213" t="str">
        <f>"839251318"</f>
        <v>839251318</v>
      </c>
      <c r="B10213" t="s">
        <v>9398</v>
      </c>
      <c r="C10213">
        <v>15.15</v>
      </c>
      <c r="D10213" t="str">
        <f>"637"</f>
        <v>637</v>
      </c>
    </row>
    <row r="10214" spans="1:4" x14ac:dyDescent="0.25">
      <c r="A10214" t="str">
        <f>"839251355"</f>
        <v>839251355</v>
      </c>
      <c r="B10214" t="s">
        <v>9399</v>
      </c>
      <c r="C10214">
        <v>6.6</v>
      </c>
      <c r="D10214" t="str">
        <f t="shared" ref="D10214:D10224" si="329">"637"</f>
        <v>637</v>
      </c>
    </row>
    <row r="10215" spans="1:4" x14ac:dyDescent="0.25">
      <c r="A10215" t="str">
        <f>"839251360"</f>
        <v>839251360</v>
      </c>
      <c r="B10215" t="s">
        <v>9400</v>
      </c>
      <c r="C10215">
        <v>6.6</v>
      </c>
      <c r="D10215" t="str">
        <f t="shared" si="329"/>
        <v>637</v>
      </c>
    </row>
    <row r="10216" spans="1:4" x14ac:dyDescent="0.25">
      <c r="A10216" t="str">
        <f>"839251362"</f>
        <v>839251362</v>
      </c>
      <c r="B10216" t="s">
        <v>9401</v>
      </c>
      <c r="C10216">
        <v>399.17</v>
      </c>
      <c r="D10216" t="str">
        <f t="shared" si="329"/>
        <v>637</v>
      </c>
    </row>
    <row r="10217" spans="1:4" x14ac:dyDescent="0.25">
      <c r="A10217" t="str">
        <f>"839251363"</f>
        <v>839251363</v>
      </c>
      <c r="B10217" t="s">
        <v>9402</v>
      </c>
      <c r="C10217">
        <v>85.83</v>
      </c>
      <c r="D10217" t="str">
        <f t="shared" si="329"/>
        <v>637</v>
      </c>
    </row>
    <row r="10218" spans="1:4" x14ac:dyDescent="0.25">
      <c r="A10218" t="str">
        <f>"839251380"</f>
        <v>839251380</v>
      </c>
      <c r="B10218" t="s">
        <v>9403</v>
      </c>
      <c r="C10218">
        <v>6.6</v>
      </c>
      <c r="D10218" t="str">
        <f t="shared" si="329"/>
        <v>637</v>
      </c>
    </row>
    <row r="10219" spans="1:4" x14ac:dyDescent="0.25">
      <c r="A10219" t="str">
        <f>"839251400"</f>
        <v>839251400</v>
      </c>
      <c r="B10219" t="s">
        <v>9404</v>
      </c>
      <c r="C10219">
        <v>50.44</v>
      </c>
      <c r="D10219" t="str">
        <f t="shared" si="329"/>
        <v>637</v>
      </c>
    </row>
    <row r="10220" spans="1:4" x14ac:dyDescent="0.25">
      <c r="A10220" t="str">
        <f>"839251410"</f>
        <v>839251410</v>
      </c>
      <c r="B10220" t="s">
        <v>9405</v>
      </c>
      <c r="C10220">
        <v>68.48</v>
      </c>
      <c r="D10220" t="str">
        <f t="shared" si="329"/>
        <v>637</v>
      </c>
    </row>
    <row r="10221" spans="1:4" x14ac:dyDescent="0.25">
      <c r="A10221" t="str">
        <f>"839251411"</f>
        <v>839251411</v>
      </c>
      <c r="B10221" t="s">
        <v>9406</v>
      </c>
      <c r="C10221">
        <v>98.25</v>
      </c>
      <c r="D10221" t="str">
        <f t="shared" si="329"/>
        <v>637</v>
      </c>
    </row>
    <row r="10222" spans="1:4" x14ac:dyDescent="0.25">
      <c r="A10222" t="str">
        <f>"839251445"</f>
        <v>839251445</v>
      </c>
      <c r="B10222" t="s">
        <v>9407</v>
      </c>
      <c r="C10222">
        <v>22.12</v>
      </c>
      <c r="D10222" t="str">
        <f t="shared" si="329"/>
        <v>637</v>
      </c>
    </row>
    <row r="10223" spans="1:4" x14ac:dyDescent="0.25">
      <c r="A10223" t="str">
        <f>"839251480"</f>
        <v>839251480</v>
      </c>
      <c r="B10223" t="s">
        <v>9408</v>
      </c>
      <c r="C10223">
        <v>29.27</v>
      </c>
      <c r="D10223" t="str">
        <f t="shared" si="329"/>
        <v>637</v>
      </c>
    </row>
    <row r="10224" spans="1:4" x14ac:dyDescent="0.25">
      <c r="A10224" t="str">
        <f>"839251485"</f>
        <v>839251485</v>
      </c>
      <c r="B10224" t="s">
        <v>9409</v>
      </c>
      <c r="C10224">
        <v>6.6</v>
      </c>
      <c r="D10224" t="str">
        <f t="shared" si="329"/>
        <v>637</v>
      </c>
    </row>
    <row r="10225" spans="1:4" x14ac:dyDescent="0.25">
      <c r="A10225" t="str">
        <f>"839251491"</f>
        <v>839251491</v>
      </c>
      <c r="B10225" t="s">
        <v>9410</v>
      </c>
      <c r="C10225">
        <v>110.88</v>
      </c>
      <c r="D10225" t="str">
        <f>"250"</f>
        <v>250</v>
      </c>
    </row>
    <row r="10226" spans="1:4" x14ac:dyDescent="0.25">
      <c r="A10226" t="str">
        <f>"839251498"</f>
        <v>839251498</v>
      </c>
      <c r="B10226" t="s">
        <v>9411</v>
      </c>
      <c r="C10226">
        <v>16.86</v>
      </c>
      <c r="D10226" t="str">
        <f>"637"</f>
        <v>637</v>
      </c>
    </row>
    <row r="10227" spans="1:4" x14ac:dyDescent="0.25">
      <c r="A10227" t="str">
        <f>"839251525"</f>
        <v>839251525</v>
      </c>
      <c r="B10227" t="s">
        <v>9412</v>
      </c>
      <c r="C10227">
        <v>29.84</v>
      </c>
      <c r="D10227" t="str">
        <f>"637"</f>
        <v>637</v>
      </c>
    </row>
    <row r="10228" spans="1:4" x14ac:dyDescent="0.25">
      <c r="A10228" t="str">
        <f>"839251530"</f>
        <v>839251530</v>
      </c>
      <c r="B10228" t="s">
        <v>9413</v>
      </c>
      <c r="C10228">
        <v>25.73</v>
      </c>
      <c r="D10228" t="str">
        <f>"637"</f>
        <v>637</v>
      </c>
    </row>
    <row r="10229" spans="1:4" x14ac:dyDescent="0.25">
      <c r="A10229" t="str">
        <f>"839251560"</f>
        <v>839251560</v>
      </c>
      <c r="B10229" t="s">
        <v>9414</v>
      </c>
      <c r="C10229">
        <v>6.6</v>
      </c>
      <c r="D10229" t="str">
        <f>"637"</f>
        <v>637</v>
      </c>
    </row>
    <row r="10230" spans="1:4" x14ac:dyDescent="0.25">
      <c r="A10230" t="str">
        <f>"839251566"</f>
        <v>839251566</v>
      </c>
      <c r="B10230" t="s">
        <v>9415</v>
      </c>
      <c r="C10230">
        <v>23.08</v>
      </c>
      <c r="D10230" t="str">
        <f>"250"</f>
        <v>250</v>
      </c>
    </row>
    <row r="10231" spans="1:4" x14ac:dyDescent="0.25">
      <c r="A10231" t="str">
        <f>"839251587"</f>
        <v>839251587</v>
      </c>
      <c r="B10231" t="s">
        <v>9416</v>
      </c>
      <c r="C10231">
        <v>74.2</v>
      </c>
      <c r="D10231" t="str">
        <f>"637"</f>
        <v>637</v>
      </c>
    </row>
    <row r="10232" spans="1:4" x14ac:dyDescent="0.25">
      <c r="A10232" t="str">
        <f>"839251590"</f>
        <v>839251590</v>
      </c>
      <c r="B10232" t="s">
        <v>9417</v>
      </c>
      <c r="C10232">
        <v>6.6</v>
      </c>
      <c r="D10232" t="str">
        <f>"637"</f>
        <v>637</v>
      </c>
    </row>
    <row r="10233" spans="1:4" x14ac:dyDescent="0.25">
      <c r="A10233" t="str">
        <f>"839251591"</f>
        <v>839251591</v>
      </c>
      <c r="B10233" t="s">
        <v>9418</v>
      </c>
      <c r="C10233">
        <v>218.61</v>
      </c>
      <c r="D10233" t="str">
        <f>"250"</f>
        <v>250</v>
      </c>
    </row>
    <row r="10234" spans="1:4" x14ac:dyDescent="0.25">
      <c r="A10234" t="str">
        <f>"839251592"</f>
        <v>839251592</v>
      </c>
      <c r="B10234" t="s">
        <v>9419</v>
      </c>
      <c r="C10234">
        <v>7.81</v>
      </c>
      <c r="D10234" t="str">
        <f>"637"</f>
        <v>637</v>
      </c>
    </row>
    <row r="10235" spans="1:4" x14ac:dyDescent="0.25">
      <c r="A10235" t="str">
        <f>"839251595"</f>
        <v>839251595</v>
      </c>
      <c r="B10235" t="s">
        <v>9420</v>
      </c>
      <c r="C10235">
        <v>6.6</v>
      </c>
      <c r="D10235" t="str">
        <f>"250"</f>
        <v>250</v>
      </c>
    </row>
    <row r="10236" spans="1:4" x14ac:dyDescent="0.25">
      <c r="A10236" t="str">
        <f>"839251596"</f>
        <v>839251596</v>
      </c>
      <c r="B10236" t="s">
        <v>9421</v>
      </c>
      <c r="C10236">
        <v>368.47</v>
      </c>
      <c r="D10236" t="str">
        <f>"250"</f>
        <v>250</v>
      </c>
    </row>
    <row r="10237" spans="1:4" x14ac:dyDescent="0.25">
      <c r="A10237" t="str">
        <f>"839251597"</f>
        <v>839251597</v>
      </c>
      <c r="B10237" t="s">
        <v>9422</v>
      </c>
      <c r="C10237">
        <v>6.6</v>
      </c>
      <c r="D10237" t="str">
        <f>"637"</f>
        <v>637</v>
      </c>
    </row>
    <row r="10238" spans="1:4" x14ac:dyDescent="0.25">
      <c r="A10238" t="str">
        <f>"839251600"</f>
        <v>839251600</v>
      </c>
      <c r="B10238" t="s">
        <v>9423</v>
      </c>
      <c r="C10238">
        <v>6.6</v>
      </c>
      <c r="D10238" t="str">
        <f>"250"</f>
        <v>250</v>
      </c>
    </row>
    <row r="10239" spans="1:4" x14ac:dyDescent="0.25">
      <c r="A10239" t="str">
        <f>"839251601"</f>
        <v>839251601</v>
      </c>
      <c r="B10239" t="s">
        <v>9424</v>
      </c>
      <c r="C10239">
        <v>511.16</v>
      </c>
      <c r="D10239" t="str">
        <f>"250"</f>
        <v>250</v>
      </c>
    </row>
    <row r="10240" spans="1:4" x14ac:dyDescent="0.25">
      <c r="A10240" t="str">
        <f>"839251618"</f>
        <v>839251618</v>
      </c>
      <c r="B10240" t="s">
        <v>9425</v>
      </c>
      <c r="C10240">
        <v>26.93</v>
      </c>
      <c r="D10240" t="str">
        <f>"637"</f>
        <v>637</v>
      </c>
    </row>
    <row r="10241" spans="1:5" x14ac:dyDescent="0.25">
      <c r="A10241" t="str">
        <f>"839251624"</f>
        <v>839251624</v>
      </c>
      <c r="B10241" t="s">
        <v>9426</v>
      </c>
      <c r="C10241">
        <v>39.53</v>
      </c>
      <c r="D10241" t="str">
        <f>"637"</f>
        <v>637</v>
      </c>
    </row>
    <row r="10242" spans="1:5" x14ac:dyDescent="0.25">
      <c r="A10242" t="str">
        <f>"839251652"</f>
        <v>839251652</v>
      </c>
      <c r="B10242" t="s">
        <v>9427</v>
      </c>
      <c r="C10242">
        <v>94.25</v>
      </c>
      <c r="D10242" t="str">
        <f>"250"</f>
        <v>250</v>
      </c>
    </row>
    <row r="10243" spans="1:5" x14ac:dyDescent="0.25">
      <c r="A10243" t="str">
        <f>"839251653"</f>
        <v>839251653</v>
      </c>
      <c r="B10243" t="s">
        <v>9428</v>
      </c>
      <c r="C10243">
        <v>19.78</v>
      </c>
      <c r="D10243" t="str">
        <f>"637"</f>
        <v>637</v>
      </c>
    </row>
    <row r="10244" spans="1:5" x14ac:dyDescent="0.25">
      <c r="A10244" t="str">
        <f>"839251654"</f>
        <v>839251654</v>
      </c>
      <c r="B10244" t="s">
        <v>9429</v>
      </c>
      <c r="C10244">
        <v>53.96</v>
      </c>
      <c r="D10244" t="str">
        <f>"637"</f>
        <v>637</v>
      </c>
    </row>
    <row r="10245" spans="1:5" x14ac:dyDescent="0.25">
      <c r="A10245" t="str">
        <f>"839251660"</f>
        <v>839251660</v>
      </c>
      <c r="B10245" t="s">
        <v>9430</v>
      </c>
      <c r="C10245">
        <v>1.1000000000000001</v>
      </c>
      <c r="D10245" t="str">
        <f>"250"</f>
        <v>250</v>
      </c>
    </row>
    <row r="10246" spans="1:5" x14ac:dyDescent="0.25">
      <c r="A10246" t="str">
        <f>"839251690"</f>
        <v>839251690</v>
      </c>
      <c r="B10246" t="s">
        <v>9431</v>
      </c>
      <c r="C10246">
        <v>6.6</v>
      </c>
      <c r="D10246" t="str">
        <f>"637"</f>
        <v>637</v>
      </c>
    </row>
    <row r="10247" spans="1:5" x14ac:dyDescent="0.25">
      <c r="A10247" t="str">
        <f>"839251696"</f>
        <v>839251696</v>
      </c>
      <c r="B10247" t="s">
        <v>9432</v>
      </c>
      <c r="C10247">
        <v>9.8000000000000007</v>
      </c>
      <c r="D10247" t="str">
        <f>"637"</f>
        <v>637</v>
      </c>
    </row>
    <row r="10248" spans="1:5" x14ac:dyDescent="0.25">
      <c r="A10248" t="str">
        <f>"839251720"</f>
        <v>839251720</v>
      </c>
      <c r="B10248" t="s">
        <v>9433</v>
      </c>
      <c r="C10248">
        <v>6.6</v>
      </c>
      <c r="D10248" t="str">
        <f>"637"</f>
        <v>637</v>
      </c>
    </row>
    <row r="10249" spans="1:5" x14ac:dyDescent="0.25">
      <c r="A10249" t="str">
        <f>"839251730"</f>
        <v>839251730</v>
      </c>
      <c r="B10249" t="s">
        <v>9434</v>
      </c>
      <c r="C10249">
        <v>73.59</v>
      </c>
      <c r="D10249" t="str">
        <f>"637"</f>
        <v>637</v>
      </c>
    </row>
    <row r="10250" spans="1:5" x14ac:dyDescent="0.25">
      <c r="A10250" t="str">
        <f>"839251773"</f>
        <v>839251773</v>
      </c>
      <c r="B10250" t="s">
        <v>9435</v>
      </c>
      <c r="C10250">
        <v>6.6</v>
      </c>
      <c r="D10250" t="str">
        <f>"637"</f>
        <v>637</v>
      </c>
    </row>
    <row r="10251" spans="1:5" x14ac:dyDescent="0.25">
      <c r="A10251" t="str">
        <f>"839251775"</f>
        <v>839251775</v>
      </c>
      <c r="B10251" t="s">
        <v>9436</v>
      </c>
      <c r="C10251">
        <v>844.12</v>
      </c>
      <c r="D10251" t="str">
        <f>"636"</f>
        <v>636</v>
      </c>
      <c r="E10251" t="str">
        <f>"J0834"</f>
        <v>J0834</v>
      </c>
    </row>
    <row r="10252" spans="1:5" x14ac:dyDescent="0.25">
      <c r="A10252" t="str">
        <f>"839251776"</f>
        <v>839251776</v>
      </c>
      <c r="B10252" t="s">
        <v>9437</v>
      </c>
      <c r="C10252">
        <v>11.08</v>
      </c>
      <c r="D10252" t="str">
        <f>"637"</f>
        <v>637</v>
      </c>
    </row>
    <row r="10253" spans="1:5" x14ac:dyDescent="0.25">
      <c r="A10253" t="str">
        <f>"839251785"</f>
        <v>839251785</v>
      </c>
      <c r="B10253" t="s">
        <v>9438</v>
      </c>
      <c r="C10253">
        <v>245.52</v>
      </c>
      <c r="D10253" t="str">
        <f>"250"</f>
        <v>250</v>
      </c>
    </row>
    <row r="10254" spans="1:5" x14ac:dyDescent="0.25">
      <c r="A10254" t="str">
        <f>"839251787"</f>
        <v>839251787</v>
      </c>
      <c r="B10254" t="s">
        <v>9439</v>
      </c>
      <c r="C10254">
        <v>831.6</v>
      </c>
      <c r="D10254" t="str">
        <f>"636"</f>
        <v>636</v>
      </c>
      <c r="E10254" t="str">
        <f>"J0878"</f>
        <v>J0878</v>
      </c>
    </row>
    <row r="10255" spans="1:5" x14ac:dyDescent="0.25">
      <c r="A10255" t="str">
        <f>"839251796"</f>
        <v>839251796</v>
      </c>
      <c r="B10255" t="s">
        <v>9440</v>
      </c>
      <c r="C10255">
        <v>29.37</v>
      </c>
      <c r="D10255" t="str">
        <f>"636"</f>
        <v>636</v>
      </c>
      <c r="E10255" t="str">
        <f>"J3420"</f>
        <v>J3420</v>
      </c>
    </row>
    <row r="10256" spans="1:5" x14ac:dyDescent="0.25">
      <c r="A10256" t="str">
        <f>"839251797"</f>
        <v>839251797</v>
      </c>
      <c r="B10256" t="s">
        <v>9441</v>
      </c>
      <c r="C10256">
        <v>6.6</v>
      </c>
      <c r="D10256" t="str">
        <f>"637"</f>
        <v>637</v>
      </c>
    </row>
    <row r="10257" spans="1:5" x14ac:dyDescent="0.25">
      <c r="A10257" t="str">
        <f>"839251800"</f>
        <v>839251800</v>
      </c>
      <c r="B10257" t="s">
        <v>9442</v>
      </c>
      <c r="C10257">
        <v>7.65</v>
      </c>
      <c r="D10257" t="str">
        <f>"637"</f>
        <v>637</v>
      </c>
    </row>
    <row r="10258" spans="1:5" x14ac:dyDescent="0.25">
      <c r="A10258" t="str">
        <f>"839251805"</f>
        <v>839251805</v>
      </c>
      <c r="B10258" t="s">
        <v>9443</v>
      </c>
      <c r="C10258">
        <v>110.88</v>
      </c>
      <c r="D10258" t="str">
        <f>"250"</f>
        <v>250</v>
      </c>
    </row>
    <row r="10259" spans="1:5" x14ac:dyDescent="0.25">
      <c r="A10259" t="str">
        <f>"839251867"</f>
        <v>839251867</v>
      </c>
      <c r="B10259" t="s">
        <v>9444</v>
      </c>
      <c r="C10259">
        <v>198</v>
      </c>
      <c r="D10259" t="str">
        <f>"636"</f>
        <v>636</v>
      </c>
      <c r="E10259" t="str">
        <f>"Q9958"</f>
        <v>Q9958</v>
      </c>
    </row>
    <row r="10260" spans="1:5" x14ac:dyDescent="0.25">
      <c r="A10260" t="str">
        <f>"839251876"</f>
        <v>839251876</v>
      </c>
      <c r="B10260" t="s">
        <v>9445</v>
      </c>
      <c r="C10260">
        <v>7.04</v>
      </c>
      <c r="D10260" t="str">
        <f>"637"</f>
        <v>637</v>
      </c>
    </row>
    <row r="10261" spans="1:5" x14ac:dyDescent="0.25">
      <c r="A10261" t="str">
        <f>"839251903"</f>
        <v>839251903</v>
      </c>
      <c r="B10261" t="s">
        <v>9446</v>
      </c>
      <c r="C10261">
        <v>74.84</v>
      </c>
      <c r="D10261" t="str">
        <f>"250"</f>
        <v>250</v>
      </c>
    </row>
    <row r="10262" spans="1:5" x14ac:dyDescent="0.25">
      <c r="A10262" t="str">
        <f>"839251904"</f>
        <v>839251904</v>
      </c>
      <c r="B10262" t="s">
        <v>9447</v>
      </c>
      <c r="C10262">
        <v>92.07</v>
      </c>
      <c r="D10262" t="str">
        <f>"250"</f>
        <v>250</v>
      </c>
    </row>
    <row r="10263" spans="1:5" x14ac:dyDescent="0.25">
      <c r="A10263" t="str">
        <f>"839251911"</f>
        <v>839251911</v>
      </c>
      <c r="B10263" t="s">
        <v>9448</v>
      </c>
      <c r="C10263">
        <v>6.6</v>
      </c>
      <c r="D10263" t="str">
        <f>"637"</f>
        <v>637</v>
      </c>
    </row>
    <row r="10264" spans="1:5" x14ac:dyDescent="0.25">
      <c r="A10264" t="str">
        <f>"839251913"</f>
        <v>839251913</v>
      </c>
      <c r="B10264" t="s">
        <v>9449</v>
      </c>
      <c r="C10264">
        <v>92.4</v>
      </c>
      <c r="D10264" t="str">
        <f>"637"</f>
        <v>637</v>
      </c>
    </row>
    <row r="10265" spans="1:5" x14ac:dyDescent="0.25">
      <c r="A10265" t="str">
        <f>"839251914"</f>
        <v>839251914</v>
      </c>
      <c r="B10265" t="s">
        <v>9450</v>
      </c>
      <c r="C10265">
        <v>23.93</v>
      </c>
      <c r="D10265" t="str">
        <f>"637"</f>
        <v>637</v>
      </c>
    </row>
    <row r="10266" spans="1:5" x14ac:dyDescent="0.25">
      <c r="A10266" t="str">
        <f>"839251918"</f>
        <v>839251918</v>
      </c>
      <c r="B10266" t="s">
        <v>9451</v>
      </c>
      <c r="C10266">
        <v>21.32</v>
      </c>
      <c r="D10266" t="str">
        <f>"637"</f>
        <v>637</v>
      </c>
    </row>
    <row r="10267" spans="1:5" x14ac:dyDescent="0.25">
      <c r="A10267" t="str">
        <f>"839251919"</f>
        <v>839251919</v>
      </c>
      <c r="B10267" t="s">
        <v>9452</v>
      </c>
      <c r="C10267">
        <v>560.41</v>
      </c>
      <c r="D10267" t="str">
        <f>"250"</f>
        <v>250</v>
      </c>
    </row>
    <row r="10268" spans="1:5" x14ac:dyDescent="0.25">
      <c r="A10268" t="str">
        <f>"839251922"</f>
        <v>839251922</v>
      </c>
      <c r="B10268" t="s">
        <v>9453</v>
      </c>
      <c r="C10268">
        <v>46.2</v>
      </c>
      <c r="D10268" t="str">
        <f>"637"</f>
        <v>637</v>
      </c>
    </row>
    <row r="10269" spans="1:5" x14ac:dyDescent="0.25">
      <c r="A10269" t="str">
        <f>"839251926"</f>
        <v>839251926</v>
      </c>
      <c r="B10269" t="s">
        <v>9454</v>
      </c>
      <c r="C10269">
        <v>7.06</v>
      </c>
      <c r="D10269" t="str">
        <f>"637"</f>
        <v>637</v>
      </c>
    </row>
    <row r="10270" spans="1:5" x14ac:dyDescent="0.25">
      <c r="A10270" t="str">
        <f>"839251927"</f>
        <v>839251927</v>
      </c>
      <c r="B10270" t="s">
        <v>9455</v>
      </c>
      <c r="C10270">
        <v>554.4</v>
      </c>
      <c r="D10270" t="str">
        <f>"250"</f>
        <v>250</v>
      </c>
    </row>
    <row r="10271" spans="1:5" x14ac:dyDescent="0.25">
      <c r="A10271" t="str">
        <f>"839251935"</f>
        <v>839251935</v>
      </c>
      <c r="B10271" t="s">
        <v>9456</v>
      </c>
      <c r="C10271">
        <v>102.56</v>
      </c>
      <c r="D10271" t="str">
        <f>"636"</f>
        <v>636</v>
      </c>
      <c r="E10271" t="str">
        <f>"J0895"</f>
        <v>J0895</v>
      </c>
    </row>
    <row r="10272" spans="1:5" x14ac:dyDescent="0.25">
      <c r="A10272" t="str">
        <f>"839251945"</f>
        <v>839251945</v>
      </c>
      <c r="B10272" t="s">
        <v>9457</v>
      </c>
      <c r="C10272">
        <v>124.09</v>
      </c>
      <c r="D10272" t="str">
        <f>"637"</f>
        <v>637</v>
      </c>
    </row>
    <row r="10273" spans="1:5" x14ac:dyDescent="0.25">
      <c r="A10273" t="str">
        <f>"839251946"</f>
        <v>839251946</v>
      </c>
      <c r="B10273" t="s">
        <v>9458</v>
      </c>
      <c r="C10273">
        <v>84.08</v>
      </c>
      <c r="D10273" t="str">
        <f>"636"</f>
        <v>636</v>
      </c>
      <c r="E10273" t="str">
        <f>"J1030"</f>
        <v>J1030</v>
      </c>
    </row>
    <row r="10274" spans="1:5" x14ac:dyDescent="0.25">
      <c r="A10274" t="str">
        <f>"839251947"</f>
        <v>839251947</v>
      </c>
      <c r="B10274" t="s">
        <v>9459</v>
      </c>
      <c r="C10274">
        <v>145.27000000000001</v>
      </c>
      <c r="D10274" t="str">
        <f>"636"</f>
        <v>636</v>
      </c>
      <c r="E10274" t="str">
        <f>"J1040"</f>
        <v>J1040</v>
      </c>
    </row>
    <row r="10275" spans="1:5" x14ac:dyDescent="0.25">
      <c r="A10275" t="str">
        <f>"839251955"</f>
        <v>839251955</v>
      </c>
      <c r="B10275" t="s">
        <v>9460</v>
      </c>
      <c r="C10275">
        <v>356.4</v>
      </c>
      <c r="D10275" t="str">
        <f>"636"</f>
        <v>636</v>
      </c>
      <c r="E10275" t="str">
        <f>"J1051"</f>
        <v>J1051</v>
      </c>
    </row>
    <row r="10276" spans="1:5" x14ac:dyDescent="0.25">
      <c r="A10276" t="str">
        <f>"839251960"</f>
        <v>839251960</v>
      </c>
      <c r="B10276" t="s">
        <v>9461</v>
      </c>
      <c r="C10276">
        <v>13.23</v>
      </c>
      <c r="D10276" t="str">
        <f>"637"</f>
        <v>637</v>
      </c>
    </row>
    <row r="10277" spans="1:5" x14ac:dyDescent="0.25">
      <c r="A10277" t="str">
        <f>"839251965"</f>
        <v>839251965</v>
      </c>
      <c r="B10277" t="s">
        <v>9462</v>
      </c>
      <c r="C10277">
        <v>17.68</v>
      </c>
      <c r="D10277" t="str">
        <f>"637"</f>
        <v>637</v>
      </c>
    </row>
    <row r="10278" spans="1:5" x14ac:dyDescent="0.25">
      <c r="A10278" t="str">
        <f>"839251971"</f>
        <v>839251971</v>
      </c>
      <c r="B10278" t="s">
        <v>9463</v>
      </c>
      <c r="C10278">
        <v>465.64</v>
      </c>
      <c r="D10278" t="str">
        <f>"636"</f>
        <v>636</v>
      </c>
      <c r="E10278" t="str">
        <f>"J2597"</f>
        <v>J2597</v>
      </c>
    </row>
    <row r="10279" spans="1:5" x14ac:dyDescent="0.25">
      <c r="A10279" t="str">
        <f>"839251985"</f>
        <v>839251985</v>
      </c>
      <c r="B10279" t="s">
        <v>9464</v>
      </c>
      <c r="C10279">
        <v>426.89</v>
      </c>
      <c r="D10279" t="str">
        <f>"250"</f>
        <v>250</v>
      </c>
    </row>
    <row r="10280" spans="1:5" x14ac:dyDescent="0.25">
      <c r="A10280" t="str">
        <f>"839251995"</f>
        <v>839251995</v>
      </c>
      <c r="B10280" t="s">
        <v>9465</v>
      </c>
      <c r="C10280">
        <v>7.85</v>
      </c>
      <c r="D10280" t="str">
        <f>"636"</f>
        <v>636</v>
      </c>
      <c r="E10280" t="str">
        <f>"J8540"</f>
        <v>J8540</v>
      </c>
    </row>
    <row r="10281" spans="1:5" x14ac:dyDescent="0.25">
      <c r="A10281" t="str">
        <f>"839252010"</f>
        <v>839252010</v>
      </c>
      <c r="B10281" t="s">
        <v>9466</v>
      </c>
      <c r="C10281">
        <v>20.83</v>
      </c>
      <c r="D10281" t="str">
        <f>"636"</f>
        <v>636</v>
      </c>
      <c r="E10281" t="str">
        <f>"J1094"</f>
        <v>J1094</v>
      </c>
    </row>
    <row r="10282" spans="1:5" x14ac:dyDescent="0.25">
      <c r="A10282" t="str">
        <f>"839252015"</f>
        <v>839252015</v>
      </c>
      <c r="B10282" t="s">
        <v>9467</v>
      </c>
      <c r="C10282">
        <v>6.6</v>
      </c>
      <c r="D10282" t="str">
        <f>"636"</f>
        <v>636</v>
      </c>
      <c r="E10282" t="str">
        <f>"J1100"</f>
        <v>J1100</v>
      </c>
    </row>
    <row r="10283" spans="1:5" x14ac:dyDescent="0.25">
      <c r="A10283" t="str">
        <f>"839252056"</f>
        <v>839252056</v>
      </c>
      <c r="B10283" t="s">
        <v>9468</v>
      </c>
      <c r="C10283">
        <v>64.87</v>
      </c>
      <c r="D10283" t="str">
        <f>"250"</f>
        <v>250</v>
      </c>
    </row>
    <row r="10284" spans="1:5" x14ac:dyDescent="0.25">
      <c r="A10284" t="str">
        <f>"839252061"</f>
        <v>839252061</v>
      </c>
      <c r="B10284" t="s">
        <v>9469</v>
      </c>
      <c r="C10284">
        <v>21.41</v>
      </c>
      <c r="D10284" t="str">
        <f>"250"</f>
        <v>250</v>
      </c>
    </row>
    <row r="10285" spans="1:5" x14ac:dyDescent="0.25">
      <c r="A10285" t="str">
        <f>"839252069"</f>
        <v>839252069</v>
      </c>
      <c r="B10285" t="s">
        <v>9470</v>
      </c>
      <c r="C10285">
        <v>316.8</v>
      </c>
      <c r="D10285" t="str">
        <f>"636"</f>
        <v>636</v>
      </c>
      <c r="E10285" t="str">
        <f>"J1120"</f>
        <v>J1120</v>
      </c>
    </row>
    <row r="10286" spans="1:5" x14ac:dyDescent="0.25">
      <c r="A10286" t="str">
        <f>"839252085"</f>
        <v>839252085</v>
      </c>
      <c r="B10286" t="s">
        <v>9471</v>
      </c>
      <c r="C10286">
        <v>6.6</v>
      </c>
      <c r="D10286" t="str">
        <f>"637"</f>
        <v>637</v>
      </c>
    </row>
    <row r="10287" spans="1:5" x14ac:dyDescent="0.25">
      <c r="A10287" t="str">
        <f>"839252090"</f>
        <v>839252090</v>
      </c>
      <c r="B10287" t="s">
        <v>9472</v>
      </c>
      <c r="C10287">
        <v>216.6</v>
      </c>
      <c r="D10287" t="str">
        <f>"636"</f>
        <v>636</v>
      </c>
      <c r="E10287" t="str">
        <f>"J3360"</f>
        <v>J3360</v>
      </c>
    </row>
    <row r="10288" spans="1:5" x14ac:dyDescent="0.25">
      <c r="A10288" t="str">
        <f>"839252110"</f>
        <v>839252110</v>
      </c>
      <c r="B10288" t="s">
        <v>9473</v>
      </c>
      <c r="C10288">
        <v>9.3800000000000008</v>
      </c>
      <c r="D10288" t="str">
        <f t="shared" ref="D10288:D10293" si="330">"637"</f>
        <v>637</v>
      </c>
    </row>
    <row r="10289" spans="1:5" x14ac:dyDescent="0.25">
      <c r="A10289" t="str">
        <f>"839252115"</f>
        <v>839252115</v>
      </c>
      <c r="B10289" t="s">
        <v>9474</v>
      </c>
      <c r="C10289">
        <v>6.6</v>
      </c>
      <c r="D10289" t="str">
        <f t="shared" si="330"/>
        <v>637</v>
      </c>
    </row>
    <row r="10290" spans="1:5" x14ac:dyDescent="0.25">
      <c r="A10290" t="str">
        <f>"839252120"</f>
        <v>839252120</v>
      </c>
      <c r="B10290" t="s">
        <v>9475</v>
      </c>
      <c r="C10290">
        <v>6.6</v>
      </c>
      <c r="D10290" t="str">
        <f t="shared" si="330"/>
        <v>637</v>
      </c>
    </row>
    <row r="10291" spans="1:5" x14ac:dyDescent="0.25">
      <c r="A10291" t="str">
        <f>"839252125"</f>
        <v>839252125</v>
      </c>
      <c r="B10291" t="s">
        <v>9476</v>
      </c>
      <c r="C10291">
        <v>16.53</v>
      </c>
      <c r="D10291" t="str">
        <f t="shared" si="330"/>
        <v>637</v>
      </c>
    </row>
    <row r="10292" spans="1:5" x14ac:dyDescent="0.25">
      <c r="A10292" t="str">
        <f>"839252135"</f>
        <v>839252135</v>
      </c>
      <c r="B10292" t="s">
        <v>9477</v>
      </c>
      <c r="C10292">
        <v>6.6</v>
      </c>
      <c r="D10292" t="str">
        <f t="shared" si="330"/>
        <v>637</v>
      </c>
    </row>
    <row r="10293" spans="1:5" x14ac:dyDescent="0.25">
      <c r="A10293" t="str">
        <f>"839252140"</f>
        <v>839252140</v>
      </c>
      <c r="B10293" t="s">
        <v>9478</v>
      </c>
      <c r="C10293">
        <v>6.6</v>
      </c>
      <c r="D10293" t="str">
        <f t="shared" si="330"/>
        <v>637</v>
      </c>
    </row>
    <row r="10294" spans="1:5" x14ac:dyDescent="0.25">
      <c r="A10294" t="str">
        <f>"839252150"</f>
        <v>839252150</v>
      </c>
      <c r="B10294" t="s">
        <v>9479</v>
      </c>
      <c r="C10294">
        <v>665.74</v>
      </c>
      <c r="D10294" t="str">
        <f>"636"</f>
        <v>636</v>
      </c>
      <c r="E10294" t="str">
        <f>"J0500"</f>
        <v>J0500</v>
      </c>
    </row>
    <row r="10295" spans="1:5" x14ac:dyDescent="0.25">
      <c r="A10295" t="str">
        <f>"839252151"</f>
        <v>839252151</v>
      </c>
      <c r="B10295" t="s">
        <v>9480</v>
      </c>
      <c r="C10295">
        <v>6.6</v>
      </c>
      <c r="D10295" t="str">
        <f>"637"</f>
        <v>637</v>
      </c>
    </row>
    <row r="10296" spans="1:5" x14ac:dyDescent="0.25">
      <c r="A10296" t="str">
        <f>"839252185"</f>
        <v>839252185</v>
      </c>
      <c r="B10296" t="s">
        <v>9481</v>
      </c>
      <c r="C10296">
        <v>16.899999999999999</v>
      </c>
      <c r="D10296" t="str">
        <f>"637"</f>
        <v>637</v>
      </c>
    </row>
    <row r="10297" spans="1:5" x14ac:dyDescent="0.25">
      <c r="A10297" t="str">
        <f>"839252190"</f>
        <v>839252190</v>
      </c>
      <c r="B10297" t="s">
        <v>9482</v>
      </c>
      <c r="C10297">
        <v>15.18</v>
      </c>
      <c r="D10297" t="str">
        <f>"637"</f>
        <v>637</v>
      </c>
    </row>
    <row r="10298" spans="1:5" x14ac:dyDescent="0.25">
      <c r="A10298" t="str">
        <f>"839252195"</f>
        <v>839252195</v>
      </c>
      <c r="B10298" t="s">
        <v>9483</v>
      </c>
      <c r="C10298" s="1">
        <v>31474.080000000002</v>
      </c>
      <c r="D10298" t="str">
        <f>"636"</f>
        <v>636</v>
      </c>
      <c r="E10298" t="str">
        <f>"J1162"</f>
        <v>J1162</v>
      </c>
    </row>
    <row r="10299" spans="1:5" x14ac:dyDescent="0.25">
      <c r="A10299" t="str">
        <f>"839252205"</f>
        <v>839252205</v>
      </c>
      <c r="B10299" t="s">
        <v>9484</v>
      </c>
      <c r="C10299" s="1">
        <v>1040.69</v>
      </c>
      <c r="D10299" t="str">
        <f>"636"</f>
        <v>636</v>
      </c>
      <c r="E10299" t="str">
        <f>"J1160"</f>
        <v>J1160</v>
      </c>
    </row>
    <row r="10300" spans="1:5" x14ac:dyDescent="0.25">
      <c r="A10300" t="str">
        <f>"839252220"</f>
        <v>839252220</v>
      </c>
      <c r="B10300" t="s">
        <v>9485</v>
      </c>
      <c r="C10300">
        <v>6.6</v>
      </c>
      <c r="D10300" t="str">
        <f t="shared" ref="D10300:D10304" si="331">"637"</f>
        <v>637</v>
      </c>
    </row>
    <row r="10301" spans="1:5" x14ac:dyDescent="0.25">
      <c r="A10301" t="str">
        <f>"839252222"</f>
        <v>839252222</v>
      </c>
      <c r="B10301" t="s">
        <v>9486</v>
      </c>
      <c r="C10301">
        <v>6.6</v>
      </c>
      <c r="D10301" t="str">
        <f t="shared" si="331"/>
        <v>637</v>
      </c>
    </row>
    <row r="10302" spans="1:5" x14ac:dyDescent="0.25">
      <c r="A10302" t="str">
        <f>"839252225"</f>
        <v>839252225</v>
      </c>
      <c r="B10302" t="s">
        <v>9487</v>
      </c>
      <c r="C10302">
        <v>6.6</v>
      </c>
      <c r="D10302" t="str">
        <f t="shared" si="331"/>
        <v>637</v>
      </c>
    </row>
    <row r="10303" spans="1:5" x14ac:dyDescent="0.25">
      <c r="A10303" t="str">
        <f>"839252230"</f>
        <v>839252230</v>
      </c>
      <c r="B10303" t="s">
        <v>9488</v>
      </c>
      <c r="C10303">
        <v>6.6</v>
      </c>
      <c r="D10303" t="str">
        <f t="shared" si="331"/>
        <v>637</v>
      </c>
    </row>
    <row r="10304" spans="1:5" x14ac:dyDescent="0.25">
      <c r="A10304" t="str">
        <f>"839252235"</f>
        <v>839252235</v>
      </c>
      <c r="B10304" t="s">
        <v>9489</v>
      </c>
      <c r="C10304">
        <v>6.6</v>
      </c>
      <c r="D10304" t="str">
        <f t="shared" si="331"/>
        <v>637</v>
      </c>
    </row>
    <row r="10305" spans="1:5" x14ac:dyDescent="0.25">
      <c r="A10305" t="str">
        <f>"839252260"</f>
        <v>839252260</v>
      </c>
      <c r="B10305" t="s">
        <v>9490</v>
      </c>
      <c r="C10305">
        <v>6.6</v>
      </c>
      <c r="D10305" t="str">
        <f>"250"</f>
        <v>250</v>
      </c>
    </row>
    <row r="10306" spans="1:5" x14ac:dyDescent="0.25">
      <c r="A10306" t="str">
        <f>"839252265"</f>
        <v>839252265</v>
      </c>
      <c r="B10306" t="s">
        <v>9491</v>
      </c>
      <c r="C10306">
        <v>6.6</v>
      </c>
      <c r="D10306" t="str">
        <f>"637"</f>
        <v>637</v>
      </c>
    </row>
    <row r="10307" spans="1:5" x14ac:dyDescent="0.25">
      <c r="A10307" t="str">
        <f>"839252270"</f>
        <v>839252270</v>
      </c>
      <c r="B10307" t="s">
        <v>9492</v>
      </c>
      <c r="C10307">
        <v>39.6</v>
      </c>
      <c r="D10307" t="str">
        <f>"636"</f>
        <v>636</v>
      </c>
      <c r="E10307" t="str">
        <f>"J1200"</f>
        <v>J1200</v>
      </c>
    </row>
    <row r="10308" spans="1:5" x14ac:dyDescent="0.25">
      <c r="A10308" t="str">
        <f>"839252276"</f>
        <v>839252276</v>
      </c>
      <c r="B10308" t="s">
        <v>9493</v>
      </c>
      <c r="C10308">
        <v>15.51</v>
      </c>
      <c r="D10308" t="str">
        <f>"637"</f>
        <v>637</v>
      </c>
    </row>
    <row r="10309" spans="1:5" x14ac:dyDescent="0.25">
      <c r="A10309" t="str">
        <f>"839252280"</f>
        <v>839252280</v>
      </c>
      <c r="B10309" t="s">
        <v>9494</v>
      </c>
      <c r="C10309">
        <v>6.6</v>
      </c>
      <c r="D10309" t="str">
        <f>"637"</f>
        <v>637</v>
      </c>
    </row>
    <row r="10310" spans="1:5" x14ac:dyDescent="0.25">
      <c r="A10310" t="str">
        <f>"839252293"</f>
        <v>839252293</v>
      </c>
      <c r="B10310" t="s">
        <v>9495</v>
      </c>
      <c r="C10310">
        <v>231.34</v>
      </c>
      <c r="D10310" t="str">
        <f>"636"</f>
        <v>636</v>
      </c>
      <c r="E10310" t="str">
        <f>"J3490"</f>
        <v>J3490</v>
      </c>
    </row>
    <row r="10311" spans="1:5" x14ac:dyDescent="0.25">
      <c r="A10311" t="str">
        <f>"839252320"</f>
        <v>839252320</v>
      </c>
      <c r="B10311" t="s">
        <v>9496</v>
      </c>
      <c r="C10311">
        <v>11.63</v>
      </c>
      <c r="D10311" t="str">
        <f t="shared" ref="D10311:D10315" si="332">"637"</f>
        <v>637</v>
      </c>
    </row>
    <row r="10312" spans="1:5" x14ac:dyDescent="0.25">
      <c r="A10312" t="str">
        <f>"839252321"</f>
        <v>839252321</v>
      </c>
      <c r="B10312" t="s">
        <v>9497</v>
      </c>
      <c r="C10312">
        <v>6.6</v>
      </c>
      <c r="D10312" t="str">
        <f t="shared" si="332"/>
        <v>637</v>
      </c>
    </row>
    <row r="10313" spans="1:5" x14ac:dyDescent="0.25">
      <c r="A10313" t="str">
        <f>"839252322"</f>
        <v>839252322</v>
      </c>
      <c r="B10313" t="s">
        <v>9498</v>
      </c>
      <c r="C10313">
        <v>26.9</v>
      </c>
      <c r="D10313" t="str">
        <f t="shared" si="332"/>
        <v>637</v>
      </c>
    </row>
    <row r="10314" spans="1:5" x14ac:dyDescent="0.25">
      <c r="A10314" t="str">
        <f>"839252323"</f>
        <v>839252323</v>
      </c>
      <c r="B10314" t="s">
        <v>9499</v>
      </c>
      <c r="C10314">
        <v>6.6</v>
      </c>
      <c r="D10314" t="str">
        <f t="shared" si="332"/>
        <v>637</v>
      </c>
    </row>
    <row r="10315" spans="1:5" x14ac:dyDescent="0.25">
      <c r="A10315" t="str">
        <f>"839252326"</f>
        <v>839252326</v>
      </c>
      <c r="B10315" t="s">
        <v>9500</v>
      </c>
      <c r="C10315">
        <v>16.149999999999999</v>
      </c>
      <c r="D10315" t="str">
        <f t="shared" si="332"/>
        <v>637</v>
      </c>
    </row>
    <row r="10316" spans="1:5" x14ac:dyDescent="0.25">
      <c r="A10316" t="str">
        <f>"839252335"</f>
        <v>839252335</v>
      </c>
      <c r="B10316" t="s">
        <v>9501</v>
      </c>
      <c r="C10316">
        <v>46.86</v>
      </c>
      <c r="D10316" t="str">
        <f>"636"</f>
        <v>636</v>
      </c>
      <c r="E10316" t="str">
        <f>"J1250"</f>
        <v>J1250</v>
      </c>
    </row>
    <row r="10317" spans="1:5" x14ac:dyDescent="0.25">
      <c r="A10317" t="str">
        <f>"839252340"</f>
        <v>839252340</v>
      </c>
      <c r="B10317" t="s">
        <v>9502</v>
      </c>
      <c r="C10317">
        <v>152.44999999999999</v>
      </c>
      <c r="D10317" t="str">
        <f>"636"</f>
        <v>636</v>
      </c>
      <c r="E10317" t="str">
        <f>"J1250"</f>
        <v>J1250</v>
      </c>
    </row>
    <row r="10318" spans="1:5" x14ac:dyDescent="0.25">
      <c r="A10318" t="str">
        <f>"839252350"</f>
        <v>839252350</v>
      </c>
      <c r="B10318" t="s">
        <v>9503</v>
      </c>
      <c r="C10318">
        <v>6.6</v>
      </c>
      <c r="D10318" t="str">
        <f>"637"</f>
        <v>637</v>
      </c>
    </row>
    <row r="10319" spans="1:5" x14ac:dyDescent="0.25">
      <c r="A10319" t="str">
        <f>"839252356"</f>
        <v>839252356</v>
      </c>
      <c r="B10319" t="s">
        <v>9504</v>
      </c>
      <c r="C10319">
        <v>6.6</v>
      </c>
      <c r="D10319" t="str">
        <f>"637"</f>
        <v>637</v>
      </c>
    </row>
    <row r="10320" spans="1:5" x14ac:dyDescent="0.25">
      <c r="A10320" t="str">
        <f>"839252357"</f>
        <v>839252357</v>
      </c>
      <c r="B10320" t="s">
        <v>9505</v>
      </c>
      <c r="C10320">
        <v>341.55</v>
      </c>
      <c r="D10320" t="str">
        <f>"250"</f>
        <v>250</v>
      </c>
    </row>
    <row r="10321" spans="1:5" x14ac:dyDescent="0.25">
      <c r="A10321" t="str">
        <f>"839252360"</f>
        <v>839252360</v>
      </c>
      <c r="B10321" t="s">
        <v>9506</v>
      </c>
      <c r="C10321">
        <v>6.6</v>
      </c>
      <c r="D10321" t="str">
        <f>"637"</f>
        <v>637</v>
      </c>
    </row>
    <row r="10322" spans="1:5" x14ac:dyDescent="0.25">
      <c r="A10322" t="str">
        <f>"839252369"</f>
        <v>839252369</v>
      </c>
      <c r="B10322" t="s">
        <v>9507</v>
      </c>
      <c r="C10322">
        <v>6.6</v>
      </c>
      <c r="D10322" t="str">
        <f>"302"</f>
        <v>302</v>
      </c>
    </row>
    <row r="10323" spans="1:5" x14ac:dyDescent="0.25">
      <c r="A10323" t="str">
        <f>"839252371"</f>
        <v>839252371</v>
      </c>
      <c r="B10323" t="s">
        <v>9508</v>
      </c>
      <c r="C10323">
        <v>440.88</v>
      </c>
      <c r="D10323" t="str">
        <f>"250"</f>
        <v>250</v>
      </c>
    </row>
    <row r="10324" spans="1:5" x14ac:dyDescent="0.25">
      <c r="A10324" t="str">
        <f>"839252373"</f>
        <v>839252373</v>
      </c>
      <c r="B10324" t="s">
        <v>9509</v>
      </c>
      <c r="C10324">
        <v>6.7</v>
      </c>
      <c r="D10324" t="str">
        <f>"637"</f>
        <v>637</v>
      </c>
    </row>
    <row r="10325" spans="1:5" x14ac:dyDescent="0.25">
      <c r="A10325" t="str">
        <f>"839252374"</f>
        <v>839252374</v>
      </c>
      <c r="B10325" t="s">
        <v>9510</v>
      </c>
      <c r="C10325">
        <v>26.04</v>
      </c>
      <c r="D10325" t="str">
        <f>"637"</f>
        <v>637</v>
      </c>
    </row>
    <row r="10326" spans="1:5" x14ac:dyDescent="0.25">
      <c r="A10326" t="str">
        <f>"839252379"</f>
        <v>839252379</v>
      </c>
      <c r="B10326" t="s">
        <v>9511</v>
      </c>
      <c r="C10326">
        <v>38.89</v>
      </c>
      <c r="D10326" t="str">
        <f>"637"</f>
        <v>637</v>
      </c>
    </row>
    <row r="10327" spans="1:5" x14ac:dyDescent="0.25">
      <c r="A10327" t="str">
        <f>"839252380"</f>
        <v>839252380</v>
      </c>
      <c r="B10327" t="s">
        <v>9512</v>
      </c>
      <c r="C10327">
        <v>14.91</v>
      </c>
      <c r="D10327" t="str">
        <f>"636"</f>
        <v>636</v>
      </c>
      <c r="E10327" t="str">
        <f>"J1265"</f>
        <v>J1265</v>
      </c>
    </row>
    <row r="10328" spans="1:5" x14ac:dyDescent="0.25">
      <c r="A10328" t="str">
        <f>"839252382"</f>
        <v>839252382</v>
      </c>
      <c r="B10328" t="s">
        <v>9513</v>
      </c>
      <c r="C10328">
        <v>140.36000000000001</v>
      </c>
      <c r="D10328" t="str">
        <f>"637"</f>
        <v>637</v>
      </c>
    </row>
    <row r="10329" spans="1:5" x14ac:dyDescent="0.25">
      <c r="A10329" t="str">
        <f>"839252383"</f>
        <v>839252383</v>
      </c>
      <c r="B10329" t="s">
        <v>9514</v>
      </c>
      <c r="C10329">
        <v>173.98</v>
      </c>
      <c r="D10329" t="str">
        <f>"637"</f>
        <v>637</v>
      </c>
    </row>
    <row r="10330" spans="1:5" x14ac:dyDescent="0.25">
      <c r="A10330" t="str">
        <f>"839252384"</f>
        <v>839252384</v>
      </c>
      <c r="B10330" t="s">
        <v>9515</v>
      </c>
      <c r="C10330">
        <v>265.39</v>
      </c>
      <c r="D10330" t="str">
        <f>"637"</f>
        <v>637</v>
      </c>
    </row>
    <row r="10331" spans="1:5" x14ac:dyDescent="0.25">
      <c r="A10331" t="str">
        <f>"839252385"</f>
        <v>839252385</v>
      </c>
      <c r="B10331" t="s">
        <v>9516</v>
      </c>
      <c r="C10331">
        <v>96.45</v>
      </c>
      <c r="D10331" t="str">
        <f>"636"</f>
        <v>636</v>
      </c>
      <c r="E10331" t="str">
        <f>"J1265"</f>
        <v>J1265</v>
      </c>
    </row>
    <row r="10332" spans="1:5" x14ac:dyDescent="0.25">
      <c r="A10332" t="str">
        <f>"839252386"</f>
        <v>839252386</v>
      </c>
      <c r="B10332" t="s">
        <v>9517</v>
      </c>
      <c r="C10332">
        <v>21.07</v>
      </c>
      <c r="D10332" t="str">
        <f>"636"</f>
        <v>636</v>
      </c>
      <c r="E10332" t="str">
        <f>"J1265"</f>
        <v>J1265</v>
      </c>
    </row>
    <row r="10333" spans="1:5" x14ac:dyDescent="0.25">
      <c r="A10333" t="str">
        <f>"839252394"</f>
        <v>839252394</v>
      </c>
      <c r="B10333" t="s">
        <v>9518</v>
      </c>
      <c r="C10333">
        <v>383.48</v>
      </c>
      <c r="D10333" t="str">
        <f>"250"</f>
        <v>250</v>
      </c>
    </row>
    <row r="10334" spans="1:5" x14ac:dyDescent="0.25">
      <c r="A10334" t="str">
        <f>"839252400"</f>
        <v>839252400</v>
      </c>
      <c r="B10334" t="s">
        <v>9519</v>
      </c>
      <c r="C10334">
        <v>6.6</v>
      </c>
      <c r="D10334" t="str">
        <f>"637"</f>
        <v>637</v>
      </c>
    </row>
    <row r="10335" spans="1:5" x14ac:dyDescent="0.25">
      <c r="A10335" t="str">
        <f>"839252410"</f>
        <v>839252410</v>
      </c>
      <c r="B10335" t="s">
        <v>9520</v>
      </c>
      <c r="C10335">
        <v>6.6</v>
      </c>
      <c r="D10335" t="str">
        <f>"637"</f>
        <v>637</v>
      </c>
    </row>
    <row r="10336" spans="1:5" x14ac:dyDescent="0.25">
      <c r="A10336" t="str">
        <f>"839252415"</f>
        <v>839252415</v>
      </c>
      <c r="B10336" t="s">
        <v>9521</v>
      </c>
      <c r="C10336">
        <v>7.71</v>
      </c>
      <c r="D10336" t="str">
        <f>"637"</f>
        <v>637</v>
      </c>
    </row>
    <row r="10337" spans="1:5" x14ac:dyDescent="0.25">
      <c r="A10337" t="str">
        <f>"839252500"</f>
        <v>839252500</v>
      </c>
      <c r="B10337" t="s">
        <v>9522</v>
      </c>
      <c r="C10337">
        <v>120.14</v>
      </c>
      <c r="D10337" t="str">
        <f>"250"</f>
        <v>250</v>
      </c>
    </row>
    <row r="10338" spans="1:5" x14ac:dyDescent="0.25">
      <c r="A10338" t="str">
        <f>"839252511"</f>
        <v>839252511</v>
      </c>
      <c r="B10338" t="s">
        <v>9523</v>
      </c>
      <c r="C10338">
        <v>229.35</v>
      </c>
      <c r="D10338" t="str">
        <f>"636"</f>
        <v>636</v>
      </c>
      <c r="E10338" t="str">
        <f>"J2275"</f>
        <v>J2275</v>
      </c>
    </row>
    <row r="10339" spans="1:5" x14ac:dyDescent="0.25">
      <c r="A10339" t="str">
        <f>"839252512"</f>
        <v>839252512</v>
      </c>
      <c r="B10339" t="s">
        <v>9524</v>
      </c>
      <c r="C10339">
        <v>519.5</v>
      </c>
      <c r="D10339" t="str">
        <f>"637"</f>
        <v>637</v>
      </c>
    </row>
    <row r="10340" spans="1:5" x14ac:dyDescent="0.25">
      <c r="A10340" t="str">
        <f>"839252521"</f>
        <v>839252521</v>
      </c>
      <c r="B10340" t="s">
        <v>9525</v>
      </c>
      <c r="C10340">
        <v>198.26</v>
      </c>
      <c r="D10340" t="str">
        <f>"637"</f>
        <v>637</v>
      </c>
    </row>
    <row r="10341" spans="1:5" x14ac:dyDescent="0.25">
      <c r="A10341" t="str">
        <f>"839252522"</f>
        <v>839252522</v>
      </c>
      <c r="B10341" t="s">
        <v>9526</v>
      </c>
      <c r="C10341">
        <v>6.6</v>
      </c>
      <c r="D10341" t="str">
        <f>"637"</f>
        <v>637</v>
      </c>
    </row>
    <row r="10342" spans="1:5" x14ac:dyDescent="0.25">
      <c r="A10342" t="str">
        <f>"839252523"</f>
        <v>839252523</v>
      </c>
      <c r="B10342" t="s">
        <v>9527</v>
      </c>
      <c r="C10342">
        <v>816.75</v>
      </c>
      <c r="D10342" t="str">
        <f>"637"</f>
        <v>637</v>
      </c>
    </row>
    <row r="10343" spans="1:5" x14ac:dyDescent="0.25">
      <c r="A10343" t="str">
        <f>"839252524"</f>
        <v>839252524</v>
      </c>
      <c r="B10343" t="s">
        <v>9528</v>
      </c>
      <c r="C10343">
        <v>94.49</v>
      </c>
      <c r="D10343" t="str">
        <f>"636"</f>
        <v>636</v>
      </c>
      <c r="E10343" t="str">
        <f>"J1650"</f>
        <v>J1650</v>
      </c>
    </row>
    <row r="10344" spans="1:5" x14ac:dyDescent="0.25">
      <c r="A10344" t="str">
        <f>"839252526"</f>
        <v>839252526</v>
      </c>
      <c r="B10344" t="s">
        <v>9529</v>
      </c>
      <c r="C10344">
        <v>95.04</v>
      </c>
      <c r="D10344" t="str">
        <f>"636"</f>
        <v>636</v>
      </c>
      <c r="E10344" t="str">
        <f>"J1650"</f>
        <v>J1650</v>
      </c>
    </row>
    <row r="10345" spans="1:5" x14ac:dyDescent="0.25">
      <c r="A10345" t="str">
        <f>"839252540"</f>
        <v>839252540</v>
      </c>
      <c r="B10345" t="s">
        <v>9530</v>
      </c>
      <c r="C10345">
        <v>155.96</v>
      </c>
      <c r="D10345" t="str">
        <f>"250"</f>
        <v>250</v>
      </c>
    </row>
    <row r="10346" spans="1:5" x14ac:dyDescent="0.25">
      <c r="A10346" t="str">
        <f>"839252545"</f>
        <v>839252545</v>
      </c>
      <c r="B10346" t="s">
        <v>9531</v>
      </c>
      <c r="C10346">
        <v>10.69</v>
      </c>
      <c r="D10346" t="str">
        <f>"637"</f>
        <v>637</v>
      </c>
    </row>
    <row r="10347" spans="1:5" x14ac:dyDescent="0.25">
      <c r="A10347" t="str">
        <f>"839252546"</f>
        <v>839252546</v>
      </c>
      <c r="B10347" t="s">
        <v>9532</v>
      </c>
      <c r="C10347">
        <v>737.55</v>
      </c>
      <c r="D10347" t="str">
        <f>"637"</f>
        <v>637</v>
      </c>
    </row>
    <row r="10348" spans="1:5" x14ac:dyDescent="0.25">
      <c r="A10348" t="str">
        <f>"839252550"</f>
        <v>839252550</v>
      </c>
      <c r="B10348" t="s">
        <v>9533</v>
      </c>
      <c r="C10348">
        <v>10.199999999999999</v>
      </c>
      <c r="D10348" t="str">
        <f>"637"</f>
        <v>637</v>
      </c>
    </row>
    <row r="10349" spans="1:5" x14ac:dyDescent="0.25">
      <c r="A10349" t="str">
        <f>"839252580"</f>
        <v>839252580</v>
      </c>
      <c r="B10349" t="s">
        <v>9534</v>
      </c>
      <c r="C10349">
        <v>390.15</v>
      </c>
      <c r="D10349" t="str">
        <f>"250"</f>
        <v>250</v>
      </c>
    </row>
    <row r="10350" spans="1:5" x14ac:dyDescent="0.25">
      <c r="A10350" t="str">
        <f>"839252587"</f>
        <v>839252587</v>
      </c>
      <c r="B10350" t="s">
        <v>9535</v>
      </c>
      <c r="C10350" s="1">
        <v>1237.5</v>
      </c>
      <c r="D10350" t="str">
        <f>"637"</f>
        <v>637</v>
      </c>
    </row>
    <row r="10351" spans="1:5" x14ac:dyDescent="0.25">
      <c r="A10351" t="str">
        <f>"839252588"</f>
        <v>839252588</v>
      </c>
      <c r="B10351" t="s">
        <v>9536</v>
      </c>
      <c r="C10351" s="1">
        <v>1984.49</v>
      </c>
      <c r="D10351" t="str">
        <f>"250"</f>
        <v>250</v>
      </c>
    </row>
    <row r="10352" spans="1:5" x14ac:dyDescent="0.25">
      <c r="A10352" t="str">
        <f>"839252605"</f>
        <v>839252605</v>
      </c>
      <c r="B10352" t="s">
        <v>9537</v>
      </c>
      <c r="C10352">
        <v>115.5</v>
      </c>
      <c r="D10352" t="str">
        <f>"636"</f>
        <v>636</v>
      </c>
      <c r="E10352" t="str">
        <f>"J0171"</f>
        <v>J0171</v>
      </c>
    </row>
    <row r="10353" spans="1:5" x14ac:dyDescent="0.25">
      <c r="A10353" t="str">
        <f>"839252620"</f>
        <v>839252620</v>
      </c>
      <c r="B10353" t="s">
        <v>9538</v>
      </c>
      <c r="C10353">
        <v>69.3</v>
      </c>
      <c r="D10353" t="str">
        <f>"636"</f>
        <v>636</v>
      </c>
      <c r="E10353" t="str">
        <f>"J0171"</f>
        <v>J0171</v>
      </c>
    </row>
    <row r="10354" spans="1:5" x14ac:dyDescent="0.25">
      <c r="A10354" t="str">
        <f>"839252681"</f>
        <v>839252681</v>
      </c>
      <c r="B10354" t="s">
        <v>9539</v>
      </c>
      <c r="C10354">
        <v>118.54</v>
      </c>
      <c r="D10354" t="str">
        <f>"637"</f>
        <v>637</v>
      </c>
    </row>
    <row r="10355" spans="1:5" x14ac:dyDescent="0.25">
      <c r="A10355" t="str">
        <f>"839252775"</f>
        <v>839252775</v>
      </c>
      <c r="B10355" t="s">
        <v>9540</v>
      </c>
      <c r="C10355">
        <v>44.54</v>
      </c>
      <c r="D10355" t="str">
        <f>"637"</f>
        <v>637</v>
      </c>
    </row>
    <row r="10356" spans="1:5" x14ac:dyDescent="0.25">
      <c r="A10356" t="str">
        <f>"839252801"</f>
        <v>839252801</v>
      </c>
      <c r="B10356" t="s">
        <v>9541</v>
      </c>
      <c r="C10356">
        <v>211.2</v>
      </c>
      <c r="D10356" t="str">
        <f>"637"</f>
        <v>637</v>
      </c>
    </row>
    <row r="10357" spans="1:5" x14ac:dyDescent="0.25">
      <c r="A10357" t="str">
        <f>"839252814"</f>
        <v>839252814</v>
      </c>
      <c r="B10357" t="s">
        <v>9542</v>
      </c>
      <c r="C10357">
        <v>24.42</v>
      </c>
      <c r="D10357" t="str">
        <f>"250"</f>
        <v>250</v>
      </c>
    </row>
    <row r="10358" spans="1:5" x14ac:dyDescent="0.25">
      <c r="A10358" t="str">
        <f>"839252820"</f>
        <v>839252820</v>
      </c>
      <c r="B10358" t="s">
        <v>9543</v>
      </c>
      <c r="C10358">
        <v>7.13</v>
      </c>
      <c r="D10358" t="str">
        <f>"250"</f>
        <v>250</v>
      </c>
    </row>
    <row r="10359" spans="1:5" x14ac:dyDescent="0.25">
      <c r="A10359" t="str">
        <f>"839252821"</f>
        <v>839252821</v>
      </c>
      <c r="B10359" t="s">
        <v>9544</v>
      </c>
      <c r="C10359">
        <v>85.65</v>
      </c>
      <c r="D10359" t="str">
        <f>"300"</f>
        <v>300</v>
      </c>
      <c r="E10359" t="str">
        <f>"36416"</f>
        <v>36416</v>
      </c>
    </row>
    <row r="10360" spans="1:5" x14ac:dyDescent="0.25">
      <c r="A10360" t="str">
        <f>"839252822"</f>
        <v>839252822</v>
      </c>
      <c r="B10360" t="s">
        <v>9545</v>
      </c>
      <c r="C10360" s="1">
        <v>2105.5100000000002</v>
      </c>
      <c r="D10360" t="str">
        <f>"637"</f>
        <v>637</v>
      </c>
    </row>
    <row r="10361" spans="1:5" x14ac:dyDescent="0.25">
      <c r="A10361" t="str">
        <f>"839252823"</f>
        <v>839252823</v>
      </c>
      <c r="B10361" t="s">
        <v>9546</v>
      </c>
      <c r="C10361">
        <v>25.69</v>
      </c>
      <c r="D10361" t="str">
        <f>"637"</f>
        <v>637</v>
      </c>
    </row>
    <row r="10362" spans="1:5" x14ac:dyDescent="0.25">
      <c r="A10362" t="str">
        <f>"839252824"</f>
        <v>839252824</v>
      </c>
      <c r="B10362" t="s">
        <v>9547</v>
      </c>
      <c r="C10362">
        <v>300.63</v>
      </c>
      <c r="D10362" t="str">
        <f>"637"</f>
        <v>637</v>
      </c>
    </row>
    <row r="10363" spans="1:5" x14ac:dyDescent="0.25">
      <c r="A10363" t="str">
        <f>"839252825"</f>
        <v>839252825</v>
      </c>
      <c r="B10363" t="s">
        <v>9548</v>
      </c>
      <c r="C10363">
        <v>15.98</v>
      </c>
      <c r="D10363" t="str">
        <f>"637"</f>
        <v>637</v>
      </c>
    </row>
    <row r="10364" spans="1:5" x14ac:dyDescent="0.25">
      <c r="A10364" t="str">
        <f>"839252827"</f>
        <v>839252827</v>
      </c>
      <c r="B10364" t="s">
        <v>9549</v>
      </c>
      <c r="C10364" s="1">
        <v>1227.27</v>
      </c>
      <c r="D10364" t="str">
        <f>"636"</f>
        <v>636</v>
      </c>
      <c r="E10364" t="str">
        <f>"J2680"</f>
        <v>J2680</v>
      </c>
    </row>
    <row r="10365" spans="1:5" x14ac:dyDescent="0.25">
      <c r="A10365" t="str">
        <f>"839252828"</f>
        <v>839252828</v>
      </c>
      <c r="B10365" t="s">
        <v>9550</v>
      </c>
      <c r="C10365">
        <v>13.81</v>
      </c>
      <c r="D10365" t="str">
        <f>"637"</f>
        <v>637</v>
      </c>
    </row>
    <row r="10366" spans="1:5" x14ac:dyDescent="0.25">
      <c r="A10366" t="str">
        <f>"839252829"</f>
        <v>839252829</v>
      </c>
      <c r="B10366" t="s">
        <v>9551</v>
      </c>
      <c r="C10366">
        <v>12.35</v>
      </c>
      <c r="D10366" t="str">
        <f>"637"</f>
        <v>637</v>
      </c>
    </row>
    <row r="10367" spans="1:5" x14ac:dyDescent="0.25">
      <c r="A10367" t="str">
        <f>"839252831"</f>
        <v>839252831</v>
      </c>
      <c r="B10367" t="s">
        <v>9552</v>
      </c>
      <c r="C10367">
        <v>562.72</v>
      </c>
      <c r="D10367" t="str">
        <f>"637"</f>
        <v>637</v>
      </c>
    </row>
    <row r="10368" spans="1:5" x14ac:dyDescent="0.25">
      <c r="A10368" t="str">
        <f>"839252832"</f>
        <v>839252832</v>
      </c>
      <c r="B10368" t="s">
        <v>9553</v>
      </c>
      <c r="C10368">
        <v>19.32</v>
      </c>
      <c r="D10368" t="str">
        <f>"637"</f>
        <v>637</v>
      </c>
    </row>
    <row r="10369" spans="1:5" x14ac:dyDescent="0.25">
      <c r="A10369" t="str">
        <f>"839252836"</f>
        <v>839252836</v>
      </c>
      <c r="B10369" t="s">
        <v>9554</v>
      </c>
      <c r="C10369">
        <v>135.22</v>
      </c>
      <c r="D10369" t="str">
        <f>"637"</f>
        <v>637</v>
      </c>
    </row>
    <row r="10370" spans="1:5" x14ac:dyDescent="0.25">
      <c r="A10370" t="str">
        <f>"839252845"</f>
        <v>839252845</v>
      </c>
      <c r="B10370" t="s">
        <v>9555</v>
      </c>
      <c r="C10370">
        <v>15.3</v>
      </c>
      <c r="D10370" t="str">
        <f>"636"</f>
        <v>636</v>
      </c>
      <c r="E10370" t="str">
        <f>"J3010"</f>
        <v>J3010</v>
      </c>
    </row>
    <row r="10371" spans="1:5" x14ac:dyDescent="0.25">
      <c r="A10371" t="str">
        <f>"839252865"</f>
        <v>839252865</v>
      </c>
      <c r="B10371" t="s">
        <v>9556</v>
      </c>
      <c r="C10371">
        <v>26.87</v>
      </c>
      <c r="D10371" t="str">
        <f>"637"</f>
        <v>637</v>
      </c>
    </row>
    <row r="10372" spans="1:5" x14ac:dyDescent="0.25">
      <c r="A10372" t="str">
        <f>"839252870"</f>
        <v>839252870</v>
      </c>
      <c r="B10372" t="s">
        <v>9557</v>
      </c>
      <c r="C10372">
        <v>6.6</v>
      </c>
      <c r="D10372" t="str">
        <f>"637"</f>
        <v>637</v>
      </c>
    </row>
    <row r="10373" spans="1:5" x14ac:dyDescent="0.25">
      <c r="A10373" t="str">
        <f>"839252891"</f>
        <v>839252891</v>
      </c>
      <c r="B10373" t="s">
        <v>9558</v>
      </c>
      <c r="C10373">
        <v>9.43</v>
      </c>
      <c r="D10373" t="str">
        <f>"637"</f>
        <v>637</v>
      </c>
    </row>
    <row r="10374" spans="1:5" x14ac:dyDescent="0.25">
      <c r="A10374" t="str">
        <f>"839252895"</f>
        <v>839252895</v>
      </c>
      <c r="B10374" t="s">
        <v>9559</v>
      </c>
      <c r="C10374">
        <v>2.2000000000000002</v>
      </c>
      <c r="D10374" t="str">
        <f>"636"</f>
        <v>636</v>
      </c>
      <c r="E10374" t="str">
        <f>"J1440"</f>
        <v>J1440</v>
      </c>
    </row>
    <row r="10375" spans="1:5" x14ac:dyDescent="0.25">
      <c r="A10375" t="str">
        <f>"839252896"</f>
        <v>839252896</v>
      </c>
      <c r="B10375" t="s">
        <v>9560</v>
      </c>
      <c r="C10375">
        <v>3.3</v>
      </c>
      <c r="D10375" t="str">
        <f>"636"</f>
        <v>636</v>
      </c>
      <c r="E10375" t="str">
        <f>"J1441"</f>
        <v>J1441</v>
      </c>
    </row>
    <row r="10376" spans="1:5" x14ac:dyDescent="0.25">
      <c r="A10376" t="str">
        <f>"839252897"</f>
        <v>839252897</v>
      </c>
      <c r="B10376" t="s">
        <v>9561</v>
      </c>
      <c r="C10376">
        <v>6.6</v>
      </c>
      <c r="D10376" t="str">
        <f>"637"</f>
        <v>637</v>
      </c>
    </row>
    <row r="10377" spans="1:5" x14ac:dyDescent="0.25">
      <c r="A10377" t="str">
        <f>"839252898"</f>
        <v>839252898</v>
      </c>
      <c r="B10377" t="s">
        <v>9562</v>
      </c>
      <c r="C10377">
        <v>17.690000000000001</v>
      </c>
      <c r="D10377" t="str">
        <f>"637"</f>
        <v>637</v>
      </c>
    </row>
    <row r="10378" spans="1:5" x14ac:dyDescent="0.25">
      <c r="A10378" t="str">
        <f>"839252916"</f>
        <v>839252916</v>
      </c>
      <c r="B10378" t="s">
        <v>9563</v>
      </c>
      <c r="C10378">
        <v>16.43</v>
      </c>
      <c r="D10378" t="str">
        <f>"637"</f>
        <v>637</v>
      </c>
    </row>
    <row r="10379" spans="1:5" x14ac:dyDescent="0.25">
      <c r="A10379" t="str">
        <f>"839252920"</f>
        <v>839252920</v>
      </c>
      <c r="B10379" t="s">
        <v>9564</v>
      </c>
      <c r="C10379">
        <v>62.91</v>
      </c>
      <c r="D10379" t="str">
        <f>"637"</f>
        <v>637</v>
      </c>
    </row>
    <row r="10380" spans="1:5" x14ac:dyDescent="0.25">
      <c r="A10380" t="str">
        <f>"839252925"</f>
        <v>839252925</v>
      </c>
      <c r="B10380" t="s">
        <v>9565</v>
      </c>
      <c r="C10380">
        <v>15.85</v>
      </c>
      <c r="D10380" t="str">
        <f>"637"</f>
        <v>637</v>
      </c>
    </row>
    <row r="10381" spans="1:5" x14ac:dyDescent="0.25">
      <c r="A10381" t="str">
        <f>"839252940"</f>
        <v>839252940</v>
      </c>
      <c r="B10381" t="s">
        <v>9566</v>
      </c>
      <c r="C10381">
        <v>147.80000000000001</v>
      </c>
      <c r="D10381" t="str">
        <f>"636"</f>
        <v>636</v>
      </c>
      <c r="E10381" t="str">
        <f>"J1450"</f>
        <v>J1450</v>
      </c>
    </row>
    <row r="10382" spans="1:5" x14ac:dyDescent="0.25">
      <c r="A10382" t="str">
        <f>"839252942"</f>
        <v>839252942</v>
      </c>
      <c r="B10382" t="s">
        <v>9567</v>
      </c>
      <c r="C10382">
        <v>6.6</v>
      </c>
      <c r="D10382" t="str">
        <f>"637"</f>
        <v>637</v>
      </c>
    </row>
    <row r="10383" spans="1:5" x14ac:dyDescent="0.25">
      <c r="A10383" t="str">
        <f>"839252950"</f>
        <v>839252950</v>
      </c>
      <c r="B10383" t="s">
        <v>9568</v>
      </c>
      <c r="C10383">
        <v>55.44</v>
      </c>
      <c r="D10383" t="str">
        <f>"636"</f>
        <v>636</v>
      </c>
      <c r="E10383" t="str">
        <f>"J1450"</f>
        <v>J1450</v>
      </c>
    </row>
    <row r="10384" spans="1:5" x14ac:dyDescent="0.25">
      <c r="A10384" t="str">
        <f>"839252960"</f>
        <v>839252960</v>
      </c>
      <c r="B10384" t="s">
        <v>9569</v>
      </c>
      <c r="C10384">
        <v>10.54</v>
      </c>
      <c r="D10384" t="str">
        <f>"637"</f>
        <v>637</v>
      </c>
    </row>
    <row r="10385" spans="1:5" x14ac:dyDescent="0.25">
      <c r="A10385" t="str">
        <f>"839252965"</f>
        <v>839252965</v>
      </c>
      <c r="B10385" t="s">
        <v>9570</v>
      </c>
      <c r="C10385">
        <v>51.48</v>
      </c>
      <c r="D10385" t="str">
        <f>"250"</f>
        <v>250</v>
      </c>
    </row>
    <row r="10386" spans="1:5" x14ac:dyDescent="0.25">
      <c r="A10386" t="str">
        <f>"839252980"</f>
        <v>839252980</v>
      </c>
      <c r="B10386" t="s">
        <v>9571</v>
      </c>
      <c r="C10386">
        <v>293.83</v>
      </c>
      <c r="D10386" t="str">
        <f>"637"</f>
        <v>637</v>
      </c>
    </row>
    <row r="10387" spans="1:5" x14ac:dyDescent="0.25">
      <c r="A10387" t="str">
        <f>"839253015"</f>
        <v>839253015</v>
      </c>
      <c r="B10387" t="s">
        <v>9572</v>
      </c>
      <c r="C10387">
        <v>16.600000000000001</v>
      </c>
      <c r="D10387" t="str">
        <f>"637"</f>
        <v>637</v>
      </c>
    </row>
    <row r="10388" spans="1:5" x14ac:dyDescent="0.25">
      <c r="A10388" t="str">
        <f>"839253030"</f>
        <v>839253030</v>
      </c>
      <c r="B10388" t="s">
        <v>9573</v>
      </c>
      <c r="C10388">
        <v>6.6</v>
      </c>
      <c r="D10388" t="str">
        <f>"637"</f>
        <v>637</v>
      </c>
    </row>
    <row r="10389" spans="1:5" x14ac:dyDescent="0.25">
      <c r="A10389" t="str">
        <f>"839253045"</f>
        <v>839253045</v>
      </c>
      <c r="B10389" t="s">
        <v>9574</v>
      </c>
      <c r="C10389">
        <v>285.12</v>
      </c>
      <c r="D10389" t="str">
        <f>"271"</f>
        <v>271</v>
      </c>
    </row>
    <row r="10390" spans="1:5" x14ac:dyDescent="0.25">
      <c r="A10390" t="str">
        <f>"839253050"</f>
        <v>839253050</v>
      </c>
      <c r="B10390" t="s">
        <v>9575</v>
      </c>
      <c r="C10390">
        <v>6.6</v>
      </c>
      <c r="D10390" t="str">
        <f>"637"</f>
        <v>637</v>
      </c>
    </row>
    <row r="10391" spans="1:5" x14ac:dyDescent="0.25">
      <c r="A10391" t="str">
        <f>"839253055"</f>
        <v>839253055</v>
      </c>
      <c r="B10391" t="s">
        <v>9576</v>
      </c>
      <c r="C10391">
        <v>35.729999999999997</v>
      </c>
      <c r="D10391" t="str">
        <f>"636"</f>
        <v>636</v>
      </c>
      <c r="E10391" t="str">
        <f>"J3490"</f>
        <v>J3490</v>
      </c>
    </row>
    <row r="10392" spans="1:5" x14ac:dyDescent="0.25">
      <c r="A10392" t="str">
        <f>"839253070"</f>
        <v>839253070</v>
      </c>
      <c r="B10392" t="s">
        <v>9577</v>
      </c>
      <c r="C10392">
        <v>27.89</v>
      </c>
      <c r="D10392" t="str">
        <f>"636"</f>
        <v>636</v>
      </c>
      <c r="E10392" t="str">
        <f>"J1940"</f>
        <v>J1940</v>
      </c>
    </row>
    <row r="10393" spans="1:5" x14ac:dyDescent="0.25">
      <c r="A10393" t="str">
        <f>"839253075"</f>
        <v>839253075</v>
      </c>
      <c r="B10393" t="s">
        <v>9578</v>
      </c>
      <c r="C10393">
        <v>32.630000000000003</v>
      </c>
      <c r="D10393" t="str">
        <f>"636"</f>
        <v>636</v>
      </c>
      <c r="E10393" t="str">
        <f>"J1940"</f>
        <v>J1940</v>
      </c>
    </row>
    <row r="10394" spans="1:5" x14ac:dyDescent="0.25">
      <c r="A10394" t="str">
        <f>"839253080"</f>
        <v>839253080</v>
      </c>
      <c r="B10394" t="s">
        <v>9579</v>
      </c>
      <c r="C10394">
        <v>6.6</v>
      </c>
      <c r="D10394" t="str">
        <f>"637"</f>
        <v>637</v>
      </c>
    </row>
    <row r="10395" spans="1:5" x14ac:dyDescent="0.25">
      <c r="A10395" t="str">
        <f>"839253085"</f>
        <v>839253085</v>
      </c>
      <c r="B10395" t="s">
        <v>9580</v>
      </c>
      <c r="C10395">
        <v>6.6</v>
      </c>
      <c r="D10395" t="str">
        <f>"637"</f>
        <v>637</v>
      </c>
    </row>
    <row r="10396" spans="1:5" x14ac:dyDescent="0.25">
      <c r="A10396" t="str">
        <f>"839253086"</f>
        <v>839253086</v>
      </c>
      <c r="B10396" t="s">
        <v>9581</v>
      </c>
      <c r="C10396">
        <v>16.25</v>
      </c>
      <c r="D10396" t="str">
        <f>"637"</f>
        <v>637</v>
      </c>
    </row>
    <row r="10397" spans="1:5" x14ac:dyDescent="0.25">
      <c r="A10397" t="str">
        <f>"839253090"</f>
        <v>839253090</v>
      </c>
      <c r="B10397" t="s">
        <v>9582</v>
      </c>
      <c r="C10397">
        <v>22.89</v>
      </c>
      <c r="D10397" t="str">
        <f>"636"</f>
        <v>636</v>
      </c>
      <c r="E10397" t="str">
        <f>"J1940"</f>
        <v>J1940</v>
      </c>
    </row>
    <row r="10398" spans="1:5" x14ac:dyDescent="0.25">
      <c r="A10398" t="str">
        <f>"839253101"</f>
        <v>839253101</v>
      </c>
      <c r="B10398" t="s">
        <v>9583</v>
      </c>
      <c r="C10398">
        <v>44.54</v>
      </c>
      <c r="D10398" t="str">
        <f>"637"</f>
        <v>637</v>
      </c>
    </row>
    <row r="10399" spans="1:5" x14ac:dyDescent="0.25">
      <c r="A10399" t="str">
        <f>"839253111"</f>
        <v>839253111</v>
      </c>
      <c r="B10399" t="s">
        <v>9584</v>
      </c>
      <c r="C10399">
        <v>94.25</v>
      </c>
      <c r="D10399" t="str">
        <f>"250"</f>
        <v>250</v>
      </c>
    </row>
    <row r="10400" spans="1:5" x14ac:dyDescent="0.25">
      <c r="A10400" t="str">
        <f>"839253116"</f>
        <v>839253116</v>
      </c>
      <c r="B10400" t="s">
        <v>9585</v>
      </c>
      <c r="C10400">
        <v>44.48</v>
      </c>
      <c r="D10400" t="str">
        <f>"250"</f>
        <v>250</v>
      </c>
    </row>
    <row r="10401" spans="1:5" x14ac:dyDescent="0.25">
      <c r="A10401" t="str">
        <f>"839253118"</f>
        <v>839253118</v>
      </c>
      <c r="B10401" t="s">
        <v>9586</v>
      </c>
      <c r="C10401">
        <v>6.6</v>
      </c>
      <c r="D10401" t="str">
        <f>"637"</f>
        <v>637</v>
      </c>
    </row>
    <row r="10402" spans="1:5" x14ac:dyDescent="0.25">
      <c r="A10402" t="str">
        <f>"839253119"</f>
        <v>839253119</v>
      </c>
      <c r="B10402" t="s">
        <v>9587</v>
      </c>
      <c r="C10402">
        <v>329.26</v>
      </c>
      <c r="D10402" t="str">
        <f>"250"</f>
        <v>250</v>
      </c>
    </row>
    <row r="10403" spans="1:5" x14ac:dyDescent="0.25">
      <c r="A10403" t="str">
        <f>"839253120"</f>
        <v>839253120</v>
      </c>
      <c r="B10403" t="s">
        <v>9588</v>
      </c>
      <c r="C10403">
        <v>15.28</v>
      </c>
      <c r="D10403" t="str">
        <f>"637"</f>
        <v>637</v>
      </c>
    </row>
    <row r="10404" spans="1:5" x14ac:dyDescent="0.25">
      <c r="A10404" t="str">
        <f>"839253121"</f>
        <v>839253121</v>
      </c>
      <c r="B10404" t="s">
        <v>9589</v>
      </c>
      <c r="C10404">
        <v>128.11000000000001</v>
      </c>
      <c r="D10404" t="str">
        <f>"637"</f>
        <v>637</v>
      </c>
    </row>
    <row r="10405" spans="1:5" x14ac:dyDescent="0.25">
      <c r="A10405" t="str">
        <f>"839253140"</f>
        <v>839253140</v>
      </c>
      <c r="B10405" t="s">
        <v>9590</v>
      </c>
      <c r="C10405">
        <v>25.58</v>
      </c>
      <c r="D10405" t="str">
        <f>"636"</f>
        <v>636</v>
      </c>
      <c r="E10405" t="str">
        <f>"J1580"</f>
        <v>J1580</v>
      </c>
    </row>
    <row r="10406" spans="1:5" x14ac:dyDescent="0.25">
      <c r="A10406" t="str">
        <f>"839253145"</f>
        <v>839253145</v>
      </c>
      <c r="B10406" t="s">
        <v>9591</v>
      </c>
      <c r="C10406">
        <v>233.9</v>
      </c>
      <c r="D10406" t="str">
        <f>"637"</f>
        <v>637</v>
      </c>
    </row>
    <row r="10407" spans="1:5" x14ac:dyDescent="0.25">
      <c r="A10407" t="str">
        <f>"839253160"</f>
        <v>839253160</v>
      </c>
      <c r="B10407" t="s">
        <v>9592</v>
      </c>
      <c r="C10407">
        <v>143.22</v>
      </c>
      <c r="D10407" t="str">
        <f>"250"</f>
        <v>250</v>
      </c>
    </row>
    <row r="10408" spans="1:5" x14ac:dyDescent="0.25">
      <c r="A10408" t="str">
        <f>"839253170"</f>
        <v>839253170</v>
      </c>
      <c r="B10408" t="s">
        <v>9593</v>
      </c>
      <c r="C10408">
        <v>6.6</v>
      </c>
      <c r="D10408" t="str">
        <f>"637"</f>
        <v>637</v>
      </c>
    </row>
    <row r="10409" spans="1:5" x14ac:dyDescent="0.25">
      <c r="A10409" t="str">
        <f>"839253171"</f>
        <v>839253171</v>
      </c>
      <c r="B10409" t="s">
        <v>9594</v>
      </c>
      <c r="C10409">
        <v>259.60000000000002</v>
      </c>
      <c r="D10409" t="str">
        <f>"250"</f>
        <v>250</v>
      </c>
    </row>
    <row r="10410" spans="1:5" x14ac:dyDescent="0.25">
      <c r="A10410" t="str">
        <f>"839253172"</f>
        <v>839253172</v>
      </c>
      <c r="B10410" t="s">
        <v>9595</v>
      </c>
      <c r="C10410">
        <v>71.8</v>
      </c>
      <c r="D10410" t="str">
        <f>"637"</f>
        <v>637</v>
      </c>
    </row>
    <row r="10411" spans="1:5" x14ac:dyDescent="0.25">
      <c r="A10411" t="str">
        <f>"839253180"</f>
        <v>839253180</v>
      </c>
      <c r="B10411" t="s">
        <v>9596</v>
      </c>
      <c r="C10411" s="1">
        <v>2215.4</v>
      </c>
      <c r="D10411" t="str">
        <f>"636"</f>
        <v>636</v>
      </c>
      <c r="E10411" t="str">
        <f>"J1610"</f>
        <v>J1610</v>
      </c>
    </row>
    <row r="10412" spans="1:5" x14ac:dyDescent="0.25">
      <c r="A10412" t="str">
        <f>"839253186"</f>
        <v>839253186</v>
      </c>
      <c r="B10412" t="s">
        <v>9597</v>
      </c>
      <c r="C10412">
        <v>6.6</v>
      </c>
      <c r="D10412" t="str">
        <f t="shared" ref="D10412:D10418" si="333">"637"</f>
        <v>637</v>
      </c>
    </row>
    <row r="10413" spans="1:5" x14ac:dyDescent="0.25">
      <c r="A10413" t="str">
        <f>"839253200"</f>
        <v>839253200</v>
      </c>
      <c r="B10413" t="s">
        <v>9598</v>
      </c>
      <c r="C10413">
        <v>6.6</v>
      </c>
      <c r="D10413" t="str">
        <f t="shared" si="333"/>
        <v>637</v>
      </c>
    </row>
    <row r="10414" spans="1:5" x14ac:dyDescent="0.25">
      <c r="A10414" t="str">
        <f>"839253205"</f>
        <v>839253205</v>
      </c>
      <c r="B10414" t="s">
        <v>9599</v>
      </c>
      <c r="C10414">
        <v>6.6</v>
      </c>
      <c r="D10414" t="str">
        <f t="shared" si="333"/>
        <v>637</v>
      </c>
    </row>
    <row r="10415" spans="1:5" x14ac:dyDescent="0.25">
      <c r="A10415" t="str">
        <f>"839253215"</f>
        <v>839253215</v>
      </c>
      <c r="B10415" t="s">
        <v>9600</v>
      </c>
      <c r="C10415">
        <v>6.6</v>
      </c>
      <c r="D10415" t="str">
        <f t="shared" si="333"/>
        <v>637</v>
      </c>
    </row>
    <row r="10416" spans="1:5" x14ac:dyDescent="0.25">
      <c r="A10416" t="str">
        <f>"839253250"</f>
        <v>839253250</v>
      </c>
      <c r="B10416" t="s">
        <v>9601</v>
      </c>
      <c r="C10416">
        <v>60.72</v>
      </c>
      <c r="D10416" t="str">
        <f t="shared" si="333"/>
        <v>637</v>
      </c>
    </row>
    <row r="10417" spans="1:5" x14ac:dyDescent="0.25">
      <c r="A10417" t="str">
        <f>"839253265"</f>
        <v>839253265</v>
      </c>
      <c r="B10417" t="s">
        <v>9602</v>
      </c>
      <c r="C10417">
        <v>6.6</v>
      </c>
      <c r="D10417" t="str">
        <f t="shared" si="333"/>
        <v>637</v>
      </c>
    </row>
    <row r="10418" spans="1:5" x14ac:dyDescent="0.25">
      <c r="A10418" t="str">
        <f>"839253276"</f>
        <v>839253276</v>
      </c>
      <c r="B10418" t="s">
        <v>9603</v>
      </c>
      <c r="C10418">
        <v>6.6</v>
      </c>
      <c r="D10418" t="str">
        <f t="shared" si="333"/>
        <v>637</v>
      </c>
    </row>
    <row r="10419" spans="1:5" x14ac:dyDescent="0.25">
      <c r="A10419" t="str">
        <f>"839253316"</f>
        <v>839253316</v>
      </c>
      <c r="B10419" t="s">
        <v>9604</v>
      </c>
      <c r="C10419">
        <v>206.25</v>
      </c>
      <c r="D10419" t="str">
        <f>"636"</f>
        <v>636</v>
      </c>
      <c r="E10419" t="str">
        <f>"J1631"</f>
        <v>J1631</v>
      </c>
    </row>
    <row r="10420" spans="1:5" x14ac:dyDescent="0.25">
      <c r="A10420" t="str">
        <f>"839253321"</f>
        <v>839253321</v>
      </c>
      <c r="B10420" t="s">
        <v>9605</v>
      </c>
      <c r="C10420">
        <v>94.25</v>
      </c>
      <c r="D10420" t="str">
        <f>"250"</f>
        <v>250</v>
      </c>
    </row>
    <row r="10421" spans="1:5" x14ac:dyDescent="0.25">
      <c r="A10421" t="str">
        <f>"839253323"</f>
        <v>839253323</v>
      </c>
      <c r="B10421" t="s">
        <v>9606</v>
      </c>
      <c r="C10421">
        <v>548.86</v>
      </c>
      <c r="D10421" t="str">
        <f>"637"</f>
        <v>637</v>
      </c>
    </row>
    <row r="10422" spans="1:5" x14ac:dyDescent="0.25">
      <c r="A10422" t="str">
        <f>"839253325"</f>
        <v>839253325</v>
      </c>
      <c r="B10422" t="s">
        <v>9607</v>
      </c>
      <c r="C10422">
        <v>7.07</v>
      </c>
      <c r="D10422" t="str">
        <f>"637"</f>
        <v>637</v>
      </c>
    </row>
    <row r="10423" spans="1:5" x14ac:dyDescent="0.25">
      <c r="A10423" t="str">
        <f>"839253326"</f>
        <v>839253326</v>
      </c>
      <c r="B10423" t="s">
        <v>9608</v>
      </c>
      <c r="C10423">
        <v>6.6</v>
      </c>
      <c r="D10423" t="str">
        <f>"637"</f>
        <v>637</v>
      </c>
    </row>
    <row r="10424" spans="1:5" x14ac:dyDescent="0.25">
      <c r="A10424" t="str">
        <f>"839253327"</f>
        <v>839253327</v>
      </c>
      <c r="B10424" t="s">
        <v>9609</v>
      </c>
      <c r="C10424">
        <v>95.04</v>
      </c>
      <c r="D10424" t="str">
        <f>"636"</f>
        <v>636</v>
      </c>
      <c r="E10424" t="str">
        <f>"J1170"</f>
        <v>J1170</v>
      </c>
    </row>
    <row r="10425" spans="1:5" x14ac:dyDescent="0.25">
      <c r="A10425" t="str">
        <f>"839253334"</f>
        <v>839253334</v>
      </c>
      <c r="B10425" t="s">
        <v>9610</v>
      </c>
      <c r="C10425">
        <v>13.83</v>
      </c>
      <c r="D10425" t="str">
        <f>"637"</f>
        <v>637</v>
      </c>
    </row>
    <row r="10426" spans="1:5" x14ac:dyDescent="0.25">
      <c r="A10426" t="str">
        <f>"839253335"</f>
        <v>839253335</v>
      </c>
      <c r="B10426" t="s">
        <v>9611</v>
      </c>
      <c r="C10426">
        <v>407.75</v>
      </c>
      <c r="D10426" t="str">
        <f>"636"</f>
        <v>636</v>
      </c>
      <c r="E10426" t="str">
        <f>"J1631"</f>
        <v>J1631</v>
      </c>
    </row>
    <row r="10427" spans="1:5" x14ac:dyDescent="0.25">
      <c r="A10427" t="str">
        <f>"839253336"</f>
        <v>839253336</v>
      </c>
      <c r="B10427" t="s">
        <v>9612</v>
      </c>
      <c r="C10427">
        <v>6.6</v>
      </c>
      <c r="D10427" t="str">
        <f>"637"</f>
        <v>637</v>
      </c>
    </row>
    <row r="10428" spans="1:5" x14ac:dyDescent="0.25">
      <c r="A10428" t="str">
        <f>"839253345"</f>
        <v>839253345</v>
      </c>
      <c r="B10428" t="s">
        <v>9613</v>
      </c>
      <c r="C10428">
        <v>45.54</v>
      </c>
      <c r="D10428" t="str">
        <f>"636"</f>
        <v>636</v>
      </c>
    </row>
    <row r="10429" spans="1:5" x14ac:dyDescent="0.25">
      <c r="A10429" t="str">
        <f>"839253346"</f>
        <v>839253346</v>
      </c>
      <c r="B10429" t="s">
        <v>9614</v>
      </c>
      <c r="C10429">
        <v>7.21</v>
      </c>
      <c r="D10429" t="str">
        <f>"637"</f>
        <v>637</v>
      </c>
    </row>
    <row r="10430" spans="1:5" x14ac:dyDescent="0.25">
      <c r="A10430" t="str">
        <f>"839253370"</f>
        <v>839253370</v>
      </c>
      <c r="B10430" t="s">
        <v>9615</v>
      </c>
      <c r="C10430">
        <v>6.6</v>
      </c>
      <c r="D10430" t="str">
        <f>"637"</f>
        <v>637</v>
      </c>
    </row>
    <row r="10431" spans="1:5" x14ac:dyDescent="0.25">
      <c r="A10431" t="str">
        <f>"839253371"</f>
        <v>839253371</v>
      </c>
      <c r="B10431" t="s">
        <v>9616</v>
      </c>
      <c r="C10431">
        <v>6.6</v>
      </c>
      <c r="D10431" t="str">
        <f>"637"</f>
        <v>637</v>
      </c>
    </row>
    <row r="10432" spans="1:5" x14ac:dyDescent="0.25">
      <c r="A10432" t="str">
        <f>"839253385"</f>
        <v>839253385</v>
      </c>
      <c r="B10432" t="s">
        <v>9617</v>
      </c>
      <c r="C10432">
        <v>19.25</v>
      </c>
      <c r="D10432" t="str">
        <f>"636"</f>
        <v>636</v>
      </c>
      <c r="E10432" t="str">
        <f>"J1644"</f>
        <v>J1644</v>
      </c>
    </row>
    <row r="10433" spans="1:5" x14ac:dyDescent="0.25">
      <c r="A10433" t="str">
        <f>"839253410"</f>
        <v>839253410</v>
      </c>
      <c r="B10433" t="s">
        <v>9618</v>
      </c>
      <c r="C10433">
        <v>254.1</v>
      </c>
      <c r="D10433" t="str">
        <f>"636"</f>
        <v>636</v>
      </c>
      <c r="E10433" t="str">
        <f>"90746"</f>
        <v>90746</v>
      </c>
    </row>
    <row r="10434" spans="1:5" x14ac:dyDescent="0.25">
      <c r="A10434" t="str">
        <f>"839253425"</f>
        <v>839253425</v>
      </c>
      <c r="B10434" t="s">
        <v>9619</v>
      </c>
      <c r="C10434">
        <v>13.28</v>
      </c>
      <c r="D10434" t="str">
        <f>"636"</f>
        <v>636</v>
      </c>
      <c r="E10434" t="str">
        <f>"J1642"</f>
        <v>J1642</v>
      </c>
    </row>
    <row r="10435" spans="1:5" x14ac:dyDescent="0.25">
      <c r="A10435" t="str">
        <f>"839253430"</f>
        <v>839253430</v>
      </c>
      <c r="B10435" t="s">
        <v>9620</v>
      </c>
      <c r="C10435">
        <v>135.30000000000001</v>
      </c>
      <c r="D10435" t="str">
        <f>"250"</f>
        <v>250</v>
      </c>
    </row>
    <row r="10436" spans="1:5" x14ac:dyDescent="0.25">
      <c r="A10436" t="str">
        <f>"839253448"</f>
        <v>839253448</v>
      </c>
      <c r="B10436" t="s">
        <v>9621</v>
      </c>
      <c r="C10436">
        <v>199.25</v>
      </c>
      <c r="D10436" t="str">
        <f>"637"</f>
        <v>637</v>
      </c>
    </row>
    <row r="10437" spans="1:5" x14ac:dyDescent="0.25">
      <c r="A10437" t="str">
        <f>"839253455"</f>
        <v>839253455</v>
      </c>
      <c r="B10437" t="s">
        <v>9622</v>
      </c>
      <c r="C10437">
        <v>8.24</v>
      </c>
      <c r="D10437" t="str">
        <f>"250"</f>
        <v>250</v>
      </c>
    </row>
    <row r="10438" spans="1:5" x14ac:dyDescent="0.25">
      <c r="A10438" t="str">
        <f>"839253460"</f>
        <v>839253460</v>
      </c>
      <c r="B10438" t="s">
        <v>9623</v>
      </c>
      <c r="C10438">
        <v>103.59</v>
      </c>
      <c r="D10438" t="str">
        <f>"250"</f>
        <v>250</v>
      </c>
      <c r="E10438" t="str">
        <f>"J0360"</f>
        <v>J0360</v>
      </c>
    </row>
    <row r="10439" spans="1:5" x14ac:dyDescent="0.25">
      <c r="A10439" t="str">
        <f>"839253462"</f>
        <v>839253462</v>
      </c>
      <c r="B10439" t="s">
        <v>9624</v>
      </c>
      <c r="C10439">
        <v>77.760000000000005</v>
      </c>
      <c r="D10439" t="str">
        <f>"637"</f>
        <v>637</v>
      </c>
    </row>
    <row r="10440" spans="1:5" x14ac:dyDescent="0.25">
      <c r="A10440" t="str">
        <f>"839253465"</f>
        <v>839253465</v>
      </c>
      <c r="B10440" t="s">
        <v>9625</v>
      </c>
      <c r="C10440">
        <v>6.6</v>
      </c>
      <c r="D10440" t="str">
        <f>"271"</f>
        <v>271</v>
      </c>
    </row>
    <row r="10441" spans="1:5" x14ac:dyDescent="0.25">
      <c r="A10441" t="str">
        <f>"839253470"</f>
        <v>839253470</v>
      </c>
      <c r="B10441" t="s">
        <v>9626</v>
      </c>
      <c r="C10441">
        <v>6.6</v>
      </c>
      <c r="D10441" t="str">
        <f>"271"</f>
        <v>271</v>
      </c>
    </row>
    <row r="10442" spans="1:5" x14ac:dyDescent="0.25">
      <c r="A10442" t="str">
        <f>"839253480"</f>
        <v>839253480</v>
      </c>
      <c r="B10442" t="s">
        <v>9627</v>
      </c>
      <c r="C10442">
        <v>6.6</v>
      </c>
      <c r="D10442" t="str">
        <f>"637"</f>
        <v>637</v>
      </c>
    </row>
    <row r="10443" spans="1:5" x14ac:dyDescent="0.25">
      <c r="A10443" t="str">
        <f>"839253510"</f>
        <v>839253510</v>
      </c>
      <c r="B10443" t="s">
        <v>9628</v>
      </c>
      <c r="C10443">
        <v>140.79</v>
      </c>
      <c r="D10443" t="str">
        <f>"637"</f>
        <v>637</v>
      </c>
    </row>
    <row r="10444" spans="1:5" x14ac:dyDescent="0.25">
      <c r="A10444" t="str">
        <f>"839253515"</f>
        <v>839253515</v>
      </c>
      <c r="B10444" t="s">
        <v>9629</v>
      </c>
      <c r="C10444">
        <v>19.47</v>
      </c>
      <c r="D10444" t="str">
        <f>"637"</f>
        <v>637</v>
      </c>
    </row>
    <row r="10445" spans="1:5" x14ac:dyDescent="0.25">
      <c r="A10445" t="str">
        <f>"839253535"</f>
        <v>839253535</v>
      </c>
      <c r="B10445" t="s">
        <v>9630</v>
      </c>
      <c r="C10445">
        <v>196.76</v>
      </c>
      <c r="D10445" t="str">
        <f>"636"</f>
        <v>636</v>
      </c>
      <c r="E10445" t="str">
        <f>"J1720"</f>
        <v>J1720</v>
      </c>
    </row>
    <row r="10446" spans="1:5" x14ac:dyDescent="0.25">
      <c r="A10446" t="str">
        <f>"839253550"</f>
        <v>839253550</v>
      </c>
      <c r="B10446" t="s">
        <v>9631</v>
      </c>
      <c r="C10446">
        <v>22.37</v>
      </c>
      <c r="D10446" t="str">
        <f>"250"</f>
        <v>250</v>
      </c>
    </row>
    <row r="10447" spans="1:5" x14ac:dyDescent="0.25">
      <c r="A10447" t="str">
        <f>"839253565"</f>
        <v>839253565</v>
      </c>
      <c r="B10447" t="s">
        <v>9632</v>
      </c>
      <c r="C10447">
        <v>23.76</v>
      </c>
      <c r="D10447" t="str">
        <f>"636"</f>
        <v>636</v>
      </c>
      <c r="E10447" t="str">
        <f>"J1170"</f>
        <v>J1170</v>
      </c>
    </row>
    <row r="10448" spans="1:5" x14ac:dyDescent="0.25">
      <c r="A10448" t="str">
        <f>"839253570"</f>
        <v>839253570</v>
      </c>
      <c r="B10448" t="s">
        <v>9633</v>
      </c>
      <c r="C10448">
        <v>11.18</v>
      </c>
      <c r="D10448" t="str">
        <f>"636"</f>
        <v>636</v>
      </c>
      <c r="E10448" t="str">
        <f>"J1170"</f>
        <v>J1170</v>
      </c>
    </row>
    <row r="10449" spans="1:5" x14ac:dyDescent="0.25">
      <c r="A10449" t="str">
        <f>"839253595"</f>
        <v>839253595</v>
      </c>
      <c r="B10449" t="s">
        <v>9634</v>
      </c>
      <c r="C10449">
        <v>6.6</v>
      </c>
      <c r="D10449" t="str">
        <f>"636"</f>
        <v>636</v>
      </c>
    </row>
    <row r="10450" spans="1:5" x14ac:dyDescent="0.25">
      <c r="A10450" t="str">
        <f>"839253606"</f>
        <v>839253606</v>
      </c>
      <c r="B10450" t="s">
        <v>9635</v>
      </c>
      <c r="C10450">
        <v>6.6</v>
      </c>
      <c r="D10450" t="str">
        <f>"272"</f>
        <v>272</v>
      </c>
    </row>
    <row r="10451" spans="1:5" x14ac:dyDescent="0.25">
      <c r="A10451" t="str">
        <f>"839253610"</f>
        <v>839253610</v>
      </c>
      <c r="B10451" t="s">
        <v>9636</v>
      </c>
      <c r="C10451">
        <v>159.72</v>
      </c>
      <c r="D10451" t="str">
        <f>"636"</f>
        <v>636</v>
      </c>
      <c r="E10451" t="str">
        <f>"J3410"</f>
        <v>J3410</v>
      </c>
    </row>
    <row r="10452" spans="1:5" x14ac:dyDescent="0.25">
      <c r="A10452" t="str">
        <f>"839253615"</f>
        <v>839253615</v>
      </c>
      <c r="B10452" t="s">
        <v>9637</v>
      </c>
      <c r="C10452">
        <v>6.6</v>
      </c>
      <c r="D10452" t="str">
        <f>"272"</f>
        <v>272</v>
      </c>
    </row>
    <row r="10453" spans="1:5" x14ac:dyDescent="0.25">
      <c r="A10453" t="str">
        <f>"839253620"</f>
        <v>839253620</v>
      </c>
      <c r="B10453" t="s">
        <v>9638</v>
      </c>
      <c r="C10453">
        <v>176.22</v>
      </c>
      <c r="D10453" t="str">
        <f>"636"</f>
        <v>636</v>
      </c>
      <c r="E10453" t="str">
        <f>"J3410"</f>
        <v>J3410</v>
      </c>
    </row>
    <row r="10454" spans="1:5" x14ac:dyDescent="0.25">
      <c r="A10454" t="str">
        <f>"839253625"</f>
        <v>839253625</v>
      </c>
      <c r="B10454" t="s">
        <v>9639</v>
      </c>
      <c r="C10454">
        <v>6.6</v>
      </c>
      <c r="D10454" t="str">
        <f>"637"</f>
        <v>637</v>
      </c>
    </row>
    <row r="10455" spans="1:5" x14ac:dyDescent="0.25">
      <c r="A10455" t="str">
        <f>"839253630"</f>
        <v>839253630</v>
      </c>
      <c r="B10455" t="s">
        <v>9640</v>
      </c>
      <c r="C10455">
        <v>6.6</v>
      </c>
      <c r="D10455" t="str">
        <f>"637"</f>
        <v>637</v>
      </c>
    </row>
    <row r="10456" spans="1:5" x14ac:dyDescent="0.25">
      <c r="A10456" t="str">
        <f>"839253632"</f>
        <v>839253632</v>
      </c>
      <c r="B10456" t="s">
        <v>9641</v>
      </c>
      <c r="C10456">
        <v>7.65</v>
      </c>
      <c r="D10456" t="str">
        <f>"637"</f>
        <v>637</v>
      </c>
    </row>
    <row r="10457" spans="1:5" x14ac:dyDescent="0.25">
      <c r="A10457" t="str">
        <f>"839253640"</f>
        <v>839253640</v>
      </c>
      <c r="B10457" t="s">
        <v>9642</v>
      </c>
      <c r="C10457">
        <v>6.6</v>
      </c>
      <c r="D10457" t="str">
        <f>"637"</f>
        <v>637</v>
      </c>
    </row>
    <row r="10458" spans="1:5" x14ac:dyDescent="0.25">
      <c r="A10458" t="str">
        <f>"839253645"</f>
        <v>839253645</v>
      </c>
      <c r="B10458" t="s">
        <v>9643</v>
      </c>
      <c r="C10458">
        <v>6.6</v>
      </c>
      <c r="D10458" t="str">
        <f>"637"</f>
        <v>637</v>
      </c>
    </row>
    <row r="10459" spans="1:5" x14ac:dyDescent="0.25">
      <c r="A10459" t="str">
        <f>"839253648"</f>
        <v>839253648</v>
      </c>
      <c r="B10459" t="s">
        <v>9644</v>
      </c>
      <c r="C10459">
        <v>137.35</v>
      </c>
      <c r="D10459" t="str">
        <f>"250"</f>
        <v>250</v>
      </c>
    </row>
    <row r="10460" spans="1:5" x14ac:dyDescent="0.25">
      <c r="A10460" t="str">
        <f>"839253649"</f>
        <v>839253649</v>
      </c>
      <c r="B10460" t="s">
        <v>9645</v>
      </c>
      <c r="C10460">
        <v>11.53</v>
      </c>
      <c r="D10460" t="str">
        <f>"637"</f>
        <v>637</v>
      </c>
    </row>
    <row r="10461" spans="1:5" x14ac:dyDescent="0.25">
      <c r="A10461" t="str">
        <f>"839253653"</f>
        <v>839253653</v>
      </c>
      <c r="B10461" t="s">
        <v>9646</v>
      </c>
      <c r="C10461">
        <v>178.27</v>
      </c>
      <c r="D10461" t="str">
        <f>"637"</f>
        <v>637</v>
      </c>
    </row>
    <row r="10462" spans="1:5" x14ac:dyDescent="0.25">
      <c r="A10462" t="str">
        <f>"839253655"</f>
        <v>839253655</v>
      </c>
      <c r="B10462" t="s">
        <v>9647</v>
      </c>
      <c r="C10462">
        <v>6.6</v>
      </c>
      <c r="D10462" t="str">
        <f>"637"</f>
        <v>637</v>
      </c>
    </row>
    <row r="10463" spans="1:5" x14ac:dyDescent="0.25">
      <c r="A10463" t="str">
        <f>"839253660"</f>
        <v>839253660</v>
      </c>
      <c r="B10463" t="s">
        <v>9648</v>
      </c>
      <c r="C10463">
        <v>6.6</v>
      </c>
      <c r="D10463" t="str">
        <f>"637"</f>
        <v>637</v>
      </c>
    </row>
    <row r="10464" spans="1:5" x14ac:dyDescent="0.25">
      <c r="A10464" t="str">
        <f>"839253671"</f>
        <v>839253671</v>
      </c>
      <c r="B10464" t="s">
        <v>9649</v>
      </c>
      <c r="C10464">
        <v>7.7</v>
      </c>
      <c r="D10464" t="str">
        <f>"636"</f>
        <v>636</v>
      </c>
      <c r="E10464" t="str">
        <f>"J2325"</f>
        <v>J2325</v>
      </c>
    </row>
    <row r="10465" spans="1:5" x14ac:dyDescent="0.25">
      <c r="A10465" t="str">
        <f>"839253706"</f>
        <v>839253706</v>
      </c>
      <c r="B10465" t="s">
        <v>9650</v>
      </c>
      <c r="C10465">
        <v>561</v>
      </c>
      <c r="D10465" t="str">
        <f>"637"</f>
        <v>637</v>
      </c>
      <c r="E10465" t="str">
        <f>"J3030"</f>
        <v>J3030</v>
      </c>
    </row>
    <row r="10466" spans="1:5" x14ac:dyDescent="0.25">
      <c r="A10466" t="str">
        <f>"839253710"</f>
        <v>839253710</v>
      </c>
      <c r="B10466" t="s">
        <v>9651</v>
      </c>
      <c r="C10466">
        <v>6.6</v>
      </c>
      <c r="D10466" t="str">
        <f>"637"</f>
        <v>637</v>
      </c>
    </row>
    <row r="10467" spans="1:5" x14ac:dyDescent="0.25">
      <c r="A10467" t="str">
        <f>"839253715"</f>
        <v>839253715</v>
      </c>
      <c r="B10467" t="s">
        <v>9652</v>
      </c>
      <c r="C10467">
        <v>6.6</v>
      </c>
      <c r="D10467" t="str">
        <f>"637"</f>
        <v>637</v>
      </c>
    </row>
    <row r="10468" spans="1:5" x14ac:dyDescent="0.25">
      <c r="A10468" t="str">
        <f>"839253720"</f>
        <v>839253720</v>
      </c>
      <c r="B10468" t="s">
        <v>9653</v>
      </c>
      <c r="C10468">
        <v>8.0399999999999991</v>
      </c>
      <c r="D10468" t="str">
        <f>"637"</f>
        <v>637</v>
      </c>
    </row>
    <row r="10469" spans="1:5" x14ac:dyDescent="0.25">
      <c r="A10469" t="str">
        <f>"839253742"</f>
        <v>839253742</v>
      </c>
      <c r="B10469" t="s">
        <v>9654</v>
      </c>
      <c r="C10469" s="1">
        <v>1434.86</v>
      </c>
      <c r="D10469" t="str">
        <f>"250"</f>
        <v>250</v>
      </c>
    </row>
    <row r="10470" spans="1:5" x14ac:dyDescent="0.25">
      <c r="A10470" t="str">
        <f>"839253750"</f>
        <v>839253750</v>
      </c>
      <c r="B10470" t="s">
        <v>9655</v>
      </c>
      <c r="C10470">
        <v>6.6</v>
      </c>
      <c r="D10470" t="str">
        <f t="shared" ref="D10470:D10477" si="334">"637"</f>
        <v>637</v>
      </c>
    </row>
    <row r="10471" spans="1:5" x14ac:dyDescent="0.25">
      <c r="A10471" t="str">
        <f>"839253779"</f>
        <v>839253779</v>
      </c>
      <c r="B10471" t="s">
        <v>9656</v>
      </c>
      <c r="C10471">
        <v>8.42</v>
      </c>
      <c r="D10471" t="str">
        <f t="shared" si="334"/>
        <v>637</v>
      </c>
      <c r="E10471" t="str">
        <f>"J1815"</f>
        <v>J1815</v>
      </c>
    </row>
    <row r="10472" spans="1:5" x14ac:dyDescent="0.25">
      <c r="A10472" t="str">
        <f>"839253785"</f>
        <v>839253785</v>
      </c>
      <c r="B10472" t="s">
        <v>9657</v>
      </c>
      <c r="C10472">
        <v>8.42</v>
      </c>
      <c r="D10472" t="str">
        <f t="shared" si="334"/>
        <v>637</v>
      </c>
      <c r="E10472" t="str">
        <f>"J1815"</f>
        <v>J1815</v>
      </c>
    </row>
    <row r="10473" spans="1:5" x14ac:dyDescent="0.25">
      <c r="A10473" t="str">
        <f>"839253790"</f>
        <v>839253790</v>
      </c>
      <c r="B10473" t="s">
        <v>9658</v>
      </c>
      <c r="C10473">
        <v>6.6</v>
      </c>
      <c r="D10473" t="str">
        <f t="shared" si="334"/>
        <v>637</v>
      </c>
      <c r="E10473" t="str">
        <f>"J1815"</f>
        <v>J1815</v>
      </c>
    </row>
    <row r="10474" spans="1:5" x14ac:dyDescent="0.25">
      <c r="A10474" t="str">
        <f>"839253803"</f>
        <v>839253803</v>
      </c>
      <c r="B10474" t="s">
        <v>9659</v>
      </c>
      <c r="C10474">
        <v>201.94</v>
      </c>
      <c r="D10474" t="str">
        <f t="shared" si="334"/>
        <v>637</v>
      </c>
    </row>
    <row r="10475" spans="1:5" x14ac:dyDescent="0.25">
      <c r="A10475" t="str">
        <f>"839253804"</f>
        <v>839253804</v>
      </c>
      <c r="B10475" t="s">
        <v>9660</v>
      </c>
      <c r="C10475">
        <v>311.14999999999998</v>
      </c>
      <c r="D10475" t="str">
        <f t="shared" si="334"/>
        <v>637</v>
      </c>
    </row>
    <row r="10476" spans="1:5" x14ac:dyDescent="0.25">
      <c r="A10476" t="str">
        <f>"839253806"</f>
        <v>839253806</v>
      </c>
      <c r="B10476" t="s">
        <v>9661</v>
      </c>
      <c r="C10476">
        <v>466.72</v>
      </c>
      <c r="D10476" t="str">
        <f t="shared" si="334"/>
        <v>637</v>
      </c>
    </row>
    <row r="10477" spans="1:5" x14ac:dyDescent="0.25">
      <c r="A10477" t="str">
        <f>"839253810"</f>
        <v>839253810</v>
      </c>
      <c r="B10477" t="s">
        <v>9662</v>
      </c>
      <c r="C10477">
        <v>29.24</v>
      </c>
      <c r="D10477" t="str">
        <f t="shared" si="334"/>
        <v>637</v>
      </c>
    </row>
    <row r="10478" spans="1:5" x14ac:dyDescent="0.25">
      <c r="A10478" t="str">
        <f>"839253816"</f>
        <v>839253816</v>
      </c>
      <c r="B10478" t="s">
        <v>9663</v>
      </c>
      <c r="C10478">
        <v>12.19</v>
      </c>
      <c r="D10478" t="str">
        <f>"272"</f>
        <v>272</v>
      </c>
    </row>
    <row r="10479" spans="1:5" x14ac:dyDescent="0.25">
      <c r="A10479" t="str">
        <f>"839253845"</f>
        <v>839253845</v>
      </c>
      <c r="B10479" t="s">
        <v>9664</v>
      </c>
      <c r="C10479">
        <v>6.6</v>
      </c>
      <c r="D10479" t="str">
        <f>"637"</f>
        <v>637</v>
      </c>
    </row>
    <row r="10480" spans="1:5" x14ac:dyDescent="0.25">
      <c r="A10480" t="str">
        <f>"839253860"</f>
        <v>839253860</v>
      </c>
      <c r="B10480" t="s">
        <v>9665</v>
      </c>
      <c r="C10480">
        <v>6.6</v>
      </c>
      <c r="D10480" t="str">
        <f>"250"</f>
        <v>250</v>
      </c>
    </row>
    <row r="10481" spans="1:4" x14ac:dyDescent="0.25">
      <c r="A10481" t="str">
        <f>"839253880"</f>
        <v>839253880</v>
      </c>
      <c r="B10481" t="s">
        <v>9666</v>
      </c>
      <c r="C10481">
        <v>6.6</v>
      </c>
      <c r="D10481" t="str">
        <f t="shared" ref="D10481:D10486" si="335">"637"</f>
        <v>637</v>
      </c>
    </row>
    <row r="10482" spans="1:4" x14ac:dyDescent="0.25">
      <c r="A10482" t="str">
        <f>"839253885"</f>
        <v>839253885</v>
      </c>
      <c r="B10482" t="s">
        <v>9667</v>
      </c>
      <c r="C10482">
        <v>6.6</v>
      </c>
      <c r="D10482" t="str">
        <f t="shared" si="335"/>
        <v>637</v>
      </c>
    </row>
    <row r="10483" spans="1:4" x14ac:dyDescent="0.25">
      <c r="A10483" t="str">
        <f>"839253892"</f>
        <v>839253892</v>
      </c>
      <c r="B10483" t="s">
        <v>9668</v>
      </c>
      <c r="C10483">
        <v>6.6</v>
      </c>
      <c r="D10483" t="str">
        <f t="shared" si="335"/>
        <v>637</v>
      </c>
    </row>
    <row r="10484" spans="1:4" x14ac:dyDescent="0.25">
      <c r="A10484" t="str">
        <f>"839253902"</f>
        <v>839253902</v>
      </c>
      <c r="B10484" t="s">
        <v>9669</v>
      </c>
      <c r="C10484">
        <v>10.96</v>
      </c>
      <c r="D10484" t="str">
        <f t="shared" si="335"/>
        <v>637</v>
      </c>
    </row>
    <row r="10485" spans="1:4" x14ac:dyDescent="0.25">
      <c r="A10485" t="str">
        <f>"839253905"</f>
        <v>839253905</v>
      </c>
      <c r="B10485" t="s">
        <v>9670</v>
      </c>
      <c r="C10485">
        <v>9.41</v>
      </c>
      <c r="D10485" t="str">
        <f t="shared" si="335"/>
        <v>637</v>
      </c>
    </row>
    <row r="10486" spans="1:4" x14ac:dyDescent="0.25">
      <c r="A10486" t="str">
        <f>"839253925"</f>
        <v>839253925</v>
      </c>
      <c r="B10486" t="s">
        <v>9671</v>
      </c>
      <c r="C10486">
        <v>21.91</v>
      </c>
      <c r="D10486" t="str">
        <f t="shared" si="335"/>
        <v>637</v>
      </c>
    </row>
    <row r="10487" spans="1:4" x14ac:dyDescent="0.25">
      <c r="A10487" t="str">
        <f>"839253926"</f>
        <v>839253926</v>
      </c>
      <c r="B10487" t="s">
        <v>9672</v>
      </c>
      <c r="C10487">
        <v>46.13</v>
      </c>
      <c r="D10487" t="str">
        <f>"250"</f>
        <v>250</v>
      </c>
    </row>
    <row r="10488" spans="1:4" x14ac:dyDescent="0.25">
      <c r="A10488" t="str">
        <f>"839253927"</f>
        <v>839253927</v>
      </c>
      <c r="B10488" t="s">
        <v>9673</v>
      </c>
      <c r="C10488">
        <v>67.599999999999994</v>
      </c>
      <c r="D10488" t="str">
        <f>"637"</f>
        <v>637</v>
      </c>
    </row>
    <row r="10489" spans="1:4" x14ac:dyDescent="0.25">
      <c r="A10489" t="str">
        <f>"839253931"</f>
        <v>839253931</v>
      </c>
      <c r="B10489" t="s">
        <v>9674</v>
      </c>
      <c r="C10489">
        <v>14.23</v>
      </c>
      <c r="D10489" t="str">
        <f>"637"</f>
        <v>637</v>
      </c>
    </row>
    <row r="10490" spans="1:4" x14ac:dyDescent="0.25">
      <c r="A10490" t="str">
        <f>"839253935"</f>
        <v>839253935</v>
      </c>
      <c r="B10490" t="s">
        <v>9675</v>
      </c>
      <c r="C10490">
        <v>20.86</v>
      </c>
      <c r="D10490" t="str">
        <f>"637"</f>
        <v>637</v>
      </c>
    </row>
    <row r="10491" spans="1:4" x14ac:dyDescent="0.25">
      <c r="A10491" t="str">
        <f>"839253940"</f>
        <v>839253940</v>
      </c>
      <c r="B10491" t="s">
        <v>9676</v>
      </c>
      <c r="C10491">
        <v>866.78</v>
      </c>
      <c r="D10491" t="str">
        <f>"637"</f>
        <v>637</v>
      </c>
    </row>
    <row r="10492" spans="1:4" x14ac:dyDescent="0.25">
      <c r="A10492" t="str">
        <f>"839253945"</f>
        <v>839253945</v>
      </c>
      <c r="B10492" t="s">
        <v>9677</v>
      </c>
      <c r="C10492">
        <v>47.82</v>
      </c>
      <c r="D10492" t="str">
        <f>"250"</f>
        <v>250</v>
      </c>
    </row>
    <row r="10493" spans="1:4" x14ac:dyDescent="0.25">
      <c r="A10493" t="str">
        <f>"839253947"</f>
        <v>839253947</v>
      </c>
      <c r="B10493" t="s">
        <v>9678</v>
      </c>
      <c r="C10493">
        <v>15.84</v>
      </c>
      <c r="D10493" t="str">
        <f>"250"</f>
        <v>250</v>
      </c>
    </row>
    <row r="10494" spans="1:4" x14ac:dyDescent="0.25">
      <c r="A10494" t="str">
        <f>"839253950"</f>
        <v>839253950</v>
      </c>
      <c r="B10494" t="s">
        <v>9679</v>
      </c>
      <c r="C10494">
        <v>6.6</v>
      </c>
      <c r="D10494" t="str">
        <f>"637"</f>
        <v>637</v>
      </c>
    </row>
    <row r="10495" spans="1:4" x14ac:dyDescent="0.25">
      <c r="A10495" t="str">
        <f>"839253951"</f>
        <v>839253951</v>
      </c>
      <c r="B10495" t="s">
        <v>9680</v>
      </c>
      <c r="C10495">
        <v>23.02</v>
      </c>
      <c r="D10495" t="str">
        <f>"637"</f>
        <v>637</v>
      </c>
    </row>
    <row r="10496" spans="1:4" x14ac:dyDescent="0.25">
      <c r="A10496" t="str">
        <f>"839253952"</f>
        <v>839253952</v>
      </c>
      <c r="B10496" t="s">
        <v>9681</v>
      </c>
      <c r="C10496">
        <v>40.49</v>
      </c>
      <c r="D10496" t="str">
        <f>"637"</f>
        <v>637</v>
      </c>
    </row>
    <row r="10497" spans="1:5" x14ac:dyDescent="0.25">
      <c r="A10497" t="str">
        <f>"839253954"</f>
        <v>839253954</v>
      </c>
      <c r="B10497" t="s">
        <v>9682</v>
      </c>
      <c r="C10497">
        <v>54.88</v>
      </c>
      <c r="D10497" t="str">
        <f>"637"</f>
        <v>637</v>
      </c>
    </row>
    <row r="10498" spans="1:5" x14ac:dyDescent="0.25">
      <c r="A10498" t="str">
        <f>"839253955"</f>
        <v>839253955</v>
      </c>
      <c r="B10498" t="s">
        <v>9683</v>
      </c>
      <c r="C10498">
        <v>26.86</v>
      </c>
      <c r="D10498" t="str">
        <f>"250"</f>
        <v>250</v>
      </c>
    </row>
    <row r="10499" spans="1:5" x14ac:dyDescent="0.25">
      <c r="A10499" t="str">
        <f>"839253956"</f>
        <v>839253956</v>
      </c>
      <c r="B10499" t="s">
        <v>9684</v>
      </c>
      <c r="C10499">
        <v>118.99</v>
      </c>
      <c r="D10499" t="str">
        <f>"637"</f>
        <v>637</v>
      </c>
    </row>
    <row r="10500" spans="1:5" x14ac:dyDescent="0.25">
      <c r="A10500" t="str">
        <f>"839253957"</f>
        <v>839253957</v>
      </c>
      <c r="B10500" t="s">
        <v>9685</v>
      </c>
      <c r="C10500">
        <v>6.6</v>
      </c>
      <c r="D10500" t="str">
        <f>"637"</f>
        <v>637</v>
      </c>
    </row>
    <row r="10501" spans="1:5" x14ac:dyDescent="0.25">
      <c r="A10501" t="str">
        <f>"839253958"</f>
        <v>839253958</v>
      </c>
      <c r="B10501" t="s">
        <v>9686</v>
      </c>
      <c r="C10501">
        <v>29.71</v>
      </c>
      <c r="D10501" t="str">
        <f>"637"</f>
        <v>637</v>
      </c>
    </row>
    <row r="10502" spans="1:5" x14ac:dyDescent="0.25">
      <c r="A10502" t="str">
        <f>"839253961"</f>
        <v>839253961</v>
      </c>
      <c r="B10502" t="s">
        <v>9687</v>
      </c>
      <c r="C10502">
        <v>6.6</v>
      </c>
      <c r="D10502" t="str">
        <f>"637"</f>
        <v>637</v>
      </c>
      <c r="E10502" t="str">
        <f>"J1815"</f>
        <v>J1815</v>
      </c>
    </row>
    <row r="10503" spans="1:5" x14ac:dyDescent="0.25">
      <c r="A10503" t="str">
        <f>"839253962"</f>
        <v>839253962</v>
      </c>
      <c r="B10503" t="s">
        <v>9688</v>
      </c>
      <c r="C10503">
        <v>627</v>
      </c>
      <c r="D10503" t="str">
        <f>"250"</f>
        <v>250</v>
      </c>
    </row>
    <row r="10504" spans="1:5" x14ac:dyDescent="0.25">
      <c r="A10504" t="str">
        <f>"839253963"</f>
        <v>839253963</v>
      </c>
      <c r="B10504" t="s">
        <v>9689</v>
      </c>
      <c r="C10504">
        <v>44.25</v>
      </c>
      <c r="D10504" t="str">
        <f>"250"</f>
        <v>250</v>
      </c>
    </row>
    <row r="10505" spans="1:5" x14ac:dyDescent="0.25">
      <c r="A10505" t="str">
        <f>"839253965"</f>
        <v>839253965</v>
      </c>
      <c r="B10505" t="s">
        <v>9690</v>
      </c>
      <c r="C10505">
        <v>19.670000000000002</v>
      </c>
      <c r="D10505" t="str">
        <f>"637"</f>
        <v>637</v>
      </c>
    </row>
    <row r="10506" spans="1:5" x14ac:dyDescent="0.25">
      <c r="A10506" t="str">
        <f>"839253968"</f>
        <v>839253968</v>
      </c>
      <c r="B10506" t="s">
        <v>9691</v>
      </c>
      <c r="C10506">
        <v>8.4499999999999993</v>
      </c>
      <c r="D10506" t="str">
        <f>"637"</f>
        <v>637</v>
      </c>
    </row>
    <row r="10507" spans="1:5" x14ac:dyDescent="0.25">
      <c r="A10507" t="str">
        <f>"839253969"</f>
        <v>839253969</v>
      </c>
      <c r="B10507" t="s">
        <v>9692</v>
      </c>
      <c r="C10507">
        <v>97.2</v>
      </c>
      <c r="D10507" t="str">
        <f>"637"</f>
        <v>637</v>
      </c>
    </row>
    <row r="10508" spans="1:5" x14ac:dyDescent="0.25">
      <c r="A10508" t="str">
        <f>"839253971"</f>
        <v>839253971</v>
      </c>
      <c r="B10508" t="s">
        <v>9693</v>
      </c>
      <c r="C10508">
        <v>57.02</v>
      </c>
      <c r="D10508" t="str">
        <f>"636"</f>
        <v>636</v>
      </c>
      <c r="E10508" t="str">
        <f>"J1956"</f>
        <v>J1956</v>
      </c>
    </row>
    <row r="10509" spans="1:5" x14ac:dyDescent="0.25">
      <c r="A10509" t="str">
        <f>"839253973"</f>
        <v>839253973</v>
      </c>
      <c r="B10509" t="s">
        <v>9694</v>
      </c>
      <c r="C10509">
        <v>515.66</v>
      </c>
      <c r="D10509" t="str">
        <f>"636"</f>
        <v>636</v>
      </c>
      <c r="E10509" t="str">
        <f>"J2020"</f>
        <v>J2020</v>
      </c>
    </row>
    <row r="10510" spans="1:5" x14ac:dyDescent="0.25">
      <c r="A10510" t="str">
        <f>"839253974"</f>
        <v>839253974</v>
      </c>
      <c r="B10510" t="s">
        <v>9695</v>
      </c>
      <c r="C10510" s="1">
        <v>1207.8</v>
      </c>
      <c r="D10510" t="str">
        <f>"637"</f>
        <v>637</v>
      </c>
    </row>
    <row r="10511" spans="1:5" x14ac:dyDescent="0.25">
      <c r="A10511" t="str">
        <f>"839253977"</f>
        <v>839253977</v>
      </c>
      <c r="B10511" t="s">
        <v>9696</v>
      </c>
      <c r="C10511">
        <v>6.6</v>
      </c>
      <c r="D10511" t="str">
        <f>"637"</f>
        <v>637</v>
      </c>
    </row>
    <row r="10512" spans="1:5" x14ac:dyDescent="0.25">
      <c r="A10512" t="str">
        <f>"839253980"</f>
        <v>839253980</v>
      </c>
      <c r="B10512" t="s">
        <v>9697</v>
      </c>
      <c r="C10512">
        <v>14.85</v>
      </c>
      <c r="D10512" t="str">
        <f>"637"</f>
        <v>637</v>
      </c>
    </row>
    <row r="10513" spans="1:5" x14ac:dyDescent="0.25">
      <c r="A10513" t="str">
        <f>"839253981"</f>
        <v>839253981</v>
      </c>
      <c r="B10513" t="s">
        <v>9698</v>
      </c>
      <c r="C10513">
        <v>62.89</v>
      </c>
      <c r="D10513" t="str">
        <f>"636"</f>
        <v>636</v>
      </c>
      <c r="E10513" t="str">
        <f>"J1650"</f>
        <v>J1650</v>
      </c>
    </row>
    <row r="10514" spans="1:5" x14ac:dyDescent="0.25">
      <c r="A10514" t="str">
        <f>"839253982"</f>
        <v>839253982</v>
      </c>
      <c r="B10514" t="s">
        <v>9699</v>
      </c>
      <c r="C10514">
        <v>12.71</v>
      </c>
      <c r="D10514" t="str">
        <f>"637"</f>
        <v>637</v>
      </c>
    </row>
    <row r="10515" spans="1:5" x14ac:dyDescent="0.25">
      <c r="A10515" t="str">
        <f>"839253983"</f>
        <v>839253983</v>
      </c>
      <c r="B10515" t="s">
        <v>9700</v>
      </c>
      <c r="C10515">
        <v>17.420000000000002</v>
      </c>
      <c r="D10515" t="str">
        <f>"637"</f>
        <v>637</v>
      </c>
    </row>
    <row r="10516" spans="1:5" x14ac:dyDescent="0.25">
      <c r="A10516" t="str">
        <f>"839253984"</f>
        <v>839253984</v>
      </c>
      <c r="B10516" t="s">
        <v>9701</v>
      </c>
      <c r="C10516">
        <v>325.95</v>
      </c>
      <c r="D10516" t="str">
        <f>"250"</f>
        <v>250</v>
      </c>
    </row>
    <row r="10517" spans="1:5" x14ac:dyDescent="0.25">
      <c r="A10517" t="str">
        <f>"839253986"</f>
        <v>839253986</v>
      </c>
      <c r="B10517" t="s">
        <v>9702</v>
      </c>
      <c r="C10517">
        <v>16.98</v>
      </c>
      <c r="D10517" t="str">
        <f>"637"</f>
        <v>637</v>
      </c>
    </row>
    <row r="10518" spans="1:5" x14ac:dyDescent="0.25">
      <c r="A10518" t="str">
        <f>"839253988"</f>
        <v>839253988</v>
      </c>
      <c r="B10518" t="s">
        <v>9703</v>
      </c>
      <c r="C10518">
        <v>165.52</v>
      </c>
      <c r="D10518" t="str">
        <f>"637"</f>
        <v>637</v>
      </c>
    </row>
    <row r="10519" spans="1:5" x14ac:dyDescent="0.25">
      <c r="A10519" t="str">
        <f>"839253989"</f>
        <v>839253989</v>
      </c>
      <c r="B10519" t="s">
        <v>9704</v>
      </c>
      <c r="C10519">
        <v>58.99</v>
      </c>
      <c r="D10519" t="str">
        <f>"636"</f>
        <v>636</v>
      </c>
      <c r="E10519" t="str">
        <f>"J1956"</f>
        <v>J1956</v>
      </c>
    </row>
    <row r="10520" spans="1:5" x14ac:dyDescent="0.25">
      <c r="A10520" t="str">
        <f>"839253992"</f>
        <v>839253992</v>
      </c>
      <c r="B10520" t="s">
        <v>9705</v>
      </c>
      <c r="C10520">
        <v>152.93</v>
      </c>
      <c r="D10520" t="str">
        <f>"637"</f>
        <v>637</v>
      </c>
    </row>
    <row r="10521" spans="1:5" x14ac:dyDescent="0.25">
      <c r="A10521" t="str">
        <f>"839253993"</f>
        <v>839253993</v>
      </c>
      <c r="B10521" t="s">
        <v>9706</v>
      </c>
      <c r="C10521">
        <v>8.39</v>
      </c>
      <c r="D10521" t="str">
        <f>"637"</f>
        <v>637</v>
      </c>
    </row>
    <row r="10522" spans="1:5" x14ac:dyDescent="0.25">
      <c r="A10522" t="str">
        <f>"839253999"</f>
        <v>839253999</v>
      </c>
      <c r="B10522" t="s">
        <v>9707</v>
      </c>
      <c r="C10522">
        <v>157.16999999999999</v>
      </c>
      <c r="D10522" t="str">
        <f>"637"</f>
        <v>637</v>
      </c>
    </row>
    <row r="10523" spans="1:5" x14ac:dyDescent="0.25">
      <c r="A10523" t="str">
        <f>"839254002"</f>
        <v>839254002</v>
      </c>
      <c r="B10523" t="s">
        <v>9708</v>
      </c>
      <c r="C10523">
        <v>6.6</v>
      </c>
      <c r="D10523" t="str">
        <f>"637"</f>
        <v>637</v>
      </c>
    </row>
    <row r="10524" spans="1:5" x14ac:dyDescent="0.25">
      <c r="A10524" t="str">
        <f>"839254035"</f>
        <v>839254035</v>
      </c>
      <c r="B10524" t="s">
        <v>9709</v>
      </c>
      <c r="C10524">
        <v>9.9</v>
      </c>
      <c r="D10524" t="str">
        <f>"636"</f>
        <v>636</v>
      </c>
      <c r="E10524" t="str">
        <f>"J1950"</f>
        <v>J1950</v>
      </c>
    </row>
    <row r="10525" spans="1:5" x14ac:dyDescent="0.25">
      <c r="A10525" t="str">
        <f>"839254040"</f>
        <v>839254040</v>
      </c>
      <c r="B10525" t="s">
        <v>9710</v>
      </c>
      <c r="C10525">
        <v>12.1</v>
      </c>
      <c r="D10525" t="str">
        <f>"636"</f>
        <v>636</v>
      </c>
      <c r="E10525" t="str">
        <f>"J9217"</f>
        <v>J9217</v>
      </c>
    </row>
    <row r="10526" spans="1:5" x14ac:dyDescent="0.25">
      <c r="A10526" t="str">
        <f>"839254047"</f>
        <v>839254047</v>
      </c>
      <c r="B10526" t="s">
        <v>9711</v>
      </c>
      <c r="C10526">
        <v>111.01</v>
      </c>
      <c r="D10526" t="str">
        <f>"250"</f>
        <v>250</v>
      </c>
    </row>
    <row r="10527" spans="1:5" x14ac:dyDescent="0.25">
      <c r="A10527" t="str">
        <f>"839254061"</f>
        <v>839254061</v>
      </c>
      <c r="B10527" t="s">
        <v>9712</v>
      </c>
      <c r="C10527">
        <v>28.91</v>
      </c>
      <c r="D10527" t="str">
        <f>"250"</f>
        <v>250</v>
      </c>
    </row>
    <row r="10528" spans="1:5" x14ac:dyDescent="0.25">
      <c r="A10528" t="str">
        <f>"839254070"</f>
        <v>839254070</v>
      </c>
      <c r="B10528" t="s">
        <v>9713</v>
      </c>
      <c r="C10528">
        <v>6.6</v>
      </c>
      <c r="D10528" t="str">
        <f t="shared" ref="D10528:D10533" si="336">"637"</f>
        <v>637</v>
      </c>
    </row>
    <row r="10529" spans="1:5" x14ac:dyDescent="0.25">
      <c r="A10529" t="str">
        <f>"839254071"</f>
        <v>839254071</v>
      </c>
      <c r="B10529" t="s">
        <v>9714</v>
      </c>
      <c r="C10529">
        <v>6.6</v>
      </c>
      <c r="D10529" t="str">
        <f t="shared" si="336"/>
        <v>637</v>
      </c>
    </row>
    <row r="10530" spans="1:5" x14ac:dyDescent="0.25">
      <c r="A10530" t="str">
        <f>"839254072"</f>
        <v>839254072</v>
      </c>
      <c r="B10530" t="s">
        <v>9715</v>
      </c>
      <c r="C10530">
        <v>6.6</v>
      </c>
      <c r="D10530" t="str">
        <f t="shared" si="336"/>
        <v>637</v>
      </c>
    </row>
    <row r="10531" spans="1:5" x14ac:dyDescent="0.25">
      <c r="A10531" t="str">
        <f>"839254073"</f>
        <v>839254073</v>
      </c>
      <c r="B10531" t="s">
        <v>9716</v>
      </c>
      <c r="C10531">
        <v>6.6</v>
      </c>
      <c r="D10531" t="str">
        <f t="shared" si="336"/>
        <v>637</v>
      </c>
    </row>
    <row r="10532" spans="1:5" x14ac:dyDescent="0.25">
      <c r="A10532" t="str">
        <f>"839254075"</f>
        <v>839254075</v>
      </c>
      <c r="B10532" t="s">
        <v>9717</v>
      </c>
      <c r="C10532">
        <v>9.8000000000000007</v>
      </c>
      <c r="D10532" t="str">
        <f t="shared" si="336"/>
        <v>637</v>
      </c>
    </row>
    <row r="10533" spans="1:5" x14ac:dyDescent="0.25">
      <c r="A10533" t="str">
        <f>"839254080"</f>
        <v>839254080</v>
      </c>
      <c r="B10533" t="s">
        <v>9718</v>
      </c>
      <c r="C10533">
        <v>6.6</v>
      </c>
      <c r="D10533" t="str">
        <f t="shared" si="336"/>
        <v>637</v>
      </c>
    </row>
    <row r="10534" spans="1:5" x14ac:dyDescent="0.25">
      <c r="A10534" t="str">
        <f>"839254095"</f>
        <v>839254095</v>
      </c>
      <c r="B10534" t="s">
        <v>9719</v>
      </c>
      <c r="C10534">
        <v>32.950000000000003</v>
      </c>
      <c r="D10534" t="str">
        <f>"250"</f>
        <v>250</v>
      </c>
    </row>
    <row r="10535" spans="1:5" x14ac:dyDescent="0.25">
      <c r="A10535" t="str">
        <f>"839254096"</f>
        <v>839254096</v>
      </c>
      <c r="B10535" t="s">
        <v>9720</v>
      </c>
      <c r="C10535">
        <v>61.78</v>
      </c>
      <c r="D10535" t="str">
        <f>"637"</f>
        <v>637</v>
      </c>
    </row>
    <row r="10536" spans="1:5" x14ac:dyDescent="0.25">
      <c r="A10536" t="str">
        <f>"839254105"</f>
        <v>839254105</v>
      </c>
      <c r="B10536" t="s">
        <v>9721</v>
      </c>
      <c r="C10536">
        <v>16.579999999999998</v>
      </c>
      <c r="D10536" t="str">
        <f>"250"</f>
        <v>250</v>
      </c>
    </row>
    <row r="10537" spans="1:5" x14ac:dyDescent="0.25">
      <c r="A10537" t="str">
        <f>"839254114"</f>
        <v>839254114</v>
      </c>
      <c r="B10537" t="s">
        <v>9722</v>
      </c>
      <c r="C10537">
        <v>260.79000000000002</v>
      </c>
      <c r="D10537" t="str">
        <f>"637"</f>
        <v>637</v>
      </c>
    </row>
    <row r="10538" spans="1:5" x14ac:dyDescent="0.25">
      <c r="A10538" t="str">
        <f>"839254116"</f>
        <v>839254116</v>
      </c>
      <c r="B10538" t="s">
        <v>9723</v>
      </c>
      <c r="C10538">
        <v>151.68</v>
      </c>
      <c r="D10538" t="str">
        <f>"637"</f>
        <v>637</v>
      </c>
    </row>
    <row r="10539" spans="1:5" x14ac:dyDescent="0.25">
      <c r="A10539" t="str">
        <f>"839254126"</f>
        <v>839254126</v>
      </c>
      <c r="B10539" t="s">
        <v>9724</v>
      </c>
      <c r="C10539">
        <v>6.6</v>
      </c>
      <c r="D10539" t="str">
        <f>"637"</f>
        <v>637</v>
      </c>
    </row>
    <row r="10540" spans="1:5" x14ac:dyDescent="0.25">
      <c r="A10540" t="str">
        <f>"839254135"</f>
        <v>839254135</v>
      </c>
      <c r="B10540" t="s">
        <v>9725</v>
      </c>
      <c r="C10540">
        <v>23.36</v>
      </c>
      <c r="D10540" t="str">
        <f>"250"</f>
        <v>250</v>
      </c>
    </row>
    <row r="10541" spans="1:5" x14ac:dyDescent="0.25">
      <c r="A10541" t="str">
        <f>"839254140"</f>
        <v>839254140</v>
      </c>
      <c r="B10541" t="s">
        <v>9726</v>
      </c>
      <c r="C10541">
        <v>12.12</v>
      </c>
      <c r="D10541" t="str">
        <f>"250"</f>
        <v>250</v>
      </c>
    </row>
    <row r="10542" spans="1:5" x14ac:dyDescent="0.25">
      <c r="A10542" t="str">
        <f>"839254144"</f>
        <v>839254144</v>
      </c>
      <c r="B10542" t="s">
        <v>9727</v>
      </c>
      <c r="C10542">
        <v>150.76</v>
      </c>
      <c r="D10542" t="str">
        <f>"637"</f>
        <v>637</v>
      </c>
    </row>
    <row r="10543" spans="1:5" x14ac:dyDescent="0.25">
      <c r="A10543" t="str">
        <f>"839254146"</f>
        <v>839254146</v>
      </c>
      <c r="B10543" t="s">
        <v>9728</v>
      </c>
      <c r="C10543">
        <v>262.14999999999998</v>
      </c>
      <c r="D10543" t="str">
        <f>"636"</f>
        <v>636</v>
      </c>
      <c r="E10543" t="str">
        <f>"J3230"</f>
        <v>J3230</v>
      </c>
    </row>
    <row r="10544" spans="1:5" x14ac:dyDescent="0.25">
      <c r="A10544" t="str">
        <f>"839254161"</f>
        <v>839254161</v>
      </c>
      <c r="B10544" t="s">
        <v>9729</v>
      </c>
      <c r="C10544">
        <v>55.44</v>
      </c>
      <c r="D10544" t="str">
        <f>"250"</f>
        <v>250</v>
      </c>
    </row>
    <row r="10545" spans="1:4" x14ac:dyDescent="0.25">
      <c r="A10545" t="str">
        <f>"839254190"</f>
        <v>839254190</v>
      </c>
      <c r="B10545" t="s">
        <v>9730</v>
      </c>
      <c r="C10545">
        <v>6.6</v>
      </c>
      <c r="D10545" t="str">
        <f t="shared" ref="D10545:D10551" si="337">"637"</f>
        <v>637</v>
      </c>
    </row>
    <row r="10546" spans="1:4" x14ac:dyDescent="0.25">
      <c r="A10546" t="str">
        <f>"839254191"</f>
        <v>839254191</v>
      </c>
      <c r="B10546" t="s">
        <v>9731</v>
      </c>
      <c r="C10546">
        <v>6.6</v>
      </c>
      <c r="D10546" t="str">
        <f t="shared" si="337"/>
        <v>637</v>
      </c>
    </row>
    <row r="10547" spans="1:4" x14ac:dyDescent="0.25">
      <c r="A10547" t="str">
        <f>"839254195"</f>
        <v>839254195</v>
      </c>
      <c r="B10547" t="s">
        <v>9732</v>
      </c>
      <c r="C10547">
        <v>6.6</v>
      </c>
      <c r="D10547" t="str">
        <f t="shared" si="337"/>
        <v>637</v>
      </c>
    </row>
    <row r="10548" spans="1:4" x14ac:dyDescent="0.25">
      <c r="A10548" t="str">
        <f>"839254200"</f>
        <v>839254200</v>
      </c>
      <c r="B10548" t="s">
        <v>9733</v>
      </c>
      <c r="C10548">
        <v>6.6</v>
      </c>
      <c r="D10548" t="str">
        <f t="shared" si="337"/>
        <v>637</v>
      </c>
    </row>
    <row r="10549" spans="1:4" x14ac:dyDescent="0.25">
      <c r="A10549" t="str">
        <f>"839254204"</f>
        <v>839254204</v>
      </c>
      <c r="B10549" t="s">
        <v>9734</v>
      </c>
      <c r="C10549">
        <v>46.2</v>
      </c>
      <c r="D10549" t="str">
        <f t="shared" si="337"/>
        <v>637</v>
      </c>
    </row>
    <row r="10550" spans="1:4" x14ac:dyDescent="0.25">
      <c r="A10550" t="str">
        <f>"839254208"</f>
        <v>839254208</v>
      </c>
      <c r="B10550" t="s">
        <v>9735</v>
      </c>
      <c r="C10550">
        <v>11.19</v>
      </c>
      <c r="D10550" t="str">
        <f t="shared" si="337"/>
        <v>637</v>
      </c>
    </row>
    <row r="10551" spans="1:4" x14ac:dyDescent="0.25">
      <c r="A10551" t="str">
        <f>"839254210"</f>
        <v>839254210</v>
      </c>
      <c r="B10551" t="s">
        <v>9736</v>
      </c>
      <c r="C10551">
        <v>57.73</v>
      </c>
      <c r="D10551" t="str">
        <f t="shared" si="337"/>
        <v>637</v>
      </c>
    </row>
    <row r="10552" spans="1:4" x14ac:dyDescent="0.25">
      <c r="A10552" t="str">
        <f>"839254215"</f>
        <v>839254215</v>
      </c>
      <c r="B10552" t="s">
        <v>9737</v>
      </c>
      <c r="C10552">
        <v>6.6</v>
      </c>
      <c r="D10552" t="str">
        <f>"250"</f>
        <v>250</v>
      </c>
    </row>
    <row r="10553" spans="1:4" x14ac:dyDescent="0.25">
      <c r="A10553" t="str">
        <f>"839254220"</f>
        <v>839254220</v>
      </c>
      <c r="B10553" t="s">
        <v>9738</v>
      </c>
      <c r="C10553">
        <v>8.7100000000000009</v>
      </c>
      <c r="D10553" t="str">
        <f>"250"</f>
        <v>250</v>
      </c>
    </row>
    <row r="10554" spans="1:4" x14ac:dyDescent="0.25">
      <c r="A10554" t="str">
        <f>"839254225"</f>
        <v>839254225</v>
      </c>
      <c r="B10554" t="s">
        <v>9739</v>
      </c>
      <c r="C10554">
        <v>6.6</v>
      </c>
      <c r="D10554" t="str">
        <f>"270"</f>
        <v>270</v>
      </c>
    </row>
    <row r="10555" spans="1:4" x14ac:dyDescent="0.25">
      <c r="A10555" t="str">
        <f>"839254231"</f>
        <v>839254231</v>
      </c>
      <c r="B10555" t="s">
        <v>9740</v>
      </c>
      <c r="C10555">
        <v>46.66</v>
      </c>
      <c r="D10555" t="str">
        <f t="shared" ref="D10555:D10567" si="338">"637"</f>
        <v>637</v>
      </c>
    </row>
    <row r="10556" spans="1:4" x14ac:dyDescent="0.25">
      <c r="A10556" t="str">
        <f>"839254235"</f>
        <v>839254235</v>
      </c>
      <c r="B10556" t="s">
        <v>9741</v>
      </c>
      <c r="C10556">
        <v>15.66</v>
      </c>
      <c r="D10556" t="str">
        <f t="shared" si="338"/>
        <v>637</v>
      </c>
    </row>
    <row r="10557" spans="1:4" x14ac:dyDescent="0.25">
      <c r="A10557" t="str">
        <f>"839254237"</f>
        <v>839254237</v>
      </c>
      <c r="B10557" t="s">
        <v>9742</v>
      </c>
      <c r="C10557">
        <v>83.4</v>
      </c>
      <c r="D10557" t="str">
        <f t="shared" si="338"/>
        <v>637</v>
      </c>
    </row>
    <row r="10558" spans="1:4" x14ac:dyDescent="0.25">
      <c r="A10558" t="str">
        <f>"839254242"</f>
        <v>839254242</v>
      </c>
      <c r="B10558" t="s">
        <v>9743</v>
      </c>
      <c r="C10558">
        <v>6.6</v>
      </c>
      <c r="D10558" t="str">
        <f t="shared" si="338"/>
        <v>637</v>
      </c>
    </row>
    <row r="10559" spans="1:4" x14ac:dyDescent="0.25">
      <c r="A10559" t="str">
        <f>"839254246"</f>
        <v>839254246</v>
      </c>
      <c r="B10559" t="s">
        <v>9744</v>
      </c>
      <c r="C10559">
        <v>27.65</v>
      </c>
      <c r="D10559" t="str">
        <f t="shared" si="338"/>
        <v>637</v>
      </c>
    </row>
    <row r="10560" spans="1:4" x14ac:dyDescent="0.25">
      <c r="A10560" t="str">
        <f>"839254247"</f>
        <v>839254247</v>
      </c>
      <c r="B10560" t="s">
        <v>9745</v>
      </c>
      <c r="C10560">
        <v>6.6</v>
      </c>
      <c r="D10560" t="str">
        <f t="shared" si="338"/>
        <v>637</v>
      </c>
    </row>
    <row r="10561" spans="1:5" x14ac:dyDescent="0.25">
      <c r="A10561" t="str">
        <f>"839254248"</f>
        <v>839254248</v>
      </c>
      <c r="B10561" t="s">
        <v>9746</v>
      </c>
      <c r="C10561">
        <v>6.6</v>
      </c>
      <c r="D10561" t="str">
        <f t="shared" si="338"/>
        <v>637</v>
      </c>
    </row>
    <row r="10562" spans="1:5" x14ac:dyDescent="0.25">
      <c r="A10562" t="str">
        <f>"839254249"</f>
        <v>839254249</v>
      </c>
      <c r="B10562" t="s">
        <v>9747</v>
      </c>
      <c r="C10562">
        <v>22.73</v>
      </c>
      <c r="D10562" t="str">
        <f t="shared" si="338"/>
        <v>637</v>
      </c>
    </row>
    <row r="10563" spans="1:5" x14ac:dyDescent="0.25">
      <c r="A10563" t="str">
        <f>"839254257"</f>
        <v>839254257</v>
      </c>
      <c r="B10563" t="s">
        <v>9748</v>
      </c>
      <c r="C10563">
        <v>19.47</v>
      </c>
      <c r="D10563" t="str">
        <f t="shared" si="338"/>
        <v>637</v>
      </c>
    </row>
    <row r="10564" spans="1:5" x14ac:dyDescent="0.25">
      <c r="A10564" t="str">
        <f>"839254261"</f>
        <v>839254261</v>
      </c>
      <c r="B10564" t="s">
        <v>9749</v>
      </c>
      <c r="C10564">
        <v>18.46</v>
      </c>
      <c r="D10564" t="str">
        <f t="shared" si="338"/>
        <v>637</v>
      </c>
    </row>
    <row r="10565" spans="1:5" x14ac:dyDescent="0.25">
      <c r="A10565" t="str">
        <f>"839254266"</f>
        <v>839254266</v>
      </c>
      <c r="B10565" t="s">
        <v>9750</v>
      </c>
      <c r="C10565">
        <v>32.880000000000003</v>
      </c>
      <c r="D10565" t="str">
        <f t="shared" si="338"/>
        <v>637</v>
      </c>
    </row>
    <row r="10566" spans="1:5" x14ac:dyDescent="0.25">
      <c r="A10566" t="str">
        <f>"839254267"</f>
        <v>839254267</v>
      </c>
      <c r="B10566" t="s">
        <v>9751</v>
      </c>
      <c r="C10566">
        <v>12.35</v>
      </c>
      <c r="D10566" t="str">
        <f t="shared" si="338"/>
        <v>637</v>
      </c>
    </row>
    <row r="10567" spans="1:5" x14ac:dyDescent="0.25">
      <c r="A10567" t="str">
        <f>"839254268"</f>
        <v>839254268</v>
      </c>
      <c r="B10567" t="s">
        <v>9752</v>
      </c>
      <c r="C10567">
        <v>6.6</v>
      </c>
      <c r="D10567" t="str">
        <f t="shared" si="338"/>
        <v>637</v>
      </c>
    </row>
    <row r="10568" spans="1:5" x14ac:dyDescent="0.25">
      <c r="A10568" t="str">
        <f>"839254275"</f>
        <v>839254275</v>
      </c>
      <c r="B10568" t="s">
        <v>9753</v>
      </c>
      <c r="C10568">
        <v>13.13</v>
      </c>
      <c r="D10568" t="str">
        <f>"250"</f>
        <v>250</v>
      </c>
    </row>
    <row r="10569" spans="1:5" x14ac:dyDescent="0.25">
      <c r="A10569" t="str">
        <f>"839254279"</f>
        <v>839254279</v>
      </c>
      <c r="B10569" t="s">
        <v>9754</v>
      </c>
      <c r="C10569">
        <v>6.6</v>
      </c>
      <c r="D10569" t="str">
        <f>"637"</f>
        <v>637</v>
      </c>
    </row>
    <row r="10570" spans="1:5" x14ac:dyDescent="0.25">
      <c r="A10570" t="str">
        <f>"839254280"</f>
        <v>839254280</v>
      </c>
      <c r="B10570" t="s">
        <v>9755</v>
      </c>
      <c r="C10570">
        <v>13.46</v>
      </c>
      <c r="D10570" t="str">
        <f>"250"</f>
        <v>250</v>
      </c>
    </row>
    <row r="10571" spans="1:5" x14ac:dyDescent="0.25">
      <c r="A10571" t="str">
        <f>"839254281"</f>
        <v>839254281</v>
      </c>
      <c r="B10571" t="s">
        <v>9756</v>
      </c>
      <c r="C10571">
        <v>6.6</v>
      </c>
      <c r="D10571" t="str">
        <f>"637"</f>
        <v>637</v>
      </c>
    </row>
    <row r="10572" spans="1:5" x14ac:dyDescent="0.25">
      <c r="A10572" t="str">
        <f>"839254282"</f>
        <v>839254282</v>
      </c>
      <c r="B10572" t="s">
        <v>9757</v>
      </c>
      <c r="C10572">
        <v>6.6</v>
      </c>
      <c r="D10572" t="str">
        <f>"637"</f>
        <v>637</v>
      </c>
    </row>
    <row r="10573" spans="1:5" x14ac:dyDescent="0.25">
      <c r="A10573" t="str">
        <f>"839254284"</f>
        <v>839254284</v>
      </c>
      <c r="B10573" t="s">
        <v>9758</v>
      </c>
      <c r="C10573">
        <v>20.010000000000002</v>
      </c>
      <c r="D10573" t="str">
        <f>"637"</f>
        <v>637</v>
      </c>
    </row>
    <row r="10574" spans="1:5" x14ac:dyDescent="0.25">
      <c r="A10574" t="str">
        <f>"839254285"</f>
        <v>839254285</v>
      </c>
      <c r="B10574" t="s">
        <v>9759</v>
      </c>
      <c r="C10574">
        <v>9.5</v>
      </c>
      <c r="D10574" t="str">
        <f>"636"</f>
        <v>636</v>
      </c>
      <c r="E10574" t="str">
        <f>"J3475"</f>
        <v>J3475</v>
      </c>
    </row>
    <row r="10575" spans="1:5" x14ac:dyDescent="0.25">
      <c r="A10575" t="str">
        <f>"839254290"</f>
        <v>839254290</v>
      </c>
      <c r="B10575" t="s">
        <v>9760</v>
      </c>
      <c r="C10575">
        <v>17.41</v>
      </c>
      <c r="D10575" t="str">
        <f>"636"</f>
        <v>636</v>
      </c>
      <c r="E10575" t="str">
        <f>"J2150"</f>
        <v>J2150</v>
      </c>
    </row>
    <row r="10576" spans="1:5" x14ac:dyDescent="0.25">
      <c r="A10576" t="str">
        <f>"839254292"</f>
        <v>839254292</v>
      </c>
      <c r="B10576" t="s">
        <v>9761</v>
      </c>
      <c r="C10576">
        <v>25.04</v>
      </c>
      <c r="D10576" t="str">
        <f>"637"</f>
        <v>637</v>
      </c>
    </row>
    <row r="10577" spans="1:5" x14ac:dyDescent="0.25">
      <c r="A10577" t="str">
        <f>"839254293"</f>
        <v>839254293</v>
      </c>
      <c r="B10577" t="s">
        <v>9762</v>
      </c>
      <c r="C10577">
        <v>43.13</v>
      </c>
      <c r="D10577" t="str">
        <f>"250"</f>
        <v>250</v>
      </c>
    </row>
    <row r="10578" spans="1:5" x14ac:dyDescent="0.25">
      <c r="A10578" t="str">
        <f>"839254296"</f>
        <v>839254296</v>
      </c>
      <c r="B10578" t="s">
        <v>9763</v>
      </c>
      <c r="C10578">
        <v>50.37</v>
      </c>
      <c r="D10578" t="str">
        <f>"250"</f>
        <v>250</v>
      </c>
    </row>
    <row r="10579" spans="1:5" x14ac:dyDescent="0.25">
      <c r="A10579" t="str">
        <f>"839254297"</f>
        <v>839254297</v>
      </c>
      <c r="B10579" t="s">
        <v>9764</v>
      </c>
      <c r="C10579">
        <v>24.09</v>
      </c>
      <c r="D10579" t="str">
        <f>"250"</f>
        <v>250</v>
      </c>
    </row>
    <row r="10580" spans="1:5" x14ac:dyDescent="0.25">
      <c r="A10580" t="str">
        <f>"839254301"</f>
        <v>839254301</v>
      </c>
      <c r="B10580" t="s">
        <v>9765</v>
      </c>
      <c r="C10580">
        <v>25.59</v>
      </c>
      <c r="D10580" t="str">
        <f>"637"</f>
        <v>637</v>
      </c>
    </row>
    <row r="10581" spans="1:5" x14ac:dyDescent="0.25">
      <c r="A10581" t="str">
        <f>"839254303"</f>
        <v>839254303</v>
      </c>
      <c r="B10581" t="s">
        <v>9766</v>
      </c>
      <c r="C10581">
        <v>6.6</v>
      </c>
      <c r="D10581" t="str">
        <f>"637"</f>
        <v>637</v>
      </c>
    </row>
    <row r="10582" spans="1:5" x14ac:dyDescent="0.25">
      <c r="A10582" t="str">
        <f>"839254304"</f>
        <v>839254304</v>
      </c>
      <c r="B10582" t="s">
        <v>9767</v>
      </c>
      <c r="C10582">
        <v>6.6</v>
      </c>
      <c r="D10582" t="str">
        <f>"637"</f>
        <v>637</v>
      </c>
    </row>
    <row r="10583" spans="1:5" x14ac:dyDescent="0.25">
      <c r="A10583" t="str">
        <f>"839254306"</f>
        <v>839254306</v>
      </c>
      <c r="B10583" t="s">
        <v>9768</v>
      </c>
      <c r="C10583">
        <v>9.9600000000000009</v>
      </c>
      <c r="D10583" t="str">
        <f>"637"</f>
        <v>637</v>
      </c>
    </row>
    <row r="10584" spans="1:5" x14ac:dyDescent="0.25">
      <c r="A10584" t="str">
        <f>"839254309"</f>
        <v>839254309</v>
      </c>
      <c r="B10584" t="s">
        <v>9769</v>
      </c>
      <c r="C10584">
        <v>39.799999999999997</v>
      </c>
      <c r="D10584" t="str">
        <f>"636"</f>
        <v>636</v>
      </c>
      <c r="E10584" t="str">
        <f>"C9113"</f>
        <v>C9113</v>
      </c>
    </row>
    <row r="10585" spans="1:5" x14ac:dyDescent="0.25">
      <c r="A10585" t="str">
        <f>"839254320"</f>
        <v>839254320</v>
      </c>
      <c r="B10585" t="s">
        <v>9770</v>
      </c>
      <c r="C10585">
        <v>6.6</v>
      </c>
      <c r="D10585" t="str">
        <f>"272"</f>
        <v>272</v>
      </c>
    </row>
    <row r="10586" spans="1:5" x14ac:dyDescent="0.25">
      <c r="A10586" t="str">
        <f>"839254321"</f>
        <v>839254321</v>
      </c>
      <c r="B10586" t="s">
        <v>9771</v>
      </c>
      <c r="C10586">
        <v>209.35</v>
      </c>
      <c r="D10586" t="str">
        <f>"250"</f>
        <v>250</v>
      </c>
    </row>
    <row r="10587" spans="1:5" x14ac:dyDescent="0.25">
      <c r="A10587" t="str">
        <f>"839254322"</f>
        <v>839254322</v>
      </c>
      <c r="B10587" t="s">
        <v>9772</v>
      </c>
      <c r="C10587">
        <v>17.559999999999999</v>
      </c>
      <c r="D10587" t="str">
        <f>"637"</f>
        <v>637</v>
      </c>
    </row>
    <row r="10588" spans="1:5" x14ac:dyDescent="0.25">
      <c r="A10588" t="str">
        <f>"839254323"</f>
        <v>839254323</v>
      </c>
      <c r="B10588" t="s">
        <v>9773</v>
      </c>
      <c r="C10588">
        <v>116.85</v>
      </c>
      <c r="D10588" t="str">
        <f>"637"</f>
        <v>637</v>
      </c>
    </row>
    <row r="10589" spans="1:5" x14ac:dyDescent="0.25">
      <c r="A10589" t="str">
        <f>"839254327"</f>
        <v>839254327</v>
      </c>
      <c r="B10589" t="s">
        <v>9774</v>
      </c>
      <c r="C10589">
        <v>46.28</v>
      </c>
      <c r="D10589" t="str">
        <f>"250"</f>
        <v>250</v>
      </c>
    </row>
    <row r="10590" spans="1:5" x14ac:dyDescent="0.25">
      <c r="A10590" t="str">
        <f>"839254328"</f>
        <v>839254328</v>
      </c>
      <c r="B10590" t="s">
        <v>9775</v>
      </c>
      <c r="C10590">
        <v>95.7</v>
      </c>
      <c r="D10590" t="str">
        <f>"636"</f>
        <v>636</v>
      </c>
      <c r="E10590" t="str">
        <f>"J2543"</f>
        <v>J2543</v>
      </c>
    </row>
    <row r="10591" spans="1:5" x14ac:dyDescent="0.25">
      <c r="A10591" t="str">
        <f>"839254329"</f>
        <v>839254329</v>
      </c>
      <c r="B10591" t="s">
        <v>9776</v>
      </c>
      <c r="C10591">
        <v>181.83</v>
      </c>
      <c r="D10591" t="str">
        <f>"636"</f>
        <v>636</v>
      </c>
      <c r="E10591" t="str">
        <f>"J2543"</f>
        <v>J2543</v>
      </c>
    </row>
    <row r="10592" spans="1:5" x14ac:dyDescent="0.25">
      <c r="A10592" t="str">
        <f>"839254331"</f>
        <v>839254331</v>
      </c>
      <c r="B10592" t="s">
        <v>9777</v>
      </c>
      <c r="C10592">
        <v>12.05</v>
      </c>
      <c r="D10592" t="str">
        <f>"637"</f>
        <v>637</v>
      </c>
    </row>
    <row r="10593" spans="1:5" x14ac:dyDescent="0.25">
      <c r="A10593" t="str">
        <f>"839254337"</f>
        <v>839254337</v>
      </c>
      <c r="B10593" t="s">
        <v>9778</v>
      </c>
      <c r="C10593">
        <v>874.8</v>
      </c>
      <c r="D10593" t="str">
        <f>"636"</f>
        <v>636</v>
      </c>
      <c r="E10593" t="str">
        <f>"90732"</f>
        <v>90732</v>
      </c>
    </row>
    <row r="10594" spans="1:5" x14ac:dyDescent="0.25">
      <c r="A10594" t="str">
        <f>"839254339"</f>
        <v>839254339</v>
      </c>
      <c r="B10594" t="s">
        <v>9779</v>
      </c>
      <c r="C10594">
        <v>21.56</v>
      </c>
      <c r="D10594" t="str">
        <f>"637"</f>
        <v>637</v>
      </c>
    </row>
    <row r="10595" spans="1:5" x14ac:dyDescent="0.25">
      <c r="A10595" t="str">
        <f>"839254340"</f>
        <v>839254340</v>
      </c>
      <c r="B10595" t="s">
        <v>9780</v>
      </c>
      <c r="C10595">
        <v>6.6</v>
      </c>
      <c r="D10595" t="str">
        <f>"637"</f>
        <v>637</v>
      </c>
    </row>
    <row r="10596" spans="1:5" x14ac:dyDescent="0.25">
      <c r="A10596" t="str">
        <f>"839254341"</f>
        <v>839254341</v>
      </c>
      <c r="B10596" t="s">
        <v>9781</v>
      </c>
      <c r="C10596">
        <v>6.6</v>
      </c>
      <c r="D10596" t="str">
        <f>"637"</f>
        <v>637</v>
      </c>
    </row>
    <row r="10597" spans="1:5" x14ac:dyDescent="0.25">
      <c r="A10597" t="str">
        <f>"839254352"</f>
        <v>839254352</v>
      </c>
      <c r="B10597" t="s">
        <v>9782</v>
      </c>
      <c r="C10597">
        <v>20.64</v>
      </c>
      <c r="D10597" t="str">
        <f>"637"</f>
        <v>637</v>
      </c>
    </row>
    <row r="10598" spans="1:5" x14ac:dyDescent="0.25">
      <c r="A10598" t="str">
        <f>"839254355"</f>
        <v>839254355</v>
      </c>
      <c r="B10598" t="s">
        <v>9783</v>
      </c>
      <c r="C10598">
        <v>9.0299999999999994</v>
      </c>
      <c r="D10598" t="str">
        <f>"250"</f>
        <v>250</v>
      </c>
    </row>
    <row r="10599" spans="1:5" x14ac:dyDescent="0.25">
      <c r="A10599" t="str">
        <f>"839254356"</f>
        <v>839254356</v>
      </c>
      <c r="B10599" t="s">
        <v>9784</v>
      </c>
      <c r="C10599">
        <v>15.96</v>
      </c>
      <c r="D10599" t="str">
        <f>"637"</f>
        <v>637</v>
      </c>
    </row>
    <row r="10600" spans="1:5" x14ac:dyDescent="0.25">
      <c r="A10600" t="str">
        <f>"839254357"</f>
        <v>839254357</v>
      </c>
      <c r="B10600" t="s">
        <v>9785</v>
      </c>
      <c r="C10600">
        <v>62.13</v>
      </c>
      <c r="D10600" t="str">
        <f>"250"</f>
        <v>250</v>
      </c>
    </row>
    <row r="10601" spans="1:5" x14ac:dyDescent="0.25">
      <c r="A10601" t="str">
        <f>"839254358"</f>
        <v>839254358</v>
      </c>
      <c r="B10601" t="s">
        <v>9786</v>
      </c>
      <c r="C10601">
        <v>19.93</v>
      </c>
      <c r="D10601" t="str">
        <f t="shared" ref="D10601:D10608" si="339">"637"</f>
        <v>637</v>
      </c>
    </row>
    <row r="10602" spans="1:5" x14ac:dyDescent="0.25">
      <c r="A10602" t="str">
        <f>"839254359"</f>
        <v>839254359</v>
      </c>
      <c r="B10602" t="s">
        <v>9787</v>
      </c>
      <c r="C10602">
        <v>42.74</v>
      </c>
      <c r="D10602" t="str">
        <f t="shared" si="339"/>
        <v>637</v>
      </c>
    </row>
    <row r="10603" spans="1:5" x14ac:dyDescent="0.25">
      <c r="A10603" t="str">
        <f>"839254361"</f>
        <v>839254361</v>
      </c>
      <c r="B10603" t="s">
        <v>9788</v>
      </c>
      <c r="C10603">
        <v>115.69</v>
      </c>
      <c r="D10603" t="str">
        <f t="shared" si="339"/>
        <v>637</v>
      </c>
    </row>
    <row r="10604" spans="1:5" x14ac:dyDescent="0.25">
      <c r="A10604" t="str">
        <f>"839254362"</f>
        <v>839254362</v>
      </c>
      <c r="B10604" t="s">
        <v>9789</v>
      </c>
      <c r="C10604">
        <v>24.51</v>
      </c>
      <c r="D10604" t="str">
        <f t="shared" si="339"/>
        <v>637</v>
      </c>
    </row>
    <row r="10605" spans="1:5" x14ac:dyDescent="0.25">
      <c r="A10605" t="str">
        <f>"839254366"</f>
        <v>839254366</v>
      </c>
      <c r="B10605" t="s">
        <v>9790</v>
      </c>
      <c r="C10605">
        <v>11.92</v>
      </c>
      <c r="D10605" t="str">
        <f t="shared" si="339"/>
        <v>637</v>
      </c>
    </row>
    <row r="10606" spans="1:5" x14ac:dyDescent="0.25">
      <c r="A10606" t="str">
        <f>"839254367"</f>
        <v>839254367</v>
      </c>
      <c r="B10606" t="s">
        <v>9791</v>
      </c>
      <c r="C10606">
        <v>12.51</v>
      </c>
      <c r="D10606" t="str">
        <f t="shared" si="339"/>
        <v>637</v>
      </c>
    </row>
    <row r="10607" spans="1:5" x14ac:dyDescent="0.25">
      <c r="A10607" t="str">
        <f>"839254371"</f>
        <v>839254371</v>
      </c>
      <c r="B10607" t="s">
        <v>9792</v>
      </c>
      <c r="C10607">
        <v>25.95</v>
      </c>
      <c r="D10607" t="str">
        <f t="shared" si="339"/>
        <v>637</v>
      </c>
    </row>
    <row r="10608" spans="1:5" x14ac:dyDescent="0.25">
      <c r="A10608" t="str">
        <f>"839254372"</f>
        <v>839254372</v>
      </c>
      <c r="B10608" t="s">
        <v>9793</v>
      </c>
      <c r="C10608">
        <v>46.59</v>
      </c>
      <c r="D10608" t="str">
        <f t="shared" si="339"/>
        <v>637</v>
      </c>
    </row>
    <row r="10609" spans="1:5" x14ac:dyDescent="0.25">
      <c r="A10609" t="str">
        <f>"839254374"</f>
        <v>839254374</v>
      </c>
      <c r="B10609" t="s">
        <v>9794</v>
      </c>
      <c r="C10609">
        <v>54.8</v>
      </c>
      <c r="D10609" t="str">
        <f t="shared" ref="D10609:D10613" si="340">"637"</f>
        <v>637</v>
      </c>
    </row>
    <row r="10610" spans="1:5" x14ac:dyDescent="0.25">
      <c r="A10610" t="str">
        <f>"839254375"</f>
        <v>839254375</v>
      </c>
      <c r="B10610" t="s">
        <v>9795</v>
      </c>
      <c r="C10610">
        <v>6.79</v>
      </c>
      <c r="D10610" t="str">
        <f t="shared" si="340"/>
        <v>637</v>
      </c>
    </row>
    <row r="10611" spans="1:5" x14ac:dyDescent="0.25">
      <c r="A10611" t="str">
        <f>"839254376"</f>
        <v>839254376</v>
      </c>
      <c r="B10611" t="s">
        <v>9796</v>
      </c>
      <c r="C10611">
        <v>6.6</v>
      </c>
      <c r="D10611" t="str">
        <f t="shared" si="340"/>
        <v>637</v>
      </c>
    </row>
    <row r="10612" spans="1:5" x14ac:dyDescent="0.25">
      <c r="A10612" t="str">
        <f>"839254377"</f>
        <v>839254377</v>
      </c>
      <c r="B10612" t="s">
        <v>9797</v>
      </c>
      <c r="C10612">
        <v>61.11</v>
      </c>
      <c r="D10612" t="str">
        <f t="shared" si="340"/>
        <v>637</v>
      </c>
    </row>
    <row r="10613" spans="1:5" x14ac:dyDescent="0.25">
      <c r="A10613" t="str">
        <f>"839254392"</f>
        <v>839254392</v>
      </c>
      <c r="B10613" t="s">
        <v>9798</v>
      </c>
      <c r="C10613">
        <v>24.96</v>
      </c>
      <c r="D10613" t="str">
        <f t="shared" si="340"/>
        <v>637</v>
      </c>
    </row>
    <row r="10614" spans="1:5" x14ac:dyDescent="0.25">
      <c r="A10614" t="str">
        <f>"839254395"</f>
        <v>839254395</v>
      </c>
      <c r="B10614" t="s">
        <v>9799</v>
      </c>
      <c r="C10614">
        <v>20.92</v>
      </c>
      <c r="D10614" t="str">
        <f>"636"</f>
        <v>636</v>
      </c>
      <c r="E10614" t="str">
        <f>"J2175"</f>
        <v>J2175</v>
      </c>
    </row>
    <row r="10615" spans="1:5" x14ac:dyDescent="0.25">
      <c r="A10615" t="str">
        <f>"839254396"</f>
        <v>839254396</v>
      </c>
      <c r="B10615" t="s">
        <v>9800</v>
      </c>
      <c r="C10615">
        <v>13.86</v>
      </c>
      <c r="D10615" t="str">
        <f>"637"</f>
        <v>637</v>
      </c>
    </row>
    <row r="10616" spans="1:5" x14ac:dyDescent="0.25">
      <c r="A10616" t="str">
        <f>"839254397"</f>
        <v>839254397</v>
      </c>
      <c r="B10616" t="s">
        <v>9801</v>
      </c>
      <c r="C10616">
        <v>26.58</v>
      </c>
      <c r="D10616" t="str">
        <f>"637"</f>
        <v>637</v>
      </c>
    </row>
    <row r="10617" spans="1:5" x14ac:dyDescent="0.25">
      <c r="A10617" t="str">
        <f>"839254398"</f>
        <v>839254398</v>
      </c>
      <c r="B10617" t="s">
        <v>9802</v>
      </c>
      <c r="C10617">
        <v>90.35</v>
      </c>
      <c r="D10617" t="str">
        <f>"636"</f>
        <v>636</v>
      </c>
      <c r="E10617" t="str">
        <f>"J1720"</f>
        <v>J1720</v>
      </c>
    </row>
    <row r="10618" spans="1:5" x14ac:dyDescent="0.25">
      <c r="A10618" t="str">
        <f>"839254400"</f>
        <v>839254400</v>
      </c>
      <c r="B10618" t="s">
        <v>9803</v>
      </c>
      <c r="C10618">
        <v>19.04</v>
      </c>
      <c r="D10618" t="str">
        <f>"636"</f>
        <v>636</v>
      </c>
      <c r="E10618" t="str">
        <f>"J2175"</f>
        <v>J2175</v>
      </c>
    </row>
    <row r="10619" spans="1:5" x14ac:dyDescent="0.25">
      <c r="A10619" t="str">
        <f>"839254401"</f>
        <v>839254401</v>
      </c>
      <c r="B10619" t="s">
        <v>9804</v>
      </c>
      <c r="C10619">
        <v>16.91</v>
      </c>
      <c r="D10619" t="str">
        <f>"637"</f>
        <v>637</v>
      </c>
    </row>
    <row r="10620" spans="1:5" x14ac:dyDescent="0.25">
      <c r="A10620" t="str">
        <f>"839254402"</f>
        <v>839254402</v>
      </c>
      <c r="B10620" t="s">
        <v>9805</v>
      </c>
      <c r="C10620">
        <v>54.76</v>
      </c>
      <c r="D10620" t="str">
        <f>"637"</f>
        <v>637</v>
      </c>
    </row>
    <row r="10621" spans="1:5" x14ac:dyDescent="0.25">
      <c r="A10621" t="str">
        <f>"839254403"</f>
        <v>839254403</v>
      </c>
      <c r="B10621" t="s">
        <v>9806</v>
      </c>
      <c r="C10621">
        <v>99.32</v>
      </c>
      <c r="D10621" t="str">
        <f>"636"</f>
        <v>636</v>
      </c>
      <c r="E10621" t="str">
        <f>"J3490"</f>
        <v>J3490</v>
      </c>
    </row>
    <row r="10622" spans="1:5" x14ac:dyDescent="0.25">
      <c r="A10622" t="str">
        <f>"839254404"</f>
        <v>839254404</v>
      </c>
      <c r="B10622" t="s">
        <v>9807</v>
      </c>
      <c r="C10622">
        <v>33.31</v>
      </c>
      <c r="D10622" t="str">
        <f>"637"</f>
        <v>637</v>
      </c>
    </row>
    <row r="10623" spans="1:5" x14ac:dyDescent="0.25">
      <c r="A10623" t="str">
        <f>"839254405"</f>
        <v>839254405</v>
      </c>
      <c r="B10623" t="s">
        <v>9808</v>
      </c>
      <c r="C10623">
        <v>45.62</v>
      </c>
      <c r="D10623" t="str">
        <f>"636"</f>
        <v>636</v>
      </c>
      <c r="E10623" t="str">
        <f>"J2175"</f>
        <v>J2175</v>
      </c>
    </row>
    <row r="10624" spans="1:5" x14ac:dyDescent="0.25">
      <c r="A10624" t="str">
        <f>"839254406"</f>
        <v>839254406</v>
      </c>
      <c r="B10624" t="s">
        <v>9809</v>
      </c>
      <c r="C10624">
        <v>95.04</v>
      </c>
      <c r="D10624" t="str">
        <f>"636"</f>
        <v>636</v>
      </c>
      <c r="E10624" t="str">
        <f>"J2175"</f>
        <v>J2175</v>
      </c>
    </row>
    <row r="10625" spans="1:5" x14ac:dyDescent="0.25">
      <c r="A10625" t="str">
        <f>"839254407"</f>
        <v>839254407</v>
      </c>
      <c r="B10625" t="s">
        <v>9810</v>
      </c>
      <c r="C10625">
        <v>71.47</v>
      </c>
      <c r="D10625" t="str">
        <f>"637"</f>
        <v>637</v>
      </c>
    </row>
    <row r="10626" spans="1:5" x14ac:dyDescent="0.25">
      <c r="A10626" t="str">
        <f>"839254408"</f>
        <v>839254408</v>
      </c>
      <c r="B10626" t="s">
        <v>9811</v>
      </c>
      <c r="C10626">
        <v>15.13</v>
      </c>
      <c r="D10626" t="str">
        <f>"637"</f>
        <v>637</v>
      </c>
    </row>
    <row r="10627" spans="1:5" x14ac:dyDescent="0.25">
      <c r="A10627" t="str">
        <f>"839254412"</f>
        <v>839254412</v>
      </c>
      <c r="B10627" t="s">
        <v>9812</v>
      </c>
      <c r="C10627">
        <v>27.84</v>
      </c>
      <c r="D10627" t="str">
        <f>"637"</f>
        <v>637</v>
      </c>
    </row>
    <row r="10628" spans="1:5" x14ac:dyDescent="0.25">
      <c r="A10628" t="str">
        <f>"839254414"</f>
        <v>839254414</v>
      </c>
      <c r="B10628" t="s">
        <v>9813</v>
      </c>
      <c r="C10628">
        <v>10.59</v>
      </c>
      <c r="D10628" t="str">
        <f>"637"</f>
        <v>637</v>
      </c>
    </row>
    <row r="10629" spans="1:5" x14ac:dyDescent="0.25">
      <c r="A10629" t="str">
        <f>"839254417"</f>
        <v>839254417</v>
      </c>
      <c r="B10629" t="s">
        <v>9814</v>
      </c>
      <c r="C10629" s="1">
        <v>51469</v>
      </c>
      <c r="D10629" t="str">
        <f>"636"</f>
        <v>636</v>
      </c>
      <c r="E10629" t="str">
        <f>"J3101"</f>
        <v>J3101</v>
      </c>
    </row>
    <row r="10630" spans="1:5" x14ac:dyDescent="0.25">
      <c r="A10630" t="str">
        <f>"839254418"</f>
        <v>839254418</v>
      </c>
      <c r="B10630" t="s">
        <v>9815</v>
      </c>
      <c r="C10630">
        <v>6.6</v>
      </c>
      <c r="D10630" t="str">
        <f>"637"</f>
        <v>637</v>
      </c>
    </row>
    <row r="10631" spans="1:5" x14ac:dyDescent="0.25">
      <c r="A10631" t="str">
        <f>"839254421"</f>
        <v>839254421</v>
      </c>
      <c r="B10631" t="s">
        <v>9816</v>
      </c>
      <c r="C10631">
        <v>36.43</v>
      </c>
      <c r="D10631" t="str">
        <f>"637"</f>
        <v>637</v>
      </c>
    </row>
    <row r="10632" spans="1:5" x14ac:dyDescent="0.25">
      <c r="A10632" t="str">
        <f>"839254423"</f>
        <v>839254423</v>
      </c>
      <c r="B10632" t="s">
        <v>9817</v>
      </c>
      <c r="C10632">
        <v>13.86</v>
      </c>
      <c r="D10632" t="str">
        <f>"637"</f>
        <v>637</v>
      </c>
    </row>
    <row r="10633" spans="1:5" x14ac:dyDescent="0.25">
      <c r="A10633" t="str">
        <f>"839254424"</f>
        <v>839254424</v>
      </c>
      <c r="B10633" t="s">
        <v>9818</v>
      </c>
      <c r="C10633">
        <v>7.27</v>
      </c>
      <c r="D10633" t="str">
        <f>"637"</f>
        <v>637</v>
      </c>
    </row>
    <row r="10634" spans="1:5" x14ac:dyDescent="0.25">
      <c r="A10634" t="str">
        <f>"839254427"</f>
        <v>839254427</v>
      </c>
      <c r="B10634" t="s">
        <v>9819</v>
      </c>
      <c r="C10634">
        <v>94.25</v>
      </c>
      <c r="D10634" t="str">
        <f>"250"</f>
        <v>250</v>
      </c>
    </row>
    <row r="10635" spans="1:5" x14ac:dyDescent="0.25">
      <c r="A10635" t="str">
        <f>"839254431"</f>
        <v>839254431</v>
      </c>
      <c r="B10635" t="s">
        <v>9820</v>
      </c>
      <c r="C10635">
        <v>6.6</v>
      </c>
      <c r="D10635" t="str">
        <f>"637"</f>
        <v>637</v>
      </c>
    </row>
    <row r="10636" spans="1:5" x14ac:dyDescent="0.25">
      <c r="A10636" t="str">
        <f>"839254433"</f>
        <v>839254433</v>
      </c>
      <c r="B10636" t="s">
        <v>9821</v>
      </c>
      <c r="C10636">
        <v>6.6</v>
      </c>
      <c r="D10636" t="str">
        <f>"250"</f>
        <v>250</v>
      </c>
    </row>
    <row r="10637" spans="1:5" x14ac:dyDescent="0.25">
      <c r="A10637" t="str">
        <f>"839254437"</f>
        <v>839254437</v>
      </c>
      <c r="B10637" t="s">
        <v>9822</v>
      </c>
      <c r="C10637">
        <v>6.6</v>
      </c>
      <c r="D10637" t="str">
        <f>"637"</f>
        <v>637</v>
      </c>
    </row>
    <row r="10638" spans="1:5" x14ac:dyDescent="0.25">
      <c r="A10638" t="str">
        <f>"839254441"</f>
        <v>839254441</v>
      </c>
      <c r="B10638" t="s">
        <v>9823</v>
      </c>
      <c r="C10638">
        <v>163.35</v>
      </c>
      <c r="D10638" t="str">
        <f>"250"</f>
        <v>250</v>
      </c>
    </row>
    <row r="10639" spans="1:5" x14ac:dyDescent="0.25">
      <c r="A10639" t="str">
        <f>"839254442"</f>
        <v>839254442</v>
      </c>
      <c r="B10639" t="s">
        <v>9824</v>
      </c>
      <c r="C10639">
        <v>62.18</v>
      </c>
      <c r="D10639" t="str">
        <f>"250"</f>
        <v>250</v>
      </c>
    </row>
    <row r="10640" spans="1:5" x14ac:dyDescent="0.25">
      <c r="A10640" t="str">
        <f>"839254443"</f>
        <v>839254443</v>
      </c>
      <c r="B10640" t="s">
        <v>9825</v>
      </c>
      <c r="C10640">
        <v>27.48</v>
      </c>
      <c r="D10640" t="str">
        <f t="shared" ref="D10640:D10653" si="341">"637"</f>
        <v>637</v>
      </c>
    </row>
    <row r="10641" spans="1:5" x14ac:dyDescent="0.25">
      <c r="A10641" t="str">
        <f>"839254444"</f>
        <v>839254444</v>
      </c>
      <c r="B10641" t="s">
        <v>9826</v>
      </c>
      <c r="C10641">
        <v>30.79</v>
      </c>
      <c r="D10641" t="str">
        <f t="shared" si="341"/>
        <v>637</v>
      </c>
    </row>
    <row r="10642" spans="1:5" x14ac:dyDescent="0.25">
      <c r="A10642" t="str">
        <f>"839254447"</f>
        <v>839254447</v>
      </c>
      <c r="B10642" t="s">
        <v>9827</v>
      </c>
      <c r="C10642">
        <v>59.16</v>
      </c>
      <c r="D10642" t="str">
        <f t="shared" si="341"/>
        <v>637</v>
      </c>
    </row>
    <row r="10643" spans="1:5" x14ac:dyDescent="0.25">
      <c r="A10643" t="str">
        <f>"839254448"</f>
        <v>839254448</v>
      </c>
      <c r="B10643" t="s">
        <v>9828</v>
      </c>
      <c r="C10643">
        <v>230.12</v>
      </c>
      <c r="D10643" t="str">
        <f t="shared" si="341"/>
        <v>637</v>
      </c>
    </row>
    <row r="10644" spans="1:5" x14ac:dyDescent="0.25">
      <c r="A10644" t="str">
        <f>"839254449"</f>
        <v>839254449</v>
      </c>
      <c r="B10644" t="s">
        <v>9829</v>
      </c>
      <c r="C10644">
        <v>30.53</v>
      </c>
      <c r="D10644" t="str">
        <f t="shared" si="341"/>
        <v>637</v>
      </c>
    </row>
    <row r="10645" spans="1:5" x14ac:dyDescent="0.25">
      <c r="A10645" t="str">
        <f>"839254450"</f>
        <v>839254450</v>
      </c>
      <c r="B10645" t="s">
        <v>9830</v>
      </c>
      <c r="C10645">
        <v>6.6</v>
      </c>
      <c r="D10645" t="str">
        <f t="shared" si="341"/>
        <v>637</v>
      </c>
    </row>
    <row r="10646" spans="1:5" x14ac:dyDescent="0.25">
      <c r="A10646" t="str">
        <f>"839254452"</f>
        <v>839254452</v>
      </c>
      <c r="B10646" t="s">
        <v>9831</v>
      </c>
      <c r="C10646">
        <v>11.34</v>
      </c>
      <c r="D10646" t="str">
        <f t="shared" si="341"/>
        <v>637</v>
      </c>
    </row>
    <row r="10647" spans="1:5" x14ac:dyDescent="0.25">
      <c r="A10647" t="str">
        <f>"839254453"</f>
        <v>839254453</v>
      </c>
      <c r="B10647" t="s">
        <v>9832</v>
      </c>
      <c r="C10647">
        <v>8.07</v>
      </c>
      <c r="D10647" t="str">
        <f t="shared" si="341"/>
        <v>637</v>
      </c>
    </row>
    <row r="10648" spans="1:5" x14ac:dyDescent="0.25">
      <c r="A10648" t="str">
        <f>"839254454"</f>
        <v>839254454</v>
      </c>
      <c r="B10648" t="s">
        <v>9833</v>
      </c>
      <c r="C10648">
        <v>37.909999999999997</v>
      </c>
      <c r="D10648" t="str">
        <f t="shared" si="341"/>
        <v>637</v>
      </c>
    </row>
    <row r="10649" spans="1:5" x14ac:dyDescent="0.25">
      <c r="A10649" t="str">
        <f>"839254456"</f>
        <v>839254456</v>
      </c>
      <c r="B10649" t="s">
        <v>9834</v>
      </c>
      <c r="C10649">
        <v>33.659999999999997</v>
      </c>
      <c r="D10649" t="str">
        <f t="shared" si="341"/>
        <v>637</v>
      </c>
    </row>
    <row r="10650" spans="1:5" x14ac:dyDescent="0.25">
      <c r="A10650" t="str">
        <f>"839254457"</f>
        <v>839254457</v>
      </c>
      <c r="B10650" t="s">
        <v>9835</v>
      </c>
      <c r="C10650">
        <v>6.6</v>
      </c>
      <c r="D10650" t="str">
        <f t="shared" si="341"/>
        <v>637</v>
      </c>
    </row>
    <row r="10651" spans="1:5" x14ac:dyDescent="0.25">
      <c r="A10651" t="str">
        <f>"839254458"</f>
        <v>839254458</v>
      </c>
      <c r="B10651" t="s">
        <v>9836</v>
      </c>
      <c r="C10651">
        <v>293.95999999999998</v>
      </c>
      <c r="D10651" t="str">
        <f t="shared" si="341"/>
        <v>637</v>
      </c>
    </row>
    <row r="10652" spans="1:5" x14ac:dyDescent="0.25">
      <c r="A10652" t="str">
        <f>"839254459"</f>
        <v>839254459</v>
      </c>
      <c r="B10652" t="s">
        <v>9837</v>
      </c>
      <c r="C10652">
        <v>6.6</v>
      </c>
      <c r="D10652" t="str">
        <f t="shared" si="341"/>
        <v>637</v>
      </c>
    </row>
    <row r="10653" spans="1:5" x14ac:dyDescent="0.25">
      <c r="A10653" t="str">
        <f>"839254461"</f>
        <v>839254461</v>
      </c>
      <c r="B10653" t="s">
        <v>9838</v>
      </c>
      <c r="C10653">
        <v>6.6</v>
      </c>
      <c r="D10653" t="str">
        <f t="shared" si="341"/>
        <v>637</v>
      </c>
    </row>
    <row r="10654" spans="1:5" x14ac:dyDescent="0.25">
      <c r="A10654" t="str">
        <f>"839254464"</f>
        <v>839254464</v>
      </c>
      <c r="B10654" t="s">
        <v>9839</v>
      </c>
      <c r="C10654">
        <v>6.6</v>
      </c>
      <c r="D10654" t="str">
        <f>"637"</f>
        <v>637</v>
      </c>
    </row>
    <row r="10655" spans="1:5" x14ac:dyDescent="0.25">
      <c r="A10655" t="str">
        <f>"839254465"</f>
        <v>839254465</v>
      </c>
      <c r="B10655" t="s">
        <v>9840</v>
      </c>
      <c r="C10655">
        <v>6.6</v>
      </c>
      <c r="D10655" t="str">
        <f>"637"</f>
        <v>637</v>
      </c>
    </row>
    <row r="10656" spans="1:5" x14ac:dyDescent="0.25">
      <c r="A10656" t="str">
        <f>"839254476"</f>
        <v>839254476</v>
      </c>
      <c r="B10656" t="s">
        <v>9841</v>
      </c>
      <c r="C10656">
        <v>89.89</v>
      </c>
      <c r="D10656" t="str">
        <f>"636"</f>
        <v>636</v>
      </c>
      <c r="E10656" t="str">
        <f>"J2795"</f>
        <v>J2795</v>
      </c>
    </row>
    <row r="10657" spans="1:5" x14ac:dyDescent="0.25">
      <c r="A10657" t="str">
        <f>"839254486"</f>
        <v>839254486</v>
      </c>
      <c r="B10657" t="s">
        <v>9842</v>
      </c>
      <c r="C10657">
        <v>41.16</v>
      </c>
      <c r="D10657" t="str">
        <f>"636"</f>
        <v>636</v>
      </c>
      <c r="E10657" t="str">
        <f>"J8610"</f>
        <v>J8610</v>
      </c>
    </row>
    <row r="10658" spans="1:5" x14ac:dyDescent="0.25">
      <c r="A10658" t="str">
        <f>"839254535"</f>
        <v>839254535</v>
      </c>
      <c r="B10658" t="s">
        <v>9843</v>
      </c>
      <c r="C10658">
        <v>6.6</v>
      </c>
      <c r="D10658" t="str">
        <f>"637"</f>
        <v>637</v>
      </c>
    </row>
    <row r="10659" spans="1:5" x14ac:dyDescent="0.25">
      <c r="A10659" t="str">
        <f>"839254561"</f>
        <v>839254561</v>
      </c>
      <c r="B10659" t="s">
        <v>9844</v>
      </c>
      <c r="C10659">
        <v>376.95</v>
      </c>
      <c r="D10659" t="str">
        <f>"636"</f>
        <v>636</v>
      </c>
      <c r="E10659" t="str">
        <f>"Q9968"</f>
        <v>Q9968</v>
      </c>
    </row>
    <row r="10660" spans="1:5" x14ac:dyDescent="0.25">
      <c r="A10660" t="str">
        <f>"839254570"</f>
        <v>839254570</v>
      </c>
      <c r="B10660" t="s">
        <v>9845</v>
      </c>
      <c r="C10660">
        <v>9.43</v>
      </c>
      <c r="D10660" t="str">
        <f>"637"</f>
        <v>637</v>
      </c>
    </row>
    <row r="10661" spans="1:5" x14ac:dyDescent="0.25">
      <c r="A10661" t="str">
        <f>"839254590"</f>
        <v>839254590</v>
      </c>
      <c r="B10661" t="s">
        <v>9846</v>
      </c>
      <c r="C10661">
        <v>6.6</v>
      </c>
      <c r="D10661" t="str">
        <f>"637"</f>
        <v>637</v>
      </c>
    </row>
    <row r="10662" spans="1:5" x14ac:dyDescent="0.25">
      <c r="A10662" t="str">
        <f>"839254595"</f>
        <v>839254595</v>
      </c>
      <c r="B10662" t="s">
        <v>9847</v>
      </c>
      <c r="C10662">
        <v>14.69</v>
      </c>
      <c r="D10662" t="str">
        <f>"637"</f>
        <v>637</v>
      </c>
    </row>
    <row r="10663" spans="1:5" x14ac:dyDescent="0.25">
      <c r="A10663" t="str">
        <f>"839254600"</f>
        <v>839254600</v>
      </c>
      <c r="B10663" t="s">
        <v>9848</v>
      </c>
      <c r="C10663">
        <v>8.83</v>
      </c>
      <c r="D10663" t="str">
        <f>"636"</f>
        <v>636</v>
      </c>
      <c r="E10663" t="str">
        <f>"J2765"</f>
        <v>J2765</v>
      </c>
    </row>
    <row r="10664" spans="1:5" x14ac:dyDescent="0.25">
      <c r="A10664" t="str">
        <f>"839254605"</f>
        <v>839254605</v>
      </c>
      <c r="B10664" t="s">
        <v>9849</v>
      </c>
      <c r="C10664">
        <v>13.68</v>
      </c>
      <c r="D10664" t="str">
        <f>"637"</f>
        <v>637</v>
      </c>
    </row>
    <row r="10665" spans="1:5" x14ac:dyDescent="0.25">
      <c r="A10665" t="str">
        <f>"839254616"</f>
        <v>839254616</v>
      </c>
      <c r="B10665" t="s">
        <v>9850</v>
      </c>
      <c r="C10665">
        <v>6.6</v>
      </c>
      <c r="D10665" t="str">
        <f>"637"</f>
        <v>637</v>
      </c>
    </row>
    <row r="10666" spans="1:5" x14ac:dyDescent="0.25">
      <c r="A10666" t="str">
        <f>"839254620"</f>
        <v>839254620</v>
      </c>
      <c r="B10666" t="s">
        <v>9851</v>
      </c>
      <c r="C10666">
        <v>9.5</v>
      </c>
      <c r="D10666" t="str">
        <f>"250"</f>
        <v>250</v>
      </c>
    </row>
    <row r="10667" spans="1:5" x14ac:dyDescent="0.25">
      <c r="A10667" t="str">
        <f>"839254622"</f>
        <v>839254622</v>
      </c>
      <c r="B10667" t="s">
        <v>9852</v>
      </c>
      <c r="C10667">
        <v>6.6</v>
      </c>
      <c r="D10667" t="str">
        <f>"637"</f>
        <v>637</v>
      </c>
    </row>
    <row r="10668" spans="1:5" x14ac:dyDescent="0.25">
      <c r="A10668" t="str">
        <f>"839254630"</f>
        <v>839254630</v>
      </c>
      <c r="B10668" t="s">
        <v>9853</v>
      </c>
      <c r="C10668">
        <v>6.6</v>
      </c>
      <c r="D10668" t="str">
        <f>"637"</f>
        <v>637</v>
      </c>
    </row>
    <row r="10669" spans="1:5" x14ac:dyDescent="0.25">
      <c r="A10669" t="str">
        <f>"839254631"</f>
        <v>839254631</v>
      </c>
      <c r="B10669" t="s">
        <v>9854</v>
      </c>
      <c r="C10669">
        <v>11.52</v>
      </c>
      <c r="D10669" t="str">
        <f>"637"</f>
        <v>637</v>
      </c>
    </row>
    <row r="10670" spans="1:5" x14ac:dyDescent="0.25">
      <c r="A10670" t="str">
        <f>"839254635"</f>
        <v>839254635</v>
      </c>
      <c r="B10670" t="s">
        <v>9855</v>
      </c>
      <c r="C10670">
        <v>6.6</v>
      </c>
      <c r="D10670" t="str">
        <f>"637"</f>
        <v>637</v>
      </c>
    </row>
    <row r="10671" spans="1:5" x14ac:dyDescent="0.25">
      <c r="A10671" t="str">
        <f>"839254645"</f>
        <v>839254645</v>
      </c>
      <c r="B10671" t="s">
        <v>9856</v>
      </c>
      <c r="C10671">
        <v>15.05</v>
      </c>
      <c r="D10671" t="str">
        <f>"250"</f>
        <v>250</v>
      </c>
    </row>
    <row r="10672" spans="1:5" x14ac:dyDescent="0.25">
      <c r="A10672" t="str">
        <f>"839254647"</f>
        <v>839254647</v>
      </c>
      <c r="B10672" t="s">
        <v>9857</v>
      </c>
      <c r="C10672">
        <v>115.65</v>
      </c>
      <c r="D10672" t="str">
        <f>"637"</f>
        <v>637</v>
      </c>
    </row>
    <row r="10673" spans="1:5" x14ac:dyDescent="0.25">
      <c r="A10673" t="str">
        <f>"839254670"</f>
        <v>839254670</v>
      </c>
      <c r="B10673" t="s">
        <v>9858</v>
      </c>
      <c r="C10673">
        <v>34.78</v>
      </c>
      <c r="D10673" t="str">
        <f>"637"</f>
        <v>637</v>
      </c>
    </row>
    <row r="10674" spans="1:5" x14ac:dyDescent="0.25">
      <c r="A10674" t="str">
        <f>"839254695"</f>
        <v>839254695</v>
      </c>
      <c r="B10674" t="s">
        <v>9859</v>
      </c>
      <c r="C10674">
        <v>6.95</v>
      </c>
      <c r="D10674" t="str">
        <f>"636"</f>
        <v>636</v>
      </c>
      <c r="E10674" t="str">
        <f>"J2250"</f>
        <v>J2250</v>
      </c>
    </row>
    <row r="10675" spans="1:5" x14ac:dyDescent="0.25">
      <c r="A10675" t="str">
        <f>"839254705"</f>
        <v>839254705</v>
      </c>
      <c r="B10675" t="s">
        <v>9860</v>
      </c>
      <c r="C10675">
        <v>6.6</v>
      </c>
      <c r="D10675" t="str">
        <f>"637"</f>
        <v>637</v>
      </c>
    </row>
    <row r="10676" spans="1:5" x14ac:dyDescent="0.25">
      <c r="A10676" t="str">
        <f>"839254726"</f>
        <v>839254726</v>
      </c>
      <c r="B10676" t="s">
        <v>9861</v>
      </c>
      <c r="C10676">
        <v>783.29</v>
      </c>
      <c r="D10676" t="str">
        <f>"250"</f>
        <v>250</v>
      </c>
    </row>
    <row r="10677" spans="1:5" x14ac:dyDescent="0.25">
      <c r="A10677" t="str">
        <f>"839254729"</f>
        <v>839254729</v>
      </c>
      <c r="B10677" t="s">
        <v>9862</v>
      </c>
      <c r="C10677">
        <v>24.04</v>
      </c>
      <c r="D10677" t="str">
        <f>"250"</f>
        <v>250</v>
      </c>
    </row>
    <row r="10678" spans="1:5" x14ac:dyDescent="0.25">
      <c r="A10678" t="str">
        <f>"839254730"</f>
        <v>839254730</v>
      </c>
      <c r="B10678" t="s">
        <v>9863</v>
      </c>
      <c r="C10678">
        <v>8.5299999999999994</v>
      </c>
      <c r="D10678" t="str">
        <f>"637"</f>
        <v>637</v>
      </c>
    </row>
    <row r="10679" spans="1:5" x14ac:dyDescent="0.25">
      <c r="A10679" t="str">
        <f>"839254765"</f>
        <v>839254765</v>
      </c>
      <c r="B10679" t="s">
        <v>9864</v>
      </c>
      <c r="C10679">
        <v>6.6</v>
      </c>
      <c r="D10679" t="str">
        <f>"637"</f>
        <v>637</v>
      </c>
    </row>
    <row r="10680" spans="1:5" x14ac:dyDescent="0.25">
      <c r="A10680" t="str">
        <f>"839254770"</f>
        <v>839254770</v>
      </c>
      <c r="B10680" t="s">
        <v>9865</v>
      </c>
      <c r="C10680">
        <v>18.36</v>
      </c>
      <c r="D10680" t="str">
        <f>"636"</f>
        <v>636</v>
      </c>
      <c r="E10680" t="str">
        <f>"J2270"</f>
        <v>J2270</v>
      </c>
    </row>
    <row r="10681" spans="1:5" x14ac:dyDescent="0.25">
      <c r="A10681" t="str">
        <f>"839254781"</f>
        <v>839254781</v>
      </c>
      <c r="B10681" t="s">
        <v>9866</v>
      </c>
      <c r="C10681">
        <v>6.6</v>
      </c>
      <c r="D10681" t="str">
        <f>"637"</f>
        <v>637</v>
      </c>
    </row>
    <row r="10682" spans="1:5" x14ac:dyDescent="0.25">
      <c r="A10682" t="str">
        <f>"839254785"</f>
        <v>839254785</v>
      </c>
      <c r="B10682" t="s">
        <v>9867</v>
      </c>
      <c r="C10682">
        <v>18</v>
      </c>
      <c r="D10682" t="str">
        <f>"636"</f>
        <v>636</v>
      </c>
      <c r="E10682" t="str">
        <f>"J2270"</f>
        <v>J2270</v>
      </c>
    </row>
    <row r="10683" spans="1:5" x14ac:dyDescent="0.25">
      <c r="A10683" t="str">
        <f>"839254786"</f>
        <v>839254786</v>
      </c>
      <c r="B10683" t="s">
        <v>9868</v>
      </c>
      <c r="C10683">
        <v>29.7</v>
      </c>
      <c r="D10683" t="str">
        <f>"636"</f>
        <v>636</v>
      </c>
      <c r="E10683" t="str">
        <f>"J2270"</f>
        <v>J2270</v>
      </c>
    </row>
    <row r="10684" spans="1:5" x14ac:dyDescent="0.25">
      <c r="A10684" t="str">
        <f>"839254791"</f>
        <v>839254791</v>
      </c>
      <c r="B10684" t="s">
        <v>9869</v>
      </c>
      <c r="C10684">
        <v>601.91999999999996</v>
      </c>
      <c r="D10684" t="str">
        <f>"636"</f>
        <v>636</v>
      </c>
      <c r="E10684" t="str">
        <f>"J2270"</f>
        <v>J2270</v>
      </c>
    </row>
    <row r="10685" spans="1:5" x14ac:dyDescent="0.25">
      <c r="A10685" t="str">
        <f>"839254800"</f>
        <v>839254800</v>
      </c>
      <c r="B10685" t="s">
        <v>9870</v>
      </c>
      <c r="C10685">
        <v>9.91</v>
      </c>
      <c r="D10685" t="str">
        <f>"637"</f>
        <v>637</v>
      </c>
    </row>
    <row r="10686" spans="1:5" x14ac:dyDescent="0.25">
      <c r="A10686" t="str">
        <f>"839254801"</f>
        <v>839254801</v>
      </c>
      <c r="B10686" t="s">
        <v>9871</v>
      </c>
      <c r="C10686">
        <v>22.74</v>
      </c>
      <c r="D10686" t="str">
        <f>"636"</f>
        <v>636</v>
      </c>
      <c r="E10686" t="str">
        <f>"J2270"</f>
        <v>J2270</v>
      </c>
    </row>
    <row r="10687" spans="1:5" x14ac:dyDescent="0.25">
      <c r="A10687" t="str">
        <f>"839254810"</f>
        <v>839254810</v>
      </c>
      <c r="B10687" t="s">
        <v>9872</v>
      </c>
      <c r="C10687">
        <v>6.6</v>
      </c>
      <c r="D10687" t="str">
        <f>"250"</f>
        <v>250</v>
      </c>
    </row>
    <row r="10688" spans="1:5" x14ac:dyDescent="0.25">
      <c r="A10688" t="str">
        <f>"839254815"</f>
        <v>839254815</v>
      </c>
      <c r="B10688" t="s">
        <v>9873</v>
      </c>
      <c r="C10688">
        <v>6.6</v>
      </c>
      <c r="D10688" t="str">
        <f>"637"</f>
        <v>637</v>
      </c>
    </row>
    <row r="10689" spans="1:5" x14ac:dyDescent="0.25">
      <c r="A10689" t="str">
        <f>"839254828"</f>
        <v>839254828</v>
      </c>
      <c r="B10689" t="s">
        <v>9874</v>
      </c>
      <c r="C10689">
        <v>6.6</v>
      </c>
      <c r="D10689" t="str">
        <f>"637"</f>
        <v>637</v>
      </c>
    </row>
    <row r="10690" spans="1:5" x14ac:dyDescent="0.25">
      <c r="A10690" t="str">
        <f>"839254829"</f>
        <v>839254829</v>
      </c>
      <c r="B10690" t="s">
        <v>9875</v>
      </c>
      <c r="C10690">
        <v>6.6</v>
      </c>
      <c r="D10690" t="str">
        <f>"637"</f>
        <v>637</v>
      </c>
    </row>
    <row r="10691" spans="1:5" x14ac:dyDescent="0.25">
      <c r="A10691" t="str">
        <f>"839254840"</f>
        <v>839254840</v>
      </c>
      <c r="B10691" t="s">
        <v>9876</v>
      </c>
      <c r="C10691" s="1">
        <v>1602.15</v>
      </c>
      <c r="D10691" t="str">
        <f>"250"</f>
        <v>250</v>
      </c>
    </row>
    <row r="10692" spans="1:5" x14ac:dyDescent="0.25">
      <c r="A10692" t="str">
        <f>"839254860"</f>
        <v>839254860</v>
      </c>
      <c r="B10692" t="s">
        <v>9877</v>
      </c>
      <c r="C10692">
        <v>1.1000000000000001</v>
      </c>
      <c r="D10692" t="str">
        <f>"250"</f>
        <v>250</v>
      </c>
    </row>
    <row r="10693" spans="1:5" x14ac:dyDescent="0.25">
      <c r="A10693" t="str">
        <f>"839254905"</f>
        <v>839254905</v>
      </c>
      <c r="B10693" t="s">
        <v>9878</v>
      </c>
      <c r="C10693">
        <v>156.57</v>
      </c>
      <c r="D10693" t="str">
        <f>"636"</f>
        <v>636</v>
      </c>
      <c r="E10693" t="str">
        <f>"J2310"</f>
        <v>J2310</v>
      </c>
    </row>
    <row r="10694" spans="1:5" x14ac:dyDescent="0.25">
      <c r="A10694" t="str">
        <f>"839254910"</f>
        <v>839254910</v>
      </c>
      <c r="B10694" t="s">
        <v>9879</v>
      </c>
      <c r="C10694">
        <v>11.88</v>
      </c>
      <c r="D10694" t="str">
        <f>"637"</f>
        <v>637</v>
      </c>
    </row>
    <row r="10695" spans="1:5" x14ac:dyDescent="0.25">
      <c r="A10695" t="str">
        <f>"839254922"</f>
        <v>839254922</v>
      </c>
      <c r="B10695" t="s">
        <v>9880</v>
      </c>
      <c r="C10695">
        <v>21.95</v>
      </c>
      <c r="D10695" t="str">
        <f>"250"</f>
        <v>250</v>
      </c>
    </row>
    <row r="10696" spans="1:5" x14ac:dyDescent="0.25">
      <c r="A10696" t="str">
        <f>"839254930"</f>
        <v>839254930</v>
      </c>
      <c r="B10696" t="s">
        <v>9881</v>
      </c>
      <c r="C10696">
        <v>6.6</v>
      </c>
      <c r="D10696" t="str">
        <f>"637"</f>
        <v>637</v>
      </c>
    </row>
    <row r="10697" spans="1:5" x14ac:dyDescent="0.25">
      <c r="A10697" t="str">
        <f>"839254931"</f>
        <v>839254931</v>
      </c>
      <c r="B10697" t="s">
        <v>9882</v>
      </c>
      <c r="C10697">
        <v>8.84</v>
      </c>
      <c r="D10697" t="str">
        <f>"637"</f>
        <v>637</v>
      </c>
    </row>
    <row r="10698" spans="1:5" x14ac:dyDescent="0.25">
      <c r="A10698" t="str">
        <f>"839254932"</f>
        <v>839254932</v>
      </c>
      <c r="B10698" t="s">
        <v>9883</v>
      </c>
      <c r="C10698">
        <v>9.7100000000000009</v>
      </c>
      <c r="D10698" t="str">
        <f>"637"</f>
        <v>637</v>
      </c>
    </row>
    <row r="10699" spans="1:5" x14ac:dyDescent="0.25">
      <c r="A10699" t="str">
        <f>"839254960"</f>
        <v>839254960</v>
      </c>
      <c r="B10699" t="s">
        <v>9884</v>
      </c>
      <c r="C10699">
        <v>404.32</v>
      </c>
      <c r="D10699" t="str">
        <f>"250"</f>
        <v>250</v>
      </c>
    </row>
    <row r="10700" spans="1:5" x14ac:dyDescent="0.25">
      <c r="A10700" t="str">
        <f>"839254995"</f>
        <v>839254995</v>
      </c>
      <c r="B10700" t="s">
        <v>9885</v>
      </c>
      <c r="C10700">
        <v>9</v>
      </c>
      <c r="D10700" t="str">
        <f>"637"</f>
        <v>637</v>
      </c>
    </row>
    <row r="10701" spans="1:5" x14ac:dyDescent="0.25">
      <c r="A10701" t="str">
        <f>"839255025"</f>
        <v>839255025</v>
      </c>
      <c r="B10701" t="s">
        <v>9886</v>
      </c>
      <c r="C10701">
        <v>6.6</v>
      </c>
      <c r="D10701" t="str">
        <f>"637"</f>
        <v>637</v>
      </c>
    </row>
    <row r="10702" spans="1:5" x14ac:dyDescent="0.25">
      <c r="A10702" t="str">
        <f>"839255045"</f>
        <v>839255045</v>
      </c>
      <c r="B10702" t="s">
        <v>9887</v>
      </c>
      <c r="C10702">
        <v>288.75</v>
      </c>
      <c r="D10702" t="str">
        <f>"636"</f>
        <v>636</v>
      </c>
      <c r="E10702" t="str">
        <f>"J2710"</f>
        <v>J2710</v>
      </c>
    </row>
    <row r="10703" spans="1:5" x14ac:dyDescent="0.25">
      <c r="A10703" t="str">
        <f>"839255070"</f>
        <v>839255070</v>
      </c>
      <c r="B10703" t="s">
        <v>9888</v>
      </c>
      <c r="C10703">
        <v>290.39999999999998</v>
      </c>
      <c r="D10703" t="str">
        <f>"637"</f>
        <v>637</v>
      </c>
    </row>
    <row r="10704" spans="1:5" x14ac:dyDescent="0.25">
      <c r="A10704" t="str">
        <f>"839255075"</f>
        <v>839255075</v>
      </c>
      <c r="B10704" t="s">
        <v>9889</v>
      </c>
      <c r="C10704">
        <v>290.39999999999998</v>
      </c>
      <c r="D10704" t="str">
        <f>"250"</f>
        <v>250</v>
      </c>
    </row>
    <row r="10705" spans="1:5" x14ac:dyDescent="0.25">
      <c r="A10705" t="str">
        <f>"839255101"</f>
        <v>839255101</v>
      </c>
      <c r="B10705" t="s">
        <v>9890</v>
      </c>
      <c r="C10705">
        <v>6.6</v>
      </c>
      <c r="D10705" t="str">
        <f>"637"</f>
        <v>637</v>
      </c>
    </row>
    <row r="10706" spans="1:5" x14ac:dyDescent="0.25">
      <c r="A10706" t="str">
        <f>"839255110"</f>
        <v>839255110</v>
      </c>
      <c r="B10706" t="s">
        <v>9891</v>
      </c>
      <c r="C10706">
        <v>8.49</v>
      </c>
      <c r="D10706" t="str">
        <f>"637"</f>
        <v>637</v>
      </c>
    </row>
    <row r="10707" spans="1:5" x14ac:dyDescent="0.25">
      <c r="A10707" t="str">
        <f>"839255120"</f>
        <v>839255120</v>
      </c>
      <c r="B10707" t="s">
        <v>9892</v>
      </c>
      <c r="C10707">
        <v>11.8</v>
      </c>
      <c r="D10707" t="str">
        <f>"637"</f>
        <v>637</v>
      </c>
    </row>
    <row r="10708" spans="1:5" x14ac:dyDescent="0.25">
      <c r="A10708" t="str">
        <f>"839255125"</f>
        <v>839255125</v>
      </c>
      <c r="B10708" t="s">
        <v>9893</v>
      </c>
      <c r="C10708">
        <v>14.66</v>
      </c>
      <c r="D10708" t="str">
        <f>"637"</f>
        <v>637</v>
      </c>
    </row>
    <row r="10709" spans="1:5" x14ac:dyDescent="0.25">
      <c r="A10709" t="str">
        <f>"839255170"</f>
        <v>839255170</v>
      </c>
      <c r="B10709" t="s">
        <v>9894</v>
      </c>
      <c r="C10709">
        <v>153.05000000000001</v>
      </c>
      <c r="D10709" t="str">
        <f>"636"</f>
        <v>636</v>
      </c>
      <c r="E10709" t="str">
        <f>"J3490"</f>
        <v>J3490</v>
      </c>
    </row>
    <row r="10710" spans="1:5" x14ac:dyDescent="0.25">
      <c r="A10710" t="str">
        <f>"839255175"</f>
        <v>839255175</v>
      </c>
      <c r="B10710" t="s">
        <v>9895</v>
      </c>
      <c r="C10710">
        <v>12.55</v>
      </c>
      <c r="D10710" t="str">
        <f>"637"</f>
        <v>637</v>
      </c>
    </row>
    <row r="10711" spans="1:5" x14ac:dyDescent="0.25">
      <c r="A10711" t="str">
        <f>"839255182"</f>
        <v>839255182</v>
      </c>
      <c r="B10711" t="s">
        <v>9896</v>
      </c>
      <c r="C10711">
        <v>66.239999999999995</v>
      </c>
      <c r="D10711" t="str">
        <f>"636"</f>
        <v>636</v>
      </c>
      <c r="E10711" t="str">
        <f>"J3480"</f>
        <v>J3480</v>
      </c>
    </row>
    <row r="10712" spans="1:5" x14ac:dyDescent="0.25">
      <c r="A10712" t="str">
        <f>"839255185"</f>
        <v>839255185</v>
      </c>
      <c r="B10712" t="s">
        <v>9897</v>
      </c>
      <c r="C10712">
        <v>6.78</v>
      </c>
      <c r="D10712" t="str">
        <f>"637"</f>
        <v>637</v>
      </c>
    </row>
    <row r="10713" spans="1:5" x14ac:dyDescent="0.25">
      <c r="A10713" t="str">
        <f>"839255186"</f>
        <v>839255186</v>
      </c>
      <c r="B10713" t="s">
        <v>9898</v>
      </c>
      <c r="C10713">
        <v>12.19</v>
      </c>
      <c r="D10713" t="str">
        <f>"637"</f>
        <v>637</v>
      </c>
    </row>
    <row r="10714" spans="1:5" x14ac:dyDescent="0.25">
      <c r="A10714" t="str">
        <f>"839255189"</f>
        <v>839255189</v>
      </c>
      <c r="B10714" t="s">
        <v>9899</v>
      </c>
      <c r="C10714">
        <v>1.1000000000000001</v>
      </c>
      <c r="D10714" t="str">
        <f>"637"</f>
        <v>637</v>
      </c>
    </row>
    <row r="10715" spans="1:5" x14ac:dyDescent="0.25">
      <c r="A10715" t="str">
        <f>"839255190"</f>
        <v>839255190</v>
      </c>
      <c r="B10715" t="s">
        <v>9900</v>
      </c>
      <c r="C10715">
        <v>712.8</v>
      </c>
      <c r="D10715" t="str">
        <f>"250"</f>
        <v>250</v>
      </c>
    </row>
    <row r="10716" spans="1:5" x14ac:dyDescent="0.25">
      <c r="A10716" t="str">
        <f>"839255205"</f>
        <v>839255205</v>
      </c>
      <c r="B10716" t="s">
        <v>9901</v>
      </c>
      <c r="C10716">
        <v>160.22999999999999</v>
      </c>
      <c r="D10716" t="str">
        <f>"250"</f>
        <v>250</v>
      </c>
    </row>
    <row r="10717" spans="1:5" x14ac:dyDescent="0.25">
      <c r="A10717" t="str">
        <f>"839255215"</f>
        <v>839255215</v>
      </c>
      <c r="B10717" t="s">
        <v>9902</v>
      </c>
      <c r="C10717">
        <v>9.68</v>
      </c>
      <c r="D10717" t="str">
        <f t="shared" ref="D10717:D10724" si="342">"637"</f>
        <v>637</v>
      </c>
    </row>
    <row r="10718" spans="1:5" x14ac:dyDescent="0.25">
      <c r="A10718" t="str">
        <f>"839255221"</f>
        <v>839255221</v>
      </c>
      <c r="B10718" t="s">
        <v>9903</v>
      </c>
      <c r="C10718">
        <v>247.24</v>
      </c>
      <c r="D10718" t="str">
        <f t="shared" si="342"/>
        <v>637</v>
      </c>
    </row>
    <row r="10719" spans="1:5" x14ac:dyDescent="0.25">
      <c r="A10719" t="str">
        <f>"839255225"</f>
        <v>839255225</v>
      </c>
      <c r="B10719" t="s">
        <v>9904</v>
      </c>
      <c r="C10719">
        <v>115.5</v>
      </c>
      <c r="D10719" t="str">
        <f t="shared" si="342"/>
        <v>637</v>
      </c>
    </row>
    <row r="10720" spans="1:5" x14ac:dyDescent="0.25">
      <c r="A10720" t="str">
        <f>"839255226"</f>
        <v>839255226</v>
      </c>
      <c r="B10720" t="s">
        <v>9905</v>
      </c>
      <c r="C10720">
        <v>11.19</v>
      </c>
      <c r="D10720" t="str">
        <f t="shared" si="342"/>
        <v>637</v>
      </c>
    </row>
    <row r="10721" spans="1:5" x14ac:dyDescent="0.25">
      <c r="A10721" t="str">
        <f>"839255245"</f>
        <v>839255245</v>
      </c>
      <c r="B10721" t="s">
        <v>9906</v>
      </c>
      <c r="C10721">
        <v>212.61</v>
      </c>
      <c r="D10721" t="str">
        <f t="shared" si="342"/>
        <v>637</v>
      </c>
      <c r="E10721" t="str">
        <f>"J2354"</f>
        <v>J2354</v>
      </c>
    </row>
    <row r="10722" spans="1:5" x14ac:dyDescent="0.25">
      <c r="A10722" t="str">
        <f>"839255246"</f>
        <v>839255246</v>
      </c>
      <c r="B10722" t="s">
        <v>9907</v>
      </c>
      <c r="C10722">
        <v>393.55</v>
      </c>
      <c r="D10722" t="str">
        <f t="shared" si="342"/>
        <v>637</v>
      </c>
      <c r="E10722" t="str">
        <f>"J2354"</f>
        <v>J2354</v>
      </c>
    </row>
    <row r="10723" spans="1:5" x14ac:dyDescent="0.25">
      <c r="A10723" t="str">
        <f>"839255261"</f>
        <v>839255261</v>
      </c>
      <c r="B10723" t="s">
        <v>9908</v>
      </c>
      <c r="C10723">
        <v>6.6</v>
      </c>
      <c r="D10723" t="str">
        <f t="shared" si="342"/>
        <v>637</v>
      </c>
    </row>
    <row r="10724" spans="1:5" x14ac:dyDescent="0.25">
      <c r="A10724" t="str">
        <f>"839255262"</f>
        <v>839255262</v>
      </c>
      <c r="B10724" t="s">
        <v>9909</v>
      </c>
      <c r="C10724">
        <v>18.809999999999999</v>
      </c>
      <c r="D10724" t="str">
        <f t="shared" si="342"/>
        <v>637</v>
      </c>
    </row>
    <row r="10725" spans="1:5" x14ac:dyDescent="0.25">
      <c r="A10725" t="str">
        <f>"839255265"</f>
        <v>839255265</v>
      </c>
      <c r="B10725" t="s">
        <v>9910</v>
      </c>
      <c r="C10725">
        <v>6.6</v>
      </c>
      <c r="D10725" t="str">
        <f>"636"</f>
        <v>636</v>
      </c>
      <c r="E10725" t="str">
        <f>"J2405"</f>
        <v>J2405</v>
      </c>
    </row>
    <row r="10726" spans="1:5" x14ac:dyDescent="0.25">
      <c r="A10726" t="str">
        <f>"839255266"</f>
        <v>839255266</v>
      </c>
      <c r="B10726" t="s">
        <v>9911</v>
      </c>
      <c r="C10726">
        <v>159.72</v>
      </c>
      <c r="D10726" t="str">
        <f>"637"</f>
        <v>637</v>
      </c>
    </row>
    <row r="10727" spans="1:5" x14ac:dyDescent="0.25">
      <c r="A10727" t="str">
        <f>"839255330"</f>
        <v>839255330</v>
      </c>
      <c r="B10727" t="s">
        <v>9912</v>
      </c>
      <c r="C10727">
        <v>6.6</v>
      </c>
      <c r="D10727" t="str">
        <f>"637"</f>
        <v>637</v>
      </c>
    </row>
    <row r="10728" spans="1:5" x14ac:dyDescent="0.25">
      <c r="A10728" t="str">
        <f>"839255335"</f>
        <v>839255335</v>
      </c>
      <c r="B10728" t="s">
        <v>9913</v>
      </c>
      <c r="C10728">
        <v>9.14</v>
      </c>
      <c r="D10728" t="str">
        <f>"637"</f>
        <v>637</v>
      </c>
    </row>
    <row r="10729" spans="1:5" x14ac:dyDescent="0.25">
      <c r="A10729" t="str">
        <f>"839255342"</f>
        <v>839255342</v>
      </c>
      <c r="B10729" t="s">
        <v>9914</v>
      </c>
      <c r="C10729">
        <v>36.08</v>
      </c>
      <c r="D10729" t="str">
        <f>"637"</f>
        <v>637</v>
      </c>
    </row>
    <row r="10730" spans="1:5" x14ac:dyDescent="0.25">
      <c r="A10730" t="str">
        <f>"839255345"</f>
        <v>839255345</v>
      </c>
      <c r="B10730" t="s">
        <v>9915</v>
      </c>
      <c r="C10730">
        <v>12.67</v>
      </c>
      <c r="D10730" t="str">
        <f>"637"</f>
        <v>637</v>
      </c>
    </row>
    <row r="10731" spans="1:5" x14ac:dyDescent="0.25">
      <c r="A10731" t="str">
        <f>"839255360"</f>
        <v>839255360</v>
      </c>
      <c r="B10731" t="s">
        <v>9916</v>
      </c>
      <c r="C10731">
        <v>213.84</v>
      </c>
      <c r="D10731" t="str">
        <f>"311"</f>
        <v>311</v>
      </c>
      <c r="E10731" t="str">
        <f>"J2430"</f>
        <v>J2430</v>
      </c>
    </row>
    <row r="10732" spans="1:5" x14ac:dyDescent="0.25">
      <c r="A10732" t="str">
        <f>"839255381"</f>
        <v>839255381</v>
      </c>
      <c r="B10732" t="s">
        <v>9917</v>
      </c>
      <c r="C10732">
        <v>327.97</v>
      </c>
      <c r="D10732" t="str">
        <f t="shared" ref="D10732:D10737" si="343">"637"</f>
        <v>637</v>
      </c>
      <c r="E10732" t="str">
        <f>"J2440"</f>
        <v>J2440</v>
      </c>
    </row>
    <row r="10733" spans="1:5" x14ac:dyDescent="0.25">
      <c r="A10733" t="str">
        <f>"839255393"</f>
        <v>839255393</v>
      </c>
      <c r="B10733" t="s">
        <v>9918</v>
      </c>
      <c r="C10733">
        <v>18.579999999999998</v>
      </c>
      <c r="D10733" t="str">
        <f t="shared" si="343"/>
        <v>637</v>
      </c>
    </row>
    <row r="10734" spans="1:5" x14ac:dyDescent="0.25">
      <c r="A10734" t="str">
        <f>"839255394"</f>
        <v>839255394</v>
      </c>
      <c r="B10734" t="s">
        <v>9919</v>
      </c>
      <c r="C10734">
        <v>19.62</v>
      </c>
      <c r="D10734" t="str">
        <f t="shared" si="343"/>
        <v>637</v>
      </c>
    </row>
    <row r="10735" spans="1:5" x14ac:dyDescent="0.25">
      <c r="A10735" t="str">
        <f>"839255397"</f>
        <v>839255397</v>
      </c>
      <c r="B10735" t="s">
        <v>9920</v>
      </c>
      <c r="C10735">
        <v>19.38</v>
      </c>
      <c r="D10735" t="str">
        <f t="shared" si="343"/>
        <v>637</v>
      </c>
    </row>
    <row r="10736" spans="1:5" x14ac:dyDescent="0.25">
      <c r="A10736" t="str">
        <f>"839255398"</f>
        <v>839255398</v>
      </c>
      <c r="B10736" t="s">
        <v>9921</v>
      </c>
      <c r="C10736">
        <v>38.4</v>
      </c>
      <c r="D10736" t="str">
        <f t="shared" si="343"/>
        <v>637</v>
      </c>
    </row>
    <row r="10737" spans="1:5" x14ac:dyDescent="0.25">
      <c r="A10737" t="str">
        <f>"839255399"</f>
        <v>839255399</v>
      </c>
      <c r="B10737" t="s">
        <v>9922</v>
      </c>
      <c r="C10737">
        <v>18.579999999999998</v>
      </c>
      <c r="D10737" t="str">
        <f t="shared" si="343"/>
        <v>637</v>
      </c>
    </row>
    <row r="10738" spans="1:5" x14ac:dyDescent="0.25">
      <c r="A10738" t="str">
        <f>"839255401"</f>
        <v>839255401</v>
      </c>
      <c r="B10738" t="s">
        <v>9923</v>
      </c>
      <c r="C10738">
        <v>20.88</v>
      </c>
      <c r="D10738" t="str">
        <f>"637"</f>
        <v>637</v>
      </c>
    </row>
    <row r="10739" spans="1:5" x14ac:dyDescent="0.25">
      <c r="A10739" t="str">
        <f>"839255403"</f>
        <v>839255403</v>
      </c>
      <c r="B10739" t="s">
        <v>9924</v>
      </c>
      <c r="C10739">
        <v>33.72</v>
      </c>
      <c r="D10739" t="str">
        <f>"637"</f>
        <v>637</v>
      </c>
    </row>
    <row r="10740" spans="1:5" x14ac:dyDescent="0.25">
      <c r="A10740" t="str">
        <f>"839255431"</f>
        <v>839255431</v>
      </c>
      <c r="B10740" t="s">
        <v>9925</v>
      </c>
      <c r="C10740">
        <v>102.56</v>
      </c>
      <c r="D10740" t="str">
        <f>"636"</f>
        <v>636</v>
      </c>
      <c r="E10740" t="str">
        <f>"J2540"</f>
        <v>J2540</v>
      </c>
    </row>
    <row r="10741" spans="1:5" x14ac:dyDescent="0.25">
      <c r="A10741" t="str">
        <f>"839255446"</f>
        <v>839255446</v>
      </c>
      <c r="B10741" t="s">
        <v>9926</v>
      </c>
      <c r="C10741">
        <v>104.37</v>
      </c>
      <c r="D10741" t="str">
        <f t="shared" ref="D10741:D10748" si="344">"637"</f>
        <v>637</v>
      </c>
    </row>
    <row r="10742" spans="1:5" x14ac:dyDescent="0.25">
      <c r="A10742" t="str">
        <f>"839255490"</f>
        <v>839255490</v>
      </c>
      <c r="B10742" t="s">
        <v>9927</v>
      </c>
      <c r="C10742">
        <v>9.89</v>
      </c>
      <c r="D10742" t="str">
        <f t="shared" si="344"/>
        <v>637</v>
      </c>
    </row>
    <row r="10743" spans="1:5" x14ac:dyDescent="0.25">
      <c r="A10743" t="str">
        <f>"839255510"</f>
        <v>839255510</v>
      </c>
      <c r="B10743" t="s">
        <v>9928</v>
      </c>
      <c r="C10743">
        <v>11.83</v>
      </c>
      <c r="D10743" t="str">
        <f t="shared" si="344"/>
        <v>637</v>
      </c>
    </row>
    <row r="10744" spans="1:5" x14ac:dyDescent="0.25">
      <c r="A10744" t="str">
        <f>"839255525"</f>
        <v>839255525</v>
      </c>
      <c r="B10744" t="s">
        <v>9929</v>
      </c>
      <c r="C10744">
        <v>15.84</v>
      </c>
      <c r="D10744" t="str">
        <f t="shared" si="344"/>
        <v>637</v>
      </c>
    </row>
    <row r="10745" spans="1:5" x14ac:dyDescent="0.25">
      <c r="A10745" t="str">
        <f>"839255538"</f>
        <v>839255538</v>
      </c>
      <c r="B10745" t="s">
        <v>9930</v>
      </c>
      <c r="C10745">
        <v>6.6</v>
      </c>
      <c r="D10745" t="str">
        <f t="shared" si="344"/>
        <v>637</v>
      </c>
    </row>
    <row r="10746" spans="1:5" x14ac:dyDescent="0.25">
      <c r="A10746" t="str">
        <f>"839255539"</f>
        <v>839255539</v>
      </c>
      <c r="B10746" t="s">
        <v>9931</v>
      </c>
      <c r="C10746">
        <v>6.6</v>
      </c>
      <c r="D10746" t="str">
        <f t="shared" si="344"/>
        <v>637</v>
      </c>
    </row>
    <row r="10747" spans="1:5" x14ac:dyDescent="0.25">
      <c r="A10747" t="str">
        <f>"839255540"</f>
        <v>839255540</v>
      </c>
      <c r="B10747" t="s">
        <v>9932</v>
      </c>
      <c r="C10747">
        <v>6.6</v>
      </c>
      <c r="D10747" t="str">
        <f t="shared" si="344"/>
        <v>637</v>
      </c>
    </row>
    <row r="10748" spans="1:5" x14ac:dyDescent="0.25">
      <c r="A10748" t="str">
        <f>"839255555"</f>
        <v>839255555</v>
      </c>
      <c r="B10748" t="s">
        <v>9933</v>
      </c>
      <c r="C10748">
        <v>6.6</v>
      </c>
      <c r="D10748" t="str">
        <f t="shared" si="344"/>
        <v>637</v>
      </c>
    </row>
    <row r="10749" spans="1:5" x14ac:dyDescent="0.25">
      <c r="A10749" t="str">
        <f>"839255565"</f>
        <v>839255565</v>
      </c>
      <c r="B10749" t="s">
        <v>9934</v>
      </c>
      <c r="C10749">
        <v>12.98</v>
      </c>
      <c r="D10749" t="str">
        <f>"636"</f>
        <v>636</v>
      </c>
      <c r="E10749" t="str">
        <f>"J2560"</f>
        <v>J2560</v>
      </c>
    </row>
    <row r="10750" spans="1:5" x14ac:dyDescent="0.25">
      <c r="A10750" t="str">
        <f>"839255590"</f>
        <v>839255590</v>
      </c>
      <c r="B10750" t="s">
        <v>9935</v>
      </c>
      <c r="C10750">
        <v>3.3</v>
      </c>
      <c r="D10750" t="str">
        <f>"636"</f>
        <v>636</v>
      </c>
      <c r="E10750" t="str">
        <f>"J2760"</f>
        <v>J2760</v>
      </c>
    </row>
    <row r="10751" spans="1:5" x14ac:dyDescent="0.25">
      <c r="A10751" t="str">
        <f>"839255610"</f>
        <v>839255610</v>
      </c>
      <c r="B10751" t="s">
        <v>9936</v>
      </c>
      <c r="C10751">
        <v>29.06</v>
      </c>
      <c r="D10751" t="str">
        <f>"636"</f>
        <v>636</v>
      </c>
      <c r="E10751" t="str">
        <f>"J2370"</f>
        <v>J2370</v>
      </c>
    </row>
    <row r="10752" spans="1:5" x14ac:dyDescent="0.25">
      <c r="A10752" t="str">
        <f>"839255630"</f>
        <v>839255630</v>
      </c>
      <c r="B10752" t="s">
        <v>9937</v>
      </c>
      <c r="C10752">
        <v>268.16000000000003</v>
      </c>
      <c r="D10752" t="str">
        <f>"250"</f>
        <v>250</v>
      </c>
    </row>
    <row r="10753" spans="1:5" x14ac:dyDescent="0.25">
      <c r="A10753" t="str">
        <f>"839255666"</f>
        <v>839255666</v>
      </c>
      <c r="B10753" t="s">
        <v>9938</v>
      </c>
      <c r="C10753">
        <v>26.53</v>
      </c>
      <c r="D10753" t="str">
        <f>"636"</f>
        <v>636</v>
      </c>
      <c r="E10753" t="str">
        <f>"J1165"</f>
        <v>J1165</v>
      </c>
    </row>
    <row r="10754" spans="1:5" x14ac:dyDescent="0.25">
      <c r="A10754" t="str">
        <f>"839255670"</f>
        <v>839255670</v>
      </c>
      <c r="B10754" t="s">
        <v>9939</v>
      </c>
      <c r="C10754">
        <v>14.37</v>
      </c>
      <c r="D10754" t="str">
        <f>"636"</f>
        <v>636</v>
      </c>
      <c r="E10754" t="str">
        <f>"J1165"</f>
        <v>J1165</v>
      </c>
    </row>
    <row r="10755" spans="1:5" x14ac:dyDescent="0.25">
      <c r="A10755" t="str">
        <f>"839255680"</f>
        <v>839255680</v>
      </c>
      <c r="B10755" t="s">
        <v>9940</v>
      </c>
      <c r="C10755">
        <v>6.78</v>
      </c>
      <c r="D10755" t="str">
        <f>"637"</f>
        <v>637</v>
      </c>
    </row>
    <row r="10756" spans="1:5" x14ac:dyDescent="0.25">
      <c r="A10756" t="str">
        <f>"839255685"</f>
        <v>839255685</v>
      </c>
      <c r="B10756" t="s">
        <v>9941</v>
      </c>
      <c r="C10756">
        <v>620.03</v>
      </c>
      <c r="D10756" t="str">
        <f>"271"</f>
        <v>271</v>
      </c>
    </row>
    <row r="10757" spans="1:5" x14ac:dyDescent="0.25">
      <c r="A10757" t="str">
        <f>"839255803"</f>
        <v>839255803</v>
      </c>
      <c r="B10757" t="s">
        <v>9942</v>
      </c>
      <c r="C10757">
        <v>115.5</v>
      </c>
      <c r="D10757" t="str">
        <f>"250"</f>
        <v>250</v>
      </c>
    </row>
    <row r="10758" spans="1:5" x14ac:dyDescent="0.25">
      <c r="A10758" t="str">
        <f>"839255821"</f>
        <v>839255821</v>
      </c>
      <c r="B10758" t="s">
        <v>9943</v>
      </c>
      <c r="C10758">
        <v>122.78</v>
      </c>
      <c r="D10758" t="str">
        <f>"250"</f>
        <v>250</v>
      </c>
    </row>
    <row r="10759" spans="1:5" x14ac:dyDescent="0.25">
      <c r="A10759" t="str">
        <f>"839255830"</f>
        <v>839255830</v>
      </c>
      <c r="B10759" t="s">
        <v>9944</v>
      </c>
      <c r="C10759">
        <v>26.93</v>
      </c>
      <c r="D10759" t="str">
        <f>"250"</f>
        <v>250</v>
      </c>
    </row>
    <row r="10760" spans="1:5" x14ac:dyDescent="0.25">
      <c r="A10760" t="str">
        <f>"839255831"</f>
        <v>839255831</v>
      </c>
      <c r="B10760" t="s">
        <v>9945</v>
      </c>
      <c r="C10760">
        <v>88.68</v>
      </c>
      <c r="D10760" t="str">
        <f>"250"</f>
        <v>250</v>
      </c>
    </row>
    <row r="10761" spans="1:5" x14ac:dyDescent="0.25">
      <c r="A10761" t="str">
        <f>"839255840"</f>
        <v>839255840</v>
      </c>
      <c r="B10761" t="s">
        <v>9946</v>
      </c>
      <c r="C10761">
        <v>6.6</v>
      </c>
      <c r="D10761" t="str">
        <f>"637"</f>
        <v>637</v>
      </c>
    </row>
    <row r="10762" spans="1:5" x14ac:dyDescent="0.25">
      <c r="A10762" t="str">
        <f>"839255841"</f>
        <v>839255841</v>
      </c>
      <c r="B10762" t="s">
        <v>9947</v>
      </c>
      <c r="C10762">
        <v>26.8</v>
      </c>
      <c r="D10762" t="str">
        <f>"636"</f>
        <v>636</v>
      </c>
      <c r="E10762" t="str">
        <f>"J3480"</f>
        <v>J3480</v>
      </c>
    </row>
    <row r="10763" spans="1:5" x14ac:dyDescent="0.25">
      <c r="A10763" t="str">
        <f>"839255846"</f>
        <v>839255846</v>
      </c>
      <c r="B10763" t="s">
        <v>9948</v>
      </c>
      <c r="C10763">
        <v>27.73</v>
      </c>
      <c r="D10763" t="str">
        <f>"636"</f>
        <v>636</v>
      </c>
      <c r="E10763" t="str">
        <f>"J3480"</f>
        <v>J3480</v>
      </c>
    </row>
    <row r="10764" spans="1:5" x14ac:dyDescent="0.25">
      <c r="A10764" t="str">
        <f>"839255850"</f>
        <v>839255850</v>
      </c>
      <c r="B10764" t="s">
        <v>9949</v>
      </c>
      <c r="C10764">
        <v>6.6</v>
      </c>
      <c r="D10764" t="str">
        <f>"637"</f>
        <v>637</v>
      </c>
    </row>
    <row r="10765" spans="1:5" x14ac:dyDescent="0.25">
      <c r="A10765" t="str">
        <f>"839255860"</f>
        <v>839255860</v>
      </c>
      <c r="B10765" t="s">
        <v>9950</v>
      </c>
      <c r="C10765">
        <v>115.97</v>
      </c>
      <c r="D10765" t="str">
        <f>"250"</f>
        <v>250</v>
      </c>
    </row>
    <row r="10766" spans="1:5" x14ac:dyDescent="0.25">
      <c r="A10766" t="str">
        <f>"839255870"</f>
        <v>839255870</v>
      </c>
      <c r="B10766" t="s">
        <v>9951</v>
      </c>
      <c r="C10766">
        <v>9.9700000000000006</v>
      </c>
      <c r="D10766" t="str">
        <f>"637"</f>
        <v>637</v>
      </c>
    </row>
    <row r="10767" spans="1:5" x14ac:dyDescent="0.25">
      <c r="A10767" t="str">
        <f>"839255875"</f>
        <v>839255875</v>
      </c>
      <c r="B10767" t="s">
        <v>9952</v>
      </c>
      <c r="C10767">
        <v>20.59</v>
      </c>
      <c r="D10767" t="str">
        <f>"637"</f>
        <v>637</v>
      </c>
    </row>
    <row r="10768" spans="1:5" x14ac:dyDescent="0.25">
      <c r="A10768" t="str">
        <f>"839255916"</f>
        <v>839255916</v>
      </c>
      <c r="B10768" t="s">
        <v>9953</v>
      </c>
      <c r="C10768">
        <v>24.16</v>
      </c>
      <c r="D10768" t="str">
        <f>"637"</f>
        <v>637</v>
      </c>
    </row>
    <row r="10769" spans="1:5" x14ac:dyDescent="0.25">
      <c r="A10769" t="str">
        <f>"839255919"</f>
        <v>839255919</v>
      </c>
      <c r="B10769" t="s">
        <v>9954</v>
      </c>
      <c r="C10769">
        <v>13.34</v>
      </c>
      <c r="D10769" t="str">
        <f>"637"</f>
        <v>637</v>
      </c>
    </row>
    <row r="10770" spans="1:5" x14ac:dyDescent="0.25">
      <c r="A10770" t="str">
        <f>"839255933"</f>
        <v>839255933</v>
      </c>
      <c r="B10770" t="s">
        <v>9955</v>
      </c>
      <c r="C10770">
        <v>50.89</v>
      </c>
      <c r="D10770" t="str">
        <f>"637"</f>
        <v>637</v>
      </c>
    </row>
    <row r="10771" spans="1:5" x14ac:dyDescent="0.25">
      <c r="A10771" t="str">
        <f>"839255934"</f>
        <v>839255934</v>
      </c>
      <c r="B10771" t="s">
        <v>9956</v>
      </c>
      <c r="C10771">
        <v>365.11</v>
      </c>
      <c r="D10771" t="str">
        <f>"250"</f>
        <v>250</v>
      </c>
    </row>
    <row r="10772" spans="1:5" x14ac:dyDescent="0.25">
      <c r="A10772" t="str">
        <f>"839255935"</f>
        <v>839255935</v>
      </c>
      <c r="B10772" t="s">
        <v>9957</v>
      </c>
      <c r="C10772">
        <v>6.6</v>
      </c>
      <c r="D10772" t="str">
        <f>"636"</f>
        <v>636</v>
      </c>
      <c r="E10772" t="str">
        <f>"J7506"</f>
        <v>J7506</v>
      </c>
    </row>
    <row r="10773" spans="1:5" x14ac:dyDescent="0.25">
      <c r="A10773" t="str">
        <f>"839255940"</f>
        <v>839255940</v>
      </c>
      <c r="B10773" t="s">
        <v>9958</v>
      </c>
      <c r="C10773">
        <v>6.6</v>
      </c>
      <c r="D10773" t="str">
        <f>"636"</f>
        <v>636</v>
      </c>
      <c r="E10773" t="str">
        <f>"J7506"</f>
        <v>J7506</v>
      </c>
    </row>
    <row r="10774" spans="1:5" x14ac:dyDescent="0.25">
      <c r="A10774" t="str">
        <f>"839255950"</f>
        <v>839255950</v>
      </c>
      <c r="B10774" t="s">
        <v>9959</v>
      </c>
      <c r="C10774">
        <v>6.6</v>
      </c>
      <c r="D10774" t="str">
        <f>"636"</f>
        <v>636</v>
      </c>
      <c r="E10774" t="str">
        <f>"J7506"</f>
        <v>J7506</v>
      </c>
    </row>
    <row r="10775" spans="1:5" x14ac:dyDescent="0.25">
      <c r="A10775" t="str">
        <f>"839255960"</f>
        <v>839255960</v>
      </c>
      <c r="B10775" t="s">
        <v>9960</v>
      </c>
      <c r="C10775">
        <v>6.6</v>
      </c>
      <c r="D10775" t="str">
        <f>"637"</f>
        <v>637</v>
      </c>
    </row>
    <row r="10776" spans="1:5" x14ac:dyDescent="0.25">
      <c r="A10776" t="str">
        <f>"839255970"</f>
        <v>839255970</v>
      </c>
      <c r="B10776" t="s">
        <v>9961</v>
      </c>
      <c r="C10776">
        <v>6.6</v>
      </c>
      <c r="D10776" t="str">
        <f>"637"</f>
        <v>637</v>
      </c>
    </row>
    <row r="10777" spans="1:5" x14ac:dyDescent="0.25">
      <c r="A10777" t="str">
        <f>"839255975"</f>
        <v>839255975</v>
      </c>
      <c r="B10777" t="s">
        <v>9962</v>
      </c>
      <c r="C10777">
        <v>198</v>
      </c>
      <c r="D10777" t="str">
        <f>"636"</f>
        <v>636</v>
      </c>
      <c r="E10777" t="str">
        <f>"J0743"</f>
        <v>J0743</v>
      </c>
    </row>
    <row r="10778" spans="1:5" x14ac:dyDescent="0.25">
      <c r="A10778" t="str">
        <f>"839255977"</f>
        <v>839255977</v>
      </c>
      <c r="B10778" t="s">
        <v>9963</v>
      </c>
      <c r="C10778">
        <v>99</v>
      </c>
      <c r="D10778" t="str">
        <f>"636"</f>
        <v>636</v>
      </c>
      <c r="E10778" t="str">
        <f>"J0743"</f>
        <v>J0743</v>
      </c>
    </row>
    <row r="10779" spans="1:5" x14ac:dyDescent="0.25">
      <c r="A10779" t="str">
        <f>"839255980"</f>
        <v>839255980</v>
      </c>
      <c r="B10779" t="s">
        <v>9964</v>
      </c>
      <c r="C10779">
        <v>6.6</v>
      </c>
      <c r="D10779" t="str">
        <f>"637"</f>
        <v>637</v>
      </c>
    </row>
    <row r="10780" spans="1:5" x14ac:dyDescent="0.25">
      <c r="A10780" t="str">
        <f>"839256000"</f>
        <v>839256000</v>
      </c>
      <c r="B10780" t="s">
        <v>9965</v>
      </c>
      <c r="C10780">
        <v>673.2</v>
      </c>
      <c r="D10780" t="str">
        <f>"636"</f>
        <v>636</v>
      </c>
      <c r="E10780" t="str">
        <f>"J2690"</f>
        <v>J2690</v>
      </c>
    </row>
    <row r="10781" spans="1:5" x14ac:dyDescent="0.25">
      <c r="A10781" t="str">
        <f>"839256003"</f>
        <v>839256003</v>
      </c>
      <c r="B10781" t="s">
        <v>9966</v>
      </c>
      <c r="C10781">
        <v>66.97</v>
      </c>
      <c r="D10781" t="str">
        <f>"637"</f>
        <v>637</v>
      </c>
    </row>
    <row r="10782" spans="1:5" x14ac:dyDescent="0.25">
      <c r="A10782" t="str">
        <f>"839256005"</f>
        <v>839256005</v>
      </c>
      <c r="B10782" t="s">
        <v>9967</v>
      </c>
      <c r="C10782">
        <v>189.93</v>
      </c>
      <c r="D10782" t="str">
        <f>"636"</f>
        <v>636</v>
      </c>
    </row>
    <row r="10783" spans="1:5" x14ac:dyDescent="0.25">
      <c r="A10783" t="str">
        <f>"839256030"</f>
        <v>839256030</v>
      </c>
      <c r="B10783" t="s">
        <v>9968</v>
      </c>
      <c r="C10783">
        <v>146.52000000000001</v>
      </c>
      <c r="D10783" t="str">
        <f>"636"</f>
        <v>636</v>
      </c>
      <c r="E10783" t="str">
        <f>"J0780"</f>
        <v>J0780</v>
      </c>
    </row>
    <row r="10784" spans="1:5" x14ac:dyDescent="0.25">
      <c r="A10784" t="str">
        <f>"839256035"</f>
        <v>839256035</v>
      </c>
      <c r="B10784" t="s">
        <v>9969</v>
      </c>
      <c r="C10784">
        <v>6.6</v>
      </c>
      <c r="D10784" t="str">
        <f>"637"</f>
        <v>637</v>
      </c>
    </row>
    <row r="10785" spans="1:5" x14ac:dyDescent="0.25">
      <c r="A10785" t="str">
        <f>"839256040"</f>
        <v>839256040</v>
      </c>
      <c r="B10785" t="s">
        <v>9970</v>
      </c>
      <c r="C10785">
        <v>80.91</v>
      </c>
      <c r="D10785" t="str">
        <f>"637"</f>
        <v>637</v>
      </c>
    </row>
    <row r="10786" spans="1:5" x14ac:dyDescent="0.25">
      <c r="A10786" t="str">
        <f>"839256050"</f>
        <v>839256050</v>
      </c>
      <c r="B10786" t="s">
        <v>9971</v>
      </c>
      <c r="C10786">
        <v>6.6</v>
      </c>
      <c r="D10786" t="str">
        <f>"637"</f>
        <v>637</v>
      </c>
    </row>
    <row r="10787" spans="1:5" x14ac:dyDescent="0.25">
      <c r="A10787" t="str">
        <f>"839256053"</f>
        <v>839256053</v>
      </c>
      <c r="B10787" t="s">
        <v>9972</v>
      </c>
      <c r="C10787">
        <v>144.87</v>
      </c>
      <c r="D10787" t="str">
        <f>"250"</f>
        <v>250</v>
      </c>
    </row>
    <row r="10788" spans="1:5" x14ac:dyDescent="0.25">
      <c r="A10788" t="str">
        <f>"839256056"</f>
        <v>839256056</v>
      </c>
      <c r="B10788" t="s">
        <v>9973</v>
      </c>
      <c r="C10788">
        <v>76.56</v>
      </c>
      <c r="D10788" t="str">
        <f>"637"</f>
        <v>637</v>
      </c>
    </row>
    <row r="10789" spans="1:5" x14ac:dyDescent="0.25">
      <c r="A10789" t="str">
        <f>"839256057"</f>
        <v>839256057</v>
      </c>
      <c r="B10789" t="s">
        <v>9974</v>
      </c>
      <c r="C10789">
        <v>28.99</v>
      </c>
      <c r="D10789" t="str">
        <f>"637"</f>
        <v>637</v>
      </c>
    </row>
    <row r="10790" spans="1:5" x14ac:dyDescent="0.25">
      <c r="A10790" t="str">
        <f>"839256080"</f>
        <v>839256080</v>
      </c>
      <c r="B10790" t="s">
        <v>9975</v>
      </c>
      <c r="C10790">
        <v>116.85</v>
      </c>
      <c r="D10790" t="str">
        <f>"637"</f>
        <v>637</v>
      </c>
    </row>
    <row r="10791" spans="1:5" x14ac:dyDescent="0.25">
      <c r="A10791" t="str">
        <f>"839256085"</f>
        <v>839256085</v>
      </c>
      <c r="B10791" t="s">
        <v>9976</v>
      </c>
      <c r="C10791">
        <v>6.6</v>
      </c>
      <c r="D10791" t="str">
        <f>"637"</f>
        <v>637</v>
      </c>
    </row>
    <row r="10792" spans="1:5" x14ac:dyDescent="0.25">
      <c r="A10792" t="str">
        <f>"839256140"</f>
        <v>839256140</v>
      </c>
      <c r="B10792" t="s">
        <v>9977</v>
      </c>
      <c r="C10792">
        <v>6.6</v>
      </c>
      <c r="D10792" t="str">
        <f>"637"</f>
        <v>637</v>
      </c>
    </row>
    <row r="10793" spans="1:5" x14ac:dyDescent="0.25">
      <c r="A10793" t="str">
        <f>"839256145"</f>
        <v>839256145</v>
      </c>
      <c r="B10793" t="s">
        <v>9978</v>
      </c>
      <c r="C10793">
        <v>79.75</v>
      </c>
      <c r="D10793" t="str">
        <f>"636"</f>
        <v>636</v>
      </c>
      <c r="E10793" t="str">
        <f>"J1800"</f>
        <v>J1800</v>
      </c>
    </row>
    <row r="10794" spans="1:5" x14ac:dyDescent="0.25">
      <c r="A10794" t="str">
        <f>"839256150"</f>
        <v>839256150</v>
      </c>
      <c r="B10794" t="s">
        <v>9979</v>
      </c>
      <c r="C10794">
        <v>8.83</v>
      </c>
      <c r="D10794" t="str">
        <f>"637"</f>
        <v>637</v>
      </c>
    </row>
    <row r="10795" spans="1:5" x14ac:dyDescent="0.25">
      <c r="A10795" t="str">
        <f>"839256165"</f>
        <v>839256165</v>
      </c>
      <c r="B10795" t="s">
        <v>9980</v>
      </c>
      <c r="C10795">
        <v>22.18</v>
      </c>
      <c r="D10795" t="str">
        <f>"637"</f>
        <v>637</v>
      </c>
    </row>
    <row r="10796" spans="1:5" x14ac:dyDescent="0.25">
      <c r="A10796" t="str">
        <f>"839256170"</f>
        <v>839256170</v>
      </c>
      <c r="B10796" t="s">
        <v>9981</v>
      </c>
      <c r="C10796">
        <v>58.39</v>
      </c>
      <c r="D10796" t="str">
        <f>"636"</f>
        <v>636</v>
      </c>
      <c r="E10796" t="str">
        <f>"J2720"</f>
        <v>J2720</v>
      </c>
    </row>
    <row r="10797" spans="1:5" x14ac:dyDescent="0.25">
      <c r="A10797" t="str">
        <f>"839256185"</f>
        <v>839256185</v>
      </c>
      <c r="B10797" t="s">
        <v>9982</v>
      </c>
      <c r="C10797">
        <v>6.6</v>
      </c>
      <c r="D10797" t="str">
        <f t="shared" ref="D10797:D10811" si="345">"637"</f>
        <v>637</v>
      </c>
    </row>
    <row r="10798" spans="1:5" x14ac:dyDescent="0.25">
      <c r="A10798" t="str">
        <f>"839256220"</f>
        <v>839256220</v>
      </c>
      <c r="B10798" t="s">
        <v>9983</v>
      </c>
      <c r="C10798">
        <v>42.87</v>
      </c>
      <c r="D10798" t="str">
        <f t="shared" si="345"/>
        <v>637</v>
      </c>
    </row>
    <row r="10799" spans="1:5" x14ac:dyDescent="0.25">
      <c r="A10799" t="str">
        <f>"839256226"</f>
        <v>839256226</v>
      </c>
      <c r="B10799" t="s">
        <v>9984</v>
      </c>
      <c r="C10799">
        <v>6.6</v>
      </c>
      <c r="D10799" t="str">
        <f t="shared" si="345"/>
        <v>637</v>
      </c>
    </row>
    <row r="10800" spans="1:5" x14ac:dyDescent="0.25">
      <c r="A10800" t="str">
        <f>"839256235"</f>
        <v>839256235</v>
      </c>
      <c r="B10800" t="s">
        <v>9985</v>
      </c>
      <c r="C10800">
        <v>6.6</v>
      </c>
      <c r="D10800" t="str">
        <f t="shared" si="345"/>
        <v>637</v>
      </c>
    </row>
    <row r="10801" spans="1:4" x14ac:dyDescent="0.25">
      <c r="A10801" t="str">
        <f>"839256306"</f>
        <v>839256306</v>
      </c>
      <c r="B10801" t="s">
        <v>9986</v>
      </c>
      <c r="C10801">
        <v>193.15</v>
      </c>
      <c r="D10801" t="str">
        <f t="shared" si="345"/>
        <v>637</v>
      </c>
    </row>
    <row r="10802" spans="1:4" x14ac:dyDescent="0.25">
      <c r="A10802" t="str">
        <f>"839256307"</f>
        <v>839256307</v>
      </c>
      <c r="B10802" t="s">
        <v>9987</v>
      </c>
      <c r="C10802">
        <v>10.41</v>
      </c>
      <c r="D10802" t="str">
        <f t="shared" si="345"/>
        <v>637</v>
      </c>
    </row>
    <row r="10803" spans="1:4" x14ac:dyDescent="0.25">
      <c r="A10803" t="str">
        <f>"839256308"</f>
        <v>839256308</v>
      </c>
      <c r="B10803" t="s">
        <v>9988</v>
      </c>
      <c r="C10803">
        <v>102.07</v>
      </c>
      <c r="D10803" t="str">
        <f t="shared" si="345"/>
        <v>637</v>
      </c>
    </row>
    <row r="10804" spans="1:4" x14ac:dyDescent="0.25">
      <c r="A10804" t="str">
        <f>"839256309"</f>
        <v>839256309</v>
      </c>
      <c r="B10804" t="s">
        <v>9989</v>
      </c>
      <c r="C10804">
        <v>102.01</v>
      </c>
      <c r="D10804" t="str">
        <f t="shared" si="345"/>
        <v>637</v>
      </c>
    </row>
    <row r="10805" spans="1:4" x14ac:dyDescent="0.25">
      <c r="A10805" t="str">
        <f>"839256325"</f>
        <v>839256325</v>
      </c>
      <c r="B10805" t="s">
        <v>9990</v>
      </c>
      <c r="C10805">
        <v>9</v>
      </c>
      <c r="D10805" t="str">
        <f t="shared" si="345"/>
        <v>637</v>
      </c>
    </row>
    <row r="10806" spans="1:4" x14ac:dyDescent="0.25">
      <c r="A10806" t="str">
        <f>"839256332"</f>
        <v>839256332</v>
      </c>
      <c r="B10806" t="s">
        <v>9991</v>
      </c>
      <c r="C10806">
        <v>32.450000000000003</v>
      </c>
      <c r="D10806" t="str">
        <f t="shared" si="345"/>
        <v>637</v>
      </c>
    </row>
    <row r="10807" spans="1:4" x14ac:dyDescent="0.25">
      <c r="A10807" t="str">
        <f>"839256336"</f>
        <v>839256336</v>
      </c>
      <c r="B10807" t="s">
        <v>9992</v>
      </c>
      <c r="C10807">
        <v>6.6</v>
      </c>
      <c r="D10807" t="str">
        <f t="shared" si="345"/>
        <v>637</v>
      </c>
    </row>
    <row r="10808" spans="1:4" x14ac:dyDescent="0.25">
      <c r="A10808" t="str">
        <f>"839256370"</f>
        <v>839256370</v>
      </c>
      <c r="B10808" t="s">
        <v>9993</v>
      </c>
      <c r="C10808">
        <v>6.6</v>
      </c>
      <c r="D10808" t="str">
        <f t="shared" si="345"/>
        <v>637</v>
      </c>
    </row>
    <row r="10809" spans="1:4" x14ac:dyDescent="0.25">
      <c r="A10809" t="str">
        <f>"839256385"</f>
        <v>839256385</v>
      </c>
      <c r="B10809" t="s">
        <v>9994</v>
      </c>
      <c r="C10809">
        <v>6.6</v>
      </c>
      <c r="D10809" t="str">
        <f t="shared" si="345"/>
        <v>637</v>
      </c>
    </row>
    <row r="10810" spans="1:4" x14ac:dyDescent="0.25">
      <c r="A10810" t="str">
        <f>"839256391"</f>
        <v>839256391</v>
      </c>
      <c r="B10810" t="s">
        <v>9995</v>
      </c>
      <c r="C10810">
        <v>6.6</v>
      </c>
      <c r="D10810" t="str">
        <f t="shared" si="345"/>
        <v>637</v>
      </c>
    </row>
    <row r="10811" spans="1:4" x14ac:dyDescent="0.25">
      <c r="A10811" t="str">
        <f>"839256420"</f>
        <v>839256420</v>
      </c>
      <c r="B10811" t="s">
        <v>9996</v>
      </c>
      <c r="C10811">
        <v>6.6</v>
      </c>
      <c r="D10811" t="str">
        <f t="shared" si="345"/>
        <v>637</v>
      </c>
    </row>
    <row r="10812" spans="1:4" x14ac:dyDescent="0.25">
      <c r="A10812" t="str">
        <f>"839256435"</f>
        <v>839256435</v>
      </c>
      <c r="B10812" t="s">
        <v>9997</v>
      </c>
      <c r="C10812">
        <v>25.07</v>
      </c>
      <c r="D10812" t="str">
        <f>"250"</f>
        <v>250</v>
      </c>
    </row>
    <row r="10813" spans="1:4" x14ac:dyDescent="0.25">
      <c r="A10813" t="str">
        <f>"839256446"</f>
        <v>839256446</v>
      </c>
      <c r="B10813" t="s">
        <v>9998</v>
      </c>
      <c r="C10813">
        <v>77.13</v>
      </c>
      <c r="D10813" t="str">
        <f>"250"</f>
        <v>250</v>
      </c>
    </row>
    <row r="10814" spans="1:4" x14ac:dyDescent="0.25">
      <c r="A10814" t="str">
        <f>"839256450"</f>
        <v>839256450</v>
      </c>
      <c r="B10814" t="s">
        <v>9999</v>
      </c>
      <c r="C10814">
        <v>106.92</v>
      </c>
      <c r="D10814" t="str">
        <f>"250"</f>
        <v>250</v>
      </c>
    </row>
    <row r="10815" spans="1:4" x14ac:dyDescent="0.25">
      <c r="A10815" t="str">
        <f>"839256455"</f>
        <v>839256455</v>
      </c>
      <c r="B10815" t="s">
        <v>10000</v>
      </c>
      <c r="C10815">
        <v>6.6</v>
      </c>
      <c r="D10815" t="str">
        <f>"637"</f>
        <v>637</v>
      </c>
    </row>
    <row r="10816" spans="1:4" x14ac:dyDescent="0.25">
      <c r="A10816" t="str">
        <f>"839256457"</f>
        <v>839256457</v>
      </c>
      <c r="B10816" t="s">
        <v>10001</v>
      </c>
      <c r="C10816">
        <v>33.72</v>
      </c>
      <c r="D10816" t="str">
        <f>"637"</f>
        <v>637</v>
      </c>
    </row>
    <row r="10817" spans="1:5" x14ac:dyDescent="0.25">
      <c r="A10817" t="str">
        <f>"839256465"</f>
        <v>839256465</v>
      </c>
      <c r="B10817" t="s">
        <v>10002</v>
      </c>
      <c r="C10817">
        <v>7.24</v>
      </c>
      <c r="D10817" t="str">
        <f>"250"</f>
        <v>250</v>
      </c>
    </row>
    <row r="10818" spans="1:5" x14ac:dyDescent="0.25">
      <c r="A10818" t="str">
        <f>"839256475"</f>
        <v>839256475</v>
      </c>
      <c r="B10818" t="s">
        <v>10003</v>
      </c>
      <c r="C10818">
        <v>6.6</v>
      </c>
      <c r="D10818" t="str">
        <f>"250"</f>
        <v>250</v>
      </c>
    </row>
    <row r="10819" spans="1:5" x14ac:dyDescent="0.25">
      <c r="A10819" t="str">
        <f>"839256476"</f>
        <v>839256476</v>
      </c>
      <c r="B10819" t="s">
        <v>10004</v>
      </c>
      <c r="C10819">
        <v>35.56</v>
      </c>
      <c r="D10819" t="str">
        <f>"250"</f>
        <v>250</v>
      </c>
    </row>
    <row r="10820" spans="1:5" x14ac:dyDescent="0.25">
      <c r="A10820" t="str">
        <f>"839256500"</f>
        <v>839256500</v>
      </c>
      <c r="B10820" t="s">
        <v>10005</v>
      </c>
      <c r="C10820">
        <v>74.25</v>
      </c>
      <c r="D10820" t="str">
        <f>"637"</f>
        <v>637</v>
      </c>
    </row>
    <row r="10821" spans="1:5" x14ac:dyDescent="0.25">
      <c r="A10821" t="str">
        <f>"839256530"</f>
        <v>839256530</v>
      </c>
      <c r="B10821" t="s">
        <v>10006</v>
      </c>
      <c r="C10821">
        <v>77.11</v>
      </c>
      <c r="D10821" t="str">
        <f>"636"</f>
        <v>636</v>
      </c>
      <c r="E10821" t="str">
        <f>"J2930"</f>
        <v>J2930</v>
      </c>
    </row>
    <row r="10822" spans="1:5" x14ac:dyDescent="0.25">
      <c r="A10822" t="str">
        <f>"839256535"</f>
        <v>839256535</v>
      </c>
      <c r="B10822" t="s">
        <v>10007</v>
      </c>
      <c r="C10822">
        <v>47.88</v>
      </c>
      <c r="D10822" t="str">
        <f>"636"</f>
        <v>636</v>
      </c>
      <c r="E10822" t="str">
        <f>"J2920"</f>
        <v>J2920</v>
      </c>
    </row>
    <row r="10823" spans="1:5" x14ac:dyDescent="0.25">
      <c r="A10823" t="str">
        <f>"839256537"</f>
        <v>839256537</v>
      </c>
      <c r="B10823" t="s">
        <v>10008</v>
      </c>
      <c r="C10823">
        <v>66.3</v>
      </c>
      <c r="D10823" t="str">
        <f>"637"</f>
        <v>637</v>
      </c>
    </row>
    <row r="10824" spans="1:5" x14ac:dyDescent="0.25">
      <c r="A10824" t="str">
        <f>"839256540"</f>
        <v>839256540</v>
      </c>
      <c r="B10824" t="s">
        <v>10009</v>
      </c>
      <c r="C10824">
        <v>17.739999999999998</v>
      </c>
      <c r="D10824" t="str">
        <f>"637"</f>
        <v>637</v>
      </c>
    </row>
    <row r="10825" spans="1:5" x14ac:dyDescent="0.25">
      <c r="A10825" t="str">
        <f>"839256560"</f>
        <v>839256560</v>
      </c>
      <c r="B10825" t="s">
        <v>10010</v>
      </c>
      <c r="C10825">
        <v>6.6</v>
      </c>
      <c r="D10825" t="str">
        <f>"637"</f>
        <v>637</v>
      </c>
    </row>
    <row r="10826" spans="1:5" x14ac:dyDescent="0.25">
      <c r="A10826" t="str">
        <f>"839256565"</f>
        <v>839256565</v>
      </c>
      <c r="B10826" t="s">
        <v>10011</v>
      </c>
      <c r="C10826">
        <v>6.6</v>
      </c>
      <c r="D10826" t="str">
        <f>"637"</f>
        <v>637</v>
      </c>
    </row>
    <row r="10827" spans="1:5" x14ac:dyDescent="0.25">
      <c r="A10827" t="str">
        <f>"839256606"</f>
        <v>839256606</v>
      </c>
      <c r="B10827" t="s">
        <v>10012</v>
      </c>
      <c r="C10827">
        <v>32.79</v>
      </c>
      <c r="D10827" t="str">
        <f>"637"</f>
        <v>637</v>
      </c>
    </row>
    <row r="10828" spans="1:5" x14ac:dyDescent="0.25">
      <c r="A10828" t="str">
        <f>"839256615"</f>
        <v>839256615</v>
      </c>
      <c r="B10828" t="s">
        <v>10013</v>
      </c>
      <c r="C10828">
        <v>158.24</v>
      </c>
      <c r="D10828" t="str">
        <f>"636"</f>
        <v>636</v>
      </c>
      <c r="E10828" t="str">
        <f>"J0330"</f>
        <v>J0330</v>
      </c>
    </row>
    <row r="10829" spans="1:5" x14ac:dyDescent="0.25">
      <c r="A10829" t="str">
        <f>"839256625"</f>
        <v>839256625</v>
      </c>
      <c r="B10829" t="s">
        <v>10014</v>
      </c>
      <c r="C10829">
        <v>6.6</v>
      </c>
      <c r="D10829" t="str">
        <f>"250"</f>
        <v>250</v>
      </c>
    </row>
    <row r="10830" spans="1:5" x14ac:dyDescent="0.25">
      <c r="A10830" t="str">
        <f>"839256626"</f>
        <v>839256626</v>
      </c>
      <c r="B10830" t="s">
        <v>10015</v>
      </c>
      <c r="C10830">
        <v>72.03</v>
      </c>
      <c r="D10830" t="str">
        <f>"250"</f>
        <v>250</v>
      </c>
    </row>
    <row r="10831" spans="1:5" x14ac:dyDescent="0.25">
      <c r="A10831" t="str">
        <f>"839256630"</f>
        <v>839256630</v>
      </c>
      <c r="B10831" t="s">
        <v>10016</v>
      </c>
      <c r="C10831">
        <v>402.6</v>
      </c>
      <c r="D10831" t="str">
        <f>"250"</f>
        <v>250</v>
      </c>
    </row>
    <row r="10832" spans="1:5" x14ac:dyDescent="0.25">
      <c r="A10832" t="str">
        <f>"839256635"</f>
        <v>839256635</v>
      </c>
      <c r="B10832" t="s">
        <v>10017</v>
      </c>
      <c r="C10832">
        <v>6.6</v>
      </c>
      <c r="D10832" t="str">
        <f>"637"</f>
        <v>637</v>
      </c>
    </row>
    <row r="10833" spans="1:5" x14ac:dyDescent="0.25">
      <c r="A10833" t="str">
        <f>"839256650"</f>
        <v>839256650</v>
      </c>
      <c r="B10833" t="s">
        <v>10018</v>
      </c>
      <c r="C10833">
        <v>6.6</v>
      </c>
      <c r="D10833" t="str">
        <f>"637"</f>
        <v>637</v>
      </c>
    </row>
    <row r="10834" spans="1:5" x14ac:dyDescent="0.25">
      <c r="A10834" t="str">
        <f>"839256672"</f>
        <v>839256672</v>
      </c>
      <c r="B10834" t="s">
        <v>10019</v>
      </c>
      <c r="C10834">
        <v>165.92</v>
      </c>
      <c r="D10834" t="str">
        <f>"637"</f>
        <v>637</v>
      </c>
    </row>
    <row r="10835" spans="1:5" x14ac:dyDescent="0.25">
      <c r="A10835" t="str">
        <f>"839256676"</f>
        <v>839256676</v>
      </c>
      <c r="B10835" t="s">
        <v>10020</v>
      </c>
      <c r="C10835" s="1">
        <v>1268.94</v>
      </c>
      <c r="D10835" t="str">
        <f>"250"</f>
        <v>250</v>
      </c>
    </row>
    <row r="10836" spans="1:5" x14ac:dyDescent="0.25">
      <c r="A10836" t="str">
        <f>"839256680"</f>
        <v>839256680</v>
      </c>
      <c r="B10836" t="s">
        <v>10021</v>
      </c>
      <c r="C10836">
        <v>6.6</v>
      </c>
      <c r="D10836" t="str">
        <f>"637"</f>
        <v>637</v>
      </c>
    </row>
    <row r="10837" spans="1:5" x14ac:dyDescent="0.25">
      <c r="A10837" t="str">
        <f>"839256690"</f>
        <v>839256690</v>
      </c>
      <c r="B10837" t="s">
        <v>10022</v>
      </c>
      <c r="C10837">
        <v>6.6</v>
      </c>
      <c r="D10837" t="str">
        <f>"637"</f>
        <v>637</v>
      </c>
    </row>
    <row r="10838" spans="1:5" x14ac:dyDescent="0.25">
      <c r="A10838" t="str">
        <f>"839256695"</f>
        <v>839256695</v>
      </c>
      <c r="B10838" t="s">
        <v>10023</v>
      </c>
      <c r="C10838">
        <v>6.6</v>
      </c>
      <c r="D10838" t="str">
        <f>"637"</f>
        <v>637</v>
      </c>
    </row>
    <row r="10839" spans="1:5" x14ac:dyDescent="0.25">
      <c r="A10839" t="str">
        <f>"839256697"</f>
        <v>839256697</v>
      </c>
      <c r="B10839" t="s">
        <v>10024</v>
      </c>
      <c r="C10839">
        <v>53.39</v>
      </c>
      <c r="D10839" t="str">
        <f>"637"</f>
        <v>637</v>
      </c>
    </row>
    <row r="10840" spans="1:5" x14ac:dyDescent="0.25">
      <c r="A10840" t="str">
        <f>"839256698"</f>
        <v>839256698</v>
      </c>
      <c r="B10840" t="s">
        <v>10025</v>
      </c>
      <c r="C10840">
        <v>86.3</v>
      </c>
      <c r="D10840" t="str">
        <f>"637"</f>
        <v>637</v>
      </c>
    </row>
    <row r="10841" spans="1:5" x14ac:dyDescent="0.25">
      <c r="A10841" t="str">
        <f>"839256705"</f>
        <v>839256705</v>
      </c>
      <c r="B10841" t="s">
        <v>10026</v>
      </c>
      <c r="C10841">
        <v>31.68</v>
      </c>
      <c r="D10841" t="str">
        <f>"636"</f>
        <v>636</v>
      </c>
      <c r="E10841" t="str">
        <f>"J3105"</f>
        <v>J3105</v>
      </c>
    </row>
    <row r="10842" spans="1:5" x14ac:dyDescent="0.25">
      <c r="A10842" t="str">
        <f>"839256715"</f>
        <v>839256715</v>
      </c>
      <c r="B10842" t="s">
        <v>10027</v>
      </c>
      <c r="C10842">
        <v>35.92</v>
      </c>
      <c r="D10842" t="str">
        <f>"637"</f>
        <v>637</v>
      </c>
    </row>
    <row r="10843" spans="1:5" x14ac:dyDescent="0.25">
      <c r="A10843" t="str">
        <f>"839256755"</f>
        <v>839256755</v>
      </c>
      <c r="B10843" t="s">
        <v>10028</v>
      </c>
      <c r="C10843">
        <v>204.94</v>
      </c>
      <c r="D10843" t="str">
        <f>"636"</f>
        <v>636</v>
      </c>
    </row>
    <row r="10844" spans="1:5" x14ac:dyDescent="0.25">
      <c r="A10844" t="str">
        <f>"839256770"</f>
        <v>839256770</v>
      </c>
      <c r="B10844" t="s">
        <v>10029</v>
      </c>
      <c r="C10844">
        <v>601.46</v>
      </c>
      <c r="D10844" t="str">
        <f>"250"</f>
        <v>250</v>
      </c>
    </row>
    <row r="10845" spans="1:5" x14ac:dyDescent="0.25">
      <c r="A10845" t="str">
        <f>"839256775"</f>
        <v>839256775</v>
      </c>
      <c r="B10845" t="s">
        <v>10030</v>
      </c>
      <c r="C10845">
        <v>51.98</v>
      </c>
      <c r="D10845" t="str">
        <f t="shared" ref="D10845:D10850" si="346">"637"</f>
        <v>637</v>
      </c>
    </row>
    <row r="10846" spans="1:5" x14ac:dyDescent="0.25">
      <c r="A10846" t="str">
        <f>"839256780"</f>
        <v>839256780</v>
      </c>
      <c r="B10846" t="s">
        <v>10031</v>
      </c>
      <c r="C10846">
        <v>103.95</v>
      </c>
      <c r="D10846" t="str">
        <f t="shared" si="346"/>
        <v>637</v>
      </c>
    </row>
    <row r="10847" spans="1:5" x14ac:dyDescent="0.25">
      <c r="A10847" t="str">
        <f>"839256786"</f>
        <v>839256786</v>
      </c>
      <c r="B10847" t="s">
        <v>10032</v>
      </c>
      <c r="C10847">
        <v>33.33</v>
      </c>
      <c r="D10847" t="str">
        <f t="shared" si="346"/>
        <v>637</v>
      </c>
    </row>
    <row r="10848" spans="1:5" x14ac:dyDescent="0.25">
      <c r="A10848" t="str">
        <f>"839256795"</f>
        <v>839256795</v>
      </c>
      <c r="B10848" t="s">
        <v>10033</v>
      </c>
      <c r="C10848">
        <v>31.22</v>
      </c>
      <c r="D10848" t="str">
        <f t="shared" si="346"/>
        <v>637</v>
      </c>
    </row>
    <row r="10849" spans="1:5" x14ac:dyDescent="0.25">
      <c r="A10849" t="str">
        <f>"839256800"</f>
        <v>839256800</v>
      </c>
      <c r="B10849" t="s">
        <v>10034</v>
      </c>
      <c r="C10849">
        <v>4.3</v>
      </c>
      <c r="D10849" t="str">
        <f t="shared" si="346"/>
        <v>637</v>
      </c>
    </row>
    <row r="10850" spans="1:5" x14ac:dyDescent="0.25">
      <c r="A10850" t="str">
        <f>"839256830"</f>
        <v>839256830</v>
      </c>
      <c r="B10850" t="s">
        <v>10035</v>
      </c>
      <c r="C10850">
        <v>6.6</v>
      </c>
      <c r="D10850" t="str">
        <f t="shared" si="346"/>
        <v>637</v>
      </c>
    </row>
    <row r="10851" spans="1:5" x14ac:dyDescent="0.25">
      <c r="A10851" t="str">
        <f>"839256835"</f>
        <v>839256835</v>
      </c>
      <c r="B10851" t="s">
        <v>10036</v>
      </c>
      <c r="C10851">
        <v>78.8</v>
      </c>
      <c r="D10851" t="str">
        <f>"636"</f>
        <v>636</v>
      </c>
      <c r="E10851" t="str">
        <f>"J3411"</f>
        <v>J3411</v>
      </c>
    </row>
    <row r="10852" spans="1:5" x14ac:dyDescent="0.25">
      <c r="A10852" t="str">
        <f>"839256885"</f>
        <v>839256885</v>
      </c>
      <c r="B10852" t="s">
        <v>10037</v>
      </c>
      <c r="C10852">
        <v>6.6</v>
      </c>
      <c r="D10852" t="str">
        <f>"637"</f>
        <v>637</v>
      </c>
    </row>
    <row r="10853" spans="1:5" x14ac:dyDescent="0.25">
      <c r="A10853" t="str">
        <f>"839256900"</f>
        <v>839256900</v>
      </c>
      <c r="B10853" t="s">
        <v>10038</v>
      </c>
      <c r="C10853">
        <v>15.72</v>
      </c>
      <c r="D10853" t="str">
        <f>"637"</f>
        <v>637</v>
      </c>
    </row>
    <row r="10854" spans="1:5" x14ac:dyDescent="0.25">
      <c r="A10854" t="str">
        <f>"839256905"</f>
        <v>839256905</v>
      </c>
      <c r="B10854" t="s">
        <v>10039</v>
      </c>
      <c r="C10854">
        <v>571.29999999999995</v>
      </c>
      <c r="D10854" t="str">
        <f>"250"</f>
        <v>250</v>
      </c>
    </row>
    <row r="10855" spans="1:5" x14ac:dyDescent="0.25">
      <c r="A10855" t="str">
        <f>"839256966"</f>
        <v>839256966</v>
      </c>
      <c r="B10855" t="s">
        <v>10040</v>
      </c>
      <c r="C10855">
        <v>112.2</v>
      </c>
      <c r="D10855" t="str">
        <f>"250"</f>
        <v>250</v>
      </c>
    </row>
    <row r="10856" spans="1:5" x14ac:dyDescent="0.25">
      <c r="A10856" t="str">
        <f>"839256967"</f>
        <v>839256967</v>
      </c>
      <c r="B10856" t="s">
        <v>10041</v>
      </c>
      <c r="C10856">
        <v>99</v>
      </c>
      <c r="D10856" t="str">
        <f>"250"</f>
        <v>250</v>
      </c>
    </row>
    <row r="10857" spans="1:5" x14ac:dyDescent="0.25">
      <c r="A10857" t="str">
        <f>"839256981"</f>
        <v>839256981</v>
      </c>
      <c r="B10857" t="s">
        <v>10042</v>
      </c>
      <c r="C10857">
        <v>478.9</v>
      </c>
      <c r="D10857" t="str">
        <f>"250"</f>
        <v>250</v>
      </c>
    </row>
    <row r="10858" spans="1:5" x14ac:dyDescent="0.25">
      <c r="A10858" t="str">
        <f>"839256986"</f>
        <v>839256986</v>
      </c>
      <c r="B10858" t="s">
        <v>10043</v>
      </c>
      <c r="C10858">
        <v>15.69</v>
      </c>
      <c r="D10858" t="str">
        <f>"636"</f>
        <v>636</v>
      </c>
      <c r="E10858" t="str">
        <f>"J3260"</f>
        <v>J3260</v>
      </c>
    </row>
    <row r="10859" spans="1:5" x14ac:dyDescent="0.25">
      <c r="A10859" t="str">
        <f>"839257035"</f>
        <v>839257035</v>
      </c>
      <c r="B10859" t="s">
        <v>10044</v>
      </c>
      <c r="C10859">
        <v>6.6</v>
      </c>
      <c r="D10859" t="str">
        <f>"637"</f>
        <v>637</v>
      </c>
    </row>
    <row r="10860" spans="1:5" x14ac:dyDescent="0.25">
      <c r="A10860" t="str">
        <f>"839257050"</f>
        <v>839257050</v>
      </c>
      <c r="B10860" t="s">
        <v>10045</v>
      </c>
      <c r="C10860">
        <v>36.83</v>
      </c>
      <c r="D10860" t="str">
        <f>"637"</f>
        <v>637</v>
      </c>
    </row>
    <row r="10861" spans="1:5" x14ac:dyDescent="0.25">
      <c r="A10861" t="str">
        <f>"839257065"</f>
        <v>839257065</v>
      </c>
      <c r="B10861" t="s">
        <v>10046</v>
      </c>
      <c r="C10861">
        <v>74.12</v>
      </c>
      <c r="D10861" t="str">
        <f>"636"</f>
        <v>636</v>
      </c>
      <c r="E10861" t="str">
        <f>"J3302"</f>
        <v>J3302</v>
      </c>
    </row>
    <row r="10862" spans="1:5" x14ac:dyDescent="0.25">
      <c r="A10862" t="str">
        <f>"839257070"</f>
        <v>839257070</v>
      </c>
      <c r="B10862" t="s">
        <v>10047</v>
      </c>
      <c r="C10862">
        <v>29.44</v>
      </c>
      <c r="D10862" t="str">
        <f>"637"</f>
        <v>637</v>
      </c>
    </row>
    <row r="10863" spans="1:5" x14ac:dyDescent="0.25">
      <c r="A10863" t="str">
        <f>"839257080"</f>
        <v>839257080</v>
      </c>
      <c r="B10863" t="s">
        <v>10048</v>
      </c>
      <c r="C10863">
        <v>6.6</v>
      </c>
      <c r="D10863" t="str">
        <f>"637"</f>
        <v>637</v>
      </c>
    </row>
    <row r="10864" spans="1:5" x14ac:dyDescent="0.25">
      <c r="A10864" t="str">
        <f>"839257095"</f>
        <v>839257095</v>
      </c>
      <c r="B10864" t="s">
        <v>10049</v>
      </c>
      <c r="C10864">
        <v>6.6</v>
      </c>
      <c r="D10864" t="str">
        <f>"637"</f>
        <v>637</v>
      </c>
    </row>
    <row r="10865" spans="1:5" x14ac:dyDescent="0.25">
      <c r="A10865" t="str">
        <f>"839257105"</f>
        <v>839257105</v>
      </c>
      <c r="B10865" t="s">
        <v>10050</v>
      </c>
      <c r="C10865">
        <v>16.809999999999999</v>
      </c>
      <c r="D10865" t="str">
        <f>"637"</f>
        <v>637</v>
      </c>
    </row>
    <row r="10866" spans="1:5" x14ac:dyDescent="0.25">
      <c r="A10866" t="str">
        <f>"839257110"</f>
        <v>839257110</v>
      </c>
      <c r="B10866" t="s">
        <v>10051</v>
      </c>
      <c r="C10866">
        <v>6.6</v>
      </c>
      <c r="D10866" t="str">
        <f>"270"</f>
        <v>270</v>
      </c>
    </row>
    <row r="10867" spans="1:5" x14ac:dyDescent="0.25">
      <c r="A10867" t="str">
        <f>"839257130"</f>
        <v>839257130</v>
      </c>
      <c r="B10867" t="s">
        <v>10052</v>
      </c>
      <c r="C10867">
        <v>305.27999999999997</v>
      </c>
      <c r="D10867" t="str">
        <f>"636"</f>
        <v>636</v>
      </c>
      <c r="E10867" t="str">
        <f>"J3250"</f>
        <v>J3250</v>
      </c>
    </row>
    <row r="10868" spans="1:5" x14ac:dyDescent="0.25">
      <c r="A10868" t="str">
        <f>"839257170"</f>
        <v>839257170</v>
      </c>
      <c r="B10868" t="s">
        <v>10053</v>
      </c>
      <c r="C10868">
        <v>70.290000000000006</v>
      </c>
      <c r="D10868" t="str">
        <f>"250"</f>
        <v>250</v>
      </c>
    </row>
    <row r="10869" spans="1:5" x14ac:dyDescent="0.25">
      <c r="A10869" t="str">
        <f>"839257190"</f>
        <v>839257190</v>
      </c>
      <c r="B10869" t="s">
        <v>10054</v>
      </c>
      <c r="C10869">
        <v>71.06</v>
      </c>
      <c r="D10869" t="str">
        <f>"250"</f>
        <v>250</v>
      </c>
    </row>
    <row r="10870" spans="1:5" x14ac:dyDescent="0.25">
      <c r="A10870" t="str">
        <f>"839257209"</f>
        <v>839257209</v>
      </c>
      <c r="B10870" t="s">
        <v>10055</v>
      </c>
      <c r="C10870">
        <v>109.36</v>
      </c>
      <c r="D10870" t="str">
        <f>"250"</f>
        <v>250</v>
      </c>
    </row>
    <row r="10871" spans="1:5" x14ac:dyDescent="0.25">
      <c r="A10871" t="str">
        <f>"839257240"</f>
        <v>839257240</v>
      </c>
      <c r="B10871" t="s">
        <v>10056</v>
      </c>
      <c r="C10871">
        <v>48.51</v>
      </c>
      <c r="D10871" t="str">
        <f>"301"</f>
        <v>301</v>
      </c>
    </row>
    <row r="10872" spans="1:5" x14ac:dyDescent="0.25">
      <c r="A10872" t="str">
        <f>"839257250"</f>
        <v>839257250</v>
      </c>
      <c r="B10872" t="s">
        <v>10057</v>
      </c>
      <c r="C10872">
        <v>64</v>
      </c>
      <c r="D10872" t="str">
        <f>"636"</f>
        <v>636</v>
      </c>
      <c r="E10872" t="str">
        <f>"J3370"</f>
        <v>J3370</v>
      </c>
    </row>
    <row r="10873" spans="1:5" x14ac:dyDescent="0.25">
      <c r="A10873" t="str">
        <f>"839257251"</f>
        <v>839257251</v>
      </c>
      <c r="B10873" t="s">
        <v>10058</v>
      </c>
      <c r="C10873">
        <v>27.16</v>
      </c>
      <c r="D10873" t="str">
        <f>"637"</f>
        <v>637</v>
      </c>
    </row>
    <row r="10874" spans="1:5" x14ac:dyDescent="0.25">
      <c r="A10874" t="str">
        <f>"839257255"</f>
        <v>839257255</v>
      </c>
      <c r="B10874" t="s">
        <v>10059</v>
      </c>
      <c r="C10874">
        <v>127.67</v>
      </c>
      <c r="D10874" t="str">
        <f>"636"</f>
        <v>636</v>
      </c>
      <c r="E10874" t="str">
        <f>"J3370"</f>
        <v>J3370</v>
      </c>
    </row>
    <row r="10875" spans="1:5" x14ac:dyDescent="0.25">
      <c r="A10875" t="str">
        <f>"839257265"</f>
        <v>839257265</v>
      </c>
      <c r="B10875" t="s">
        <v>10060</v>
      </c>
      <c r="C10875" s="1">
        <v>1564.67</v>
      </c>
      <c r="D10875" t="str">
        <f>"636"</f>
        <v>636</v>
      </c>
      <c r="E10875" t="str">
        <f>"J3490"</f>
        <v>J3490</v>
      </c>
    </row>
    <row r="10876" spans="1:5" x14ac:dyDescent="0.25">
      <c r="A10876" t="str">
        <f>"839257270"</f>
        <v>839257270</v>
      </c>
      <c r="B10876" t="s">
        <v>10061</v>
      </c>
      <c r="C10876">
        <v>13.41</v>
      </c>
      <c r="D10876" t="str">
        <f>"637"</f>
        <v>637</v>
      </c>
    </row>
    <row r="10877" spans="1:5" x14ac:dyDescent="0.25">
      <c r="A10877" t="str">
        <f>"839257275"</f>
        <v>839257275</v>
      </c>
      <c r="B10877" t="s">
        <v>10062</v>
      </c>
      <c r="C10877">
        <v>16.73</v>
      </c>
      <c r="D10877" t="str">
        <f>"637"</f>
        <v>637</v>
      </c>
    </row>
    <row r="10878" spans="1:5" x14ac:dyDescent="0.25">
      <c r="A10878" t="str">
        <f>"839257277"</f>
        <v>839257277</v>
      </c>
      <c r="B10878" t="s">
        <v>10063</v>
      </c>
      <c r="C10878">
        <v>28.38</v>
      </c>
      <c r="D10878" t="str">
        <f>"250"</f>
        <v>250</v>
      </c>
    </row>
    <row r="10879" spans="1:5" x14ac:dyDescent="0.25">
      <c r="A10879" t="str">
        <f>"839257279"</f>
        <v>839257279</v>
      </c>
      <c r="B10879" t="s">
        <v>10064</v>
      </c>
      <c r="C10879">
        <v>25.59</v>
      </c>
      <c r="D10879" t="str">
        <f>"250"</f>
        <v>250</v>
      </c>
    </row>
    <row r="10880" spans="1:5" x14ac:dyDescent="0.25">
      <c r="A10880" t="str">
        <f>"839257280"</f>
        <v>839257280</v>
      </c>
      <c r="B10880" t="s">
        <v>10065</v>
      </c>
      <c r="C10880">
        <v>82.5</v>
      </c>
      <c r="D10880" t="str">
        <f>"250"</f>
        <v>250</v>
      </c>
    </row>
    <row r="10881" spans="1:5" x14ac:dyDescent="0.25">
      <c r="A10881" t="str">
        <f>"839257282"</f>
        <v>839257282</v>
      </c>
      <c r="B10881" t="s">
        <v>10066</v>
      </c>
      <c r="C10881">
        <v>46.17</v>
      </c>
      <c r="D10881" t="str">
        <f>"250"</f>
        <v>250</v>
      </c>
      <c r="E10881" t="str">
        <f>"J2001"</f>
        <v>J2001</v>
      </c>
    </row>
    <row r="10882" spans="1:5" x14ac:dyDescent="0.25">
      <c r="A10882" t="str">
        <f>"839257315"</f>
        <v>839257315</v>
      </c>
      <c r="B10882" t="s">
        <v>10067</v>
      </c>
      <c r="C10882">
        <v>6.6</v>
      </c>
      <c r="D10882" t="str">
        <f>"637"</f>
        <v>637</v>
      </c>
    </row>
    <row r="10883" spans="1:5" x14ac:dyDescent="0.25">
      <c r="A10883" t="str">
        <f>"839257325"</f>
        <v>839257325</v>
      </c>
      <c r="B10883" t="s">
        <v>10068</v>
      </c>
      <c r="C10883">
        <v>6.6</v>
      </c>
      <c r="D10883" t="str">
        <f>"637"</f>
        <v>637</v>
      </c>
    </row>
    <row r="10884" spans="1:5" x14ac:dyDescent="0.25">
      <c r="A10884" t="str">
        <f>"839257331"</f>
        <v>839257331</v>
      </c>
      <c r="B10884" t="s">
        <v>10069</v>
      </c>
      <c r="C10884">
        <v>6.6</v>
      </c>
      <c r="D10884" t="str">
        <f>"637"</f>
        <v>637</v>
      </c>
    </row>
    <row r="10885" spans="1:5" x14ac:dyDescent="0.25">
      <c r="A10885" t="str">
        <f>"839257332"</f>
        <v>839257332</v>
      </c>
      <c r="B10885" t="s">
        <v>10070</v>
      </c>
      <c r="C10885">
        <v>6.6</v>
      </c>
      <c r="D10885" t="str">
        <f>"637"</f>
        <v>637</v>
      </c>
    </row>
    <row r="10886" spans="1:5" x14ac:dyDescent="0.25">
      <c r="A10886" t="str">
        <f>"839257334"</f>
        <v>839257334</v>
      </c>
      <c r="B10886" t="s">
        <v>10071</v>
      </c>
      <c r="C10886">
        <v>6.6</v>
      </c>
      <c r="D10886" t="str">
        <f>"250"</f>
        <v>250</v>
      </c>
    </row>
    <row r="10887" spans="1:5" x14ac:dyDescent="0.25">
      <c r="A10887" t="str">
        <f>"839257350"</f>
        <v>839257350</v>
      </c>
      <c r="B10887" t="s">
        <v>10072</v>
      </c>
      <c r="C10887">
        <v>6.6</v>
      </c>
      <c r="D10887" t="str">
        <f>"637"</f>
        <v>637</v>
      </c>
    </row>
    <row r="10888" spans="1:5" x14ac:dyDescent="0.25">
      <c r="A10888" t="str">
        <f>"839257355"</f>
        <v>839257355</v>
      </c>
      <c r="B10888" t="s">
        <v>10073</v>
      </c>
      <c r="C10888">
        <v>6.6</v>
      </c>
      <c r="D10888" t="str">
        <f>"637"</f>
        <v>637</v>
      </c>
    </row>
    <row r="10889" spans="1:5" x14ac:dyDescent="0.25">
      <c r="A10889" t="str">
        <f>"839257360"</f>
        <v>839257360</v>
      </c>
      <c r="B10889" t="s">
        <v>10074</v>
      </c>
      <c r="C10889">
        <v>6.6</v>
      </c>
      <c r="D10889" t="str">
        <f>"637"</f>
        <v>637</v>
      </c>
    </row>
    <row r="10890" spans="1:5" x14ac:dyDescent="0.25">
      <c r="A10890" t="str">
        <f>"839257371"</f>
        <v>839257371</v>
      </c>
      <c r="B10890" t="s">
        <v>10075</v>
      </c>
      <c r="C10890">
        <v>31.5</v>
      </c>
      <c r="D10890" t="str">
        <f>"637"</f>
        <v>637</v>
      </c>
    </row>
    <row r="10891" spans="1:5" x14ac:dyDescent="0.25">
      <c r="A10891" t="str">
        <f>"839257389"</f>
        <v>839257389</v>
      </c>
      <c r="B10891" t="s">
        <v>10076</v>
      </c>
      <c r="C10891">
        <v>132.66</v>
      </c>
      <c r="D10891" t="str">
        <f>"250"</f>
        <v>250</v>
      </c>
    </row>
    <row r="10892" spans="1:5" x14ac:dyDescent="0.25">
      <c r="A10892" t="str">
        <f>"839257394"</f>
        <v>839257394</v>
      </c>
      <c r="B10892" t="s">
        <v>10077</v>
      </c>
      <c r="C10892">
        <v>50.61</v>
      </c>
      <c r="D10892" t="str">
        <f>"637"</f>
        <v>637</v>
      </c>
    </row>
    <row r="10893" spans="1:5" x14ac:dyDescent="0.25">
      <c r="A10893" t="str">
        <f>"839257415"</f>
        <v>839257415</v>
      </c>
      <c r="B10893" t="s">
        <v>10078</v>
      </c>
      <c r="C10893">
        <v>16.3</v>
      </c>
      <c r="D10893" t="str">
        <f>"637"</f>
        <v>637</v>
      </c>
    </row>
    <row r="10894" spans="1:5" x14ac:dyDescent="0.25">
      <c r="A10894" t="str">
        <f>"839257420"</f>
        <v>839257420</v>
      </c>
      <c r="B10894" t="s">
        <v>10079</v>
      </c>
      <c r="C10894">
        <v>6.6</v>
      </c>
      <c r="D10894" t="str">
        <f>"637"</f>
        <v>637</v>
      </c>
    </row>
    <row r="10895" spans="1:5" x14ac:dyDescent="0.25">
      <c r="A10895" t="str">
        <f>"839257425"</f>
        <v>839257425</v>
      </c>
      <c r="B10895" t="s">
        <v>10080</v>
      </c>
      <c r="C10895">
        <v>6.6</v>
      </c>
      <c r="D10895" t="str">
        <f>"637"</f>
        <v>637</v>
      </c>
    </row>
    <row r="10896" spans="1:5" x14ac:dyDescent="0.25">
      <c r="A10896" t="str">
        <f>"839257429"</f>
        <v>839257429</v>
      </c>
      <c r="B10896" t="s">
        <v>10081</v>
      </c>
      <c r="C10896">
        <v>15.68</v>
      </c>
      <c r="D10896" t="str">
        <f>"637"</f>
        <v>637</v>
      </c>
    </row>
    <row r="10897" spans="1:5" x14ac:dyDescent="0.25">
      <c r="A10897" t="str">
        <f>"839257433"</f>
        <v>839257433</v>
      </c>
      <c r="B10897" t="s">
        <v>10082</v>
      </c>
      <c r="C10897">
        <v>237.6</v>
      </c>
      <c r="D10897" t="str">
        <f>"636"</f>
        <v>636</v>
      </c>
      <c r="E10897" t="str">
        <f>"J3490"</f>
        <v>J3490</v>
      </c>
    </row>
    <row r="10898" spans="1:5" x14ac:dyDescent="0.25">
      <c r="A10898" t="str">
        <f>"839257434"</f>
        <v>839257434</v>
      </c>
      <c r="B10898" t="s">
        <v>10083</v>
      </c>
      <c r="C10898">
        <v>204.09</v>
      </c>
      <c r="D10898" t="str">
        <f>"637"</f>
        <v>637</v>
      </c>
    </row>
    <row r="10899" spans="1:5" x14ac:dyDescent="0.25">
      <c r="A10899" t="str">
        <f>"839257435"</f>
        <v>839257435</v>
      </c>
      <c r="B10899" t="s">
        <v>10084</v>
      </c>
      <c r="C10899">
        <v>127.83</v>
      </c>
      <c r="D10899" t="str">
        <f>"250"</f>
        <v>250</v>
      </c>
    </row>
    <row r="10900" spans="1:5" x14ac:dyDescent="0.25">
      <c r="A10900" t="str">
        <f>"839257438"</f>
        <v>839257438</v>
      </c>
      <c r="B10900" t="s">
        <v>10085</v>
      </c>
      <c r="C10900">
        <v>57.02</v>
      </c>
      <c r="D10900" t="str">
        <f>"637"</f>
        <v>637</v>
      </c>
    </row>
    <row r="10901" spans="1:5" x14ac:dyDescent="0.25">
      <c r="A10901" t="str">
        <f>"839257440"</f>
        <v>839257440</v>
      </c>
      <c r="B10901" t="s">
        <v>10086</v>
      </c>
      <c r="C10901">
        <v>30.77</v>
      </c>
      <c r="D10901" t="str">
        <f>"637"</f>
        <v>637</v>
      </c>
    </row>
    <row r="10902" spans="1:5" x14ac:dyDescent="0.25">
      <c r="A10902" t="str">
        <f>"839257441"</f>
        <v>839257441</v>
      </c>
      <c r="B10902" t="s">
        <v>10087</v>
      </c>
      <c r="C10902">
        <v>162.6</v>
      </c>
      <c r="D10902" t="str">
        <f>"637"</f>
        <v>637</v>
      </c>
    </row>
    <row r="10903" spans="1:5" x14ac:dyDescent="0.25">
      <c r="A10903" t="str">
        <f>"839257442"</f>
        <v>839257442</v>
      </c>
      <c r="B10903" t="s">
        <v>10088</v>
      </c>
      <c r="C10903">
        <v>168.54</v>
      </c>
      <c r="D10903" t="str">
        <f>"250"</f>
        <v>250</v>
      </c>
    </row>
    <row r="10904" spans="1:5" x14ac:dyDescent="0.25">
      <c r="A10904" t="str">
        <f>"839257443"</f>
        <v>839257443</v>
      </c>
      <c r="B10904" t="s">
        <v>10089</v>
      </c>
      <c r="C10904">
        <v>120.93</v>
      </c>
      <c r="D10904" t="str">
        <f>"637"</f>
        <v>637</v>
      </c>
    </row>
    <row r="10905" spans="1:5" x14ac:dyDescent="0.25">
      <c r="A10905" t="str">
        <f>"839257444"</f>
        <v>839257444</v>
      </c>
      <c r="B10905" t="s">
        <v>10090</v>
      </c>
      <c r="C10905">
        <v>26.16</v>
      </c>
      <c r="D10905" t="str">
        <f>"306"</f>
        <v>306</v>
      </c>
      <c r="E10905" t="str">
        <f>"J7517"</f>
        <v>J7517</v>
      </c>
    </row>
    <row r="10906" spans="1:5" x14ac:dyDescent="0.25">
      <c r="A10906" t="str">
        <f>"839257446"</f>
        <v>839257446</v>
      </c>
      <c r="B10906" t="s">
        <v>10091</v>
      </c>
      <c r="C10906">
        <v>6.6</v>
      </c>
      <c r="D10906" t="str">
        <f>"637"</f>
        <v>637</v>
      </c>
    </row>
    <row r="10907" spans="1:5" x14ac:dyDescent="0.25">
      <c r="A10907" t="str">
        <f>"839257447"</f>
        <v>839257447</v>
      </c>
      <c r="B10907" t="s">
        <v>10092</v>
      </c>
      <c r="C10907">
        <v>46.19</v>
      </c>
      <c r="D10907" t="str">
        <f>"637"</f>
        <v>637</v>
      </c>
    </row>
    <row r="10908" spans="1:5" x14ac:dyDescent="0.25">
      <c r="A10908" t="str">
        <f>"839257448"</f>
        <v>839257448</v>
      </c>
      <c r="B10908" t="s">
        <v>10093</v>
      </c>
      <c r="C10908" s="1">
        <v>1029.5999999999999</v>
      </c>
      <c r="D10908" t="str">
        <f>"636"</f>
        <v>636</v>
      </c>
      <c r="E10908" t="str">
        <f>"J3243"</f>
        <v>J3243</v>
      </c>
    </row>
    <row r="10909" spans="1:5" x14ac:dyDescent="0.25">
      <c r="A10909" t="str">
        <f>"839257449"</f>
        <v>839257449</v>
      </c>
      <c r="B10909" t="s">
        <v>10094</v>
      </c>
      <c r="C10909">
        <v>16.53</v>
      </c>
      <c r="D10909" t="str">
        <f>"637"</f>
        <v>637</v>
      </c>
    </row>
    <row r="10910" spans="1:5" x14ac:dyDescent="0.25">
      <c r="A10910" t="str">
        <f>"839257455"</f>
        <v>839257455</v>
      </c>
      <c r="B10910" t="s">
        <v>10095</v>
      </c>
      <c r="C10910">
        <v>36.51</v>
      </c>
      <c r="D10910" t="str">
        <f>"637"</f>
        <v>637</v>
      </c>
    </row>
    <row r="10911" spans="1:5" x14ac:dyDescent="0.25">
      <c r="A10911" t="str">
        <f>"839257460"</f>
        <v>839257460</v>
      </c>
      <c r="B10911" t="s">
        <v>10096</v>
      </c>
      <c r="C10911">
        <v>145.63999999999999</v>
      </c>
      <c r="D10911" t="str">
        <f>"636"</f>
        <v>636</v>
      </c>
      <c r="E10911" t="str">
        <f>"90686"</f>
        <v>90686</v>
      </c>
    </row>
    <row r="10912" spans="1:5" x14ac:dyDescent="0.25">
      <c r="A10912" t="str">
        <f>"839257464"</f>
        <v>839257464</v>
      </c>
      <c r="B10912" t="s">
        <v>10097</v>
      </c>
      <c r="C10912">
        <v>68.17</v>
      </c>
      <c r="D10912" t="str">
        <f>"637"</f>
        <v>637</v>
      </c>
    </row>
    <row r="10913" spans="1:5" x14ac:dyDescent="0.25">
      <c r="A10913" t="str">
        <f>"839257465"</f>
        <v>839257465</v>
      </c>
      <c r="B10913" t="s">
        <v>10098</v>
      </c>
      <c r="C10913">
        <v>6.6</v>
      </c>
      <c r="D10913" t="str">
        <f>"637"</f>
        <v>637</v>
      </c>
    </row>
    <row r="10914" spans="1:5" x14ac:dyDescent="0.25">
      <c r="A10914" t="str">
        <f>"839257467"</f>
        <v>839257467</v>
      </c>
      <c r="B10914" t="s">
        <v>10099</v>
      </c>
      <c r="C10914">
        <v>435.6</v>
      </c>
      <c r="D10914" t="str">
        <f>"636"</f>
        <v>636</v>
      </c>
      <c r="E10914" t="str">
        <f>"J1756"</f>
        <v>J1756</v>
      </c>
    </row>
    <row r="10915" spans="1:5" x14ac:dyDescent="0.25">
      <c r="A10915" t="str">
        <f>"839257470"</f>
        <v>839257470</v>
      </c>
      <c r="B10915" t="s">
        <v>10100</v>
      </c>
      <c r="C10915">
        <v>401.07</v>
      </c>
      <c r="D10915" t="str">
        <f>"250"</f>
        <v>250</v>
      </c>
    </row>
    <row r="10916" spans="1:5" x14ac:dyDescent="0.25">
      <c r="A10916" t="str">
        <f>"839257473"</f>
        <v>839257473</v>
      </c>
      <c r="B10916" t="s">
        <v>10101</v>
      </c>
      <c r="C10916">
        <v>193.15</v>
      </c>
      <c r="D10916" t="str">
        <f>"637"</f>
        <v>637</v>
      </c>
    </row>
    <row r="10917" spans="1:5" x14ac:dyDescent="0.25">
      <c r="A10917" t="str">
        <f>"839257474"</f>
        <v>839257474</v>
      </c>
      <c r="B10917" t="s">
        <v>10102</v>
      </c>
      <c r="C10917">
        <v>6.92</v>
      </c>
      <c r="D10917" t="str">
        <f>"637"</f>
        <v>637</v>
      </c>
    </row>
    <row r="10918" spans="1:5" x14ac:dyDescent="0.25">
      <c r="A10918" t="str">
        <f>"839257478"</f>
        <v>839257478</v>
      </c>
      <c r="B10918" t="s">
        <v>10103</v>
      </c>
      <c r="C10918">
        <v>123.3</v>
      </c>
      <c r="D10918" t="str">
        <f>"637"</f>
        <v>637</v>
      </c>
    </row>
    <row r="10919" spans="1:5" x14ac:dyDescent="0.25">
      <c r="A10919" t="str">
        <f>"839257479"</f>
        <v>839257479</v>
      </c>
      <c r="B10919" t="s">
        <v>10104</v>
      </c>
      <c r="C10919">
        <v>133.32</v>
      </c>
      <c r="D10919" t="str">
        <f>"270"</f>
        <v>270</v>
      </c>
    </row>
    <row r="10920" spans="1:5" x14ac:dyDescent="0.25">
      <c r="A10920" t="str">
        <f>"839257480"</f>
        <v>839257480</v>
      </c>
      <c r="B10920" t="s">
        <v>10105</v>
      </c>
      <c r="C10920">
        <v>6.6</v>
      </c>
      <c r="D10920" t="str">
        <f>"637"</f>
        <v>637</v>
      </c>
    </row>
    <row r="10921" spans="1:5" x14ac:dyDescent="0.25">
      <c r="A10921" t="str">
        <f>"839257482"</f>
        <v>839257482</v>
      </c>
      <c r="B10921" t="s">
        <v>10106</v>
      </c>
      <c r="C10921">
        <v>59.86</v>
      </c>
      <c r="D10921" t="str">
        <f>"637"</f>
        <v>637</v>
      </c>
    </row>
    <row r="10922" spans="1:5" x14ac:dyDescent="0.25">
      <c r="A10922" t="str">
        <f>"839257483"</f>
        <v>839257483</v>
      </c>
      <c r="B10922" t="s">
        <v>10107</v>
      </c>
      <c r="C10922">
        <v>32.32</v>
      </c>
      <c r="D10922" t="str">
        <f>"637"</f>
        <v>637</v>
      </c>
    </row>
    <row r="10923" spans="1:5" x14ac:dyDescent="0.25">
      <c r="A10923" t="str">
        <f>"839257484"</f>
        <v>839257484</v>
      </c>
      <c r="B10923" t="s">
        <v>10108</v>
      </c>
      <c r="C10923">
        <v>47.52</v>
      </c>
      <c r="D10923" t="str">
        <f>"637"</f>
        <v>637</v>
      </c>
    </row>
    <row r="10924" spans="1:5" x14ac:dyDescent="0.25">
      <c r="A10924" t="str">
        <f>"839257485"</f>
        <v>839257485</v>
      </c>
      <c r="B10924" t="s">
        <v>10109</v>
      </c>
      <c r="C10924">
        <v>36.880000000000003</v>
      </c>
      <c r="D10924" t="str">
        <f>"250"</f>
        <v>250</v>
      </c>
    </row>
    <row r="10925" spans="1:5" x14ac:dyDescent="0.25">
      <c r="A10925" t="str">
        <f>"839257487"</f>
        <v>839257487</v>
      </c>
      <c r="B10925" t="s">
        <v>10110</v>
      </c>
      <c r="C10925">
        <v>154</v>
      </c>
      <c r="D10925" t="str">
        <f t="shared" ref="D10925:D10931" si="347">"637"</f>
        <v>637</v>
      </c>
    </row>
    <row r="10926" spans="1:5" x14ac:dyDescent="0.25">
      <c r="A10926" t="str">
        <f>"839257488"</f>
        <v>839257488</v>
      </c>
      <c r="B10926" t="s">
        <v>10111</v>
      </c>
      <c r="C10926">
        <v>6.6</v>
      </c>
      <c r="D10926" t="str">
        <f t="shared" si="347"/>
        <v>637</v>
      </c>
    </row>
    <row r="10927" spans="1:5" x14ac:dyDescent="0.25">
      <c r="A10927" t="str">
        <f>"839257489"</f>
        <v>839257489</v>
      </c>
      <c r="B10927" t="s">
        <v>10112</v>
      </c>
      <c r="C10927">
        <v>7.99</v>
      </c>
      <c r="D10927" t="str">
        <f t="shared" si="347"/>
        <v>637</v>
      </c>
    </row>
    <row r="10928" spans="1:5" x14ac:dyDescent="0.25">
      <c r="A10928" t="str">
        <f>"839257491"</f>
        <v>839257491</v>
      </c>
      <c r="B10928" t="s">
        <v>10113</v>
      </c>
      <c r="C10928">
        <v>47.45</v>
      </c>
      <c r="D10928" t="str">
        <f t="shared" si="347"/>
        <v>637</v>
      </c>
    </row>
    <row r="10929" spans="1:5" x14ac:dyDescent="0.25">
      <c r="A10929" t="str">
        <f>"839257492"</f>
        <v>839257492</v>
      </c>
      <c r="B10929" t="s">
        <v>10114</v>
      </c>
      <c r="C10929">
        <v>6.6</v>
      </c>
      <c r="D10929" t="str">
        <f t="shared" si="347"/>
        <v>637</v>
      </c>
    </row>
    <row r="10930" spans="1:5" x14ac:dyDescent="0.25">
      <c r="A10930" t="str">
        <f>"839257494"</f>
        <v>839257494</v>
      </c>
      <c r="B10930" t="s">
        <v>10115</v>
      </c>
      <c r="C10930">
        <v>100.05</v>
      </c>
      <c r="D10930" t="str">
        <f t="shared" si="347"/>
        <v>637</v>
      </c>
    </row>
    <row r="10931" spans="1:5" x14ac:dyDescent="0.25">
      <c r="A10931" t="str">
        <f>"839257495"</f>
        <v>839257495</v>
      </c>
      <c r="B10931" t="s">
        <v>10116</v>
      </c>
      <c r="C10931">
        <v>40.93</v>
      </c>
      <c r="D10931" t="str">
        <f t="shared" si="347"/>
        <v>637</v>
      </c>
    </row>
    <row r="10932" spans="1:5" x14ac:dyDescent="0.25">
      <c r="A10932" t="str">
        <f>"839257497"</f>
        <v>839257497</v>
      </c>
      <c r="B10932" t="s">
        <v>10117</v>
      </c>
      <c r="C10932">
        <v>267.23</v>
      </c>
      <c r="D10932" t="str">
        <f>"272"</f>
        <v>272</v>
      </c>
    </row>
    <row r="10933" spans="1:5" x14ac:dyDescent="0.25">
      <c r="A10933" t="str">
        <f>"839257500"</f>
        <v>839257500</v>
      </c>
      <c r="B10933" t="s">
        <v>10118</v>
      </c>
      <c r="C10933">
        <v>37.49</v>
      </c>
      <c r="D10933" t="str">
        <f>"637"</f>
        <v>637</v>
      </c>
    </row>
    <row r="10934" spans="1:5" x14ac:dyDescent="0.25">
      <c r="A10934" t="str">
        <f>"839257501"</f>
        <v>839257501</v>
      </c>
      <c r="B10934" t="s">
        <v>10119</v>
      </c>
      <c r="C10934">
        <v>299.37</v>
      </c>
      <c r="D10934" t="str">
        <f>"250"</f>
        <v>250</v>
      </c>
    </row>
    <row r="10935" spans="1:5" x14ac:dyDescent="0.25">
      <c r="A10935" t="str">
        <f>"839257502"</f>
        <v>839257502</v>
      </c>
      <c r="B10935" t="s">
        <v>10120</v>
      </c>
      <c r="C10935">
        <v>6.6</v>
      </c>
      <c r="D10935" t="str">
        <f>"637"</f>
        <v>637</v>
      </c>
    </row>
    <row r="10936" spans="1:5" x14ac:dyDescent="0.25">
      <c r="A10936" t="str">
        <f>"839257503"</f>
        <v>839257503</v>
      </c>
      <c r="B10936" t="s">
        <v>10121</v>
      </c>
      <c r="C10936">
        <v>6.6</v>
      </c>
      <c r="D10936" t="str">
        <f>"637"</f>
        <v>637</v>
      </c>
    </row>
    <row r="10937" spans="1:5" x14ac:dyDescent="0.25">
      <c r="A10937" t="str">
        <f>"839257504"</f>
        <v>839257504</v>
      </c>
      <c r="B10937" t="s">
        <v>10122</v>
      </c>
      <c r="C10937">
        <v>17.62</v>
      </c>
      <c r="D10937" t="str">
        <f>"637"</f>
        <v>637</v>
      </c>
    </row>
    <row r="10938" spans="1:5" x14ac:dyDescent="0.25">
      <c r="A10938" t="str">
        <f>"839258003"</f>
        <v>839258003</v>
      </c>
      <c r="B10938" t="s">
        <v>10123</v>
      </c>
      <c r="C10938">
        <v>1.1000000000000001</v>
      </c>
      <c r="D10938" t="str">
        <f>"636"</f>
        <v>636</v>
      </c>
      <c r="E10938" t="str">
        <f>"J0886"</f>
        <v>J0886</v>
      </c>
    </row>
    <row r="10939" spans="1:5" x14ac:dyDescent="0.25">
      <c r="A10939" t="str">
        <f>"839258004"</f>
        <v>839258004</v>
      </c>
      <c r="B10939" t="s">
        <v>10124</v>
      </c>
      <c r="C10939">
        <v>262.63</v>
      </c>
      <c r="D10939" t="str">
        <f>"636"</f>
        <v>636</v>
      </c>
      <c r="E10939" t="str">
        <f>"J0886"</f>
        <v>J0886</v>
      </c>
    </row>
    <row r="10940" spans="1:5" x14ac:dyDescent="0.25">
      <c r="A10940" t="str">
        <f>"839258007"</f>
        <v>839258007</v>
      </c>
      <c r="B10940" t="s">
        <v>10125</v>
      </c>
      <c r="C10940">
        <v>264.64</v>
      </c>
      <c r="D10940" t="str">
        <f>"250"</f>
        <v>250</v>
      </c>
    </row>
    <row r="10941" spans="1:5" x14ac:dyDescent="0.25">
      <c r="A10941" t="str">
        <f>"839258008"</f>
        <v>839258008</v>
      </c>
      <c r="B10941" t="s">
        <v>10126</v>
      </c>
      <c r="C10941">
        <v>310.33999999999997</v>
      </c>
      <c r="D10941" t="str">
        <f>"250"</f>
        <v>250</v>
      </c>
    </row>
    <row r="10942" spans="1:5" x14ac:dyDescent="0.25">
      <c r="A10942" t="str">
        <f>"839258009"</f>
        <v>839258009</v>
      </c>
      <c r="B10942" t="s">
        <v>10127</v>
      </c>
      <c r="C10942">
        <v>811.8</v>
      </c>
      <c r="D10942" t="str">
        <f>"250"</f>
        <v>250</v>
      </c>
    </row>
    <row r="10943" spans="1:5" x14ac:dyDescent="0.25">
      <c r="A10943" t="str">
        <f>"839258011"</f>
        <v>839258011</v>
      </c>
      <c r="B10943" t="s">
        <v>10128</v>
      </c>
      <c r="C10943">
        <v>521.9</v>
      </c>
      <c r="D10943" t="str">
        <f>"250"</f>
        <v>250</v>
      </c>
    </row>
    <row r="10944" spans="1:5" x14ac:dyDescent="0.25">
      <c r="A10944" t="str">
        <f>"839258012"</f>
        <v>839258012</v>
      </c>
      <c r="B10944" t="s">
        <v>10129</v>
      </c>
      <c r="C10944">
        <v>577.26</v>
      </c>
      <c r="D10944" t="str">
        <f>"250"</f>
        <v>250</v>
      </c>
    </row>
    <row r="10945" spans="1:5" x14ac:dyDescent="0.25">
      <c r="A10945" t="str">
        <f>"839258013"</f>
        <v>839258013</v>
      </c>
      <c r="B10945" t="s">
        <v>10130</v>
      </c>
      <c r="C10945">
        <v>365.43</v>
      </c>
      <c r="D10945" t="str">
        <f>"636"</f>
        <v>636</v>
      </c>
      <c r="E10945" t="str">
        <f>"J0282"</f>
        <v>J0282</v>
      </c>
    </row>
    <row r="10946" spans="1:5" x14ac:dyDescent="0.25">
      <c r="A10946" t="str">
        <f>"839258018"</f>
        <v>839258018</v>
      </c>
      <c r="B10946" t="s">
        <v>10131</v>
      </c>
      <c r="C10946">
        <v>54.65</v>
      </c>
      <c r="D10946" t="str">
        <f>"250"</f>
        <v>250</v>
      </c>
    </row>
    <row r="10947" spans="1:5" x14ac:dyDescent="0.25">
      <c r="A10947" t="str">
        <f>"839258993"</f>
        <v>839258993</v>
      </c>
      <c r="B10947" t="s">
        <v>10132</v>
      </c>
      <c r="C10947">
        <v>6.94</v>
      </c>
      <c r="D10947" t="str">
        <f>"250"</f>
        <v>250</v>
      </c>
    </row>
    <row r="10948" spans="1:5" x14ac:dyDescent="0.25">
      <c r="A10948" t="str">
        <f>"839259045"</f>
        <v>839259045</v>
      </c>
      <c r="B10948" t="s">
        <v>10133</v>
      </c>
      <c r="C10948">
        <v>18.93</v>
      </c>
      <c r="D10948" t="str">
        <f>"636"</f>
        <v>636</v>
      </c>
      <c r="E10948" t="str">
        <f>"J3480"</f>
        <v>J3480</v>
      </c>
    </row>
    <row r="10949" spans="1:5" x14ac:dyDescent="0.25">
      <c r="A10949" t="str">
        <f>"839259050"</f>
        <v>839259050</v>
      </c>
      <c r="B10949" t="s">
        <v>10134</v>
      </c>
      <c r="C10949">
        <v>64.55</v>
      </c>
      <c r="D10949" t="str">
        <f>"636"</f>
        <v>636</v>
      </c>
      <c r="E10949" t="str">
        <f>"J3480"</f>
        <v>J3480</v>
      </c>
    </row>
    <row r="10950" spans="1:5" x14ac:dyDescent="0.25">
      <c r="A10950" t="str">
        <f>"839259055"</f>
        <v>839259055</v>
      </c>
      <c r="B10950" t="s">
        <v>10135</v>
      </c>
      <c r="C10950">
        <v>42.17</v>
      </c>
      <c r="D10950" t="str">
        <f>"250"</f>
        <v>250</v>
      </c>
    </row>
    <row r="10951" spans="1:5" x14ac:dyDescent="0.25">
      <c r="A10951" t="str">
        <f>"839259080"</f>
        <v>839259080</v>
      </c>
      <c r="B10951" t="s">
        <v>10136</v>
      </c>
      <c r="C10951">
        <v>88</v>
      </c>
      <c r="D10951" t="str">
        <f>"250"</f>
        <v>250</v>
      </c>
    </row>
    <row r="10952" spans="1:5" x14ac:dyDescent="0.25">
      <c r="A10952" t="str">
        <f>"839259105"</f>
        <v>839259105</v>
      </c>
      <c r="B10952" t="s">
        <v>10137</v>
      </c>
      <c r="C10952">
        <v>22.62</v>
      </c>
      <c r="D10952" t="str">
        <f>"636"</f>
        <v>636</v>
      </c>
      <c r="E10952" t="str">
        <f>"J7042"</f>
        <v>J7042</v>
      </c>
    </row>
    <row r="10953" spans="1:5" x14ac:dyDescent="0.25">
      <c r="A10953" t="str">
        <f>"839259110"</f>
        <v>839259110</v>
      </c>
      <c r="B10953" t="s">
        <v>10138</v>
      </c>
      <c r="C10953">
        <v>17.97</v>
      </c>
      <c r="D10953" t="str">
        <f>"250"</f>
        <v>250</v>
      </c>
    </row>
    <row r="10954" spans="1:5" x14ac:dyDescent="0.25">
      <c r="A10954" t="str">
        <f>"839259115"</f>
        <v>839259115</v>
      </c>
      <c r="B10954" t="s">
        <v>10139</v>
      </c>
      <c r="C10954">
        <v>88</v>
      </c>
      <c r="D10954" t="str">
        <f>"636"</f>
        <v>636</v>
      </c>
      <c r="E10954" t="str">
        <f>"J7070"</f>
        <v>J7070</v>
      </c>
    </row>
    <row r="10955" spans="1:5" x14ac:dyDescent="0.25">
      <c r="A10955" t="str">
        <f>"839259120"</f>
        <v>839259120</v>
      </c>
      <c r="B10955" t="s">
        <v>10140</v>
      </c>
      <c r="C10955">
        <v>22.59</v>
      </c>
      <c r="D10955" t="str">
        <f>"636"</f>
        <v>636</v>
      </c>
      <c r="E10955" t="str">
        <f>"J7060"</f>
        <v>J7060</v>
      </c>
    </row>
    <row r="10956" spans="1:5" x14ac:dyDescent="0.25">
      <c r="A10956" t="str">
        <f>"839259125"</f>
        <v>839259125</v>
      </c>
      <c r="B10956" t="s">
        <v>10141</v>
      </c>
      <c r="C10956">
        <v>111.45</v>
      </c>
      <c r="D10956" t="str">
        <f>"636"</f>
        <v>636</v>
      </c>
      <c r="E10956" t="str">
        <f>"J7060"</f>
        <v>J7060</v>
      </c>
    </row>
    <row r="10957" spans="1:5" x14ac:dyDescent="0.25">
      <c r="A10957" t="str">
        <f>"839259130"</f>
        <v>839259130</v>
      </c>
      <c r="B10957" t="s">
        <v>10142</v>
      </c>
      <c r="C10957">
        <v>102.48</v>
      </c>
      <c r="D10957" t="str">
        <f>"250"</f>
        <v>250</v>
      </c>
    </row>
    <row r="10958" spans="1:5" x14ac:dyDescent="0.25">
      <c r="A10958" t="str">
        <f>"839259155"</f>
        <v>839259155</v>
      </c>
      <c r="B10958" t="s">
        <v>10143</v>
      </c>
      <c r="C10958">
        <v>18.82</v>
      </c>
      <c r="D10958" t="str">
        <f>"250"</f>
        <v>250</v>
      </c>
    </row>
    <row r="10959" spans="1:5" x14ac:dyDescent="0.25">
      <c r="A10959" t="str">
        <f>"839259181"</f>
        <v>839259181</v>
      </c>
      <c r="B10959" t="s">
        <v>10144</v>
      </c>
      <c r="C10959">
        <v>145.46</v>
      </c>
      <c r="D10959" t="str">
        <f>"637"</f>
        <v>637</v>
      </c>
    </row>
    <row r="10960" spans="1:5" x14ac:dyDescent="0.25">
      <c r="A10960" t="str">
        <f>"839259182"</f>
        <v>839259182</v>
      </c>
      <c r="B10960" t="s">
        <v>10145</v>
      </c>
      <c r="C10960">
        <v>22.65</v>
      </c>
      <c r="D10960" t="str">
        <f>"636"</f>
        <v>636</v>
      </c>
      <c r="E10960" t="str">
        <f>"J3480"</f>
        <v>J3480</v>
      </c>
    </row>
    <row r="10961" spans="1:5" x14ac:dyDescent="0.25">
      <c r="A10961" t="str">
        <f>"839259185"</f>
        <v>839259185</v>
      </c>
      <c r="B10961" t="s">
        <v>10146</v>
      </c>
      <c r="C10961">
        <v>41.58</v>
      </c>
      <c r="D10961" t="str">
        <f>"250"</f>
        <v>250</v>
      </c>
    </row>
    <row r="10962" spans="1:5" x14ac:dyDescent="0.25">
      <c r="A10962" t="str">
        <f>"839259205"</f>
        <v>839259205</v>
      </c>
      <c r="B10962" t="s">
        <v>10147</v>
      </c>
      <c r="C10962">
        <v>40.1</v>
      </c>
      <c r="D10962" t="str">
        <f>"636"</f>
        <v>636</v>
      </c>
      <c r="E10962" t="str">
        <f>"J3480"</f>
        <v>J3480</v>
      </c>
    </row>
    <row r="10963" spans="1:5" x14ac:dyDescent="0.25">
      <c r="A10963" t="str">
        <f>"839259215"</f>
        <v>839259215</v>
      </c>
      <c r="B10963" t="s">
        <v>10148</v>
      </c>
      <c r="C10963">
        <v>174.88</v>
      </c>
      <c r="D10963" t="str">
        <f>"250"</f>
        <v>250</v>
      </c>
    </row>
    <row r="10964" spans="1:5" x14ac:dyDescent="0.25">
      <c r="A10964" t="str">
        <f>"839259240"</f>
        <v>839259240</v>
      </c>
      <c r="B10964" t="s">
        <v>10149</v>
      </c>
      <c r="C10964">
        <v>105.81</v>
      </c>
      <c r="D10964" t="str">
        <f>"636"</f>
        <v>636</v>
      </c>
      <c r="E10964" t="str">
        <f>"J1644"</f>
        <v>J1644</v>
      </c>
    </row>
    <row r="10965" spans="1:5" x14ac:dyDescent="0.25">
      <c r="A10965" t="str">
        <f>"839259250"</f>
        <v>839259250</v>
      </c>
      <c r="B10965" t="s">
        <v>10150</v>
      </c>
      <c r="C10965">
        <v>69.5</v>
      </c>
      <c r="D10965" t="str">
        <f>"636"</f>
        <v>636</v>
      </c>
      <c r="E10965" t="str">
        <f>"J7120"</f>
        <v>J7120</v>
      </c>
    </row>
    <row r="10966" spans="1:5" x14ac:dyDescent="0.25">
      <c r="A10966" t="str">
        <f>"839259270"</f>
        <v>839259270</v>
      </c>
      <c r="B10966" t="s">
        <v>10151</v>
      </c>
      <c r="C10966">
        <v>150.88</v>
      </c>
      <c r="D10966" t="str">
        <f>"250"</f>
        <v>250</v>
      </c>
    </row>
    <row r="10967" spans="1:5" x14ac:dyDescent="0.25">
      <c r="A10967" t="str">
        <f>"839259275"</f>
        <v>839259275</v>
      </c>
      <c r="B10967" t="s">
        <v>10152</v>
      </c>
      <c r="C10967">
        <v>165</v>
      </c>
      <c r="D10967" t="str">
        <f>"636"</f>
        <v>636</v>
      </c>
      <c r="E10967" t="str">
        <f>"J7030"</f>
        <v>J7030</v>
      </c>
    </row>
    <row r="10968" spans="1:5" x14ac:dyDescent="0.25">
      <c r="A10968" t="str">
        <f>"839259280"</f>
        <v>839259280</v>
      </c>
      <c r="B10968" t="s">
        <v>10153</v>
      </c>
      <c r="C10968">
        <v>42.52</v>
      </c>
      <c r="D10968" t="str">
        <f>"250"</f>
        <v>250</v>
      </c>
    </row>
    <row r="10969" spans="1:5" x14ac:dyDescent="0.25">
      <c r="A10969" t="str">
        <f>"839259285"</f>
        <v>839259285</v>
      </c>
      <c r="B10969" t="s">
        <v>10154</v>
      </c>
      <c r="C10969">
        <v>77.97</v>
      </c>
      <c r="D10969" t="str">
        <f>"250"</f>
        <v>250</v>
      </c>
    </row>
    <row r="10970" spans="1:5" x14ac:dyDescent="0.25">
      <c r="A10970" t="str">
        <f>"839259290"</f>
        <v>839259290</v>
      </c>
      <c r="B10970" t="s">
        <v>10155</v>
      </c>
      <c r="C10970">
        <v>32.01</v>
      </c>
      <c r="D10970" t="str">
        <f>"250"</f>
        <v>250</v>
      </c>
    </row>
    <row r="10971" spans="1:5" x14ac:dyDescent="0.25">
      <c r="A10971" t="str">
        <f>"839259295"</f>
        <v>839259295</v>
      </c>
      <c r="B10971" t="s">
        <v>10156</v>
      </c>
      <c r="C10971">
        <v>26.7</v>
      </c>
      <c r="D10971" t="str">
        <f>"636"</f>
        <v>636</v>
      </c>
      <c r="E10971" t="str">
        <f>"J7050"</f>
        <v>J7050</v>
      </c>
    </row>
    <row r="10972" spans="1:5" x14ac:dyDescent="0.25">
      <c r="A10972" t="str">
        <f>"839259300"</f>
        <v>839259300</v>
      </c>
      <c r="B10972" t="s">
        <v>10157</v>
      </c>
      <c r="C10972">
        <v>22.34</v>
      </c>
      <c r="D10972" t="str">
        <f>"636"</f>
        <v>636</v>
      </c>
      <c r="E10972" t="str">
        <f>"J7040"</f>
        <v>J7040</v>
      </c>
    </row>
    <row r="10973" spans="1:5" x14ac:dyDescent="0.25">
      <c r="A10973" t="str">
        <f>"839259305"</f>
        <v>839259305</v>
      </c>
      <c r="B10973" t="s">
        <v>10158</v>
      </c>
      <c r="C10973">
        <v>39.36</v>
      </c>
      <c r="D10973" t="str">
        <f>"250"</f>
        <v>250</v>
      </c>
    </row>
    <row r="10974" spans="1:5" x14ac:dyDescent="0.25">
      <c r="A10974" t="str">
        <f>"839259311"</f>
        <v>839259311</v>
      </c>
      <c r="B10974" t="s">
        <v>10159</v>
      </c>
      <c r="C10974">
        <v>26.98</v>
      </c>
      <c r="D10974" t="str">
        <f>"637"</f>
        <v>637</v>
      </c>
    </row>
    <row r="10975" spans="1:5" x14ac:dyDescent="0.25">
      <c r="A10975" t="str">
        <f>"839259325"</f>
        <v>839259325</v>
      </c>
      <c r="B10975" t="s">
        <v>10160</v>
      </c>
      <c r="C10975">
        <v>220.39</v>
      </c>
      <c r="D10975" t="str">
        <f>"250"</f>
        <v>250</v>
      </c>
    </row>
    <row r="10976" spans="1:5" x14ac:dyDescent="0.25">
      <c r="A10976" t="str">
        <f>"839259351"</f>
        <v>839259351</v>
      </c>
      <c r="B10976" t="s">
        <v>10161</v>
      </c>
      <c r="C10976">
        <v>41.58</v>
      </c>
      <c r="D10976" t="str">
        <f>"250"</f>
        <v>250</v>
      </c>
    </row>
    <row r="10977" spans="1:5" x14ac:dyDescent="0.25">
      <c r="A10977" t="str">
        <f>"839259352"</f>
        <v>839259352</v>
      </c>
      <c r="B10977" t="s">
        <v>10162</v>
      </c>
      <c r="C10977">
        <v>61.63</v>
      </c>
      <c r="D10977" t="str">
        <f>"637"</f>
        <v>637</v>
      </c>
    </row>
    <row r="10978" spans="1:5" x14ac:dyDescent="0.25">
      <c r="A10978" t="str">
        <f>"839259360"</f>
        <v>839259360</v>
      </c>
      <c r="B10978" t="s">
        <v>10163</v>
      </c>
      <c r="C10978">
        <v>110</v>
      </c>
      <c r="D10978" t="str">
        <f>"250"</f>
        <v>250</v>
      </c>
    </row>
    <row r="10979" spans="1:5" x14ac:dyDescent="0.25">
      <c r="A10979" t="str">
        <f>"839259361"</f>
        <v>839259361</v>
      </c>
      <c r="B10979" t="s">
        <v>10164</v>
      </c>
      <c r="C10979">
        <v>32.71</v>
      </c>
      <c r="D10979" t="str">
        <f>"636"</f>
        <v>636</v>
      </c>
      <c r="E10979" t="str">
        <f>"J3480"</f>
        <v>J3480</v>
      </c>
    </row>
    <row r="10980" spans="1:5" x14ac:dyDescent="0.25">
      <c r="A10980" t="str">
        <f>"839259362"</f>
        <v>839259362</v>
      </c>
      <c r="B10980" t="s">
        <v>10165</v>
      </c>
      <c r="C10980">
        <v>749.42</v>
      </c>
      <c r="D10980" t="str">
        <f>"250"</f>
        <v>250</v>
      </c>
    </row>
    <row r="10981" spans="1:5" x14ac:dyDescent="0.25">
      <c r="A10981" t="str">
        <f>"839259365"</f>
        <v>839259365</v>
      </c>
      <c r="B10981" t="s">
        <v>10166</v>
      </c>
      <c r="C10981">
        <v>30.12</v>
      </c>
      <c r="D10981" t="str">
        <f>"637"</f>
        <v>637</v>
      </c>
    </row>
    <row r="10982" spans="1:5" x14ac:dyDescent="0.25">
      <c r="A10982" t="str">
        <f>"839259366"</f>
        <v>839259366</v>
      </c>
      <c r="B10982" t="s">
        <v>10167</v>
      </c>
      <c r="C10982">
        <v>13.2</v>
      </c>
      <c r="D10982" t="str">
        <f>"637"</f>
        <v>637</v>
      </c>
    </row>
    <row r="10983" spans="1:5" x14ac:dyDescent="0.25">
      <c r="A10983" t="str">
        <f>"839259367"</f>
        <v>839259367</v>
      </c>
      <c r="B10983" t="s">
        <v>10168</v>
      </c>
      <c r="C10983">
        <v>8.83</v>
      </c>
      <c r="D10983" t="str">
        <f>"637"</f>
        <v>637</v>
      </c>
    </row>
    <row r="10984" spans="1:5" x14ac:dyDescent="0.25">
      <c r="A10984" t="str">
        <f>"839259370"</f>
        <v>839259370</v>
      </c>
      <c r="B10984" t="s">
        <v>10169</v>
      </c>
      <c r="C10984">
        <v>53.27</v>
      </c>
      <c r="D10984" t="str">
        <f>"636"</f>
        <v>636</v>
      </c>
    </row>
    <row r="10985" spans="1:5" x14ac:dyDescent="0.25">
      <c r="A10985" t="str">
        <f>"839259372"</f>
        <v>839259372</v>
      </c>
      <c r="B10985" t="s">
        <v>10170</v>
      </c>
      <c r="C10985">
        <v>7.66</v>
      </c>
      <c r="D10985" t="str">
        <f t="shared" ref="D10985:D10990" si="348">"637"</f>
        <v>637</v>
      </c>
    </row>
    <row r="10986" spans="1:5" x14ac:dyDescent="0.25">
      <c r="A10986" t="str">
        <f>"839259373"</f>
        <v>839259373</v>
      </c>
      <c r="B10986" t="s">
        <v>10171</v>
      </c>
      <c r="C10986">
        <v>13.73</v>
      </c>
      <c r="D10986" t="str">
        <f t="shared" si="348"/>
        <v>637</v>
      </c>
    </row>
    <row r="10987" spans="1:5" x14ac:dyDescent="0.25">
      <c r="A10987" t="str">
        <f>"839259376"</f>
        <v>839259376</v>
      </c>
      <c r="B10987" t="s">
        <v>10172</v>
      </c>
      <c r="C10987">
        <v>28.79</v>
      </c>
      <c r="D10987" t="str">
        <f t="shared" si="348"/>
        <v>637</v>
      </c>
    </row>
    <row r="10988" spans="1:5" x14ac:dyDescent="0.25">
      <c r="A10988" t="str">
        <f>"839259378"</f>
        <v>839259378</v>
      </c>
      <c r="B10988" t="s">
        <v>10173</v>
      </c>
      <c r="C10988">
        <v>6.6</v>
      </c>
      <c r="D10988" t="str">
        <f t="shared" si="348"/>
        <v>637</v>
      </c>
    </row>
    <row r="10989" spans="1:5" x14ac:dyDescent="0.25">
      <c r="A10989" t="str">
        <f>"839259379"</f>
        <v>839259379</v>
      </c>
      <c r="B10989" t="s">
        <v>10174</v>
      </c>
      <c r="C10989">
        <v>18.8</v>
      </c>
      <c r="D10989" t="str">
        <f t="shared" si="348"/>
        <v>637</v>
      </c>
    </row>
    <row r="10990" spans="1:5" x14ac:dyDescent="0.25">
      <c r="A10990" t="str">
        <f>"839259382"</f>
        <v>839259382</v>
      </c>
      <c r="B10990" t="s">
        <v>10175</v>
      </c>
      <c r="C10990">
        <v>6.6</v>
      </c>
      <c r="D10990" t="str">
        <f t="shared" si="348"/>
        <v>637</v>
      </c>
    </row>
    <row r="10991" spans="1:5" x14ac:dyDescent="0.25">
      <c r="A10991" t="str">
        <f>"839259384"</f>
        <v>839259384</v>
      </c>
      <c r="B10991" t="s">
        <v>10176</v>
      </c>
      <c r="C10991">
        <v>383.98</v>
      </c>
      <c r="D10991" t="str">
        <f>"271"</f>
        <v>271</v>
      </c>
      <c r="E10991" t="str">
        <f>"J3430"</f>
        <v>J3430</v>
      </c>
    </row>
    <row r="10992" spans="1:5" x14ac:dyDescent="0.25">
      <c r="A10992" t="str">
        <f>"839259385"</f>
        <v>839259385</v>
      </c>
      <c r="B10992" t="s">
        <v>10177</v>
      </c>
      <c r="C10992">
        <v>18.59</v>
      </c>
      <c r="D10992" t="str">
        <f>"637"</f>
        <v>637</v>
      </c>
    </row>
    <row r="10993" spans="1:5" x14ac:dyDescent="0.25">
      <c r="A10993" t="str">
        <f>"839259386"</f>
        <v>839259386</v>
      </c>
      <c r="B10993" t="s">
        <v>10178</v>
      </c>
      <c r="C10993">
        <v>143.58000000000001</v>
      </c>
      <c r="D10993" t="str">
        <f>"636"</f>
        <v>636</v>
      </c>
      <c r="E10993" t="str">
        <f>"J2543"</f>
        <v>J2543</v>
      </c>
    </row>
    <row r="10994" spans="1:5" x14ac:dyDescent="0.25">
      <c r="A10994" t="str">
        <f>"839259388"</f>
        <v>839259388</v>
      </c>
      <c r="B10994" t="s">
        <v>10179</v>
      </c>
      <c r="C10994">
        <v>47.28</v>
      </c>
      <c r="D10994" t="str">
        <f>"636"</f>
        <v>636</v>
      </c>
      <c r="E10994" t="str">
        <f>"J1650"</f>
        <v>J1650</v>
      </c>
    </row>
    <row r="10995" spans="1:5" x14ac:dyDescent="0.25">
      <c r="A10995" t="str">
        <f>"839259389"</f>
        <v>839259389</v>
      </c>
      <c r="B10995" t="s">
        <v>10180</v>
      </c>
      <c r="C10995">
        <v>230.51</v>
      </c>
      <c r="D10995" t="str">
        <f>"250"</f>
        <v>250</v>
      </c>
    </row>
    <row r="10996" spans="1:5" x14ac:dyDescent="0.25">
      <c r="A10996" t="str">
        <f>"839259390"</f>
        <v>839259390</v>
      </c>
      <c r="B10996" t="s">
        <v>10181</v>
      </c>
      <c r="C10996">
        <v>10.59</v>
      </c>
      <c r="D10996" t="str">
        <f>"637"</f>
        <v>637</v>
      </c>
    </row>
    <row r="10997" spans="1:5" x14ac:dyDescent="0.25">
      <c r="A10997" t="str">
        <f>"839259397"</f>
        <v>839259397</v>
      </c>
      <c r="B10997" t="s">
        <v>10182</v>
      </c>
      <c r="C10997">
        <v>32.36</v>
      </c>
      <c r="D10997" t="str">
        <f>"637"</f>
        <v>637</v>
      </c>
    </row>
    <row r="10998" spans="1:5" x14ac:dyDescent="0.25">
      <c r="A10998" t="str">
        <f>"839259398"</f>
        <v>839259398</v>
      </c>
      <c r="B10998" t="s">
        <v>10183</v>
      </c>
      <c r="C10998">
        <v>253.44</v>
      </c>
      <c r="D10998" t="str">
        <f>"636"</f>
        <v>636</v>
      </c>
      <c r="E10998" t="str">
        <f>"J1650"</f>
        <v>J1650</v>
      </c>
    </row>
    <row r="10999" spans="1:5" x14ac:dyDescent="0.25">
      <c r="A10999" t="str">
        <f>"839259405"</f>
        <v>839259405</v>
      </c>
      <c r="B10999" t="s">
        <v>10184</v>
      </c>
      <c r="C10999">
        <v>149.47</v>
      </c>
      <c r="D10999" t="str">
        <f>"311"</f>
        <v>311</v>
      </c>
    </row>
    <row r="11000" spans="1:5" x14ac:dyDescent="0.25">
      <c r="A11000" t="str">
        <f>"839259407"</f>
        <v>839259407</v>
      </c>
      <c r="B11000" t="s">
        <v>10185</v>
      </c>
      <c r="C11000">
        <v>6.6</v>
      </c>
      <c r="D11000" t="str">
        <f>"637"</f>
        <v>637</v>
      </c>
    </row>
    <row r="11001" spans="1:5" x14ac:dyDescent="0.25">
      <c r="A11001" t="str">
        <f>"839259409"</f>
        <v>839259409</v>
      </c>
      <c r="B11001" t="s">
        <v>10186</v>
      </c>
      <c r="C11001">
        <v>90.09</v>
      </c>
      <c r="D11001" t="str">
        <f>"250"</f>
        <v>250</v>
      </c>
    </row>
    <row r="11002" spans="1:5" x14ac:dyDescent="0.25">
      <c r="A11002" t="str">
        <f>"839259413"</f>
        <v>839259413</v>
      </c>
      <c r="B11002" t="s">
        <v>10187</v>
      </c>
      <c r="C11002">
        <v>26.07</v>
      </c>
      <c r="D11002" t="str">
        <f>"637"</f>
        <v>637</v>
      </c>
    </row>
    <row r="11003" spans="1:5" x14ac:dyDescent="0.25">
      <c r="A11003" t="str">
        <f>"839259414"</f>
        <v>839259414</v>
      </c>
      <c r="B11003" t="s">
        <v>10188</v>
      </c>
      <c r="C11003">
        <v>692.21</v>
      </c>
      <c r="D11003" t="str">
        <f>"637"</f>
        <v>637</v>
      </c>
    </row>
    <row r="11004" spans="1:5" x14ac:dyDescent="0.25">
      <c r="A11004" t="str">
        <f>"839259417"</f>
        <v>839259417</v>
      </c>
      <c r="B11004" t="s">
        <v>10189</v>
      </c>
      <c r="C11004">
        <v>51.82</v>
      </c>
      <c r="D11004" t="str">
        <f>"637"</f>
        <v>637</v>
      </c>
    </row>
    <row r="11005" spans="1:5" x14ac:dyDescent="0.25">
      <c r="A11005" t="str">
        <f>"839259419"</f>
        <v>839259419</v>
      </c>
      <c r="B11005" t="s">
        <v>10190</v>
      </c>
      <c r="C11005">
        <v>33.79</v>
      </c>
      <c r="D11005" t="str">
        <f>"637"</f>
        <v>637</v>
      </c>
    </row>
    <row r="11006" spans="1:5" x14ac:dyDescent="0.25">
      <c r="A11006" t="str">
        <f>"839259420"</f>
        <v>839259420</v>
      </c>
      <c r="B11006" t="s">
        <v>10191</v>
      </c>
      <c r="C11006">
        <v>49.58</v>
      </c>
      <c r="D11006" t="str">
        <f>"636"</f>
        <v>636</v>
      </c>
      <c r="E11006" t="str">
        <f>"J1094"</f>
        <v>J1094</v>
      </c>
    </row>
    <row r="11007" spans="1:5" x14ac:dyDescent="0.25">
      <c r="A11007" t="str">
        <f>"839259421"</f>
        <v>839259421</v>
      </c>
      <c r="B11007" t="s">
        <v>10192</v>
      </c>
      <c r="C11007">
        <v>530.64</v>
      </c>
      <c r="D11007" t="str">
        <f>"250"</f>
        <v>250</v>
      </c>
    </row>
    <row r="11008" spans="1:5" x14ac:dyDescent="0.25">
      <c r="A11008" t="str">
        <f>"839259526"</f>
        <v>839259526</v>
      </c>
      <c r="B11008" t="s">
        <v>10193</v>
      </c>
      <c r="C11008">
        <v>6.6</v>
      </c>
      <c r="D11008" t="str">
        <f>"637"</f>
        <v>637</v>
      </c>
    </row>
    <row r="11009" spans="1:5" x14ac:dyDescent="0.25">
      <c r="A11009" t="str">
        <f>"839259529"</f>
        <v>839259529</v>
      </c>
      <c r="B11009" t="s">
        <v>10194</v>
      </c>
      <c r="C11009">
        <v>52.37</v>
      </c>
      <c r="D11009" t="str">
        <f>"637"</f>
        <v>637</v>
      </c>
    </row>
    <row r="11010" spans="1:5" x14ac:dyDescent="0.25">
      <c r="A11010" t="str">
        <f>"839259601"</f>
        <v>839259601</v>
      </c>
      <c r="B11010" t="s">
        <v>10195</v>
      </c>
      <c r="C11010" s="1">
        <v>1018.99</v>
      </c>
      <c r="D11010" t="str">
        <f>"636"</f>
        <v>636</v>
      </c>
      <c r="E11010" t="str">
        <f>"J1335"</f>
        <v>J1335</v>
      </c>
    </row>
    <row r="11011" spans="1:5" x14ac:dyDescent="0.25">
      <c r="A11011" t="str">
        <f>"839259602"</f>
        <v>839259602</v>
      </c>
      <c r="B11011" t="s">
        <v>10196</v>
      </c>
      <c r="C11011">
        <v>531.89</v>
      </c>
      <c r="D11011" t="str">
        <f t="shared" ref="D11011:D11034" si="349">"637"</f>
        <v>637</v>
      </c>
    </row>
    <row r="11012" spans="1:5" x14ac:dyDescent="0.25">
      <c r="A11012" t="str">
        <f>"839259603"</f>
        <v>839259603</v>
      </c>
      <c r="B11012" t="s">
        <v>10197</v>
      </c>
      <c r="C11012">
        <v>77.349999999999994</v>
      </c>
      <c r="D11012" t="str">
        <f t="shared" si="349"/>
        <v>637</v>
      </c>
    </row>
    <row r="11013" spans="1:5" x14ac:dyDescent="0.25">
      <c r="A11013" t="str">
        <f>"839259604"</f>
        <v>839259604</v>
      </c>
      <c r="B11013" t="s">
        <v>10198</v>
      </c>
      <c r="C11013">
        <v>27.39</v>
      </c>
      <c r="D11013" t="str">
        <f t="shared" si="349"/>
        <v>637</v>
      </c>
    </row>
    <row r="11014" spans="1:5" x14ac:dyDescent="0.25">
      <c r="A11014" t="str">
        <f>"839259607"</f>
        <v>839259607</v>
      </c>
      <c r="B11014" t="s">
        <v>10199</v>
      </c>
      <c r="C11014">
        <v>32.090000000000003</v>
      </c>
      <c r="D11014" t="str">
        <f t="shared" si="349"/>
        <v>637</v>
      </c>
    </row>
    <row r="11015" spans="1:5" x14ac:dyDescent="0.25">
      <c r="A11015" t="str">
        <f>"839259612"</f>
        <v>839259612</v>
      </c>
      <c r="B11015" t="s">
        <v>10200</v>
      </c>
      <c r="C11015">
        <v>25.17</v>
      </c>
      <c r="D11015" t="str">
        <f t="shared" si="349"/>
        <v>637</v>
      </c>
    </row>
    <row r="11016" spans="1:5" x14ac:dyDescent="0.25">
      <c r="A11016" t="str">
        <f>"839259616"</f>
        <v>839259616</v>
      </c>
      <c r="B11016" t="s">
        <v>10201</v>
      </c>
      <c r="C11016">
        <v>29.87</v>
      </c>
      <c r="D11016" t="str">
        <f t="shared" si="349"/>
        <v>637</v>
      </c>
    </row>
    <row r="11017" spans="1:5" x14ac:dyDescent="0.25">
      <c r="A11017" t="str">
        <f>"839259618"</f>
        <v>839259618</v>
      </c>
      <c r="B11017" t="s">
        <v>10202</v>
      </c>
      <c r="C11017" s="1">
        <v>1008.68</v>
      </c>
      <c r="D11017" t="str">
        <f t="shared" si="349"/>
        <v>637</v>
      </c>
    </row>
    <row r="11018" spans="1:5" x14ac:dyDescent="0.25">
      <c r="A11018" t="str">
        <f>"839259620"</f>
        <v>839259620</v>
      </c>
      <c r="B11018" t="s">
        <v>10203</v>
      </c>
      <c r="C11018">
        <v>6.6</v>
      </c>
      <c r="D11018" t="str">
        <f t="shared" si="349"/>
        <v>637</v>
      </c>
    </row>
    <row r="11019" spans="1:5" x14ac:dyDescent="0.25">
      <c r="A11019" t="str">
        <f>"839259621"</f>
        <v>839259621</v>
      </c>
      <c r="B11019" t="s">
        <v>10204</v>
      </c>
      <c r="C11019">
        <v>31.55</v>
      </c>
      <c r="D11019" t="str">
        <f t="shared" si="349"/>
        <v>637</v>
      </c>
    </row>
    <row r="11020" spans="1:5" x14ac:dyDescent="0.25">
      <c r="A11020" t="str">
        <f>"839259625"</f>
        <v>839259625</v>
      </c>
      <c r="B11020" t="s">
        <v>10205</v>
      </c>
      <c r="C11020">
        <v>40.28</v>
      </c>
      <c r="D11020" t="str">
        <f t="shared" si="349"/>
        <v>637</v>
      </c>
    </row>
    <row r="11021" spans="1:5" x14ac:dyDescent="0.25">
      <c r="A11021" t="str">
        <f>"839259627"</f>
        <v>839259627</v>
      </c>
      <c r="B11021" t="s">
        <v>10206</v>
      </c>
      <c r="C11021">
        <v>35.51</v>
      </c>
      <c r="D11021" t="str">
        <f t="shared" si="349"/>
        <v>637</v>
      </c>
    </row>
    <row r="11022" spans="1:5" x14ac:dyDescent="0.25">
      <c r="A11022" t="str">
        <f>"839259628"</f>
        <v>839259628</v>
      </c>
      <c r="B11022" t="s">
        <v>10207</v>
      </c>
      <c r="C11022">
        <v>14.14</v>
      </c>
      <c r="D11022" t="str">
        <f t="shared" si="349"/>
        <v>637</v>
      </c>
    </row>
    <row r="11023" spans="1:5" x14ac:dyDescent="0.25">
      <c r="A11023" t="str">
        <f>"839259630"</f>
        <v>839259630</v>
      </c>
      <c r="B11023" t="s">
        <v>10208</v>
      </c>
      <c r="C11023">
        <v>15.79</v>
      </c>
      <c r="D11023" t="str">
        <f t="shared" si="349"/>
        <v>637</v>
      </c>
    </row>
    <row r="11024" spans="1:5" x14ac:dyDescent="0.25">
      <c r="A11024" t="str">
        <f>"839259631"</f>
        <v>839259631</v>
      </c>
      <c r="B11024" t="s">
        <v>10209</v>
      </c>
      <c r="C11024">
        <v>12.27</v>
      </c>
      <c r="D11024" t="str">
        <f t="shared" si="349"/>
        <v>637</v>
      </c>
    </row>
    <row r="11025" spans="1:5" x14ac:dyDescent="0.25">
      <c r="A11025" t="str">
        <f>"839259633"</f>
        <v>839259633</v>
      </c>
      <c r="B11025" t="s">
        <v>10210</v>
      </c>
      <c r="C11025" s="1">
        <v>1145.0999999999999</v>
      </c>
      <c r="D11025" t="str">
        <f t="shared" si="349"/>
        <v>637</v>
      </c>
      <c r="E11025" t="str">
        <f>"J1815"</f>
        <v>J1815</v>
      </c>
    </row>
    <row r="11026" spans="1:5" x14ac:dyDescent="0.25">
      <c r="A11026" t="str">
        <f>"839259639"</f>
        <v>839259639</v>
      </c>
      <c r="B11026" t="s">
        <v>10211</v>
      </c>
      <c r="C11026">
        <v>36.799999999999997</v>
      </c>
      <c r="D11026" t="str">
        <f t="shared" si="349"/>
        <v>637</v>
      </c>
    </row>
    <row r="11027" spans="1:5" x14ac:dyDescent="0.25">
      <c r="A11027" t="str">
        <f>"839259667"</f>
        <v>839259667</v>
      </c>
      <c r="B11027" t="s">
        <v>10212</v>
      </c>
      <c r="C11027">
        <v>27.73</v>
      </c>
      <c r="D11027" t="str">
        <f t="shared" si="349"/>
        <v>637</v>
      </c>
    </row>
    <row r="11028" spans="1:5" x14ac:dyDescent="0.25">
      <c r="A11028" t="str">
        <f>"839259670"</f>
        <v>839259670</v>
      </c>
      <c r="B11028" t="s">
        <v>10213</v>
      </c>
      <c r="C11028">
        <v>30</v>
      </c>
      <c r="D11028" t="str">
        <f t="shared" si="349"/>
        <v>637</v>
      </c>
    </row>
    <row r="11029" spans="1:5" x14ac:dyDescent="0.25">
      <c r="A11029" t="str">
        <f>"839259674"</f>
        <v>839259674</v>
      </c>
      <c r="B11029" t="s">
        <v>10214</v>
      </c>
      <c r="C11029">
        <v>31.47</v>
      </c>
      <c r="D11029" t="str">
        <f t="shared" si="349"/>
        <v>637</v>
      </c>
    </row>
    <row r="11030" spans="1:5" x14ac:dyDescent="0.25">
      <c r="A11030" t="str">
        <f>"839259677"</f>
        <v>839259677</v>
      </c>
      <c r="B11030" t="s">
        <v>10215</v>
      </c>
      <c r="C11030">
        <v>32.36</v>
      </c>
      <c r="D11030" t="str">
        <f t="shared" si="349"/>
        <v>637</v>
      </c>
    </row>
    <row r="11031" spans="1:5" x14ac:dyDescent="0.25">
      <c r="A11031" t="str">
        <f>"839259678"</f>
        <v>839259678</v>
      </c>
      <c r="B11031" t="s">
        <v>10216</v>
      </c>
      <c r="C11031">
        <v>5.5</v>
      </c>
      <c r="D11031" t="str">
        <f t="shared" si="349"/>
        <v>637</v>
      </c>
    </row>
    <row r="11032" spans="1:5" x14ac:dyDescent="0.25">
      <c r="A11032" t="str">
        <f>"839259681"</f>
        <v>839259681</v>
      </c>
      <c r="B11032" t="s">
        <v>10217</v>
      </c>
      <c r="C11032">
        <v>173.78</v>
      </c>
      <c r="D11032" t="str">
        <f t="shared" si="349"/>
        <v>637</v>
      </c>
    </row>
    <row r="11033" spans="1:5" x14ac:dyDescent="0.25">
      <c r="A11033" t="str">
        <f>"839259684"</f>
        <v>839259684</v>
      </c>
      <c r="B11033" t="s">
        <v>10218</v>
      </c>
      <c r="C11033">
        <v>39.82</v>
      </c>
      <c r="D11033" t="str">
        <f t="shared" si="349"/>
        <v>637</v>
      </c>
    </row>
    <row r="11034" spans="1:5" x14ac:dyDescent="0.25">
      <c r="A11034" t="str">
        <f>"839259685"</f>
        <v>839259685</v>
      </c>
      <c r="B11034" t="s">
        <v>10219</v>
      </c>
      <c r="C11034">
        <v>14.14</v>
      </c>
      <c r="D11034" t="str">
        <f t="shared" si="349"/>
        <v>637</v>
      </c>
    </row>
    <row r="11035" spans="1:5" x14ac:dyDescent="0.25">
      <c r="A11035" t="str">
        <f>"839259697"</f>
        <v>839259697</v>
      </c>
      <c r="B11035" t="s">
        <v>10220</v>
      </c>
      <c r="C11035">
        <v>124.74</v>
      </c>
      <c r="D11035" t="str">
        <f t="shared" ref="D11035:D11050" si="350">"250"</f>
        <v>250</v>
      </c>
    </row>
    <row r="11036" spans="1:5" x14ac:dyDescent="0.25">
      <c r="A11036" t="str">
        <f>"839259699"</f>
        <v>839259699</v>
      </c>
      <c r="B11036" t="s">
        <v>10221</v>
      </c>
      <c r="C11036">
        <v>5.78</v>
      </c>
      <c r="D11036" t="str">
        <f t="shared" si="350"/>
        <v>250</v>
      </c>
    </row>
    <row r="11037" spans="1:5" x14ac:dyDescent="0.25">
      <c r="A11037" t="str">
        <f>"839259700"</f>
        <v>839259700</v>
      </c>
      <c r="B11037" t="s">
        <v>10222</v>
      </c>
      <c r="C11037">
        <v>337.46</v>
      </c>
      <c r="D11037" t="str">
        <f t="shared" si="350"/>
        <v>250</v>
      </c>
    </row>
    <row r="11038" spans="1:5" x14ac:dyDescent="0.25">
      <c r="A11038" t="str">
        <f>"839259701"</f>
        <v>839259701</v>
      </c>
      <c r="B11038" t="s">
        <v>10223</v>
      </c>
      <c r="C11038">
        <v>5.78</v>
      </c>
      <c r="D11038" t="str">
        <f t="shared" si="350"/>
        <v>250</v>
      </c>
    </row>
    <row r="11039" spans="1:5" x14ac:dyDescent="0.25">
      <c r="A11039" t="str">
        <f>"839259702"</f>
        <v>839259702</v>
      </c>
      <c r="B11039" t="s">
        <v>10224</v>
      </c>
      <c r="C11039">
        <v>26.39</v>
      </c>
      <c r="D11039" t="str">
        <f t="shared" si="350"/>
        <v>250</v>
      </c>
    </row>
    <row r="11040" spans="1:5" x14ac:dyDescent="0.25">
      <c r="A11040" t="str">
        <f>"839259703"</f>
        <v>839259703</v>
      </c>
      <c r="B11040" t="s">
        <v>10225</v>
      </c>
      <c r="C11040">
        <v>6.6</v>
      </c>
      <c r="D11040" t="str">
        <f t="shared" si="350"/>
        <v>250</v>
      </c>
    </row>
    <row r="11041" spans="1:5" x14ac:dyDescent="0.25">
      <c r="A11041" t="str">
        <f>"839259704"</f>
        <v>839259704</v>
      </c>
      <c r="B11041" t="s">
        <v>10226</v>
      </c>
      <c r="C11041" s="1">
        <v>2511.3000000000002</v>
      </c>
      <c r="D11041" t="str">
        <f t="shared" si="350"/>
        <v>250</v>
      </c>
    </row>
    <row r="11042" spans="1:5" x14ac:dyDescent="0.25">
      <c r="A11042" t="str">
        <f>"839259705"</f>
        <v>839259705</v>
      </c>
      <c r="B11042" t="s">
        <v>10227</v>
      </c>
      <c r="C11042">
        <v>73.989999999999995</v>
      </c>
      <c r="D11042" t="str">
        <f t="shared" si="350"/>
        <v>250</v>
      </c>
    </row>
    <row r="11043" spans="1:5" x14ac:dyDescent="0.25">
      <c r="A11043" t="str">
        <f>"839259706"</f>
        <v>839259706</v>
      </c>
      <c r="B11043" t="s">
        <v>10228</v>
      </c>
      <c r="C11043">
        <v>361.81</v>
      </c>
      <c r="D11043" t="str">
        <f t="shared" si="350"/>
        <v>250</v>
      </c>
    </row>
    <row r="11044" spans="1:5" x14ac:dyDescent="0.25">
      <c r="A11044" t="str">
        <f>"839259707"</f>
        <v>839259707</v>
      </c>
      <c r="B11044" t="s">
        <v>10229</v>
      </c>
      <c r="C11044">
        <v>65.88</v>
      </c>
      <c r="D11044" t="str">
        <f t="shared" si="350"/>
        <v>250</v>
      </c>
    </row>
    <row r="11045" spans="1:5" x14ac:dyDescent="0.25">
      <c r="A11045" t="str">
        <f>"839259708"</f>
        <v>839259708</v>
      </c>
      <c r="B11045" t="s">
        <v>10230</v>
      </c>
      <c r="C11045">
        <v>65.88</v>
      </c>
      <c r="D11045" t="str">
        <f t="shared" si="350"/>
        <v>250</v>
      </c>
    </row>
    <row r="11046" spans="1:5" x14ac:dyDescent="0.25">
      <c r="A11046" t="str">
        <f>"839259709"</f>
        <v>839259709</v>
      </c>
      <c r="B11046" t="s">
        <v>10231</v>
      </c>
      <c r="C11046">
        <v>178.2</v>
      </c>
      <c r="D11046" t="str">
        <f t="shared" si="350"/>
        <v>250</v>
      </c>
    </row>
    <row r="11047" spans="1:5" x14ac:dyDescent="0.25">
      <c r="A11047" t="str">
        <f>"839259710"</f>
        <v>839259710</v>
      </c>
      <c r="B11047" t="s">
        <v>10232</v>
      </c>
      <c r="C11047">
        <v>178.2</v>
      </c>
      <c r="D11047" t="str">
        <f t="shared" si="350"/>
        <v>250</v>
      </c>
    </row>
    <row r="11048" spans="1:5" x14ac:dyDescent="0.25">
      <c r="A11048" t="str">
        <f>"839259711"</f>
        <v>839259711</v>
      </c>
      <c r="B11048" t="s">
        <v>10233</v>
      </c>
      <c r="C11048">
        <v>561.62</v>
      </c>
      <c r="D11048" t="str">
        <f t="shared" si="350"/>
        <v>250</v>
      </c>
    </row>
    <row r="11049" spans="1:5" x14ac:dyDescent="0.25">
      <c r="A11049" t="str">
        <f>"839259901"</f>
        <v>839259901</v>
      </c>
      <c r="B11049" t="s">
        <v>10234</v>
      </c>
      <c r="C11049">
        <v>81.16</v>
      </c>
      <c r="D11049" t="str">
        <f t="shared" si="350"/>
        <v>250</v>
      </c>
    </row>
    <row r="11050" spans="1:5" x14ac:dyDescent="0.25">
      <c r="A11050" t="str">
        <f>"839259902"</f>
        <v>839259902</v>
      </c>
      <c r="B11050" t="s">
        <v>10235</v>
      </c>
      <c r="C11050">
        <v>64.72</v>
      </c>
      <c r="D11050" t="str">
        <f t="shared" si="350"/>
        <v>250</v>
      </c>
    </row>
    <row r="11051" spans="1:5" x14ac:dyDescent="0.25">
      <c r="A11051" t="str">
        <f>"839301506"</f>
        <v>839301506</v>
      </c>
      <c r="B11051" t="s">
        <v>10236</v>
      </c>
      <c r="C11051">
        <v>364.1</v>
      </c>
      <c r="D11051" t="str">
        <f>"636"</f>
        <v>636</v>
      </c>
      <c r="E11051" t="str">
        <f>"P9047"</f>
        <v>P9047</v>
      </c>
    </row>
    <row r="11052" spans="1:5" x14ac:dyDescent="0.25">
      <c r="A11052" t="str">
        <f>"839350319"</f>
        <v>839350319</v>
      </c>
      <c r="B11052" t="s">
        <v>10237</v>
      </c>
      <c r="C11052">
        <v>94.25</v>
      </c>
      <c r="D11052" t="str">
        <f>"250"</f>
        <v>250</v>
      </c>
    </row>
    <row r="11053" spans="1:5" x14ac:dyDescent="0.25">
      <c r="A11053" t="str">
        <f>"839350320"</f>
        <v>839350320</v>
      </c>
      <c r="B11053" t="s">
        <v>10238</v>
      </c>
      <c r="C11053">
        <v>601.79</v>
      </c>
      <c r="D11053" t="str">
        <f>"250"</f>
        <v>250</v>
      </c>
    </row>
    <row r="11054" spans="1:5" x14ac:dyDescent="0.25">
      <c r="A11054" t="str">
        <f>"839350334"</f>
        <v>839350334</v>
      </c>
      <c r="B11054" t="s">
        <v>10239</v>
      </c>
      <c r="C11054">
        <v>12.21</v>
      </c>
      <c r="D11054" t="str">
        <f>"257"</f>
        <v>257</v>
      </c>
    </row>
    <row r="11055" spans="1:5" x14ac:dyDescent="0.25">
      <c r="A11055" t="str">
        <f>"839350345"</f>
        <v>839350345</v>
      </c>
      <c r="B11055" t="s">
        <v>10240</v>
      </c>
      <c r="C11055">
        <v>15.9</v>
      </c>
      <c r="D11055" t="str">
        <f>"250"</f>
        <v>250</v>
      </c>
      <c r="E11055" t="str">
        <f>"J7510"</f>
        <v>J7510</v>
      </c>
    </row>
    <row r="11056" spans="1:5" x14ac:dyDescent="0.25">
      <c r="A11056" t="str">
        <f>"839620021"</f>
        <v>839620021</v>
      </c>
      <c r="B11056" t="s">
        <v>10241</v>
      </c>
      <c r="C11056">
        <v>165</v>
      </c>
      <c r="D11056" t="str">
        <f>"250"</f>
        <v>250</v>
      </c>
    </row>
    <row r="11057" spans="1:4" x14ac:dyDescent="0.25">
      <c r="A11057" t="str">
        <f>"839630005"</f>
        <v>839630005</v>
      </c>
      <c r="B11057" t="s">
        <v>10242</v>
      </c>
      <c r="C11057">
        <v>697.61</v>
      </c>
      <c r="D11057" t="str">
        <f>"250"</f>
        <v>250</v>
      </c>
    </row>
    <row r="11058" spans="1:4" x14ac:dyDescent="0.25">
      <c r="A11058" t="str">
        <f>"839630006"</f>
        <v>839630006</v>
      </c>
      <c r="B11058" t="s">
        <v>10243</v>
      </c>
      <c r="C11058">
        <v>16.5</v>
      </c>
      <c r="D11058" t="str">
        <f t="shared" ref="D11058:D11072" si="351">"257"</f>
        <v>257</v>
      </c>
    </row>
    <row r="11059" spans="1:4" x14ac:dyDescent="0.25">
      <c r="A11059" t="str">
        <f>"839630007"</f>
        <v>839630007</v>
      </c>
      <c r="B11059" t="s">
        <v>10244</v>
      </c>
      <c r="C11059">
        <v>16.5</v>
      </c>
      <c r="D11059" t="str">
        <f t="shared" si="351"/>
        <v>257</v>
      </c>
    </row>
    <row r="11060" spans="1:4" x14ac:dyDescent="0.25">
      <c r="A11060" t="str">
        <f>"839630008"</f>
        <v>839630008</v>
      </c>
      <c r="B11060" t="s">
        <v>10245</v>
      </c>
      <c r="C11060">
        <v>16.5</v>
      </c>
      <c r="D11060" t="str">
        <f t="shared" si="351"/>
        <v>257</v>
      </c>
    </row>
    <row r="11061" spans="1:4" x14ac:dyDescent="0.25">
      <c r="A11061" t="str">
        <f>"839630009"</f>
        <v>839630009</v>
      </c>
      <c r="B11061" t="s">
        <v>10246</v>
      </c>
      <c r="C11061">
        <v>16.5</v>
      </c>
      <c r="D11061" t="str">
        <f t="shared" si="351"/>
        <v>257</v>
      </c>
    </row>
    <row r="11062" spans="1:4" x14ac:dyDescent="0.25">
      <c r="A11062" t="str">
        <f>"839630010"</f>
        <v>839630010</v>
      </c>
      <c r="B11062" t="s">
        <v>10247</v>
      </c>
      <c r="C11062">
        <v>16.5</v>
      </c>
      <c r="D11062" t="str">
        <f t="shared" si="351"/>
        <v>257</v>
      </c>
    </row>
    <row r="11063" spans="1:4" x14ac:dyDescent="0.25">
      <c r="A11063" t="str">
        <f>"839630011"</f>
        <v>839630011</v>
      </c>
      <c r="B11063" t="s">
        <v>10248</v>
      </c>
      <c r="C11063">
        <v>12.1</v>
      </c>
      <c r="D11063" t="str">
        <f t="shared" si="351"/>
        <v>257</v>
      </c>
    </row>
    <row r="11064" spans="1:4" x14ac:dyDescent="0.25">
      <c r="A11064" t="str">
        <f>"839630012"</f>
        <v>839630012</v>
      </c>
      <c r="B11064" t="s">
        <v>10249</v>
      </c>
      <c r="C11064">
        <v>6.6</v>
      </c>
      <c r="D11064" t="str">
        <f t="shared" si="351"/>
        <v>257</v>
      </c>
    </row>
    <row r="11065" spans="1:4" x14ac:dyDescent="0.25">
      <c r="A11065" t="str">
        <f>"839630013"</f>
        <v>839630013</v>
      </c>
      <c r="B11065" t="s">
        <v>10250</v>
      </c>
      <c r="C11065">
        <v>22.57</v>
      </c>
      <c r="D11065" t="str">
        <f t="shared" si="351"/>
        <v>257</v>
      </c>
    </row>
    <row r="11066" spans="1:4" x14ac:dyDescent="0.25">
      <c r="A11066" t="str">
        <f>"839630014"</f>
        <v>839630014</v>
      </c>
      <c r="B11066" t="s">
        <v>10251</v>
      </c>
      <c r="C11066">
        <v>82.5</v>
      </c>
      <c r="D11066" t="str">
        <f t="shared" si="351"/>
        <v>257</v>
      </c>
    </row>
    <row r="11067" spans="1:4" x14ac:dyDescent="0.25">
      <c r="A11067" t="str">
        <f>"839630015"</f>
        <v>839630015</v>
      </c>
      <c r="B11067" t="s">
        <v>10252</v>
      </c>
      <c r="C11067">
        <v>82.5</v>
      </c>
      <c r="D11067" t="str">
        <f t="shared" si="351"/>
        <v>257</v>
      </c>
    </row>
    <row r="11068" spans="1:4" x14ac:dyDescent="0.25">
      <c r="A11068" t="str">
        <f>"839630016"</f>
        <v>839630016</v>
      </c>
      <c r="B11068" t="s">
        <v>10253</v>
      </c>
      <c r="C11068">
        <v>82.5</v>
      </c>
      <c r="D11068" t="str">
        <f t="shared" si="351"/>
        <v>257</v>
      </c>
    </row>
    <row r="11069" spans="1:4" x14ac:dyDescent="0.25">
      <c r="A11069" t="str">
        <f>"839630017"</f>
        <v>839630017</v>
      </c>
      <c r="B11069" t="s">
        <v>10254</v>
      </c>
      <c r="C11069">
        <v>82.5</v>
      </c>
      <c r="D11069" t="str">
        <f t="shared" si="351"/>
        <v>257</v>
      </c>
    </row>
    <row r="11070" spans="1:4" x14ac:dyDescent="0.25">
      <c r="A11070" t="str">
        <f>"839630018"</f>
        <v>839630018</v>
      </c>
      <c r="B11070" t="s">
        <v>10255</v>
      </c>
      <c r="C11070">
        <v>92.4</v>
      </c>
      <c r="D11070" t="str">
        <f t="shared" si="351"/>
        <v>257</v>
      </c>
    </row>
    <row r="11071" spans="1:4" x14ac:dyDescent="0.25">
      <c r="A11071" t="str">
        <f>"839630019"</f>
        <v>839630019</v>
      </c>
      <c r="B11071" t="s">
        <v>10256</v>
      </c>
      <c r="C11071">
        <v>82.5</v>
      </c>
      <c r="D11071" t="str">
        <f t="shared" si="351"/>
        <v>257</v>
      </c>
    </row>
    <row r="11072" spans="1:4" x14ac:dyDescent="0.25">
      <c r="A11072" t="str">
        <f>"839630020"</f>
        <v>839630020</v>
      </c>
      <c r="B11072" t="s">
        <v>10257</v>
      </c>
      <c r="C11072">
        <v>82.5</v>
      </c>
      <c r="D11072" t="str">
        <f t="shared" si="351"/>
        <v>257</v>
      </c>
    </row>
    <row r="11073" spans="1:5" x14ac:dyDescent="0.25">
      <c r="A11073" t="str">
        <f>"839630021"</f>
        <v>839630021</v>
      </c>
      <c r="B11073" t="s">
        <v>10258</v>
      </c>
      <c r="C11073" s="1">
        <v>4118.3999999999996</v>
      </c>
      <c r="D11073" t="str">
        <f>"250"</f>
        <v>250</v>
      </c>
    </row>
    <row r="11074" spans="1:5" x14ac:dyDescent="0.25">
      <c r="A11074" t="str">
        <f>"839630022"</f>
        <v>839630022</v>
      </c>
      <c r="B11074" t="s">
        <v>10259</v>
      </c>
      <c r="C11074">
        <v>88</v>
      </c>
      <c r="D11074" t="str">
        <f>"771"</f>
        <v>771</v>
      </c>
      <c r="E11074" t="str">
        <f>"0001A"</f>
        <v>0001A</v>
      </c>
    </row>
    <row r="11075" spans="1:5" x14ac:dyDescent="0.25">
      <c r="A11075" t="str">
        <f>"839630023"</f>
        <v>839630023</v>
      </c>
      <c r="B11075" t="s">
        <v>10260</v>
      </c>
      <c r="C11075">
        <v>88</v>
      </c>
      <c r="D11075" t="str">
        <f>"771"</f>
        <v>771</v>
      </c>
      <c r="E11075" t="str">
        <f>"0002A"</f>
        <v>0002A</v>
      </c>
    </row>
    <row r="11076" spans="1:5" x14ac:dyDescent="0.25">
      <c r="A11076" t="str">
        <f>"839630024"</f>
        <v>839630024</v>
      </c>
      <c r="B11076" t="s">
        <v>10261</v>
      </c>
      <c r="C11076">
        <v>88</v>
      </c>
      <c r="D11076" t="str">
        <f>"771"</f>
        <v>771</v>
      </c>
      <c r="E11076" t="str">
        <f>"0011A"</f>
        <v>0011A</v>
      </c>
    </row>
    <row r="11077" spans="1:5" x14ac:dyDescent="0.25">
      <c r="A11077" t="str">
        <f>"839630025"</f>
        <v>839630025</v>
      </c>
      <c r="B11077" t="s">
        <v>10262</v>
      </c>
      <c r="C11077">
        <v>88</v>
      </c>
      <c r="D11077" t="str">
        <f>"771"</f>
        <v>771</v>
      </c>
      <c r="E11077" t="str">
        <f>"0012A"</f>
        <v>0012A</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workbookViewId="0">
      <selection activeCell="A12" sqref="A12"/>
    </sheetView>
  </sheetViews>
  <sheetFormatPr defaultRowHeight="15" x14ac:dyDescent="0.25"/>
  <cols>
    <col min="1" max="1" width="69.140625" customWidth="1"/>
    <col min="3" max="3" width="28.7109375" customWidth="1"/>
  </cols>
  <sheetData>
    <row r="1" spans="1:3" x14ac:dyDescent="0.25">
      <c r="A1" s="3" t="s">
        <v>10267</v>
      </c>
      <c r="B1" s="4"/>
      <c r="C1" s="5"/>
    </row>
    <row r="2" spans="1:3" x14ac:dyDescent="0.25">
      <c r="A2" s="6" t="s">
        <v>10268</v>
      </c>
      <c r="B2" s="7"/>
      <c r="C2" s="8"/>
    </row>
    <row r="3" spans="1:3" x14ac:dyDescent="0.25">
      <c r="A3" s="6" t="s">
        <v>10319</v>
      </c>
      <c r="B3" s="7"/>
      <c r="C3" s="8"/>
    </row>
    <row r="4" spans="1:3" x14ac:dyDescent="0.25">
      <c r="A4" s="9"/>
      <c r="B4" s="10"/>
      <c r="C4" s="11"/>
    </row>
    <row r="5" spans="1:3" x14ac:dyDescent="0.25">
      <c r="A5" s="70" t="s">
        <v>10269</v>
      </c>
      <c r="B5" s="71"/>
      <c r="C5" s="72"/>
    </row>
    <row r="6" spans="1:3" ht="30" x14ac:dyDescent="0.25">
      <c r="A6" s="17" t="s">
        <v>10272</v>
      </c>
      <c r="B6" s="12" t="s">
        <v>10270</v>
      </c>
      <c r="C6" s="13" t="s">
        <v>10271</v>
      </c>
    </row>
    <row r="7" spans="1:3" x14ac:dyDescent="0.25">
      <c r="A7" s="18" t="s">
        <v>10273</v>
      </c>
      <c r="B7" s="19">
        <v>80048</v>
      </c>
      <c r="C7" s="15">
        <v>518.6</v>
      </c>
    </row>
    <row r="8" spans="1:3" x14ac:dyDescent="0.25">
      <c r="A8" s="20" t="s">
        <v>10274</v>
      </c>
      <c r="B8" s="21">
        <v>80061</v>
      </c>
      <c r="C8" s="22">
        <v>197.51</v>
      </c>
    </row>
    <row r="9" spans="1:3" x14ac:dyDescent="0.25">
      <c r="A9" s="20" t="s">
        <v>10275</v>
      </c>
      <c r="B9" s="21">
        <v>85025</v>
      </c>
      <c r="C9" s="22">
        <v>155.93</v>
      </c>
    </row>
    <row r="10" spans="1:3" x14ac:dyDescent="0.25">
      <c r="A10" s="20" t="s">
        <v>10276</v>
      </c>
      <c r="B10" s="21">
        <v>80053</v>
      </c>
      <c r="C10" s="15">
        <v>619.08000000000004</v>
      </c>
    </row>
    <row r="11" spans="1:3" x14ac:dyDescent="0.25">
      <c r="A11" s="23" t="s">
        <v>10277</v>
      </c>
      <c r="B11" s="24">
        <v>82550</v>
      </c>
      <c r="C11" s="22">
        <v>124.74</v>
      </c>
    </row>
    <row r="12" spans="1:3" ht="18.75" customHeight="1" x14ac:dyDescent="0.25">
      <c r="A12" s="25" t="s">
        <v>10278</v>
      </c>
      <c r="B12" s="24">
        <v>82553</v>
      </c>
      <c r="C12" s="22">
        <v>124.74</v>
      </c>
    </row>
    <row r="13" spans="1:3" x14ac:dyDescent="0.25">
      <c r="A13" s="20" t="s">
        <v>10279</v>
      </c>
      <c r="B13" s="21">
        <v>84484</v>
      </c>
      <c r="C13" s="22">
        <v>271.43</v>
      </c>
    </row>
    <row r="14" spans="1:3" x14ac:dyDescent="0.25">
      <c r="A14" s="20" t="s">
        <v>10280</v>
      </c>
      <c r="B14" s="26">
        <v>80074</v>
      </c>
      <c r="C14" s="22">
        <v>438.77</v>
      </c>
    </row>
    <row r="15" spans="1:3" x14ac:dyDescent="0.25">
      <c r="A15" s="23" t="s">
        <v>10281</v>
      </c>
      <c r="B15" s="26">
        <v>81001</v>
      </c>
      <c r="C15" s="22">
        <v>103.95</v>
      </c>
    </row>
    <row r="16" spans="1:3" ht="30" x14ac:dyDescent="0.25">
      <c r="A16" s="27" t="s">
        <v>10282</v>
      </c>
      <c r="B16" s="12" t="s">
        <v>10270</v>
      </c>
      <c r="C16" s="13" t="s">
        <v>10271</v>
      </c>
    </row>
    <row r="17" spans="1:3" x14ac:dyDescent="0.25">
      <c r="A17" s="28" t="s">
        <v>10283</v>
      </c>
      <c r="B17" s="29">
        <v>71045</v>
      </c>
      <c r="C17" s="30">
        <v>205.27</v>
      </c>
    </row>
    <row r="18" spans="1:3" ht="15.75" x14ac:dyDescent="0.25">
      <c r="A18" s="23" t="s">
        <v>10284</v>
      </c>
      <c r="B18" s="16">
        <v>70460</v>
      </c>
      <c r="C18" s="31">
        <v>1648.89</v>
      </c>
    </row>
    <row r="19" spans="1:3" x14ac:dyDescent="0.25">
      <c r="A19" s="23" t="s">
        <v>10285</v>
      </c>
      <c r="B19" s="16">
        <v>74176</v>
      </c>
      <c r="C19" s="22">
        <v>2821.25</v>
      </c>
    </row>
    <row r="20" spans="1:3" x14ac:dyDescent="0.25">
      <c r="A20" s="20" t="s">
        <v>10286</v>
      </c>
      <c r="B20" s="16">
        <v>70551</v>
      </c>
      <c r="C20" s="22">
        <v>1893.28</v>
      </c>
    </row>
    <row r="21" spans="1:3" ht="17.25" customHeight="1" x14ac:dyDescent="0.25">
      <c r="A21" s="32" t="s">
        <v>10287</v>
      </c>
      <c r="B21" s="16">
        <v>76700</v>
      </c>
      <c r="C21" s="22">
        <v>529.73</v>
      </c>
    </row>
    <row r="22" spans="1:3" x14ac:dyDescent="0.25">
      <c r="A22" s="23" t="s">
        <v>10288</v>
      </c>
      <c r="B22" s="16">
        <v>71046</v>
      </c>
      <c r="C22" s="22">
        <v>263.27</v>
      </c>
    </row>
    <row r="23" spans="1:3" ht="30" x14ac:dyDescent="0.25">
      <c r="A23" s="17" t="s">
        <v>10289</v>
      </c>
      <c r="B23" s="12" t="s">
        <v>10270</v>
      </c>
      <c r="C23" s="33" t="s">
        <v>10271</v>
      </c>
    </row>
    <row r="24" spans="1:3" x14ac:dyDescent="0.25">
      <c r="A24" s="34" t="s">
        <v>10290</v>
      </c>
      <c r="B24" s="14">
        <v>93350</v>
      </c>
      <c r="C24" s="22">
        <v>2093.3000000000002</v>
      </c>
    </row>
    <row r="25" spans="1:3" ht="15.75" x14ac:dyDescent="0.25">
      <c r="A25" s="35" t="s">
        <v>10291</v>
      </c>
      <c r="B25" s="16">
        <v>93005</v>
      </c>
      <c r="C25" s="22">
        <v>241.16</v>
      </c>
    </row>
    <row r="26" spans="1:3" ht="15.75" x14ac:dyDescent="0.25">
      <c r="A26" s="35" t="s">
        <v>10317</v>
      </c>
      <c r="B26" s="69">
        <v>93017</v>
      </c>
      <c r="C26" s="22">
        <v>1144</v>
      </c>
    </row>
    <row r="27" spans="1:3" ht="30" x14ac:dyDescent="0.25">
      <c r="A27" s="17" t="s">
        <v>10292</v>
      </c>
      <c r="B27" s="12" t="s">
        <v>10270</v>
      </c>
      <c r="C27" s="13" t="s">
        <v>10271</v>
      </c>
    </row>
    <row r="28" spans="1:3" x14ac:dyDescent="0.25">
      <c r="A28" s="34" t="s">
        <v>10293</v>
      </c>
      <c r="B28" s="36">
        <v>29827</v>
      </c>
      <c r="C28" s="37">
        <v>72000</v>
      </c>
    </row>
    <row r="29" spans="1:3" x14ac:dyDescent="0.25">
      <c r="A29" s="23" t="s">
        <v>10312</v>
      </c>
      <c r="B29" s="38">
        <v>64721</v>
      </c>
      <c r="C29" s="39">
        <v>32000</v>
      </c>
    </row>
    <row r="30" spans="1:3" x14ac:dyDescent="0.25">
      <c r="A30" s="23" t="s">
        <v>10316</v>
      </c>
      <c r="B30" s="38">
        <v>64772</v>
      </c>
      <c r="C30" s="39">
        <v>100000</v>
      </c>
    </row>
    <row r="31" spans="1:3" x14ac:dyDescent="0.25">
      <c r="A31" s="23" t="s">
        <v>10313</v>
      </c>
      <c r="B31" s="38">
        <v>64718</v>
      </c>
      <c r="C31" s="37">
        <v>40000</v>
      </c>
    </row>
    <row r="32" spans="1:3" x14ac:dyDescent="0.25">
      <c r="A32" s="23" t="s">
        <v>10294</v>
      </c>
      <c r="B32" s="38">
        <v>45378</v>
      </c>
      <c r="C32" s="37">
        <v>3080</v>
      </c>
    </row>
    <row r="33" spans="1:3" x14ac:dyDescent="0.25">
      <c r="A33" s="68" t="s">
        <v>10315</v>
      </c>
      <c r="B33" s="41">
        <v>62323</v>
      </c>
      <c r="C33" s="42">
        <v>29000</v>
      </c>
    </row>
    <row r="34" spans="1:3" x14ac:dyDescent="0.25">
      <c r="A34" s="40" t="s">
        <v>10314</v>
      </c>
      <c r="B34" s="41">
        <v>62321</v>
      </c>
      <c r="C34" s="42">
        <v>29000</v>
      </c>
    </row>
    <row r="35" spans="1:3" ht="15.75" thickBot="1" x14ac:dyDescent="0.3">
      <c r="A35" s="43" t="s">
        <v>10295</v>
      </c>
      <c r="B35" s="44"/>
      <c r="C35" s="45">
        <v>25</v>
      </c>
    </row>
    <row r="36" spans="1:3" ht="15.75" thickTop="1" x14ac:dyDescent="0.25">
      <c r="A36" s="46" t="s">
        <v>10296</v>
      </c>
      <c r="B36" s="47"/>
      <c r="C36" s="48"/>
    </row>
    <row r="37" spans="1:3" x14ac:dyDescent="0.25">
      <c r="A37" s="49" t="s">
        <v>10297</v>
      </c>
      <c r="B37" s="50"/>
      <c r="C37" s="51"/>
    </row>
    <row r="38" spans="1:3" x14ac:dyDescent="0.25">
      <c r="A38" s="49" t="s">
        <v>10298</v>
      </c>
      <c r="B38" s="52"/>
      <c r="C38" s="53"/>
    </row>
    <row r="39" spans="1:3" x14ac:dyDescent="0.25">
      <c r="A39" s="49" t="s">
        <v>10299</v>
      </c>
      <c r="B39" s="54"/>
      <c r="C39" s="53"/>
    </row>
    <row r="40" spans="1:3" x14ac:dyDescent="0.25">
      <c r="A40" s="49" t="s">
        <v>10300</v>
      </c>
      <c r="B40" s="54"/>
      <c r="C40" s="53"/>
    </row>
    <row r="41" spans="1:3" x14ac:dyDescent="0.25">
      <c r="A41" s="49" t="s">
        <v>10301</v>
      </c>
      <c r="B41" s="54"/>
      <c r="C41" s="53"/>
    </row>
    <row r="42" spans="1:3" x14ac:dyDescent="0.25">
      <c r="A42" s="49" t="s">
        <v>10302</v>
      </c>
      <c r="B42" s="54"/>
      <c r="C42" s="53"/>
    </row>
    <row r="43" spans="1:3" x14ac:dyDescent="0.25">
      <c r="A43" s="49" t="s">
        <v>10303</v>
      </c>
      <c r="B43" s="55"/>
      <c r="C43" s="56"/>
    </row>
    <row r="44" spans="1:3" x14ac:dyDescent="0.25">
      <c r="A44" s="49" t="s">
        <v>10304</v>
      </c>
      <c r="B44" s="52"/>
      <c r="C44" s="53"/>
    </row>
    <row r="45" spans="1:3" x14ac:dyDescent="0.25">
      <c r="A45" s="49" t="s">
        <v>10305</v>
      </c>
      <c r="B45" s="52"/>
      <c r="C45" s="53"/>
    </row>
    <row r="46" spans="1:3" x14ac:dyDescent="0.25">
      <c r="A46" s="57" t="s">
        <v>10306</v>
      </c>
      <c r="B46" s="58"/>
      <c r="C46" s="59"/>
    </row>
  </sheetData>
  <mergeCells count="1">
    <mergeCell ref="A5:C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tabSelected="1" workbookViewId="0">
      <selection activeCell="A12" sqref="A12"/>
    </sheetView>
  </sheetViews>
  <sheetFormatPr defaultRowHeight="15" x14ac:dyDescent="0.25"/>
  <cols>
    <col min="1" max="1" width="43" customWidth="1"/>
    <col min="2" max="2" width="32.140625" customWidth="1"/>
    <col min="3" max="3" width="28.5703125" customWidth="1"/>
    <col min="4" max="4" width="20.7109375" customWidth="1"/>
    <col min="5" max="5" width="30.7109375" customWidth="1"/>
  </cols>
  <sheetData>
    <row r="1" spans="1:5" s="2" customFormat="1" x14ac:dyDescent="0.25">
      <c r="A1" s="60" t="s">
        <v>10307</v>
      </c>
      <c r="B1" s="61">
        <v>2022</v>
      </c>
      <c r="C1" s="61">
        <v>2023</v>
      </c>
      <c r="D1" s="60"/>
    </row>
    <row r="2" spans="1:5" s="64" customFormat="1" x14ac:dyDescent="0.25">
      <c r="A2" s="62" t="s">
        <v>10268</v>
      </c>
      <c r="B2" s="63" t="s">
        <v>10308</v>
      </c>
      <c r="C2" s="63" t="s">
        <v>10309</v>
      </c>
      <c r="D2" s="63" t="s">
        <v>10310</v>
      </c>
    </row>
    <row r="3" spans="1:5" x14ac:dyDescent="0.25">
      <c r="A3" s="60" t="s">
        <v>10318</v>
      </c>
      <c r="B3" s="65">
        <v>310176060</v>
      </c>
      <c r="C3" s="65">
        <v>283361266</v>
      </c>
      <c r="D3" s="66">
        <v>-9.1399999999999995E-2</v>
      </c>
      <c r="E3" s="67" t="s">
        <v>10311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CDM 2024</vt:lpstr>
      <vt:lpstr>AB 1045</vt:lpstr>
      <vt:lpstr>Gross Rev Charges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Mercado</dc:creator>
  <cp:lastModifiedBy>Pedro Mercado</cp:lastModifiedBy>
  <cp:lastPrinted>2024-06-24T21:53:41Z</cp:lastPrinted>
  <dcterms:created xsi:type="dcterms:W3CDTF">2023-06-22T16:36:07Z</dcterms:created>
  <dcterms:modified xsi:type="dcterms:W3CDTF">2024-06-25T00:02:58Z</dcterms:modified>
</cp:coreProperties>
</file>